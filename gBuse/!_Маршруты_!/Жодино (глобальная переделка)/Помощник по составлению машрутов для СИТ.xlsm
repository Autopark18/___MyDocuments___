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глобальная переделка)\"/>
    </mc:Choice>
  </mc:AlternateContent>
  <bookViews>
    <workbookView xWindow="-122" yWindow="-122" windowWidth="25377" windowHeight="13762" firstSheet="2" activeTab="8"/>
  </bookViews>
  <sheets>
    <sheet name="Настройки" sheetId="2" r:id="rId1"/>
    <sheet name="Константы" sheetId="37" r:id="rId2"/>
    <sheet name="Остановки" sheetId="38" r:id="rId3"/>
    <sheet name="Табло" sheetId="40" r:id="rId4"/>
    <sheet name="Шаблон маршрута" sheetId="44" r:id="rId5"/>
    <sheet name="route" sheetId="1" r:id="rId6"/>
    <sheet name="1" sheetId="42" r:id="rId7"/>
    <sheet name="2" sheetId="43" r:id="rId8"/>
    <sheet name="5" sheetId="45" r:id="rId9"/>
    <sheet name="barsuki" sheetId="3" r:id="rId10"/>
    <sheet name="budagovo" sheetId="16" r:id="rId11"/>
    <sheet name="zamlinie" sheetId="17" r:id="rId12"/>
    <sheet name="zel_bor" sheetId="18" r:id="rId13"/>
    <sheet name="logoisk" sheetId="19" r:id="rId14"/>
    <sheet name="ljutka" sheetId="20" r:id="rId15"/>
    <sheet name="napalki" sheetId="21" r:id="rId16"/>
    <sheet name="sutoki" sheetId="22" r:id="rId17"/>
    <sheet name="tochil" sheetId="23" r:id="rId18"/>
    <sheet name="uzefovo" sheetId="24" r:id="rId19"/>
    <sheet name="jalov" sheetId="25" r:id="rId20"/>
    <sheet name="automob" sheetId="26" r:id="rId21"/>
    <sheet name="zhurav" sheetId="27" r:id="rId22"/>
    <sheet name="pov_zur" sheetId="28" r:id="rId23"/>
    <sheet name="raduga" sheetId="29" r:id="rId24"/>
    <sheet name="rodnik" sheetId="30" r:id="rId25"/>
    <sheet name="stroit" sheetId="31" r:id="rId26"/>
    <sheet name="sluzhebn" sheetId="32" r:id="rId27"/>
    <sheet name="zakaz" sheetId="33" r:id="rId28"/>
    <sheet name="snekpro" sheetId="34" r:id="rId29"/>
    <sheet name="deti" sheetId="35" r:id="rId30"/>
    <sheet name="v_park" sheetId="36" r:id="rId31"/>
  </sheets>
  <functionGroups builtInGroupCount="18"/>
  <definedNames>
    <definedName name="File_Footer">Константы!$E$2:$E$12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Остановки!$B$2:$H$63</definedName>
    <definedName name="Pref_Punktov">Константы!$A$2:$A$12</definedName>
    <definedName name="Punkti">Константы!$A$2:$B$12</definedName>
    <definedName name="Zag_Ost">Остановки!$B$2:$B$63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63" i="45" l="1"/>
  <c r="G64" i="45"/>
  <c r="G65" i="45"/>
  <c r="B68" i="45"/>
  <c r="J66" i="45"/>
  <c r="H66" i="45"/>
  <c r="D66" i="45" s="1"/>
  <c r="B66" i="45"/>
  <c r="J65" i="45"/>
  <c r="I65" i="45"/>
  <c r="H65" i="45"/>
  <c r="D65" i="45"/>
  <c r="B65" i="45"/>
  <c r="J64" i="45"/>
  <c r="I64" i="45"/>
  <c r="H64" i="45"/>
  <c r="D64" i="45" s="1"/>
  <c r="B64" i="45"/>
  <c r="J63" i="45"/>
  <c r="I63" i="45"/>
  <c r="H63" i="45"/>
  <c r="D63" i="45"/>
  <c r="B63" i="45"/>
  <c r="G62" i="45" s="1"/>
  <c r="J62" i="45"/>
  <c r="I62" i="45"/>
  <c r="H62" i="45"/>
  <c r="D62" i="45" s="1"/>
  <c r="B62" i="45"/>
  <c r="J61" i="45"/>
  <c r="I61" i="45"/>
  <c r="H61" i="45"/>
  <c r="G61" i="45"/>
  <c r="D61" i="45"/>
  <c r="B61" i="45"/>
  <c r="G60" i="45" s="1"/>
  <c r="J60" i="45"/>
  <c r="I60" i="45"/>
  <c r="H60" i="45"/>
  <c r="D60" i="45" s="1"/>
  <c r="B60" i="45"/>
  <c r="J59" i="45"/>
  <c r="I59" i="45"/>
  <c r="H59" i="45"/>
  <c r="G59" i="45"/>
  <c r="D59" i="45"/>
  <c r="B59" i="45"/>
  <c r="G58" i="45" s="1"/>
  <c r="J58" i="45"/>
  <c r="I58" i="45"/>
  <c r="H58" i="45"/>
  <c r="D58" i="45" s="1"/>
  <c r="B58" i="45"/>
  <c r="J57" i="45"/>
  <c r="I57" i="45"/>
  <c r="H57" i="45"/>
  <c r="G57" i="45"/>
  <c r="D57" i="45"/>
  <c r="B57" i="45"/>
  <c r="G56" i="45" s="1"/>
  <c r="J56" i="45"/>
  <c r="I56" i="45"/>
  <c r="H56" i="45"/>
  <c r="D56" i="45" s="1"/>
  <c r="B56" i="45"/>
  <c r="J55" i="45"/>
  <c r="I55" i="45"/>
  <c r="H55" i="45"/>
  <c r="G55" i="45"/>
  <c r="D55" i="45"/>
  <c r="B55" i="45"/>
  <c r="G54" i="45" s="1"/>
  <c r="J54" i="45"/>
  <c r="I54" i="45"/>
  <c r="H54" i="45"/>
  <c r="D54" i="45" s="1"/>
  <c r="B54" i="45"/>
  <c r="J53" i="45"/>
  <c r="I53" i="45"/>
  <c r="H53" i="45"/>
  <c r="G53" i="45"/>
  <c r="D53" i="45"/>
  <c r="B53" i="45"/>
  <c r="G52" i="45" s="1"/>
  <c r="J52" i="45"/>
  <c r="I52" i="45"/>
  <c r="H52" i="45"/>
  <c r="D52" i="45" s="1"/>
  <c r="B52" i="45"/>
  <c r="J51" i="45"/>
  <c r="I51" i="45"/>
  <c r="H51" i="45"/>
  <c r="G51" i="45"/>
  <c r="D51" i="45"/>
  <c r="B51" i="45"/>
  <c r="G50" i="45" s="1"/>
  <c r="J50" i="45"/>
  <c r="I50" i="45"/>
  <c r="H50" i="45"/>
  <c r="D50" i="45" s="1"/>
  <c r="B50" i="45"/>
  <c r="J49" i="45"/>
  <c r="I49" i="45"/>
  <c r="H49" i="45"/>
  <c r="G49" i="45"/>
  <c r="D49" i="45"/>
  <c r="B49" i="45"/>
  <c r="G48" i="45" s="1"/>
  <c r="J48" i="45"/>
  <c r="I48" i="45"/>
  <c r="H48" i="45"/>
  <c r="D48" i="45" s="1"/>
  <c r="B48" i="45"/>
  <c r="J47" i="45"/>
  <c r="I47" i="45"/>
  <c r="H47" i="45"/>
  <c r="G47" i="45"/>
  <c r="D47" i="45"/>
  <c r="B47" i="45"/>
  <c r="G46" i="45" s="1"/>
  <c r="J46" i="45"/>
  <c r="I46" i="45"/>
  <c r="H46" i="45"/>
  <c r="D46" i="45" s="1"/>
  <c r="B46" i="45"/>
  <c r="J45" i="45"/>
  <c r="I45" i="45"/>
  <c r="H45" i="45"/>
  <c r="G45" i="45"/>
  <c r="D45" i="45"/>
  <c r="B45" i="45"/>
  <c r="G44" i="45" s="1"/>
  <c r="J44" i="45"/>
  <c r="I44" i="45"/>
  <c r="H44" i="45"/>
  <c r="D44" i="45" s="1"/>
  <c r="B44" i="45"/>
  <c r="J43" i="45"/>
  <c r="I43" i="45"/>
  <c r="H43" i="45"/>
  <c r="G43" i="45"/>
  <c r="D43" i="45"/>
  <c r="B43" i="45"/>
  <c r="G42" i="45" s="1"/>
  <c r="J42" i="45"/>
  <c r="I42" i="45"/>
  <c r="H42" i="45"/>
  <c r="D42" i="45" s="1"/>
  <c r="B42" i="45"/>
  <c r="J41" i="45"/>
  <c r="I41" i="45"/>
  <c r="H41" i="45"/>
  <c r="G41" i="45"/>
  <c r="D41" i="45"/>
  <c r="B41" i="45"/>
  <c r="G40" i="45" s="1"/>
  <c r="J40" i="45"/>
  <c r="I40" i="45"/>
  <c r="H40" i="45"/>
  <c r="D40" i="45" s="1"/>
  <c r="B40" i="45"/>
  <c r="J39" i="45"/>
  <c r="I39" i="45"/>
  <c r="H39" i="45"/>
  <c r="G39" i="45"/>
  <c r="D39" i="45"/>
  <c r="B39" i="45"/>
  <c r="G38" i="45" s="1"/>
  <c r="J38" i="45"/>
  <c r="H38" i="45"/>
  <c r="D38" i="45" s="1"/>
  <c r="B38" i="45"/>
  <c r="G36" i="45" s="1"/>
  <c r="B36" i="45"/>
  <c r="G34" i="45" s="1"/>
  <c r="J34" i="45"/>
  <c r="H34" i="45"/>
  <c r="D34" i="45" s="1"/>
  <c r="B34" i="45"/>
  <c r="G33" i="45" s="1"/>
  <c r="J33" i="45"/>
  <c r="I33" i="45"/>
  <c r="H33" i="45"/>
  <c r="D33" i="45" s="1"/>
  <c r="B33" i="45"/>
  <c r="G32" i="45" s="1"/>
  <c r="J32" i="45"/>
  <c r="I32" i="45"/>
  <c r="H32" i="45"/>
  <c r="D32" i="45" s="1"/>
  <c r="B32" i="45"/>
  <c r="G31" i="45" s="1"/>
  <c r="J31" i="45"/>
  <c r="I31" i="45"/>
  <c r="H31" i="45"/>
  <c r="D31" i="45"/>
  <c r="B31" i="45"/>
  <c r="G30" i="45" s="1"/>
  <c r="J30" i="45"/>
  <c r="I30" i="45"/>
  <c r="H30" i="45"/>
  <c r="D30" i="45" s="1"/>
  <c r="B30" i="45"/>
  <c r="J29" i="45"/>
  <c r="I29" i="45"/>
  <c r="H29" i="45"/>
  <c r="G29" i="45"/>
  <c r="D29" i="45"/>
  <c r="B29" i="45"/>
  <c r="G28" i="45" s="1"/>
  <c r="J28" i="45"/>
  <c r="I28" i="45"/>
  <c r="H28" i="45"/>
  <c r="D28" i="45" s="1"/>
  <c r="B28" i="45"/>
  <c r="J27" i="45"/>
  <c r="I27" i="45"/>
  <c r="H27" i="45"/>
  <c r="G27" i="45"/>
  <c r="D27" i="45"/>
  <c r="B27" i="45"/>
  <c r="G26" i="45" s="1"/>
  <c r="J26" i="45"/>
  <c r="I26" i="45"/>
  <c r="H26" i="45"/>
  <c r="D26" i="45" s="1"/>
  <c r="B26" i="45"/>
  <c r="J25" i="45"/>
  <c r="I25" i="45"/>
  <c r="H25" i="45"/>
  <c r="G25" i="45"/>
  <c r="D25" i="45"/>
  <c r="B25" i="45"/>
  <c r="G24" i="45" s="1"/>
  <c r="J24" i="45"/>
  <c r="I24" i="45"/>
  <c r="H24" i="45"/>
  <c r="D24" i="45" s="1"/>
  <c r="B24" i="45"/>
  <c r="J23" i="45"/>
  <c r="I23" i="45"/>
  <c r="H23" i="45"/>
  <c r="G23" i="45"/>
  <c r="D23" i="45"/>
  <c r="B23" i="45"/>
  <c r="G22" i="45" s="1"/>
  <c r="J22" i="45"/>
  <c r="I22" i="45"/>
  <c r="H22" i="45"/>
  <c r="D22" i="45" s="1"/>
  <c r="B22" i="45"/>
  <c r="J21" i="45"/>
  <c r="I21" i="45"/>
  <c r="H21" i="45"/>
  <c r="G21" i="45"/>
  <c r="D21" i="45"/>
  <c r="B21" i="45"/>
  <c r="G20" i="45" s="1"/>
  <c r="J20" i="45"/>
  <c r="I20" i="45"/>
  <c r="H20" i="45"/>
  <c r="D20" i="45" s="1"/>
  <c r="B20" i="45"/>
  <c r="J19" i="45"/>
  <c r="I19" i="45"/>
  <c r="H19" i="45"/>
  <c r="G19" i="45"/>
  <c r="D19" i="45"/>
  <c r="B19" i="45"/>
  <c r="G18" i="45" s="1"/>
  <c r="J18" i="45"/>
  <c r="I18" i="45"/>
  <c r="H18" i="45"/>
  <c r="D18" i="45" s="1"/>
  <c r="B18" i="45"/>
  <c r="J17" i="45"/>
  <c r="I17" i="45"/>
  <c r="H17" i="45"/>
  <c r="G17" i="45"/>
  <c r="D17" i="45"/>
  <c r="B17" i="45"/>
  <c r="G16" i="45" s="1"/>
  <c r="J16" i="45"/>
  <c r="I16" i="45"/>
  <c r="H16" i="45"/>
  <c r="D16" i="45" s="1"/>
  <c r="B16" i="45"/>
  <c r="J15" i="45"/>
  <c r="I15" i="45"/>
  <c r="H15" i="45"/>
  <c r="G15" i="45"/>
  <c r="D15" i="45"/>
  <c r="B15" i="45"/>
  <c r="G14" i="45" s="1"/>
  <c r="J14" i="45"/>
  <c r="I14" i="45"/>
  <c r="H14" i="45"/>
  <c r="D14" i="45" s="1"/>
  <c r="B14" i="45"/>
  <c r="J13" i="45"/>
  <c r="I13" i="45"/>
  <c r="H13" i="45"/>
  <c r="D13" i="45" s="1"/>
  <c r="G13" i="45"/>
  <c r="B13" i="45"/>
  <c r="J12" i="45"/>
  <c r="I12" i="45"/>
  <c r="H12" i="45"/>
  <c r="D12" i="45" s="1"/>
  <c r="G12" i="45"/>
  <c r="B12" i="45"/>
  <c r="J11" i="45"/>
  <c r="I11" i="45"/>
  <c r="H11" i="45"/>
  <c r="D11" i="45" s="1"/>
  <c r="G11" i="45"/>
  <c r="B11" i="45"/>
  <c r="G10" i="45" s="1"/>
  <c r="J10" i="45"/>
  <c r="I10" i="45"/>
  <c r="H10" i="45"/>
  <c r="D10" i="45" s="1"/>
  <c r="B10" i="45"/>
  <c r="J9" i="45"/>
  <c r="I9" i="45"/>
  <c r="H9" i="45"/>
  <c r="G9" i="45"/>
  <c r="D9" i="45"/>
  <c r="B9" i="45"/>
  <c r="G8" i="45" s="1"/>
  <c r="J8" i="45"/>
  <c r="H8" i="45"/>
  <c r="D8" i="45" s="1"/>
  <c r="B8" i="45"/>
  <c r="G6" i="45" s="1"/>
  <c r="B6" i="45"/>
  <c r="B4" i="45"/>
  <c r="B3" i="45"/>
  <c r="G68" i="45" s="1"/>
  <c r="K12" i="45"/>
  <c r="A4" i="45"/>
  <c r="A2" i="45"/>
  <c r="K64" i="45"/>
  <c r="K62" i="45"/>
  <c r="K60" i="45"/>
  <c r="K58" i="45"/>
  <c r="K56" i="45"/>
  <c r="K54" i="45"/>
  <c r="K52" i="45"/>
  <c r="K50" i="45"/>
  <c r="K48" i="45"/>
  <c r="K46" i="45"/>
  <c r="K44" i="45"/>
  <c r="K42" i="45"/>
  <c r="K30" i="45"/>
  <c r="K24" i="45"/>
  <c r="K18" i="45"/>
  <c r="K14" i="45"/>
  <c r="K10" i="45"/>
  <c r="K40" i="45"/>
  <c r="K32" i="45"/>
  <c r="K28" i="45"/>
  <c r="K26" i="45"/>
  <c r="K22" i="45"/>
  <c r="K20" i="45"/>
  <c r="K16" i="45"/>
  <c r="K13" i="45"/>
  <c r="A3" i="45"/>
  <c r="K6" i="45" l="1"/>
  <c r="G3" i="45"/>
  <c r="G4" i="45"/>
  <c r="K4" i="45" s="1"/>
  <c r="K2" i="45"/>
  <c r="K36" i="45"/>
  <c r="G66" i="45"/>
  <c r="K68" i="45"/>
  <c r="K3" i="45"/>
  <c r="G88" i="44"/>
  <c r="G77" i="44"/>
  <c r="G78" i="44"/>
  <c r="G79" i="44"/>
  <c r="G80" i="44"/>
  <c r="G81" i="44"/>
  <c r="G82" i="44"/>
  <c r="G83" i="44"/>
  <c r="G84" i="44"/>
  <c r="G85" i="44"/>
  <c r="G86" i="44"/>
  <c r="G87" i="44"/>
  <c r="J83" i="44"/>
  <c r="I83" i="44"/>
  <c r="H83" i="44"/>
  <c r="D83" i="44" s="1"/>
  <c r="B83" i="44"/>
  <c r="J82" i="44"/>
  <c r="I82" i="44"/>
  <c r="H82" i="44"/>
  <c r="D82" i="44"/>
  <c r="B82" i="44"/>
  <c r="J81" i="44"/>
  <c r="I81" i="44"/>
  <c r="H81" i="44"/>
  <c r="D81" i="44" s="1"/>
  <c r="B81" i="44"/>
  <c r="J80" i="44"/>
  <c r="I80" i="44"/>
  <c r="H80" i="44"/>
  <c r="D80" i="44"/>
  <c r="B80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25" i="44"/>
  <c r="I26" i="44"/>
  <c r="I27" i="44"/>
  <c r="I28" i="44"/>
  <c r="I29" i="44"/>
  <c r="I30" i="44"/>
  <c r="I31" i="44"/>
  <c r="I32" i="44"/>
  <c r="I33" i="44"/>
  <c r="I34" i="44"/>
  <c r="I35" i="44"/>
  <c r="I36" i="44"/>
  <c r="I37" i="44"/>
  <c r="I38" i="44"/>
  <c r="I39" i="44"/>
  <c r="I40" i="44"/>
  <c r="I41" i="44"/>
  <c r="I42" i="44"/>
  <c r="I43" i="44"/>
  <c r="I44" i="44"/>
  <c r="I45" i="44"/>
  <c r="H39" i="44"/>
  <c r="H40" i="44"/>
  <c r="D40" i="44" s="1"/>
  <c r="H41" i="44"/>
  <c r="D41" i="44" s="1"/>
  <c r="H42" i="44"/>
  <c r="D42" i="44" s="1"/>
  <c r="H43" i="44"/>
  <c r="H44" i="44"/>
  <c r="D44" i="44" s="1"/>
  <c r="H45" i="44"/>
  <c r="D45" i="44" s="1"/>
  <c r="H46" i="44"/>
  <c r="D46" i="44" s="1"/>
  <c r="D39" i="44"/>
  <c r="D43" i="44"/>
  <c r="B39" i="44"/>
  <c r="G38" i="44" s="1"/>
  <c r="B40" i="44"/>
  <c r="G39" i="44" s="1"/>
  <c r="B41" i="44"/>
  <c r="G40" i="44" s="1"/>
  <c r="B42" i="44"/>
  <c r="G41" i="44" s="1"/>
  <c r="B43" i="44"/>
  <c r="G42" i="44" s="1"/>
  <c r="B44" i="44"/>
  <c r="G43" i="44" s="1"/>
  <c r="B90" i="44"/>
  <c r="J88" i="44"/>
  <c r="H88" i="44"/>
  <c r="D88" i="44" s="1"/>
  <c r="B88" i="44"/>
  <c r="J87" i="44"/>
  <c r="H87" i="44"/>
  <c r="D87" i="44" s="1"/>
  <c r="B87" i="44"/>
  <c r="J86" i="44"/>
  <c r="H86" i="44"/>
  <c r="D86" i="44" s="1"/>
  <c r="B86" i="44"/>
  <c r="J85" i="44"/>
  <c r="H85" i="44"/>
  <c r="D85" i="44" s="1"/>
  <c r="B85" i="44"/>
  <c r="J84" i="44"/>
  <c r="H84" i="44"/>
  <c r="D84" i="44" s="1"/>
  <c r="B84" i="44"/>
  <c r="J79" i="44"/>
  <c r="H79" i="44"/>
  <c r="D79" i="44" s="1"/>
  <c r="B79" i="44"/>
  <c r="J78" i="44"/>
  <c r="H78" i="44"/>
  <c r="D78" i="44" s="1"/>
  <c r="B78" i="44"/>
  <c r="J77" i="44"/>
  <c r="H77" i="44"/>
  <c r="D77" i="44" s="1"/>
  <c r="B77" i="44"/>
  <c r="G76" i="44" s="1"/>
  <c r="J76" i="44"/>
  <c r="H76" i="44"/>
  <c r="D76" i="44" s="1"/>
  <c r="B76" i="44"/>
  <c r="G75" i="44" s="1"/>
  <c r="J75" i="44"/>
  <c r="H75" i="44"/>
  <c r="D75" i="44" s="1"/>
  <c r="B75" i="44"/>
  <c r="G74" i="44" s="1"/>
  <c r="J74" i="44"/>
  <c r="H74" i="44"/>
  <c r="D74" i="44" s="1"/>
  <c r="B74" i="44"/>
  <c r="G73" i="44" s="1"/>
  <c r="J73" i="44"/>
  <c r="H73" i="44"/>
  <c r="D73" i="44" s="1"/>
  <c r="B73" i="44"/>
  <c r="G72" i="44" s="1"/>
  <c r="J72" i="44"/>
  <c r="H72" i="44"/>
  <c r="D72" i="44" s="1"/>
  <c r="B72" i="44"/>
  <c r="G71" i="44" s="1"/>
  <c r="J71" i="44"/>
  <c r="H71" i="44"/>
  <c r="D71" i="44" s="1"/>
  <c r="B71" i="44"/>
  <c r="G70" i="44" s="1"/>
  <c r="J70" i="44"/>
  <c r="H70" i="44"/>
  <c r="D70" i="44" s="1"/>
  <c r="B70" i="44"/>
  <c r="G69" i="44" s="1"/>
  <c r="J69" i="44"/>
  <c r="H69" i="44"/>
  <c r="D69" i="44" s="1"/>
  <c r="B69" i="44"/>
  <c r="G68" i="44" s="1"/>
  <c r="J68" i="44"/>
  <c r="H68" i="44"/>
  <c r="D68" i="44" s="1"/>
  <c r="B68" i="44"/>
  <c r="G67" i="44" s="1"/>
  <c r="J67" i="44"/>
  <c r="H67" i="44"/>
  <c r="D67" i="44" s="1"/>
  <c r="B67" i="44"/>
  <c r="G66" i="44" s="1"/>
  <c r="J66" i="44"/>
  <c r="H66" i="44"/>
  <c r="D66" i="44" s="1"/>
  <c r="B66" i="44"/>
  <c r="G65" i="44" s="1"/>
  <c r="J65" i="44"/>
  <c r="H65" i="44"/>
  <c r="D65" i="44" s="1"/>
  <c r="B65" i="44"/>
  <c r="G64" i="44" s="1"/>
  <c r="J64" i="44"/>
  <c r="H64" i="44"/>
  <c r="D64" i="44" s="1"/>
  <c r="B64" i="44"/>
  <c r="G63" i="44" s="1"/>
  <c r="J63" i="44"/>
  <c r="H63" i="44"/>
  <c r="D63" i="44" s="1"/>
  <c r="B63" i="44"/>
  <c r="G62" i="44" s="1"/>
  <c r="J62" i="44"/>
  <c r="H62" i="44"/>
  <c r="D62" i="44" s="1"/>
  <c r="B62" i="44"/>
  <c r="G61" i="44" s="1"/>
  <c r="J61" i="44"/>
  <c r="H61" i="44"/>
  <c r="D61" i="44" s="1"/>
  <c r="B61" i="44"/>
  <c r="G60" i="44" s="1"/>
  <c r="J60" i="44"/>
  <c r="H60" i="44"/>
  <c r="D60" i="44" s="1"/>
  <c r="B60" i="44"/>
  <c r="G59" i="44" s="1"/>
  <c r="J59" i="44"/>
  <c r="H59" i="44"/>
  <c r="D59" i="44" s="1"/>
  <c r="B59" i="44"/>
  <c r="G58" i="44" s="1"/>
  <c r="J58" i="44"/>
  <c r="H58" i="44"/>
  <c r="D58" i="44" s="1"/>
  <c r="B58" i="44"/>
  <c r="G57" i="44" s="1"/>
  <c r="J57" i="44"/>
  <c r="H57" i="44"/>
  <c r="D57" i="44"/>
  <c r="B57" i="44"/>
  <c r="G56" i="44" s="1"/>
  <c r="J56" i="44"/>
  <c r="H56" i="44"/>
  <c r="D56" i="44"/>
  <c r="B56" i="44"/>
  <c r="G55" i="44" s="1"/>
  <c r="J55" i="44"/>
  <c r="H55" i="44"/>
  <c r="D55" i="44"/>
  <c r="B55" i="44"/>
  <c r="G54" i="44" s="1"/>
  <c r="J54" i="44"/>
  <c r="H54" i="44"/>
  <c r="D54" i="44" s="1"/>
  <c r="B54" i="44"/>
  <c r="G53" i="44" s="1"/>
  <c r="J53" i="44"/>
  <c r="H53" i="44"/>
  <c r="D53" i="44" s="1"/>
  <c r="B53" i="44"/>
  <c r="G52" i="44" s="1"/>
  <c r="J52" i="44"/>
  <c r="H52" i="44"/>
  <c r="D52" i="44" s="1"/>
  <c r="B52" i="44"/>
  <c r="G51" i="44" s="1"/>
  <c r="J51" i="44"/>
  <c r="H51" i="44"/>
  <c r="D51" i="44" s="1"/>
  <c r="B51" i="44"/>
  <c r="G50" i="44" s="1"/>
  <c r="J50" i="44"/>
  <c r="H50" i="44"/>
  <c r="D50" i="44" s="1"/>
  <c r="B50" i="44"/>
  <c r="G48" i="44" s="1"/>
  <c r="B48" i="44"/>
  <c r="G46" i="44" s="1"/>
  <c r="J46" i="44"/>
  <c r="B46" i="44"/>
  <c r="G45" i="44" s="1"/>
  <c r="J45" i="44"/>
  <c r="B45" i="44"/>
  <c r="G44" i="44" s="1"/>
  <c r="J44" i="44"/>
  <c r="J43" i="44"/>
  <c r="J38" i="44"/>
  <c r="H38" i="44"/>
  <c r="D38" i="44" s="1"/>
  <c r="B38" i="44"/>
  <c r="G37" i="44" s="1"/>
  <c r="J37" i="44"/>
  <c r="H37" i="44"/>
  <c r="D37" i="44" s="1"/>
  <c r="B37" i="44"/>
  <c r="G36" i="44" s="1"/>
  <c r="J36" i="44"/>
  <c r="H36" i="44"/>
  <c r="D36" i="44" s="1"/>
  <c r="B36" i="44"/>
  <c r="G35" i="44" s="1"/>
  <c r="J35" i="44"/>
  <c r="H35" i="44"/>
  <c r="D35" i="44" s="1"/>
  <c r="B35" i="44"/>
  <c r="G34" i="44" s="1"/>
  <c r="J34" i="44"/>
  <c r="H34" i="44"/>
  <c r="D34" i="44" s="1"/>
  <c r="B34" i="44"/>
  <c r="G33" i="44" s="1"/>
  <c r="J33" i="44"/>
  <c r="H33" i="44"/>
  <c r="D33" i="44" s="1"/>
  <c r="B33" i="44"/>
  <c r="G32" i="44" s="1"/>
  <c r="J32" i="44"/>
  <c r="H32" i="44"/>
  <c r="D32" i="44" s="1"/>
  <c r="B32" i="44"/>
  <c r="G31" i="44" s="1"/>
  <c r="J31" i="44"/>
  <c r="H31" i="44"/>
  <c r="D31" i="44" s="1"/>
  <c r="B31" i="44"/>
  <c r="G30" i="44" s="1"/>
  <c r="J30" i="44"/>
  <c r="H30" i="44"/>
  <c r="D30" i="44" s="1"/>
  <c r="B30" i="44"/>
  <c r="G29" i="44" s="1"/>
  <c r="J29" i="44"/>
  <c r="H29" i="44"/>
  <c r="D29" i="44" s="1"/>
  <c r="B29" i="44"/>
  <c r="G28" i="44" s="1"/>
  <c r="J28" i="44"/>
  <c r="H28" i="44"/>
  <c r="D28" i="44" s="1"/>
  <c r="B28" i="44"/>
  <c r="J27" i="44"/>
  <c r="H27" i="44"/>
  <c r="D27" i="44" s="1"/>
  <c r="B27" i="44"/>
  <c r="G26" i="44" s="1"/>
  <c r="J26" i="44"/>
  <c r="H26" i="44"/>
  <c r="D26" i="44" s="1"/>
  <c r="B26" i="44"/>
  <c r="G25" i="44" s="1"/>
  <c r="J25" i="44"/>
  <c r="H25" i="44"/>
  <c r="D25" i="44" s="1"/>
  <c r="B25" i="44"/>
  <c r="G24" i="44" s="1"/>
  <c r="J24" i="44"/>
  <c r="H24" i="44"/>
  <c r="D24" i="44" s="1"/>
  <c r="B24" i="44"/>
  <c r="G23" i="44" s="1"/>
  <c r="J23" i="44"/>
  <c r="H23" i="44"/>
  <c r="D23" i="44" s="1"/>
  <c r="B23" i="44"/>
  <c r="G22" i="44" s="1"/>
  <c r="J22" i="44"/>
  <c r="H22" i="44"/>
  <c r="D22" i="44" s="1"/>
  <c r="B22" i="44"/>
  <c r="G21" i="44" s="1"/>
  <c r="J21" i="44"/>
  <c r="H21" i="44"/>
  <c r="D21" i="44" s="1"/>
  <c r="B21" i="44"/>
  <c r="G20" i="44" s="1"/>
  <c r="J20" i="44"/>
  <c r="H20" i="44"/>
  <c r="D20" i="44" s="1"/>
  <c r="B20" i="44"/>
  <c r="G19" i="44" s="1"/>
  <c r="J19" i="44"/>
  <c r="H19" i="44"/>
  <c r="D19" i="44" s="1"/>
  <c r="B19" i="44"/>
  <c r="G18" i="44" s="1"/>
  <c r="J18" i="44"/>
  <c r="H18" i="44"/>
  <c r="D18" i="44" s="1"/>
  <c r="B18" i="44"/>
  <c r="G17" i="44" s="1"/>
  <c r="J17" i="44"/>
  <c r="H17" i="44"/>
  <c r="D17" i="44" s="1"/>
  <c r="B17" i="44"/>
  <c r="G16" i="44" s="1"/>
  <c r="J16" i="44"/>
  <c r="H16" i="44"/>
  <c r="D16" i="44" s="1"/>
  <c r="B16" i="44"/>
  <c r="G15" i="44" s="1"/>
  <c r="J15" i="44"/>
  <c r="H15" i="44"/>
  <c r="D15" i="44" s="1"/>
  <c r="B15" i="44"/>
  <c r="G14" i="44" s="1"/>
  <c r="J14" i="44"/>
  <c r="H14" i="44"/>
  <c r="D14" i="44" s="1"/>
  <c r="B14" i="44"/>
  <c r="G13" i="44" s="1"/>
  <c r="J13" i="44"/>
  <c r="H13" i="44"/>
  <c r="D13" i="44" s="1"/>
  <c r="B13" i="44"/>
  <c r="G12" i="44" s="1"/>
  <c r="J12" i="44"/>
  <c r="H12" i="44"/>
  <c r="D12" i="44" s="1"/>
  <c r="B12" i="44"/>
  <c r="G11" i="44" s="1"/>
  <c r="J11" i="44"/>
  <c r="H11" i="44"/>
  <c r="D11" i="44" s="1"/>
  <c r="B11" i="44"/>
  <c r="G10" i="44" s="1"/>
  <c r="J10" i="44"/>
  <c r="H10" i="44"/>
  <c r="D10" i="44" s="1"/>
  <c r="B10" i="44"/>
  <c r="G9" i="44" s="1"/>
  <c r="J9" i="44"/>
  <c r="H9" i="44"/>
  <c r="D9" i="44" s="1"/>
  <c r="B9" i="44"/>
  <c r="G8" i="44" s="1"/>
  <c r="J8" i="44"/>
  <c r="H8" i="44"/>
  <c r="D8" i="44" s="1"/>
  <c r="B8" i="44"/>
  <c r="G3" i="44" s="1"/>
  <c r="B6" i="44"/>
  <c r="B4" i="44"/>
  <c r="B3" i="44"/>
  <c r="G90" i="44" s="1"/>
  <c r="K11" i="45"/>
  <c r="K17" i="45"/>
  <c r="K21" i="45"/>
  <c r="K25" i="45"/>
  <c r="K29" i="45"/>
  <c r="K33" i="45"/>
  <c r="K41" i="45"/>
  <c r="K45" i="45"/>
  <c r="K49" i="45"/>
  <c r="K53" i="45"/>
  <c r="K57" i="45"/>
  <c r="K61" i="45"/>
  <c r="K83" i="44"/>
  <c r="K81" i="44"/>
  <c r="K39" i="44"/>
  <c r="K43" i="44"/>
  <c r="K44" i="44"/>
  <c r="K9" i="45"/>
  <c r="K15" i="45"/>
  <c r="K19" i="45"/>
  <c r="K23" i="45"/>
  <c r="K27" i="45"/>
  <c r="K31" i="45"/>
  <c r="K39" i="45"/>
  <c r="K43" i="45"/>
  <c r="K47" i="45"/>
  <c r="K51" i="45"/>
  <c r="K55" i="45"/>
  <c r="K59" i="45"/>
  <c r="K63" i="45"/>
  <c r="K65" i="45"/>
  <c r="K82" i="44"/>
  <c r="K80" i="44"/>
  <c r="K41" i="44"/>
  <c r="K45" i="44"/>
  <c r="K42" i="44"/>
  <c r="K40" i="44"/>
  <c r="A4" i="44"/>
  <c r="A2" i="44"/>
  <c r="A3" i="44"/>
  <c r="K90" i="44" l="1"/>
  <c r="G4" i="44"/>
  <c r="K4" i="44" s="1"/>
  <c r="G6" i="44"/>
  <c r="K6" i="44" s="1"/>
  <c r="K2" i="44"/>
  <c r="K3" i="44"/>
  <c r="G27" i="44"/>
  <c r="K48" i="44"/>
  <c r="G72" i="43"/>
  <c r="G73" i="43"/>
  <c r="F28" i="38"/>
  <c r="G28" i="38"/>
  <c r="B76" i="43"/>
  <c r="G74" i="43" s="1"/>
  <c r="J74" i="43"/>
  <c r="H74" i="43"/>
  <c r="D74" i="43" s="1"/>
  <c r="B74" i="43"/>
  <c r="J73" i="43"/>
  <c r="H73" i="43"/>
  <c r="D73" i="43" s="1"/>
  <c r="B73" i="43"/>
  <c r="J72" i="43"/>
  <c r="H72" i="43"/>
  <c r="D72" i="43" s="1"/>
  <c r="B72" i="43"/>
  <c r="J71" i="43"/>
  <c r="H71" i="43"/>
  <c r="D71" i="43" s="1"/>
  <c r="B71" i="43"/>
  <c r="J70" i="43"/>
  <c r="H70" i="43"/>
  <c r="G70" i="43"/>
  <c r="D70" i="43"/>
  <c r="B70" i="43"/>
  <c r="G69" i="43" s="1"/>
  <c r="J69" i="43"/>
  <c r="H69" i="43"/>
  <c r="D69" i="43" s="1"/>
  <c r="B69" i="43"/>
  <c r="J68" i="43"/>
  <c r="H68" i="43"/>
  <c r="G68" i="43"/>
  <c r="D68" i="43"/>
  <c r="B68" i="43"/>
  <c r="G67" i="43" s="1"/>
  <c r="J67" i="43"/>
  <c r="H67" i="43"/>
  <c r="D67" i="43" s="1"/>
  <c r="B67" i="43"/>
  <c r="G66" i="43" s="1"/>
  <c r="J66" i="43"/>
  <c r="H66" i="43"/>
  <c r="D66" i="43" s="1"/>
  <c r="B66" i="43"/>
  <c r="G65" i="43" s="1"/>
  <c r="J65" i="43"/>
  <c r="H65" i="43"/>
  <c r="D65" i="43" s="1"/>
  <c r="B65" i="43"/>
  <c r="G64" i="43" s="1"/>
  <c r="J64" i="43"/>
  <c r="H64" i="43"/>
  <c r="D64" i="43" s="1"/>
  <c r="B64" i="43"/>
  <c r="G63" i="43" s="1"/>
  <c r="J63" i="43"/>
  <c r="H63" i="43"/>
  <c r="D63" i="43" s="1"/>
  <c r="B63" i="43"/>
  <c r="G62" i="43" s="1"/>
  <c r="J62" i="43"/>
  <c r="H62" i="43"/>
  <c r="D62" i="43" s="1"/>
  <c r="B62" i="43"/>
  <c r="G61" i="43" s="1"/>
  <c r="J61" i="43"/>
  <c r="H61" i="43"/>
  <c r="D61" i="43" s="1"/>
  <c r="B61" i="43"/>
  <c r="G60" i="43" s="1"/>
  <c r="J60" i="43"/>
  <c r="H60" i="43"/>
  <c r="D60" i="43"/>
  <c r="B60" i="43"/>
  <c r="G59" i="43" s="1"/>
  <c r="J59" i="43"/>
  <c r="H59" i="43"/>
  <c r="D59" i="43" s="1"/>
  <c r="B59" i="43"/>
  <c r="G58" i="43" s="1"/>
  <c r="J58" i="43"/>
  <c r="H58" i="43"/>
  <c r="D58" i="43" s="1"/>
  <c r="B58" i="43"/>
  <c r="G57" i="43" s="1"/>
  <c r="J57" i="43"/>
  <c r="H57" i="43"/>
  <c r="D57" i="43" s="1"/>
  <c r="B57" i="43"/>
  <c r="G56" i="43" s="1"/>
  <c r="J56" i="43"/>
  <c r="H56" i="43"/>
  <c r="D56" i="43" s="1"/>
  <c r="B56" i="43"/>
  <c r="G55" i="43" s="1"/>
  <c r="J55" i="43"/>
  <c r="H55" i="43"/>
  <c r="D55" i="43" s="1"/>
  <c r="B55" i="43"/>
  <c r="J54" i="43"/>
  <c r="H54" i="43"/>
  <c r="D54" i="43" s="1"/>
  <c r="G54" i="43"/>
  <c r="B54" i="43"/>
  <c r="G53" i="43" s="1"/>
  <c r="J53" i="43"/>
  <c r="H53" i="43"/>
  <c r="D53" i="43" s="1"/>
  <c r="B53" i="43"/>
  <c r="J52" i="43"/>
  <c r="H52" i="43"/>
  <c r="D52" i="43" s="1"/>
  <c r="G52" i="43"/>
  <c r="B52" i="43"/>
  <c r="G51" i="43" s="1"/>
  <c r="J51" i="43"/>
  <c r="H51" i="43"/>
  <c r="D51" i="43" s="1"/>
  <c r="B51" i="43"/>
  <c r="G50" i="43" s="1"/>
  <c r="J50" i="43"/>
  <c r="H50" i="43"/>
  <c r="D50" i="43" s="1"/>
  <c r="B50" i="43"/>
  <c r="G49" i="43" s="1"/>
  <c r="J49" i="43"/>
  <c r="H49" i="43"/>
  <c r="D49" i="43" s="1"/>
  <c r="B49" i="43"/>
  <c r="G48" i="43" s="1"/>
  <c r="J48" i="43"/>
  <c r="H48" i="43"/>
  <c r="D48" i="43" s="1"/>
  <c r="B48" i="43"/>
  <c r="G47" i="43" s="1"/>
  <c r="J47" i="43"/>
  <c r="H47" i="43"/>
  <c r="D47" i="43" s="1"/>
  <c r="B47" i="43"/>
  <c r="G46" i="43" s="1"/>
  <c r="J46" i="43"/>
  <c r="H46" i="43"/>
  <c r="D46" i="43" s="1"/>
  <c r="B46" i="43"/>
  <c r="G45" i="43" s="1"/>
  <c r="J45" i="43"/>
  <c r="H45" i="43"/>
  <c r="D45" i="43" s="1"/>
  <c r="B45" i="43"/>
  <c r="G44" i="43" s="1"/>
  <c r="J44" i="43"/>
  <c r="H44" i="43"/>
  <c r="D44" i="43" s="1"/>
  <c r="B44" i="43"/>
  <c r="G43" i="43" s="1"/>
  <c r="J43" i="43"/>
  <c r="H43" i="43"/>
  <c r="D43" i="43" s="1"/>
  <c r="B43" i="43"/>
  <c r="G42" i="43" s="1"/>
  <c r="J42" i="43"/>
  <c r="H42" i="43"/>
  <c r="D42" i="43" s="1"/>
  <c r="B42" i="43"/>
  <c r="B40" i="43"/>
  <c r="G38" i="43" s="1"/>
  <c r="J38" i="43"/>
  <c r="H38" i="43"/>
  <c r="D38" i="43" s="1"/>
  <c r="B38" i="43"/>
  <c r="G37" i="43" s="1"/>
  <c r="J37" i="43"/>
  <c r="H37" i="43"/>
  <c r="D37" i="43" s="1"/>
  <c r="B37" i="43"/>
  <c r="G36" i="43" s="1"/>
  <c r="J36" i="43"/>
  <c r="H36" i="43"/>
  <c r="D36" i="43" s="1"/>
  <c r="B36" i="43"/>
  <c r="G35" i="43" s="1"/>
  <c r="J35" i="43"/>
  <c r="H35" i="43"/>
  <c r="D35" i="43" s="1"/>
  <c r="B35" i="43"/>
  <c r="G34" i="43" s="1"/>
  <c r="J34" i="43"/>
  <c r="H34" i="43"/>
  <c r="D34" i="43" s="1"/>
  <c r="B34" i="43"/>
  <c r="G33" i="43" s="1"/>
  <c r="J33" i="43"/>
  <c r="H33" i="43"/>
  <c r="D33" i="43" s="1"/>
  <c r="B33" i="43"/>
  <c r="G32" i="43" s="1"/>
  <c r="J32" i="43"/>
  <c r="H32" i="43"/>
  <c r="D32" i="43"/>
  <c r="B32" i="43"/>
  <c r="G31" i="43" s="1"/>
  <c r="J31" i="43"/>
  <c r="H31" i="43"/>
  <c r="D31" i="43" s="1"/>
  <c r="B31" i="43"/>
  <c r="G30" i="43" s="1"/>
  <c r="J30" i="43"/>
  <c r="H30" i="43"/>
  <c r="D30" i="43" s="1"/>
  <c r="B30" i="43"/>
  <c r="G29" i="43" s="1"/>
  <c r="J29" i="43"/>
  <c r="H29" i="43"/>
  <c r="D29" i="43" s="1"/>
  <c r="B29" i="43"/>
  <c r="G28" i="43" s="1"/>
  <c r="J28" i="43"/>
  <c r="H28" i="43"/>
  <c r="D28" i="43" s="1"/>
  <c r="B28" i="43"/>
  <c r="G27" i="43" s="1"/>
  <c r="J27" i="43"/>
  <c r="H27" i="43"/>
  <c r="D27" i="43" s="1"/>
  <c r="B27" i="43"/>
  <c r="G26" i="43" s="1"/>
  <c r="J26" i="43"/>
  <c r="H26" i="43"/>
  <c r="D26" i="43" s="1"/>
  <c r="B26" i="43"/>
  <c r="G25" i="43" s="1"/>
  <c r="J25" i="43"/>
  <c r="H25" i="43"/>
  <c r="D25" i="43" s="1"/>
  <c r="B25" i="43"/>
  <c r="J24" i="43"/>
  <c r="H24" i="43"/>
  <c r="D24" i="43" s="1"/>
  <c r="G24" i="43"/>
  <c r="B24" i="43"/>
  <c r="J23" i="43"/>
  <c r="H23" i="43"/>
  <c r="D23" i="43" s="1"/>
  <c r="B23" i="43"/>
  <c r="G22" i="43" s="1"/>
  <c r="J22" i="43"/>
  <c r="H22" i="43"/>
  <c r="D22" i="43" s="1"/>
  <c r="B22" i="43"/>
  <c r="J21" i="43"/>
  <c r="H21" i="43"/>
  <c r="D21" i="43" s="1"/>
  <c r="B21" i="43"/>
  <c r="G20" i="43" s="1"/>
  <c r="J20" i="43"/>
  <c r="H20" i="43"/>
  <c r="D20" i="43" s="1"/>
  <c r="B20" i="43"/>
  <c r="J19" i="43"/>
  <c r="H19" i="43"/>
  <c r="D19" i="43" s="1"/>
  <c r="B19" i="43"/>
  <c r="G18" i="43" s="1"/>
  <c r="J18" i="43"/>
  <c r="H18" i="43"/>
  <c r="D18" i="43" s="1"/>
  <c r="B18" i="43"/>
  <c r="J17" i="43"/>
  <c r="H17" i="43"/>
  <c r="D17" i="43" s="1"/>
  <c r="B17" i="43"/>
  <c r="J16" i="43"/>
  <c r="H16" i="43"/>
  <c r="D16" i="43" s="1"/>
  <c r="G16" i="43"/>
  <c r="B16" i="43"/>
  <c r="J15" i="43"/>
  <c r="H15" i="43"/>
  <c r="D15" i="43" s="1"/>
  <c r="B15" i="43"/>
  <c r="G14" i="43" s="1"/>
  <c r="J14" i="43"/>
  <c r="H14" i="43"/>
  <c r="D14" i="43" s="1"/>
  <c r="B14" i="43"/>
  <c r="J13" i="43"/>
  <c r="H13" i="43"/>
  <c r="D13" i="43" s="1"/>
  <c r="B13" i="43"/>
  <c r="G12" i="43" s="1"/>
  <c r="J12" i="43"/>
  <c r="H12" i="43"/>
  <c r="D12" i="43" s="1"/>
  <c r="B12" i="43"/>
  <c r="J11" i="43"/>
  <c r="H11" i="43"/>
  <c r="D11" i="43" s="1"/>
  <c r="B11" i="43"/>
  <c r="G10" i="43" s="1"/>
  <c r="J10" i="43"/>
  <c r="H10" i="43"/>
  <c r="D10" i="43" s="1"/>
  <c r="B10" i="43"/>
  <c r="J9" i="43"/>
  <c r="H9" i="43"/>
  <c r="D9" i="43" s="1"/>
  <c r="B9" i="43"/>
  <c r="J8" i="43"/>
  <c r="H8" i="43"/>
  <c r="D8" i="43" s="1"/>
  <c r="G8" i="43"/>
  <c r="B8" i="43"/>
  <c r="G6" i="43" s="1"/>
  <c r="B6" i="43"/>
  <c r="G4" i="43"/>
  <c r="B4" i="43"/>
  <c r="B3" i="43"/>
  <c r="G76" i="43" s="1"/>
  <c r="G3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H61" i="42"/>
  <c r="D61" i="42" s="1"/>
  <c r="H62" i="42"/>
  <c r="D62" i="42" s="1"/>
  <c r="H63" i="42"/>
  <c r="D63" i="42" s="1"/>
  <c r="H64" i="42"/>
  <c r="D64" i="42" s="1"/>
  <c r="H65" i="42"/>
  <c r="D65" i="42" s="1"/>
  <c r="H66" i="42"/>
  <c r="D66" i="42" s="1"/>
  <c r="H67" i="42"/>
  <c r="D67" i="42" s="1"/>
  <c r="H68" i="42"/>
  <c r="D68" i="42" s="1"/>
  <c r="H69" i="42"/>
  <c r="D69" i="42" s="1"/>
  <c r="H70" i="42"/>
  <c r="D70" i="42" s="1"/>
  <c r="H71" i="42"/>
  <c r="D71" i="42" s="1"/>
  <c r="H72" i="42"/>
  <c r="D72" i="42" s="1"/>
  <c r="H73" i="42"/>
  <c r="D73" i="42" s="1"/>
  <c r="H74" i="42"/>
  <c r="D74" i="42" s="1"/>
  <c r="H75" i="42"/>
  <c r="D75" i="42" s="1"/>
  <c r="H76" i="42"/>
  <c r="D76" i="42" s="1"/>
  <c r="H77" i="42"/>
  <c r="D77" i="42" s="1"/>
  <c r="H47" i="42"/>
  <c r="H48" i="42"/>
  <c r="D48" i="42" s="1"/>
  <c r="H49" i="42"/>
  <c r="D49" i="42" s="1"/>
  <c r="H50" i="42"/>
  <c r="D50" i="42" s="1"/>
  <c r="H51" i="42"/>
  <c r="D51" i="42" s="1"/>
  <c r="H52" i="42"/>
  <c r="D52" i="42" s="1"/>
  <c r="H53" i="42"/>
  <c r="D53" i="42" s="1"/>
  <c r="H54" i="42"/>
  <c r="D54" i="42" s="1"/>
  <c r="H55" i="42"/>
  <c r="D55" i="42" s="1"/>
  <c r="H56" i="42"/>
  <c r="D56" i="42" s="1"/>
  <c r="H57" i="42"/>
  <c r="D57" i="42" s="1"/>
  <c r="H58" i="42"/>
  <c r="D58" i="42" s="1"/>
  <c r="H59" i="42"/>
  <c r="D59" i="42" s="1"/>
  <c r="H60" i="42"/>
  <c r="D60" i="42" s="1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B73" i="42"/>
  <c r="B74" i="42"/>
  <c r="B75" i="42"/>
  <c r="B76" i="42"/>
  <c r="B77" i="42"/>
  <c r="B78" i="42"/>
  <c r="B79" i="42"/>
  <c r="B80" i="42"/>
  <c r="B62" i="42"/>
  <c r="B63" i="42"/>
  <c r="B64" i="42"/>
  <c r="B65" i="42"/>
  <c r="B66" i="42"/>
  <c r="B67" i="42"/>
  <c r="B68" i="42"/>
  <c r="B69" i="42"/>
  <c r="B70" i="42"/>
  <c r="B71" i="42"/>
  <c r="B72" i="42"/>
  <c r="B47" i="42"/>
  <c r="B48" i="42"/>
  <c r="B49" i="42"/>
  <c r="B50" i="42"/>
  <c r="B51" i="42"/>
  <c r="B52" i="42"/>
  <c r="B53" i="42"/>
  <c r="B54" i="42"/>
  <c r="B55" i="42"/>
  <c r="B56" i="42"/>
  <c r="B57" i="42"/>
  <c r="B58" i="42"/>
  <c r="B59" i="42"/>
  <c r="B60" i="42"/>
  <c r="B61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H31" i="42"/>
  <c r="D31" i="42" s="1"/>
  <c r="H32" i="42"/>
  <c r="D32" i="42" s="1"/>
  <c r="H33" i="42"/>
  <c r="D33" i="42" s="1"/>
  <c r="H34" i="42"/>
  <c r="D34" i="42" s="1"/>
  <c r="H35" i="42"/>
  <c r="D35" i="42" s="1"/>
  <c r="H36" i="42"/>
  <c r="D36" i="42" s="1"/>
  <c r="H37" i="42"/>
  <c r="D37" i="42" s="1"/>
  <c r="H38" i="42"/>
  <c r="D38" i="42" s="1"/>
  <c r="H39" i="42"/>
  <c r="D39" i="42" s="1"/>
  <c r="H40" i="42"/>
  <c r="D40" i="42" s="1"/>
  <c r="H41" i="42"/>
  <c r="D41" i="42" s="1"/>
  <c r="H22" i="42"/>
  <c r="D22" i="42" s="1"/>
  <c r="H23" i="42"/>
  <c r="D23" i="42" s="1"/>
  <c r="H24" i="42"/>
  <c r="D24" i="42" s="1"/>
  <c r="H25" i="42"/>
  <c r="D25" i="42" s="1"/>
  <c r="H26" i="42"/>
  <c r="D26" i="42" s="1"/>
  <c r="H27" i="42"/>
  <c r="D27" i="42" s="1"/>
  <c r="H28" i="42"/>
  <c r="D28" i="42" s="1"/>
  <c r="H29" i="42"/>
  <c r="D29" i="42" s="1"/>
  <c r="H30" i="42"/>
  <c r="D30" i="42" s="1"/>
  <c r="H13" i="42"/>
  <c r="D13" i="42" s="1"/>
  <c r="H14" i="42"/>
  <c r="D14" i="42" s="1"/>
  <c r="H15" i="42"/>
  <c r="D15" i="42" s="1"/>
  <c r="H16" i="42"/>
  <c r="D16" i="42" s="1"/>
  <c r="H17" i="42"/>
  <c r="D17" i="42" s="1"/>
  <c r="H18" i="42"/>
  <c r="D18" i="42" s="1"/>
  <c r="H19" i="42"/>
  <c r="D19" i="42" s="1"/>
  <c r="H20" i="42"/>
  <c r="D20" i="42" s="1"/>
  <c r="H21" i="42"/>
  <c r="D21" i="42" s="1"/>
  <c r="G39" i="42"/>
  <c r="G28" i="42"/>
  <c r="G18" i="42"/>
  <c r="G22" i="42"/>
  <c r="B33" i="42"/>
  <c r="G32" i="42" s="1"/>
  <c r="B34" i="42"/>
  <c r="G33" i="42" s="1"/>
  <c r="B35" i="42"/>
  <c r="G34" i="42" s="1"/>
  <c r="B36" i="42"/>
  <c r="G35" i="42" s="1"/>
  <c r="B37" i="42"/>
  <c r="G36" i="42" s="1"/>
  <c r="B38" i="42"/>
  <c r="G37" i="42" s="1"/>
  <c r="B39" i="42"/>
  <c r="G38" i="42" s="1"/>
  <c r="B40" i="42"/>
  <c r="B41" i="42"/>
  <c r="G40" i="42" s="1"/>
  <c r="B42" i="42"/>
  <c r="B18" i="42"/>
  <c r="G17" i="42" s="1"/>
  <c r="B19" i="42"/>
  <c r="B20" i="42"/>
  <c r="G19" i="42" s="1"/>
  <c r="B21" i="42"/>
  <c r="G20" i="42" s="1"/>
  <c r="B22" i="42"/>
  <c r="G21" i="42" s="1"/>
  <c r="B23" i="42"/>
  <c r="B24" i="42"/>
  <c r="G23" i="42" s="1"/>
  <c r="B25" i="42"/>
  <c r="G24" i="42" s="1"/>
  <c r="B26" i="42"/>
  <c r="G25" i="42" s="1"/>
  <c r="B27" i="42"/>
  <c r="G26" i="42" s="1"/>
  <c r="B28" i="42"/>
  <c r="G27" i="42" s="1"/>
  <c r="B29" i="42"/>
  <c r="B30" i="42"/>
  <c r="G29" i="42" s="1"/>
  <c r="B31" i="42"/>
  <c r="G30" i="42" s="1"/>
  <c r="B32" i="42"/>
  <c r="G31" i="42" s="1"/>
  <c r="B9" i="42"/>
  <c r="B10" i="42"/>
  <c r="G9" i="42" s="1"/>
  <c r="B11" i="42"/>
  <c r="G10" i="42" s="1"/>
  <c r="B12" i="42"/>
  <c r="G11" i="42" s="1"/>
  <c r="B13" i="42"/>
  <c r="G12" i="42" s="1"/>
  <c r="B14" i="42"/>
  <c r="G13" i="42" s="1"/>
  <c r="B15" i="42"/>
  <c r="G14" i="42" s="1"/>
  <c r="B16" i="42"/>
  <c r="G15" i="42" s="1"/>
  <c r="B17" i="42"/>
  <c r="G16" i="42" s="1"/>
  <c r="H28" i="38"/>
  <c r="A4" i="43"/>
  <c r="A3" i="43"/>
  <c r="A2" i="43"/>
  <c r="K4" i="43" l="1"/>
  <c r="K6" i="43"/>
  <c r="K2" i="43"/>
  <c r="G3" i="43"/>
  <c r="G9" i="43"/>
  <c r="G11" i="43"/>
  <c r="G13" i="43"/>
  <c r="G15" i="43"/>
  <c r="G17" i="43"/>
  <c r="G19" i="43"/>
  <c r="G21" i="43"/>
  <c r="G23" i="43"/>
  <c r="G40" i="43"/>
  <c r="K40" i="43" s="1"/>
  <c r="G71" i="43"/>
  <c r="K3" i="43"/>
  <c r="K76" i="43"/>
  <c r="D47" i="42"/>
  <c r="H78" i="42"/>
  <c r="D78" i="42" s="1"/>
  <c r="H79" i="42"/>
  <c r="D79" i="42" s="1"/>
  <c r="H80" i="42"/>
  <c r="D80" i="42" s="1"/>
  <c r="J80" i="42"/>
  <c r="H46" i="42"/>
  <c r="D46" i="42" s="1"/>
  <c r="G79" i="42"/>
  <c r="H9" i="42"/>
  <c r="D9" i="42" s="1"/>
  <c r="H10" i="42"/>
  <c r="D10" i="42" s="1"/>
  <c r="H11" i="42"/>
  <c r="D11" i="42" s="1"/>
  <c r="H12" i="42"/>
  <c r="D12" i="42" s="1"/>
  <c r="H42" i="42"/>
  <c r="D42" i="42" s="1"/>
  <c r="H8" i="42"/>
  <c r="D8" i="42" s="1"/>
  <c r="J42" i="42"/>
  <c r="G41" i="42"/>
  <c r="B82" i="42"/>
  <c r="G80" i="42" s="1"/>
  <c r="B46" i="42"/>
  <c r="G44" i="42" s="1"/>
  <c r="B44" i="42"/>
  <c r="G42" i="42" s="1"/>
  <c r="G8" i="42"/>
  <c r="B8" i="42"/>
  <c r="G6" i="42" s="1"/>
  <c r="B6" i="42"/>
  <c r="B4" i="42"/>
  <c r="B3" i="42"/>
  <c r="G82" i="42" s="1"/>
  <c r="G4" i="42" l="1"/>
  <c r="K82" i="42"/>
  <c r="K4" i="42"/>
  <c r="K3" i="42"/>
  <c r="K6" i="42"/>
  <c r="G46" i="42"/>
  <c r="K44" i="42"/>
  <c r="A38" i="40"/>
  <c r="A39" i="40"/>
  <c r="A40" i="40"/>
  <c r="A41" i="40"/>
  <c r="A37" i="40"/>
  <c r="E39" i="1"/>
  <c r="E40" i="1"/>
  <c r="E41" i="1"/>
  <c r="E42" i="1"/>
  <c r="E38" i="1"/>
  <c r="E32" i="1"/>
  <c r="E33" i="1"/>
  <c r="E34" i="1"/>
  <c r="E35" i="1"/>
  <c r="E36" i="1"/>
  <c r="E31" i="1"/>
  <c r="E20" i="1"/>
  <c r="E21" i="1"/>
  <c r="E22" i="1"/>
  <c r="E23" i="1"/>
  <c r="E24" i="1"/>
  <c r="E25" i="1"/>
  <c r="E26" i="1"/>
  <c r="E27" i="1"/>
  <c r="E28" i="1"/>
  <c r="E29" i="1"/>
  <c r="E19" i="1"/>
  <c r="E17" i="1"/>
  <c r="E4" i="1"/>
  <c r="E5" i="1"/>
  <c r="E6" i="1"/>
  <c r="E7" i="1"/>
  <c r="E8" i="1"/>
  <c r="E9" i="1"/>
  <c r="E10" i="1"/>
  <c r="E11" i="1"/>
  <c r="E12" i="1"/>
  <c r="E13" i="1"/>
  <c r="E14" i="1"/>
  <c r="E15" i="1"/>
  <c r="E3" i="1"/>
  <c r="A18" i="40" l="1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7" i="40"/>
  <c r="B27" i="40"/>
  <c r="A28" i="40"/>
  <c r="B28" i="40"/>
  <c r="A30" i="40"/>
  <c r="B30" i="40"/>
  <c r="A31" i="40"/>
  <c r="B31" i="40"/>
  <c r="A32" i="40"/>
  <c r="B32" i="40"/>
  <c r="A33" i="40"/>
  <c r="B33" i="40"/>
  <c r="A34" i="40"/>
  <c r="B34" i="40"/>
  <c r="A35" i="40"/>
  <c r="B35" i="40"/>
  <c r="B37" i="40"/>
  <c r="B38" i="40"/>
  <c r="B39" i="40"/>
  <c r="B40" i="40"/>
  <c r="B41" i="40"/>
  <c r="B16" i="40"/>
  <c r="A16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A13" i="40"/>
  <c r="B13" i="40"/>
  <c r="A14" i="40"/>
  <c r="B14" i="40"/>
  <c r="B2" i="40"/>
  <c r="A2" i="40"/>
  <c r="A2" i="42"/>
  <c r="A3" i="42"/>
  <c r="A4" i="42"/>
  <c r="K2" i="42" l="1"/>
  <c r="F3" i="38"/>
  <c r="F4" i="38"/>
  <c r="F5" i="38"/>
  <c r="F6" i="38"/>
  <c r="F7" i="38"/>
  <c r="F8" i="38"/>
  <c r="F9" i="38"/>
  <c r="F10" i="38"/>
  <c r="F11" i="38"/>
  <c r="F12" i="38"/>
  <c r="F13" i="38"/>
  <c r="F14" i="38"/>
  <c r="F15" i="38"/>
  <c r="F16" i="38"/>
  <c r="F17" i="38"/>
  <c r="F18" i="38"/>
  <c r="F19" i="38"/>
  <c r="F20" i="38"/>
  <c r="F21" i="38"/>
  <c r="F22" i="38"/>
  <c r="F23" i="38"/>
  <c r="F24" i="38"/>
  <c r="F25" i="38"/>
  <c r="F26" i="38"/>
  <c r="F27" i="38"/>
  <c r="F29" i="38"/>
  <c r="F30" i="38"/>
  <c r="F31" i="38"/>
  <c r="F32" i="38"/>
  <c r="F33" i="38"/>
  <c r="F34" i="38"/>
  <c r="F35" i="38"/>
  <c r="F36" i="38"/>
  <c r="F37" i="38"/>
  <c r="F38" i="38"/>
  <c r="F39" i="38"/>
  <c r="F40" i="38"/>
  <c r="F41" i="38"/>
  <c r="F42" i="38"/>
  <c r="F43" i="38"/>
  <c r="F44" i="38"/>
  <c r="F45" i="38"/>
  <c r="F46" i="38"/>
  <c r="F47" i="38"/>
  <c r="F48" i="38"/>
  <c r="F49" i="38"/>
  <c r="F50" i="38"/>
  <c r="F51" i="38"/>
  <c r="F52" i="38"/>
  <c r="F53" i="38"/>
  <c r="F54" i="38"/>
  <c r="F55" i="38"/>
  <c r="F56" i="38"/>
  <c r="F57" i="38"/>
  <c r="F58" i="38"/>
  <c r="F59" i="38"/>
  <c r="F60" i="38"/>
  <c r="F61" i="38"/>
  <c r="F62" i="38"/>
  <c r="F63" i="38"/>
  <c r="F2" i="38"/>
  <c r="G40" i="38"/>
  <c r="G2" i="38"/>
  <c r="G34" i="38"/>
  <c r="G39" i="38"/>
  <c r="G19" i="38"/>
  <c r="G20" i="38"/>
  <c r="G41" i="38"/>
  <c r="G3" i="38"/>
  <c r="G4" i="38"/>
  <c r="G42" i="38"/>
  <c r="G37" i="38"/>
  <c r="G43" i="38"/>
  <c r="G5" i="38"/>
  <c r="G62" i="38"/>
  <c r="G45" i="38"/>
  <c r="G63" i="38"/>
  <c r="G44" i="38"/>
  <c r="G8" i="38"/>
  <c r="G12" i="38"/>
  <c r="G11" i="38"/>
  <c r="G13" i="38"/>
  <c r="G9" i="38"/>
  <c r="G10" i="38"/>
  <c r="G46" i="38"/>
  <c r="G16" i="38"/>
  <c r="G7" i="38"/>
  <c r="G47" i="38"/>
  <c r="G15" i="38"/>
  <c r="G50" i="38"/>
  <c r="G25" i="38"/>
  <c r="G48" i="38"/>
  <c r="G49" i="38"/>
  <c r="G17" i="38"/>
  <c r="G18" i="38"/>
  <c r="G51" i="38"/>
  <c r="G26" i="38"/>
  <c r="G52" i="38"/>
  <c r="G53" i="38"/>
  <c r="G54" i="38"/>
  <c r="G22" i="38"/>
  <c r="G55" i="38"/>
  <c r="G23" i="38"/>
  <c r="G21" i="38"/>
  <c r="G56" i="38"/>
  <c r="G57" i="38"/>
  <c r="G31" i="38"/>
  <c r="G29" i="38"/>
  <c r="G27" i="38"/>
  <c r="G32" i="38"/>
  <c r="G58" i="38"/>
  <c r="G30" i="38"/>
  <c r="G59" i="38"/>
  <c r="G35" i="38"/>
  <c r="G36" i="38"/>
  <c r="G38" i="38"/>
  <c r="G60" i="38"/>
  <c r="G61" i="38"/>
  <c r="G6" i="38"/>
  <c r="G24" i="38"/>
  <c r="G14" i="38"/>
  <c r="G33" i="38"/>
  <c r="E7" i="37"/>
  <c r="E5" i="37"/>
  <c r="E2" i="37"/>
  <c r="E4" i="37"/>
  <c r="E3" i="37"/>
  <c r="E6" i="37"/>
  <c r="E9" i="37"/>
  <c r="E10" i="37"/>
  <c r="E11" i="37"/>
  <c r="E12" i="37"/>
  <c r="E8" i="37"/>
  <c r="H4" i="38"/>
  <c r="H53" i="38"/>
  <c r="H23" i="38"/>
  <c r="H48" i="38"/>
  <c r="H18" i="38"/>
  <c r="H35" i="38"/>
  <c r="H5" i="38"/>
  <c r="H56" i="38"/>
  <c r="H61" i="38"/>
  <c r="H25" i="38"/>
  <c r="H7" i="38"/>
  <c r="H45" i="38"/>
  <c r="H50" i="38"/>
  <c r="H31" i="38"/>
  <c r="H9" i="38"/>
  <c r="H34" i="38"/>
  <c r="H27" i="38"/>
  <c r="H37" i="38"/>
  <c r="H11" i="38"/>
  <c r="H40" i="38"/>
  <c r="H10" i="38"/>
  <c r="H26" i="38"/>
  <c r="H43" i="38"/>
  <c r="H59" i="38"/>
  <c r="H13" i="38"/>
  <c r="H30" i="38"/>
  <c r="H46" i="38"/>
  <c r="H2" i="38"/>
  <c r="H20" i="38"/>
  <c r="H49" i="38"/>
  <c r="H15" i="38"/>
  <c r="H54" i="38"/>
  <c r="H63" i="38"/>
  <c r="H42" i="38"/>
  <c r="H8" i="38"/>
  <c r="H41" i="38"/>
  <c r="H44" i="38"/>
  <c r="H24" i="38"/>
  <c r="H3" i="38"/>
  <c r="H32" i="38"/>
  <c r="H6" i="38"/>
  <c r="H22" i="38"/>
  <c r="H39" i="38"/>
  <c r="H55" i="38"/>
  <c r="H17" i="38"/>
  <c r="H60" i="38"/>
  <c r="H57" i="38"/>
  <c r="H51" i="38"/>
  <c r="H21" i="38"/>
  <c r="H38" i="38"/>
  <c r="H12" i="38"/>
  <c r="H33" i="38"/>
  <c r="H36" i="38"/>
  <c r="H62" i="38"/>
  <c r="H52" i="38"/>
  <c r="H29" i="38"/>
  <c r="H58" i="38"/>
  <c r="H19" i="38"/>
  <c r="H14" i="38"/>
  <c r="H47" i="38"/>
  <c r="H16" i="38"/>
  <c r="A2" i="17"/>
  <c r="A3" i="18"/>
  <c r="A2" i="30"/>
  <c r="A3" i="27"/>
  <c r="A3" i="21"/>
  <c r="A3" i="17"/>
  <c r="A4" i="30"/>
  <c r="A3" i="32"/>
  <c r="A2" i="23"/>
  <c r="A2" i="28"/>
  <c r="A4" i="31"/>
  <c r="A4" i="16"/>
  <c r="A4" i="32"/>
  <c r="A3" i="3"/>
  <c r="A2" i="3"/>
  <c r="A4" i="22"/>
  <c r="A3" i="33"/>
  <c r="A3" i="26"/>
  <c r="A2" i="20"/>
  <c r="A4" i="19"/>
  <c r="A4" i="28"/>
  <c r="A4" i="33"/>
  <c r="A4" i="21"/>
  <c r="A4" i="20"/>
  <c r="A3" i="28"/>
  <c r="A2" i="16"/>
  <c r="A2" i="36"/>
  <c r="A2" i="19"/>
  <c r="A4" i="26"/>
  <c r="A3" i="34"/>
  <c r="A3" i="20"/>
  <c r="A3" i="36"/>
  <c r="A2" i="29"/>
  <c r="A2" i="18"/>
  <c r="A2" i="25"/>
  <c r="A3" i="23"/>
  <c r="A4" i="3"/>
  <c r="A4" i="35"/>
  <c r="A4" i="25"/>
  <c r="A3" i="29"/>
  <c r="A3" i="16"/>
  <c r="A4" i="23"/>
  <c r="A2" i="34"/>
  <c r="A2" i="35"/>
  <c r="A3" i="30"/>
  <c r="A2" i="33"/>
  <c r="A3" i="24"/>
  <c r="A2" i="32"/>
  <c r="A3" i="31"/>
  <c r="A2" i="21"/>
  <c r="A2" i="26"/>
  <c r="A4" i="18"/>
  <c r="A4" i="36"/>
  <c r="A2" i="24"/>
  <c r="A3" i="22"/>
  <c r="A2" i="22"/>
  <c r="A4" i="29"/>
  <c r="A4" i="34"/>
  <c r="A4" i="24"/>
  <c r="A4" i="17"/>
  <c r="A2" i="31"/>
  <c r="A3" i="35"/>
  <c r="A3" i="25"/>
  <c r="A4" i="27"/>
  <c r="A3" i="19"/>
  <c r="A2" i="27"/>
  <c r="I66" i="45" l="1"/>
  <c r="I8" i="45"/>
  <c r="I38" i="45"/>
  <c r="I34" i="45"/>
  <c r="I46" i="44"/>
  <c r="K98" i="44"/>
  <c r="K76" i="45"/>
  <c r="K101" i="44"/>
  <c r="K79" i="45"/>
  <c r="K99" i="44"/>
  <c r="K77" i="45"/>
  <c r="K93" i="44"/>
  <c r="K71" i="45"/>
  <c r="K92" i="44"/>
  <c r="K70" i="45"/>
  <c r="K97" i="44"/>
  <c r="K75" i="45"/>
  <c r="K102" i="44"/>
  <c r="K80" i="45"/>
  <c r="K100" i="44"/>
  <c r="K78" i="45"/>
  <c r="K96" i="44"/>
  <c r="K74" i="45"/>
  <c r="K94" i="44"/>
  <c r="K72" i="45"/>
  <c r="K95" i="44"/>
  <c r="K73" i="45"/>
  <c r="I88" i="44"/>
  <c r="I87" i="44"/>
  <c r="I8" i="44"/>
  <c r="I74" i="44"/>
  <c r="I73" i="44"/>
  <c r="I72" i="44"/>
  <c r="I71" i="44"/>
  <c r="I84" i="44"/>
  <c r="I79" i="44"/>
  <c r="I64" i="44"/>
  <c r="I63" i="44"/>
  <c r="I62" i="44"/>
  <c r="I61" i="44"/>
  <c r="I76" i="44"/>
  <c r="I75" i="44"/>
  <c r="I60" i="44"/>
  <c r="I59" i="44"/>
  <c r="I70" i="44"/>
  <c r="I69" i="44"/>
  <c r="I86" i="44"/>
  <c r="I85" i="44"/>
  <c r="I54" i="44"/>
  <c r="I53" i="44"/>
  <c r="I50" i="44"/>
  <c r="I58" i="44"/>
  <c r="I57" i="44"/>
  <c r="I78" i="44"/>
  <c r="I77" i="44"/>
  <c r="I68" i="44"/>
  <c r="I67" i="44"/>
  <c r="I56" i="44"/>
  <c r="I55" i="44"/>
  <c r="I66" i="44"/>
  <c r="I65" i="44"/>
  <c r="I52" i="44"/>
  <c r="I51" i="44"/>
  <c r="I45" i="43"/>
  <c r="I37" i="43"/>
  <c r="I46" i="43"/>
  <c r="I38" i="42"/>
  <c r="I49" i="42"/>
  <c r="I37" i="42"/>
  <c r="I50" i="42"/>
  <c r="I31" i="43"/>
  <c r="I32" i="43"/>
  <c r="I32" i="42"/>
  <c r="I31" i="42"/>
  <c r="I42" i="43"/>
  <c r="I38" i="43"/>
  <c r="I41" i="42"/>
  <c r="I42" i="42"/>
  <c r="I46" i="42"/>
  <c r="I29" i="43"/>
  <c r="I30" i="43"/>
  <c r="I29" i="42"/>
  <c r="I30" i="42"/>
  <c r="I51" i="43"/>
  <c r="I56" i="42"/>
  <c r="I52" i="43"/>
  <c r="I55" i="42"/>
  <c r="I49" i="43"/>
  <c r="I50" i="43"/>
  <c r="I53" i="42"/>
  <c r="I54" i="42"/>
  <c r="I74" i="43"/>
  <c r="I8" i="43"/>
  <c r="I79" i="42"/>
  <c r="I80" i="42"/>
  <c r="I8" i="42"/>
  <c r="I61" i="43"/>
  <c r="I62" i="43"/>
  <c r="I22" i="43"/>
  <c r="I21" i="43"/>
  <c r="I66" i="42"/>
  <c r="I21" i="42"/>
  <c r="I65" i="42"/>
  <c r="I22" i="42"/>
  <c r="I69" i="43"/>
  <c r="I70" i="43"/>
  <c r="I14" i="43"/>
  <c r="I73" i="42"/>
  <c r="I13" i="43"/>
  <c r="I74" i="42"/>
  <c r="I13" i="42"/>
  <c r="I14" i="42"/>
  <c r="I65" i="43"/>
  <c r="I66" i="43"/>
  <c r="I18" i="43"/>
  <c r="I17" i="43"/>
  <c r="I70" i="42"/>
  <c r="I17" i="42"/>
  <c r="I69" i="42"/>
  <c r="I18" i="42"/>
  <c r="I73" i="43"/>
  <c r="I10" i="43"/>
  <c r="I9" i="43"/>
  <c r="I78" i="42"/>
  <c r="I77" i="42"/>
  <c r="I9" i="42"/>
  <c r="I10" i="42"/>
  <c r="I59" i="43"/>
  <c r="I24" i="43"/>
  <c r="I63" i="42"/>
  <c r="I60" i="43"/>
  <c r="I23" i="43"/>
  <c r="I64" i="42"/>
  <c r="I23" i="42"/>
  <c r="I24" i="42"/>
  <c r="I63" i="43"/>
  <c r="I20" i="43"/>
  <c r="I67" i="42"/>
  <c r="I64" i="43"/>
  <c r="I19" i="43"/>
  <c r="I68" i="42"/>
  <c r="I19" i="42"/>
  <c r="I20" i="42"/>
  <c r="I47" i="43"/>
  <c r="I35" i="43"/>
  <c r="I36" i="43"/>
  <c r="I52" i="42"/>
  <c r="I48" i="43"/>
  <c r="I51" i="42"/>
  <c r="I35" i="42"/>
  <c r="I36" i="42"/>
  <c r="I72" i="43"/>
  <c r="I71" i="43"/>
  <c r="I12" i="43"/>
  <c r="I11" i="43"/>
  <c r="I76" i="42"/>
  <c r="I75" i="42"/>
  <c r="I11" i="42"/>
  <c r="I12" i="42"/>
  <c r="I55" i="43"/>
  <c r="I27" i="43"/>
  <c r="I28" i="43"/>
  <c r="I28" i="42"/>
  <c r="I56" i="43"/>
  <c r="I59" i="42"/>
  <c r="I27" i="42"/>
  <c r="I60" i="42"/>
  <c r="I57" i="43"/>
  <c r="I25" i="43"/>
  <c r="I58" i="43"/>
  <c r="I62" i="42"/>
  <c r="I26" i="43"/>
  <c r="I61" i="42"/>
  <c r="I25" i="42"/>
  <c r="I26" i="42"/>
  <c r="I53" i="43"/>
  <c r="I54" i="43"/>
  <c r="I57" i="42"/>
  <c r="I58" i="42"/>
  <c r="I67" i="43"/>
  <c r="I16" i="43"/>
  <c r="I68" i="43"/>
  <c r="I15" i="43"/>
  <c r="I72" i="42"/>
  <c r="I15" i="42"/>
  <c r="I71" i="42"/>
  <c r="I16" i="42"/>
  <c r="I43" i="43"/>
  <c r="I44" i="43"/>
  <c r="I39" i="42"/>
  <c r="I48" i="42"/>
  <c r="I40" i="42"/>
  <c r="I47" i="42"/>
  <c r="I33" i="43"/>
  <c r="I34" i="42"/>
  <c r="I34" i="43"/>
  <c r="I33" i="42"/>
  <c r="K88" i="43"/>
  <c r="K94" i="42"/>
  <c r="K80" i="43"/>
  <c r="K86" i="42"/>
  <c r="K84" i="43"/>
  <c r="K90" i="42"/>
  <c r="K87" i="43"/>
  <c r="K93" i="42"/>
  <c r="K85" i="43"/>
  <c r="K91" i="42"/>
  <c r="K79" i="43"/>
  <c r="K85" i="42"/>
  <c r="K78" i="43"/>
  <c r="K84" i="42"/>
  <c r="K83" i="43"/>
  <c r="K89" i="42"/>
  <c r="K86" i="43"/>
  <c r="K92" i="42"/>
  <c r="K82" i="43"/>
  <c r="K88" i="42"/>
  <c r="K81" i="43"/>
  <c r="K87" i="42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K66" i="45"/>
  <c r="K38" i="45"/>
  <c r="K46" i="44"/>
  <c r="K8" i="44"/>
  <c r="K18" i="44"/>
  <c r="K20" i="44"/>
  <c r="K12" i="44"/>
  <c r="K63" i="44"/>
  <c r="K15" i="44"/>
  <c r="K33" i="44"/>
  <c r="K69" i="44"/>
  <c r="K85" i="44"/>
  <c r="K38" i="44"/>
  <c r="K31" i="44"/>
  <c r="K58" i="44"/>
  <c r="K13" i="44"/>
  <c r="K67" i="44"/>
  <c r="K35" i="44"/>
  <c r="K25" i="44"/>
  <c r="K45" i="43"/>
  <c r="K32" i="42"/>
  <c r="K29" i="42"/>
  <c r="K53" i="42"/>
  <c r="K61" i="43"/>
  <c r="K69" i="43"/>
  <c r="K65" i="43"/>
  <c r="K10" i="43"/>
  <c r="K23" i="43"/>
  <c r="K19" i="43"/>
  <c r="K48" i="43"/>
  <c r="K76" i="42"/>
  <c r="K56" i="43"/>
  <c r="K26" i="43"/>
  <c r="K67" i="43"/>
  <c r="K43" i="43"/>
  <c r="K34" i="43"/>
  <c r="K50" i="42"/>
  <c r="K41" i="42"/>
  <c r="K56" i="42"/>
  <c r="K79" i="42"/>
  <c r="K22" i="42"/>
  <c r="K14" i="42"/>
  <c r="K18" i="42"/>
  <c r="K24" i="43"/>
  <c r="K20" i="43"/>
  <c r="K35" i="43"/>
  <c r="K71" i="43"/>
  <c r="K27" i="43"/>
  <c r="K25" i="43"/>
  <c r="K54" i="43"/>
  <c r="K15" i="42"/>
  <c r="K47" i="42"/>
  <c r="K8" i="42"/>
  <c r="K74" i="44"/>
  <c r="K72" i="44"/>
  <c r="K84" i="44"/>
  <c r="K64" i="44"/>
  <c r="K62" i="44"/>
  <c r="K75" i="44"/>
  <c r="K60" i="44"/>
  <c r="K21" i="44"/>
  <c r="K9" i="44"/>
  <c r="K53" i="44"/>
  <c r="K50" i="44"/>
  <c r="K57" i="44"/>
  <c r="K14" i="44"/>
  <c r="K24" i="44"/>
  <c r="K55" i="44"/>
  <c r="K26" i="44"/>
  <c r="K46" i="43"/>
  <c r="K38" i="43"/>
  <c r="K51" i="43"/>
  <c r="K74" i="43"/>
  <c r="K22" i="43"/>
  <c r="K14" i="43"/>
  <c r="K18" i="43"/>
  <c r="K78" i="42"/>
  <c r="K23" i="42"/>
  <c r="K19" i="42"/>
  <c r="K35" i="42"/>
  <c r="K11" i="42"/>
  <c r="K27" i="42"/>
  <c r="K25" i="42"/>
  <c r="K68" i="43"/>
  <c r="K39" i="42"/>
  <c r="K37" i="43"/>
  <c r="K32" i="43"/>
  <c r="K46" i="42"/>
  <c r="K55" i="42"/>
  <c r="K62" i="43"/>
  <c r="K70" i="43"/>
  <c r="K66" i="43"/>
  <c r="K73" i="43"/>
  <c r="K60" i="43"/>
  <c r="K64" i="43"/>
  <c r="K52" i="42"/>
  <c r="K11" i="43"/>
  <c r="K28" i="42"/>
  <c r="K62" i="42"/>
  <c r="K58" i="42"/>
  <c r="K16" i="42"/>
  <c r="K34" i="42"/>
  <c r="K9" i="42"/>
  <c r="K17" i="42"/>
  <c r="K77" i="42"/>
  <c r="K24" i="42"/>
  <c r="K20" i="42"/>
  <c r="K36" i="42"/>
  <c r="K12" i="42"/>
  <c r="K60" i="42"/>
  <c r="K26" i="42"/>
  <c r="K15" i="43"/>
  <c r="K48" i="42"/>
  <c r="K10" i="42"/>
  <c r="K8" i="45"/>
  <c r="K34" i="45"/>
  <c r="K88" i="44"/>
  <c r="K73" i="44"/>
  <c r="K19" i="44"/>
  <c r="K11" i="44"/>
  <c r="K28" i="44"/>
  <c r="K61" i="44"/>
  <c r="K16" i="44"/>
  <c r="K59" i="44"/>
  <c r="K22" i="44"/>
  <c r="K10" i="44"/>
  <c r="K37" i="44"/>
  <c r="K30" i="44"/>
  <c r="K78" i="44"/>
  <c r="K68" i="44"/>
  <c r="K56" i="44"/>
  <c r="K66" i="44"/>
  <c r="K52" i="44"/>
  <c r="K37" i="42"/>
  <c r="K42" i="42"/>
  <c r="K52" i="43"/>
  <c r="K8" i="43"/>
  <c r="K66" i="42"/>
  <c r="K13" i="43"/>
  <c r="K70" i="42"/>
  <c r="K59" i="43"/>
  <c r="K63" i="43"/>
  <c r="K47" i="43"/>
  <c r="K72" i="43"/>
  <c r="K55" i="43"/>
  <c r="K57" i="43"/>
  <c r="K53" i="43"/>
  <c r="K72" i="42"/>
  <c r="K40" i="42"/>
  <c r="K38" i="42"/>
  <c r="K31" i="42"/>
  <c r="K30" i="43"/>
  <c r="K50" i="43"/>
  <c r="K21" i="43"/>
  <c r="K73" i="42"/>
  <c r="K17" i="43"/>
  <c r="K9" i="43"/>
  <c r="K64" i="42"/>
  <c r="K68" i="42"/>
  <c r="K51" i="42"/>
  <c r="K75" i="42"/>
  <c r="K59" i="42"/>
  <c r="K61" i="42"/>
  <c r="K16" i="43"/>
  <c r="K44" i="43"/>
  <c r="K33" i="42"/>
  <c r="K87" i="44"/>
  <c r="K17" i="44"/>
  <c r="K71" i="44"/>
  <c r="K79" i="44"/>
  <c r="K27" i="44"/>
  <c r="K76" i="44"/>
  <c r="K34" i="44"/>
  <c r="K70" i="44"/>
  <c r="K86" i="44"/>
  <c r="K54" i="44"/>
  <c r="K32" i="44"/>
  <c r="K29" i="44"/>
  <c r="K77" i="44"/>
  <c r="K23" i="44"/>
  <c r="K36" i="44"/>
  <c r="K65" i="44"/>
  <c r="K51" i="44"/>
  <c r="K31" i="43"/>
  <c r="K29" i="43"/>
  <c r="K49" i="43"/>
  <c r="K80" i="42"/>
  <c r="K65" i="42"/>
  <c r="K13" i="42"/>
  <c r="K69" i="42"/>
  <c r="K63" i="42"/>
  <c r="K67" i="42"/>
  <c r="K36" i="43"/>
  <c r="K12" i="43"/>
  <c r="K28" i="43"/>
  <c r="K58" i="43"/>
  <c r="K57" i="42"/>
  <c r="K71" i="42"/>
  <c r="K33" i="43"/>
  <c r="K49" i="42"/>
  <c r="K42" i="43"/>
  <c r="K30" i="42"/>
  <c r="K54" i="42"/>
  <c r="K21" i="42"/>
  <c r="K74" i="42"/>
</calcChain>
</file>

<file path=xl/sharedStrings.xml><?xml version="1.0" encoding="utf-8"?>
<sst xmlns="http://schemas.openxmlformats.org/spreadsheetml/2006/main" count="1050" uniqueCount="354">
  <si>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</si>
  <si>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</si>
  <si>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</si>
  <si>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</si>
  <si>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</si>
  <si>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</si>
  <si>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</si>
  <si>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</si>
  <si>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</si>
  <si>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</si>
  <si>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</si>
  <si>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</si>
  <si>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</si>
  <si>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5 в/ч-Рокосовского</t>
  </si>
  <si>
    <t>7 в/ч-Магистральная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</si>
  <si>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</si>
  <si>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</si>
  <si>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</si>
  <si>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</si>
  <si>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</si>
  <si>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</si>
  <si>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5</t>
  </si>
  <si>
    <t>6</t>
  </si>
  <si>
    <t>7</t>
  </si>
  <si>
    <t>8</t>
  </si>
  <si>
    <t>9</t>
  </si>
  <si>
    <t>11</t>
  </si>
  <si>
    <t>3</t>
  </si>
  <si>
    <t>6a</t>
  </si>
  <si>
    <t>8a</t>
  </si>
  <si>
    <t>8_</t>
  </si>
  <si>
    <t>3 Кузн.3-Новогрядск.</t>
  </si>
  <si>
    <t>2 Бажора-Пож. часть</t>
  </si>
  <si>
    <t>6а Советск.-9 мр-н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</si>
  <si>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</si>
  <si>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</si>
  <si>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</si>
  <si>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</si>
  <si>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</si>
  <si>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</si>
  <si>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</si>
  <si>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</si>
  <si>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</si>
  <si>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</si>
  <si>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</si>
  <si>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</si>
  <si>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</si>
  <si>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</si>
  <si>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</si>
  <si>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</si>
  <si>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</si>
  <si>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</si>
  <si>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</si>
  <si>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</si>
  <si>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</si>
  <si>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</si>
  <si>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</si>
  <si>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</si>
  <si>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</si>
  <si>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</si>
  <si>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</si>
  <si>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</si>
  <si>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</si>
  <si>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</si>
  <si>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</si>
  <si>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</si>
  <si>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</si>
  <si>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</si>
  <si>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</si>
  <si>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</si>
  <si>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</si>
  <si>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</si>
  <si>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</si>
  <si>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</si>
  <si>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</si>
  <si>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</si>
  <si>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</si>
  <si>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</si>
  <si>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</si>
  <si>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</si>
  <si>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</si>
  <si>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</si>
  <si>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</si>
  <si>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</si>
  <si>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</si>
  <si>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</si>
  <si>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</si>
  <si>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</si>
  <si>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</si>
  <si>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</si>
  <si>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</si>
  <si>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</si>
  <si>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</si>
  <si>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</si>
  <si>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</si>
  <si>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</si>
  <si>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</si>
  <si>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</si>
  <si>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</si>
  <si>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</si>
  <si>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</si>
  <si>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</si>
  <si>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</si>
  <si>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</si>
  <si>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</si>
  <si>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</si>
  <si>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</si>
  <si>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</si>
  <si>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</si>
  <si>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</si>
  <si>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</si>
  <si>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</si>
  <si>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</si>
  <si>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</si>
  <si>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</si>
  <si>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</si>
  <si>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</si>
  <si>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</si>
  <si>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</si>
  <si>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bol`nica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</si>
  <si>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</si>
  <si>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</si>
  <si>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</si>
  <si>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</si>
  <si>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</si>
  <si>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</si>
  <si>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</si>
  <si>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</si>
  <si>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</si>
  <si>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</si>
  <si>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</si>
  <si>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</si>
  <si>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</si>
  <si>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</si>
  <si>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</si>
  <si>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</si>
  <si>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</si>
  <si>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</si>
  <si>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</si>
  <si>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</si>
  <si>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</si>
  <si>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</si>
  <si>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</si>
  <si>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</si>
  <si>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</si>
  <si>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</si>
  <si>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</si>
  <si>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</si>
  <si>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</si>
  <si>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</si>
  <si>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</si>
  <si>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</si>
  <si>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</si>
  <si>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</si>
  <si>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</si>
  <si>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</si>
  <si>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</si>
  <si>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</si>
  <si>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</si>
  <si>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</si>
  <si>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</si>
  <si>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</si>
  <si>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</si>
  <si>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</si>
  <si>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</si>
  <si>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</si>
  <si>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</si>
  <si>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</si>
  <si>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</si>
  <si>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</si>
  <si>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</si>
  <si>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</si>
  <si>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</si>
  <si>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</si>
  <si>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</si>
  <si>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</si>
  <si>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</si>
  <si>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</si>
  <si>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</si>
  <si>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</si>
  <si>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</si>
  <si>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</si>
  <si>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</si>
  <si>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</si>
  <si>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</si>
  <si>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</si>
  <si>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</si>
  <si>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</si>
  <si>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</si>
  <si>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</si>
  <si>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</si>
  <si>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</si>
  <si>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</si>
  <si>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</si>
  <si>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</si>
  <si>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</si>
  <si>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</si>
  <si>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</si>
  <si>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</si>
  <si>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</si>
  <si>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</si>
  <si>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</si>
  <si>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</si>
  <si>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</si>
  <si>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</si>
  <si>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</si>
  <si>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</si>
  <si>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</si>
  <si>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</si>
  <si>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</si>
  <si>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</si>
  <si>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</si>
  <si>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</si>
  <si>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</si>
  <si>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</si>
  <si>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</si>
  <si>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</si>
  <si>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</si>
  <si>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</si>
  <si>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</si>
  <si>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Вост.кладб.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</si>
  <si>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</si>
  <si>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</si>
  <si>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</si>
  <si>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</si>
  <si>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</si>
  <si>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</si>
  <si>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</si>
  <si>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</si>
  <si>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</si>
  <si>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</si>
  <si>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</si>
  <si>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</si>
  <si>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</si>
  <si>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</si>
  <si>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</si>
  <si>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</si>
  <si>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</si>
  <si>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</si>
  <si>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</si>
  <si>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</si>
  <si>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</si>
  <si>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</si>
  <si>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Пожарная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</si>
  <si>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</si>
  <si>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</si>
  <si>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</si>
  <si>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</si>
  <si>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</si>
  <si>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</si>
  <si>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</si>
  <si>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</si>
  <si>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</si>
  <si>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Судоб.кладб.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</si>
  <si>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</si>
  <si>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</si>
  <si>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</si>
  <si>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</si>
  <si>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</si>
  <si>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</si>
  <si>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</si>
  <si>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</si>
  <si>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</si>
  <si>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</si>
  <si>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</si>
  <si>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</si>
  <si>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</si>
  <si>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</si>
  <si>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</si>
  <si>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</si>
  <si>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</si>
  <si>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</si>
  <si>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</si>
  <si>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</si>
  <si>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Инст. земледелия</t>
  </si>
  <si>
    <t>Инст. животновод.</t>
  </si>
  <si>
    <t>маг. Рублевский</t>
  </si>
  <si>
    <t>Транс.прох. БелАЗ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</si>
  <si>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</si>
  <si>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</si>
  <si>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</si>
  <si>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</si>
  <si>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</si>
  <si>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</si>
  <si>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</si>
  <si>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</si>
  <si>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</si>
  <si>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</si>
  <si>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</si>
  <si>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</si>
  <si>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</si>
  <si>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</si>
  <si>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</si>
  <si>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</si>
  <si>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</si>
  <si>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</si>
  <si>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</si>
  <si>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</si>
  <si>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</si>
  <si>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</si>
  <si>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</si>
  <si>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</si>
  <si>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</si>
  <si>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</si>
  <si>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В/ЧАСТЬ</t>
  </si>
  <si>
    <t>Рокоссовского</t>
  </si>
  <si>
    <t>6А</t>
  </si>
  <si>
    <t>9-й микрорайон</t>
  </si>
  <si>
    <t>ул. Магистральная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</si>
  <si>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</si>
  <si>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</si>
  <si>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</si>
  <si>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</si>
  <si>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</si>
  <si>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</si>
  <si>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</si>
  <si>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</si>
  <si>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</si>
  <si>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</si>
  <si>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</si>
  <si>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</si>
  <si>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</si>
  <si>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</si>
  <si>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</si>
  <si>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</si>
  <si>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</si>
  <si>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</si>
  <si>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</si>
  <si>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</si>
  <si>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</si>
  <si>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</si>
  <si>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</si>
  <si>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</si>
  <si>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</si>
  <si>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</si>
  <si>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</si>
  <si>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</si>
  <si>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</si>
  <si>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</si>
  <si>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</si>
  <si>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</si>
  <si>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</si>
  <si>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</si>
  <si>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</si>
  <si>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</si>
  <si>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</si>
  <si>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</si>
  <si>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</si>
  <si>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</si>
  <si>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</si>
  <si>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</si>
  <si>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</si>
  <si>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</si>
  <si>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!_silent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</si>
</sst>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3" fillId="0" borderId="0" xfId="0" applyFont="1" applyAlignment="1">
      <alignment horizontal="center" wrapText="1"/>
    </xf>
    <xf numFmtId="0" fontId="3" fillId="0" borderId="0" xfId="0" applyNumberFormat="1" applyFont="1" applyAlignment="1">
      <alignment horizontal="center"/>
    </xf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quotePrefix="1"/>
    <xf numFmtId="0" fontId="3" fillId="2" borderId="0" xfId="0" applyFont="1" applyFill="1"/>
    <xf numFmtId="1" fontId="0" fillId="2" borderId="0" xfId="0" applyNumberFormat="1" applyFill="1"/>
    <xf numFmtId="0" fontId="0" fillId="0" borderId="0" xfId="0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4" sqref="B4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77</v>
      </c>
      <c r="B1">
        <v>0</v>
      </c>
    </row>
    <row r="2" spans="1:2" x14ac:dyDescent="0.25">
      <c r="A2" t="s">
        <v>78</v>
      </c>
      <c r="B2">
        <v>100</v>
      </c>
    </row>
    <row r="3" spans="1:2" x14ac:dyDescent="0.25">
      <c r="A3" t="s">
        <v>103</v>
      </c>
      <c r="B3" t="s">
        <v>105</v>
      </c>
    </row>
    <row r="4" spans="1:2" x14ac:dyDescent="0.25">
      <c r="A4" t="s">
        <v>104</v>
      </c>
      <c r="B4" t="s">
        <v>106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2"/>
  <sheetViews>
    <sheetView workbookViewId="0">
      <selection activeCell="E2" sqref="E2:E12"/>
    </sheetView>
  </sheetViews>
  <sheetFormatPr defaultRowHeight="14.3" x14ac:dyDescent="0.25"/>
  <cols>
    <col min="1" max="1" width="17.5" bestFit="1" customWidth="1"/>
    <col min="5" max="5" width="60.75" style="6" customWidth="1"/>
  </cols>
  <sheetData>
    <row r="1" spans="1:5" s="1" customFormat="1" x14ac:dyDescent="0.25">
      <c r="A1" s="1" t="s">
        <v>83</v>
      </c>
      <c r="B1" s="10" t="s">
        <v>82</v>
      </c>
      <c r="C1" s="7" t="s">
        <v>84</v>
      </c>
      <c r="E1" s="4" t="s">
        <v>8</v>
      </c>
    </row>
    <row r="2" spans="1:5" x14ac:dyDescent="0.25">
      <c r="A2" t="s">
        <v>87</v>
      </c>
      <c r="B2">
        <v>921</v>
      </c>
      <c r="C2" t="s">
        <v>95</v>
      </c>
      <c r="E2" s="16" t="str">
        <f t="shared" ref="E2:E12" si="0">"&lt;unit"&amp;B2&amp;"&gt; """&amp;A2&amp;""""&amp;" {v ""\"&amp;mp3_knst&amp;"\"&amp;C2&amp;".mp3"", w 01}"</f>
        <v>&lt;unit921&gt; "Автовокзал" {v "\mp3_knst\av.mp3", w 01}</v>
      </c>
    </row>
    <row r="3" spans="1:5" x14ac:dyDescent="0.25">
      <c r="A3" t="s">
        <v>88</v>
      </c>
      <c r="B3">
        <v>923</v>
      </c>
      <c r="C3" t="s">
        <v>97</v>
      </c>
      <c r="E3" s="16" t="str">
        <f t="shared" si="0"/>
        <v>&lt;unit923&gt; "Гостиница" {v "\mp3_knst\gos.mp3", w 01}</v>
      </c>
    </row>
    <row r="4" spans="1:5" x14ac:dyDescent="0.25">
      <c r="A4" t="s">
        <v>345</v>
      </c>
      <c r="B4">
        <v>922</v>
      </c>
      <c r="C4" t="s">
        <v>96</v>
      </c>
      <c r="E4" s="16" t="str">
        <f t="shared" si="0"/>
        <v>&lt;unit922&gt; "Дисп. станция" {v "\mp3_knst\ds.mp3", w 01}</v>
      </c>
    </row>
    <row r="5" spans="1:5" x14ac:dyDescent="0.25">
      <c r="A5" t="s">
        <v>346</v>
      </c>
      <c r="B5">
        <v>903</v>
      </c>
      <c r="C5" t="s">
        <v>94</v>
      </c>
      <c r="E5" s="16" t="str">
        <f t="shared" si="0"/>
        <v>&lt;unit903&gt; "Канцавая" {v "\mp3_knst\kanc.mp3", w 01}</v>
      </c>
    </row>
    <row r="6" spans="1:5" x14ac:dyDescent="0.25">
      <c r="A6" t="s">
        <v>86</v>
      </c>
      <c r="B6">
        <v>924</v>
      </c>
      <c r="C6" t="s">
        <v>98</v>
      </c>
      <c r="E6" s="16" t="str">
        <f t="shared" si="0"/>
        <v>&lt;unit924&gt; "Конечная" {v "\mp3_knst\ko.mp3", w 01}</v>
      </c>
    </row>
    <row r="7" spans="1:5" x14ac:dyDescent="0.25">
      <c r="A7" t="s">
        <v>85</v>
      </c>
      <c r="B7">
        <v>902</v>
      </c>
      <c r="C7" t="s">
        <v>107</v>
      </c>
      <c r="E7" s="16" t="str">
        <f t="shared" si="0"/>
        <v>&lt;unit902&gt; "Остановка" {v "\mp3_knst\ost.mp3", w 01}</v>
      </c>
    </row>
    <row r="8" spans="1:5" x14ac:dyDescent="0.25">
      <c r="A8" t="s">
        <v>344</v>
      </c>
      <c r="B8">
        <v>900</v>
      </c>
      <c r="C8" t="s">
        <v>93</v>
      </c>
      <c r="E8" s="16" t="str">
        <f t="shared" si="0"/>
        <v>&lt;unit900&gt; "Дв. закр. След. ост." {v "\mp3_knst\ostor.mp3", w 01}</v>
      </c>
    </row>
    <row r="9" spans="1:5" x14ac:dyDescent="0.25">
      <c r="A9" t="s">
        <v>89</v>
      </c>
      <c r="B9">
        <v>925</v>
      </c>
      <c r="C9" t="s">
        <v>99</v>
      </c>
      <c r="E9" s="16" t="str">
        <f t="shared" si="0"/>
        <v>&lt;unit925&gt; "Площадь" {v "\mp3_knst\pl.mp3", w 01}</v>
      </c>
    </row>
    <row r="10" spans="1:5" x14ac:dyDescent="0.25">
      <c r="A10" t="s">
        <v>90</v>
      </c>
      <c r="B10">
        <v>926</v>
      </c>
      <c r="C10" t="s">
        <v>100</v>
      </c>
      <c r="E10" s="16" t="str">
        <f t="shared" si="0"/>
        <v>&lt;unit926&gt; "Проспект" {v "\mp3_knst\pr.mp3", w 01}</v>
      </c>
    </row>
    <row r="11" spans="1:5" x14ac:dyDescent="0.25">
      <c r="A11" t="s">
        <v>91</v>
      </c>
      <c r="B11">
        <v>927</v>
      </c>
      <c r="C11" t="s">
        <v>101</v>
      </c>
      <c r="E11" s="16" t="str">
        <f t="shared" si="0"/>
        <v>&lt;unit927&gt; "Станция метро" {v "\mp3_knst\sm.mp3", w 01}</v>
      </c>
    </row>
    <row r="12" spans="1:5" x14ac:dyDescent="0.25">
      <c r="A12" t="s">
        <v>92</v>
      </c>
      <c r="B12">
        <v>928</v>
      </c>
      <c r="C12" t="s">
        <v>102</v>
      </c>
      <c r="E12" s="16" t="str">
        <f t="shared" si="0"/>
        <v>&lt;unit928&gt; "Улица" {v "\mp3_knst\ul.mp3", w 01}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63"/>
  <sheetViews>
    <sheetView workbookViewId="0">
      <selection activeCell="B8" sqref="B8"/>
    </sheetView>
  </sheetViews>
  <sheetFormatPr defaultRowHeight="14.3" x14ac:dyDescent="0.25"/>
  <cols>
    <col min="2" max="2" width="22.25" bestFit="1" customWidth="1"/>
    <col min="3" max="3" width="31.5" bestFit="1" customWidth="1"/>
    <col min="4" max="4" width="7.5" bestFit="1" customWidth="1"/>
    <col min="5" max="5" width="12.75" style="9" bestFit="1" customWidth="1"/>
    <col min="6" max="6" width="5.875" style="19" customWidth="1"/>
    <col min="7" max="7" width="24.5" bestFit="1" customWidth="1"/>
    <col min="8" max="8" width="29.75" bestFit="1" customWidth="1"/>
  </cols>
  <sheetData>
    <row r="1" spans="1:8" s="1" customFormat="1" ht="28.55" x14ac:dyDescent="0.25">
      <c r="A1" s="17" t="s">
        <v>278</v>
      </c>
      <c r="B1" s="10" t="s">
        <v>167</v>
      </c>
      <c r="C1" s="1" t="s">
        <v>188</v>
      </c>
      <c r="D1" s="1" t="s">
        <v>191</v>
      </c>
      <c r="E1" s="7" t="s">
        <v>84</v>
      </c>
      <c r="F1" s="18"/>
      <c r="H1" s="4"/>
    </row>
    <row r="2" spans="1:8" x14ac:dyDescent="0.25">
      <c r="B2" t="s">
        <v>180</v>
      </c>
      <c r="C2" t="s">
        <v>194</v>
      </c>
      <c r="D2" t="s">
        <v>193</v>
      </c>
      <c r="E2" s="9" t="s">
        <v>110</v>
      </c>
      <c r="F2" s="19" t="str">
        <f t="shared" ref="F2:F34" si="0">IFERROR("c "&amp;VLOOKUP(A2,Punkti,2,FALSE),"")</f>
        <v/>
      </c>
      <c r="G2" t="str">
        <f t="shared" ref="G2:G34" si="1">"v ""\"&amp;mp3_ost&amp;"\"&amp;E2&amp;".mp3"""</f>
        <v>v "\mp3_ost\8mikra.mp3"</v>
      </c>
      <c r="H2" t="str">
        <f>СцепитьМного(F2:G2,", ")</f>
        <v>v "\mp3_ost\8mikra.mp3"</v>
      </c>
    </row>
    <row r="3" spans="1:8" x14ac:dyDescent="0.25">
      <c r="B3" t="s">
        <v>184</v>
      </c>
      <c r="C3" t="s">
        <v>201</v>
      </c>
      <c r="D3" t="s">
        <v>192</v>
      </c>
      <c r="E3" s="9" t="s">
        <v>114</v>
      </c>
      <c r="F3" s="19" t="str">
        <f t="shared" si="0"/>
        <v/>
      </c>
      <c r="G3" t="str">
        <f t="shared" si="1"/>
        <v>v "\mp3_ost\avtostan.mp3"</v>
      </c>
      <c r="H3" t="str">
        <f t="shared" ref="H3:H63" si="2">СцепитьМного(F3:G3,", ")</f>
        <v>v "\mp3_ost\avtostan.mp3"</v>
      </c>
    </row>
    <row r="4" spans="1:8" x14ac:dyDescent="0.25">
      <c r="B4" t="s">
        <v>185</v>
      </c>
      <c r="C4" t="s">
        <v>185</v>
      </c>
      <c r="D4" t="s">
        <v>192</v>
      </c>
      <c r="E4" s="9" t="s">
        <v>115</v>
      </c>
      <c r="F4" s="19" t="str">
        <f t="shared" si="0"/>
        <v/>
      </c>
      <c r="G4" t="str">
        <f t="shared" si="1"/>
        <v>v "\mp3_ost\azs.mp3"</v>
      </c>
      <c r="H4" t="str">
        <f t="shared" si="2"/>
        <v>v "\mp3_ost\azs.mp3"</v>
      </c>
    </row>
    <row r="5" spans="1:8" x14ac:dyDescent="0.25">
      <c r="B5" t="s">
        <v>187</v>
      </c>
      <c r="C5" t="s">
        <v>204</v>
      </c>
      <c r="D5" t="s">
        <v>192</v>
      </c>
      <c r="E5" s="9" t="s">
        <v>119</v>
      </c>
      <c r="F5" s="19" t="str">
        <f t="shared" si="0"/>
        <v/>
      </c>
      <c r="G5" t="str">
        <f t="shared" si="1"/>
        <v>v "\mp3_ost\bol`nica.mp3"</v>
      </c>
      <c r="H5" t="str">
        <f t="shared" si="2"/>
        <v>v "\mp3_ost\bol`nica.mp3"</v>
      </c>
    </row>
    <row r="6" spans="1:8" x14ac:dyDescent="0.25">
      <c r="B6" t="s">
        <v>268</v>
      </c>
      <c r="C6" t="s">
        <v>269</v>
      </c>
      <c r="D6" t="s">
        <v>192</v>
      </c>
      <c r="E6" s="9" t="s">
        <v>164</v>
      </c>
      <c r="F6" s="19" t="str">
        <f t="shared" si="0"/>
        <v/>
      </c>
      <c r="G6" t="str">
        <f t="shared" si="1"/>
        <v>v "\mp3_ost\vch.mp3"</v>
      </c>
      <c r="H6" t="str">
        <f t="shared" si="2"/>
        <v>v "\mp3_ost\vch.mp3"</v>
      </c>
    </row>
    <row r="7" spans="1:8" x14ac:dyDescent="0.25">
      <c r="B7" t="s">
        <v>220</v>
      </c>
      <c r="C7" t="s">
        <v>252</v>
      </c>
      <c r="D7" t="s">
        <v>192</v>
      </c>
      <c r="E7" s="9" t="s">
        <v>132</v>
      </c>
      <c r="F7" s="19" t="str">
        <f t="shared" si="0"/>
        <v/>
      </c>
      <c r="G7" t="str">
        <f t="shared" si="1"/>
        <v>v "\mp3_ost\kladbvos.mp3"</v>
      </c>
      <c r="H7" t="str">
        <f t="shared" si="2"/>
        <v>v "\mp3_ost\kladbvos.mp3"</v>
      </c>
    </row>
    <row r="8" spans="1:8" x14ac:dyDescent="0.25">
      <c r="B8" t="s">
        <v>212</v>
      </c>
      <c r="C8" t="s">
        <v>211</v>
      </c>
      <c r="D8" t="s">
        <v>192</v>
      </c>
      <c r="E8" s="9" t="s">
        <v>124</v>
      </c>
      <c r="F8" s="19" t="str">
        <f t="shared" si="0"/>
        <v/>
      </c>
      <c r="G8" t="str">
        <f t="shared" si="1"/>
        <v>v "\mp3_ost\gdk.mp3"</v>
      </c>
      <c r="H8" t="str">
        <f t="shared" si="2"/>
        <v>v "\mp3_ost\gdk.mp3"</v>
      </c>
    </row>
    <row r="9" spans="1:8" x14ac:dyDescent="0.25">
      <c r="B9" t="s">
        <v>170</v>
      </c>
      <c r="C9" t="s">
        <v>216</v>
      </c>
      <c r="D9" t="s">
        <v>192</v>
      </c>
      <c r="E9" s="9" t="s">
        <v>128</v>
      </c>
      <c r="F9" s="19" t="str">
        <f t="shared" si="0"/>
        <v/>
      </c>
      <c r="G9" t="str">
        <f t="shared" si="1"/>
        <v>v "\mp3_ost\jd.mp3"</v>
      </c>
      <c r="H9" t="str">
        <f t="shared" si="2"/>
        <v>v "\mp3_ost\jd.mp3"</v>
      </c>
    </row>
    <row r="10" spans="1:8" x14ac:dyDescent="0.25">
      <c r="B10" t="s">
        <v>169</v>
      </c>
      <c r="C10" t="s">
        <v>217</v>
      </c>
      <c r="D10" t="s">
        <v>192</v>
      </c>
      <c r="E10" s="9" t="s">
        <v>129</v>
      </c>
      <c r="F10" s="19" t="str">
        <f t="shared" si="0"/>
        <v/>
      </c>
      <c r="G10" t="str">
        <f t="shared" si="1"/>
        <v>v "\mp3_ost\jen-gimn.mp3"</v>
      </c>
      <c r="H10" t="str">
        <f t="shared" si="2"/>
        <v>v "\mp3_ost\jen-gimn.mp3"</v>
      </c>
    </row>
    <row r="11" spans="1:8" x14ac:dyDescent="0.25">
      <c r="B11" t="s">
        <v>275</v>
      </c>
      <c r="C11" t="s">
        <v>214</v>
      </c>
      <c r="D11" t="s">
        <v>192</v>
      </c>
      <c r="E11" s="9" t="s">
        <v>126</v>
      </c>
      <c r="F11" s="19" t="str">
        <f t="shared" si="0"/>
        <v/>
      </c>
      <c r="G11" t="str">
        <f t="shared" si="1"/>
        <v>v "\mp3_ost\inst-zve.mp3"</v>
      </c>
      <c r="H11" t="str">
        <f t="shared" si="2"/>
        <v>v "\mp3_ost\inst-zve.mp3"</v>
      </c>
    </row>
    <row r="12" spans="1:8" x14ac:dyDescent="0.25">
      <c r="B12" t="s">
        <v>274</v>
      </c>
      <c r="C12" t="s">
        <v>213</v>
      </c>
      <c r="D12" t="s">
        <v>192</v>
      </c>
      <c r="E12" s="9" t="s">
        <v>125</v>
      </c>
      <c r="F12" s="19" t="str">
        <f t="shared" si="0"/>
        <v/>
      </c>
      <c r="G12" t="str">
        <f t="shared" si="1"/>
        <v>v "\mp3_ost\inst-zem.mp3"</v>
      </c>
      <c r="H12" t="str">
        <f t="shared" si="2"/>
        <v>v "\mp3_ost\inst-zem.mp3"</v>
      </c>
    </row>
    <row r="13" spans="1:8" x14ac:dyDescent="0.25">
      <c r="B13" t="s">
        <v>168</v>
      </c>
      <c r="C13" t="s">
        <v>215</v>
      </c>
      <c r="D13" t="s">
        <v>192</v>
      </c>
      <c r="E13" s="9" t="s">
        <v>127</v>
      </c>
      <c r="F13" s="19" t="str">
        <f t="shared" si="0"/>
        <v/>
      </c>
      <c r="G13" t="str">
        <f t="shared" si="1"/>
        <v>v "\mp3_ost\itk.mp3"</v>
      </c>
      <c r="H13" t="str">
        <f t="shared" si="2"/>
        <v>v "\mp3_ost\itk.mp3"</v>
      </c>
    </row>
    <row r="14" spans="1:8" x14ac:dyDescent="0.25">
      <c r="B14" t="s">
        <v>272</v>
      </c>
      <c r="C14" t="s">
        <v>273</v>
      </c>
      <c r="D14" t="s">
        <v>192</v>
      </c>
      <c r="E14" s="9" t="s">
        <v>166</v>
      </c>
      <c r="F14" s="19" t="str">
        <f t="shared" si="0"/>
        <v/>
      </c>
      <c r="G14" t="str">
        <f t="shared" si="1"/>
        <v>v "\mp3_ost\yunost`.mp3"</v>
      </c>
      <c r="H14" t="str">
        <f t="shared" si="2"/>
        <v>v "\mp3_ost\yunost`.mp3"</v>
      </c>
    </row>
    <row r="15" spans="1:8" x14ac:dyDescent="0.25">
      <c r="B15" t="s">
        <v>221</v>
      </c>
      <c r="C15" t="s">
        <v>237</v>
      </c>
      <c r="D15" t="s">
        <v>192</v>
      </c>
      <c r="E15" s="9" t="s">
        <v>134</v>
      </c>
      <c r="F15" s="19" t="str">
        <f t="shared" si="0"/>
        <v/>
      </c>
      <c r="G15" t="str">
        <f t="shared" si="1"/>
        <v>v "\mp3_ost\kztsh.mp3"</v>
      </c>
      <c r="H15" t="str">
        <f t="shared" si="2"/>
        <v>v "\mp3_ost\kztsh.mp3"</v>
      </c>
    </row>
    <row r="16" spans="1:8" x14ac:dyDescent="0.25">
      <c r="B16" t="s">
        <v>219</v>
      </c>
      <c r="C16" t="s">
        <v>235</v>
      </c>
      <c r="D16" t="s">
        <v>192</v>
      </c>
      <c r="E16" s="9" t="s">
        <v>131</v>
      </c>
      <c r="F16" s="19" t="str">
        <f t="shared" si="0"/>
        <v/>
      </c>
      <c r="G16" t="str">
        <f t="shared" si="1"/>
        <v>v "\mp3_ost\kastel.mp3"</v>
      </c>
      <c r="H16" t="str">
        <f t="shared" si="2"/>
        <v>v "\mp3_ost\kastel.mp3"</v>
      </c>
    </row>
    <row r="17" spans="2:8" x14ac:dyDescent="0.25">
      <c r="B17" t="s">
        <v>226</v>
      </c>
      <c r="C17" t="s">
        <v>239</v>
      </c>
      <c r="D17" t="s">
        <v>192</v>
      </c>
      <c r="E17" s="9" t="s">
        <v>139</v>
      </c>
      <c r="F17" s="19" t="str">
        <f t="shared" si="0"/>
        <v/>
      </c>
      <c r="G17" t="str">
        <f t="shared" si="1"/>
        <v>v "\mp3_ost\lesoceh.mp3"</v>
      </c>
      <c r="H17" t="str">
        <f t="shared" si="2"/>
        <v>v "\mp3_ost\lesoceh.mp3"</v>
      </c>
    </row>
    <row r="18" spans="2:8" x14ac:dyDescent="0.25">
      <c r="B18" t="s">
        <v>276</v>
      </c>
      <c r="C18" t="s">
        <v>227</v>
      </c>
      <c r="D18" t="s">
        <v>193</v>
      </c>
      <c r="E18" s="9" t="s">
        <v>140</v>
      </c>
      <c r="F18" s="19" t="str">
        <f t="shared" si="0"/>
        <v/>
      </c>
      <c r="G18" t="str">
        <f t="shared" si="1"/>
        <v>v "\mp3_ost\magazin.mp3"</v>
      </c>
      <c r="H18" t="str">
        <f t="shared" si="2"/>
        <v>v "\mp3_ost\magazin.mp3"</v>
      </c>
    </row>
    <row r="19" spans="2:8" x14ac:dyDescent="0.25">
      <c r="B19" t="s">
        <v>182</v>
      </c>
      <c r="C19" t="s">
        <v>197</v>
      </c>
      <c r="D19" t="s">
        <v>199</v>
      </c>
      <c r="E19" s="9">
        <v>308</v>
      </c>
      <c r="F19" s="19" t="str">
        <f t="shared" si="0"/>
        <v/>
      </c>
      <c r="G19" t="str">
        <f t="shared" si="1"/>
        <v>v "\mp3_ost\308.mp3"</v>
      </c>
      <c r="H19" t="str">
        <f t="shared" si="2"/>
        <v>v "\mp3_ost\308.mp3"</v>
      </c>
    </row>
    <row r="20" spans="2:8" x14ac:dyDescent="0.25">
      <c r="B20" t="s">
        <v>183</v>
      </c>
      <c r="C20" t="s">
        <v>198</v>
      </c>
      <c r="D20" t="s">
        <v>199</v>
      </c>
      <c r="E20" s="9">
        <v>936</v>
      </c>
      <c r="F20" s="19" t="str">
        <f t="shared" si="0"/>
        <v/>
      </c>
      <c r="G20" t="str">
        <f t="shared" si="1"/>
        <v>v "\mp3_ost\936.mp3"</v>
      </c>
      <c r="H20" t="str">
        <f t="shared" si="2"/>
        <v>v "\mp3_ost\936.mp3"</v>
      </c>
    </row>
    <row r="21" spans="2:8" x14ac:dyDescent="0.25">
      <c r="B21" t="s">
        <v>243</v>
      </c>
      <c r="C21" t="s">
        <v>244</v>
      </c>
      <c r="D21" t="s">
        <v>192</v>
      </c>
      <c r="E21" s="9" t="s">
        <v>149</v>
      </c>
      <c r="F21" s="19" t="str">
        <f t="shared" si="0"/>
        <v/>
      </c>
      <c r="G21" t="str">
        <f t="shared" si="1"/>
        <v>v "\mp3_ost\pojarnay.mp3"</v>
      </c>
      <c r="H21" t="str">
        <f t="shared" si="2"/>
        <v>v "\mp3_ost\pojarnay.mp3"</v>
      </c>
    </row>
    <row r="22" spans="2:8" x14ac:dyDescent="0.25">
      <c r="B22" t="s">
        <v>233</v>
      </c>
      <c r="C22" t="s">
        <v>234</v>
      </c>
      <c r="D22" t="s">
        <v>192</v>
      </c>
      <c r="E22" s="9" t="s">
        <v>146</v>
      </c>
      <c r="F22" s="19" t="str">
        <f t="shared" si="0"/>
        <v/>
      </c>
      <c r="G22" t="str">
        <f t="shared" si="1"/>
        <v>v "\mp3_ost\paliklin.mp3"</v>
      </c>
      <c r="H22" t="str">
        <f t="shared" si="2"/>
        <v>v "\mp3_ost\paliklin.mp3"</v>
      </c>
    </row>
    <row r="23" spans="2:8" x14ac:dyDescent="0.25">
      <c r="B23" t="s">
        <v>241</v>
      </c>
      <c r="C23" t="s">
        <v>242</v>
      </c>
      <c r="D23" t="s">
        <v>192</v>
      </c>
      <c r="E23" s="9" t="s">
        <v>148</v>
      </c>
      <c r="F23" s="19" t="str">
        <f t="shared" si="0"/>
        <v/>
      </c>
      <c r="G23" t="str">
        <f t="shared" si="1"/>
        <v>v "\mp3_ost\pochta.mp3"</v>
      </c>
      <c r="H23" t="str">
        <f t="shared" si="2"/>
        <v>v "\mp3_ost\pochta.mp3"</v>
      </c>
    </row>
    <row r="24" spans="2:8" x14ac:dyDescent="0.25">
      <c r="B24" t="s">
        <v>270</v>
      </c>
      <c r="C24" t="s">
        <v>271</v>
      </c>
      <c r="D24" t="s">
        <v>192</v>
      </c>
      <c r="E24" s="9" t="s">
        <v>165</v>
      </c>
      <c r="F24" s="19" t="str">
        <f t="shared" si="0"/>
        <v/>
      </c>
      <c r="G24" t="str">
        <f t="shared" si="1"/>
        <v>v "\mp3_ost\venis`e.mp3"</v>
      </c>
      <c r="H24" t="str">
        <f t="shared" si="2"/>
        <v>v "\mp3_ost\venis`e.mp3"</v>
      </c>
    </row>
    <row r="25" spans="2:8" x14ac:dyDescent="0.25">
      <c r="B25" t="s">
        <v>222</v>
      </c>
      <c r="C25" t="s">
        <v>223</v>
      </c>
      <c r="D25" t="s">
        <v>192</v>
      </c>
      <c r="E25" s="9" t="s">
        <v>136</v>
      </c>
      <c r="F25" s="19" t="str">
        <f t="shared" si="0"/>
        <v/>
      </c>
      <c r="G25" t="str">
        <f t="shared" si="1"/>
        <v>v "\mp3_ost\lenina.mp3"</v>
      </c>
      <c r="H25" t="str">
        <f t="shared" si="2"/>
        <v>v "\mp3_ost\lenina.mp3"</v>
      </c>
    </row>
    <row r="26" spans="2:8" x14ac:dyDescent="0.25">
      <c r="B26" t="s">
        <v>175</v>
      </c>
      <c r="C26" t="s">
        <v>229</v>
      </c>
      <c r="D26" t="s">
        <v>192</v>
      </c>
      <c r="E26" s="9" t="s">
        <v>142</v>
      </c>
      <c r="F26" s="19" t="str">
        <f t="shared" si="0"/>
        <v/>
      </c>
      <c r="G26" t="str">
        <f t="shared" si="1"/>
        <v>v "\mp3_ost\mira.mp3"</v>
      </c>
      <c r="H26" t="str">
        <f t="shared" si="2"/>
        <v>v "\mp3_ost\mira.mp3"</v>
      </c>
    </row>
    <row r="27" spans="2:8" x14ac:dyDescent="0.25">
      <c r="B27" t="s">
        <v>250</v>
      </c>
      <c r="C27" t="s">
        <v>251</v>
      </c>
      <c r="D27" t="s">
        <v>192</v>
      </c>
      <c r="E27" s="9" t="s">
        <v>154</v>
      </c>
      <c r="F27" s="19" t="str">
        <f t="shared" si="0"/>
        <v/>
      </c>
      <c r="G27" t="str">
        <f t="shared" si="1"/>
        <v>v "\mp3_ost\skarwnw.mp3"</v>
      </c>
      <c r="H27" t="str">
        <f t="shared" si="2"/>
        <v>v "\mp3_ost\skarwnw.mp3"</v>
      </c>
    </row>
    <row r="28" spans="2:8" x14ac:dyDescent="0.25">
      <c r="B28" t="s">
        <v>352</v>
      </c>
      <c r="E28" s="9" t="s">
        <v>353</v>
      </c>
      <c r="F28" s="19" t="str">
        <f t="shared" si="0"/>
        <v/>
      </c>
      <c r="G28" t="str">
        <f t="shared" si="1"/>
        <v>v "\mp3_ost\!_silent.mp3"</v>
      </c>
      <c r="H28" t="str">
        <f t="shared" si="2"/>
        <v>v "\mp3_ost\!_silent.mp3"</v>
      </c>
    </row>
    <row r="29" spans="2:8" x14ac:dyDescent="0.25">
      <c r="B29" t="s">
        <v>249</v>
      </c>
      <c r="C29" t="s">
        <v>249</v>
      </c>
      <c r="D29" t="s">
        <v>192</v>
      </c>
      <c r="E29" s="9" t="s">
        <v>153</v>
      </c>
      <c r="F29" s="19" t="str">
        <f t="shared" si="0"/>
        <v/>
      </c>
      <c r="G29" t="str">
        <f t="shared" si="1"/>
        <v>v "\mp3_ost\sberbank.mp3"</v>
      </c>
      <c r="H29" t="str">
        <f t="shared" si="2"/>
        <v>v "\mp3_ost\sberbank.mp3"</v>
      </c>
    </row>
    <row r="30" spans="2:8" x14ac:dyDescent="0.25">
      <c r="B30" t="s">
        <v>256</v>
      </c>
      <c r="C30" t="s">
        <v>257</v>
      </c>
      <c r="D30" t="s">
        <v>192</v>
      </c>
      <c r="E30" s="9" t="s">
        <v>157</v>
      </c>
      <c r="F30" s="19" t="str">
        <f t="shared" si="0"/>
        <v/>
      </c>
      <c r="G30" t="str">
        <f t="shared" si="1"/>
        <v>v "\mp3_ost\svitanak.mp3"</v>
      </c>
      <c r="H30" t="str">
        <f t="shared" si="2"/>
        <v>v "\mp3_ost\svitanak.mp3"</v>
      </c>
    </row>
    <row r="31" spans="2:8" x14ac:dyDescent="0.25">
      <c r="B31" t="s">
        <v>247</v>
      </c>
      <c r="C31" t="s">
        <v>248</v>
      </c>
      <c r="D31" t="s">
        <v>192</v>
      </c>
      <c r="E31" s="9" t="s">
        <v>152</v>
      </c>
      <c r="F31" s="19" t="str">
        <f t="shared" si="0"/>
        <v/>
      </c>
      <c r="G31" t="str">
        <f t="shared" si="1"/>
        <v>v "\mp3_ost\rwnok.mp3"</v>
      </c>
      <c r="H31" t="str">
        <f t="shared" si="2"/>
        <v>v "\mp3_ost\rwnok.mp3"</v>
      </c>
    </row>
    <row r="32" spans="2:8" x14ac:dyDescent="0.25">
      <c r="B32" t="s">
        <v>253</v>
      </c>
      <c r="C32" t="s">
        <v>254</v>
      </c>
      <c r="D32" t="s">
        <v>192</v>
      </c>
      <c r="E32" s="9" t="s">
        <v>155</v>
      </c>
      <c r="F32" s="19" t="str">
        <f t="shared" si="0"/>
        <v/>
      </c>
      <c r="G32" t="str">
        <f t="shared" si="1"/>
        <v>v "\mp3_ost\sudob-kl.mp3"</v>
      </c>
      <c r="H32" t="str">
        <f t="shared" si="2"/>
        <v>v "\mp3_ost\sudob-kl.mp3"</v>
      </c>
    </row>
    <row r="33" spans="1:8" x14ac:dyDescent="0.25">
      <c r="B33" t="s">
        <v>177</v>
      </c>
      <c r="C33" t="s">
        <v>189</v>
      </c>
      <c r="D33" t="s">
        <v>192</v>
      </c>
      <c r="E33" s="9" t="s">
        <v>108</v>
      </c>
      <c r="F33" s="19" t="str">
        <f t="shared" si="0"/>
        <v/>
      </c>
      <c r="G33" t="str">
        <f t="shared" si="1"/>
        <v>v "\mp3_ost\5ssh.mp3"</v>
      </c>
      <c r="H33" t="str">
        <f t="shared" si="2"/>
        <v>v "\mp3_ost\5ssh.mp3"</v>
      </c>
    </row>
    <row r="34" spans="1:8" x14ac:dyDescent="0.25">
      <c r="B34" t="s">
        <v>181</v>
      </c>
      <c r="C34" t="s">
        <v>195</v>
      </c>
      <c r="D34" t="s">
        <v>192</v>
      </c>
      <c r="E34" s="9" t="s">
        <v>111</v>
      </c>
      <c r="F34" s="19" t="str">
        <f t="shared" si="0"/>
        <v/>
      </c>
      <c r="G34" t="str">
        <f t="shared" si="1"/>
        <v>v "\mp3_ost\8ssh.mp3"</v>
      </c>
      <c r="H34" t="str">
        <f t="shared" si="2"/>
        <v>v "\mp3_ost\8ssh.mp3"</v>
      </c>
    </row>
    <row r="35" spans="1:8" x14ac:dyDescent="0.25">
      <c r="B35" t="s">
        <v>259</v>
      </c>
      <c r="C35" t="s">
        <v>260</v>
      </c>
      <c r="D35" t="s">
        <v>192</v>
      </c>
      <c r="E35" s="9" t="s">
        <v>159</v>
      </c>
      <c r="F35" s="19" t="str">
        <f t="shared" ref="F35:F63" si="3">IFERROR("c "&amp;VLOOKUP(A35,Punkti,2,FALSE),"")</f>
        <v/>
      </c>
      <c r="G35" t="str">
        <f t="shared" ref="G35:G63" si="4">"v ""\"&amp;mp3_ost&amp;"\"&amp;E35&amp;".mp3"""</f>
        <v>v "\mp3_ost\tamoj.mp3"</v>
      </c>
      <c r="H35" t="str">
        <f t="shared" si="2"/>
        <v>v "\mp3_ost\tamoj.mp3"</v>
      </c>
    </row>
    <row r="36" spans="1:8" x14ac:dyDescent="0.25">
      <c r="B36" t="s">
        <v>261</v>
      </c>
      <c r="C36" t="s">
        <v>262</v>
      </c>
      <c r="D36" t="s">
        <v>192</v>
      </c>
      <c r="E36" s="9" t="s">
        <v>160</v>
      </c>
      <c r="F36" s="19" t="str">
        <f t="shared" si="3"/>
        <v/>
      </c>
      <c r="G36" t="str">
        <f t="shared" si="4"/>
        <v>v "\mp3_ost\tc.mp3"</v>
      </c>
      <c r="H36" t="str">
        <f t="shared" si="2"/>
        <v>v "\mp3_ost\tc.mp3"</v>
      </c>
    </row>
    <row r="37" spans="1:8" x14ac:dyDescent="0.25">
      <c r="B37" t="s">
        <v>277</v>
      </c>
      <c r="C37" t="s">
        <v>202</v>
      </c>
      <c r="D37" t="s">
        <v>192</v>
      </c>
      <c r="E37" s="9" t="s">
        <v>117</v>
      </c>
      <c r="F37" s="19" t="str">
        <f t="shared" si="3"/>
        <v/>
      </c>
      <c r="G37" t="str">
        <f t="shared" si="4"/>
        <v>v "\mp3_ost\belaz.mp3"</v>
      </c>
      <c r="H37" t="str">
        <f t="shared" si="2"/>
        <v>v "\mp3_ost\belaz.mp3"</v>
      </c>
    </row>
    <row r="38" spans="1:8" x14ac:dyDescent="0.25">
      <c r="B38" t="s">
        <v>263</v>
      </c>
      <c r="C38" t="s">
        <v>264</v>
      </c>
      <c r="D38" t="s">
        <v>192</v>
      </c>
      <c r="E38" s="9" t="s">
        <v>161</v>
      </c>
      <c r="F38" s="19" t="str">
        <f t="shared" si="3"/>
        <v/>
      </c>
      <c r="G38" t="str">
        <f t="shared" si="4"/>
        <v>v "\mp3_ost\tec.mp3"</v>
      </c>
      <c r="H38" t="str">
        <f t="shared" si="2"/>
        <v>v "\mp3_ost\tec.mp3"</v>
      </c>
    </row>
    <row r="39" spans="1:8" x14ac:dyDescent="0.25">
      <c r="A39" t="s">
        <v>92</v>
      </c>
      <c r="B39" t="s">
        <v>279</v>
      </c>
      <c r="C39" t="s">
        <v>196</v>
      </c>
      <c r="D39" t="s">
        <v>192</v>
      </c>
      <c r="E39" s="9" t="s">
        <v>112</v>
      </c>
      <c r="F39" s="19" t="str">
        <f t="shared" si="3"/>
        <v>c 928</v>
      </c>
      <c r="G39" t="str">
        <f t="shared" si="4"/>
        <v>v "\mp3_ost\50letokt.mp3"</v>
      </c>
      <c r="H39" t="str">
        <f t="shared" si="2"/>
        <v>c 928, v "\mp3_ost\50letokt.mp3"</v>
      </c>
    </row>
    <row r="40" spans="1:8" x14ac:dyDescent="0.25">
      <c r="A40" t="s">
        <v>92</v>
      </c>
      <c r="B40" t="s">
        <v>280</v>
      </c>
      <c r="C40" t="s">
        <v>190</v>
      </c>
      <c r="D40" t="s">
        <v>192</v>
      </c>
      <c r="E40" s="9" t="s">
        <v>109</v>
      </c>
      <c r="F40" s="19" t="str">
        <f t="shared" si="3"/>
        <v>c 928</v>
      </c>
      <c r="G40" t="str">
        <f t="shared" si="4"/>
        <v>v "\mp3_ost\8marta.mp3"</v>
      </c>
      <c r="H40" t="str">
        <f t="shared" si="2"/>
        <v>c 928, v "\mp3_ost\8marta.mp3"</v>
      </c>
    </row>
    <row r="41" spans="1:8" x14ac:dyDescent="0.25">
      <c r="A41" t="s">
        <v>92</v>
      </c>
      <c r="B41" t="s">
        <v>281</v>
      </c>
      <c r="C41" t="s">
        <v>200</v>
      </c>
      <c r="D41" t="s">
        <v>192</v>
      </c>
      <c r="E41" s="9" t="s">
        <v>113</v>
      </c>
      <c r="F41" s="19" t="str">
        <f t="shared" si="3"/>
        <v>c 928</v>
      </c>
      <c r="G41" t="str">
        <f t="shared" si="4"/>
        <v>v "\mp3_ost\avtomobi.mp3"</v>
      </c>
      <c r="H41" t="str">
        <f t="shared" si="2"/>
        <v>c 928, v "\mp3_ost\avtomobi.mp3"</v>
      </c>
    </row>
    <row r="42" spans="1:8" x14ac:dyDescent="0.25">
      <c r="A42" t="s">
        <v>92</v>
      </c>
      <c r="B42" t="s">
        <v>179</v>
      </c>
      <c r="C42" t="s">
        <v>186</v>
      </c>
      <c r="D42" t="s">
        <v>192</v>
      </c>
      <c r="E42" s="9" t="s">
        <v>116</v>
      </c>
      <c r="F42" s="19" t="str">
        <f t="shared" si="3"/>
        <v>c 928</v>
      </c>
      <c r="G42" t="str">
        <f t="shared" si="4"/>
        <v>v "\mp3_ost\bajora.mp3"</v>
      </c>
      <c r="H42" t="str">
        <f t="shared" si="2"/>
        <v>c 928, v "\mp3_ost\bajora.mp3"</v>
      </c>
    </row>
    <row r="43" spans="1:8" x14ac:dyDescent="0.25">
      <c r="A43" t="s">
        <v>92</v>
      </c>
      <c r="B43" t="s">
        <v>282</v>
      </c>
      <c r="C43" t="s">
        <v>203</v>
      </c>
      <c r="D43" t="s">
        <v>192</v>
      </c>
      <c r="E43" s="9" t="s">
        <v>118</v>
      </c>
      <c r="F43" s="19" t="str">
        <f t="shared" si="3"/>
        <v>c 928</v>
      </c>
      <c r="G43" t="str">
        <f t="shared" si="4"/>
        <v>v "\mp3_ost\boguslav.mp3"</v>
      </c>
      <c r="H43" t="str">
        <f t="shared" si="2"/>
        <v>c 928, v "\mp3_ost\boguslav.mp3"</v>
      </c>
    </row>
    <row r="44" spans="1:8" x14ac:dyDescent="0.25">
      <c r="A44" t="s">
        <v>92</v>
      </c>
      <c r="B44" t="s">
        <v>176</v>
      </c>
      <c r="C44" t="s">
        <v>210</v>
      </c>
      <c r="D44" t="s">
        <v>192</v>
      </c>
      <c r="E44" s="9" t="s">
        <v>123</v>
      </c>
      <c r="F44" s="19" t="str">
        <f t="shared" si="3"/>
        <v>c 928</v>
      </c>
      <c r="G44" t="str">
        <f t="shared" si="4"/>
        <v>v "\mp3_ost\gagarina.mp3"</v>
      </c>
      <c r="H44" t="str">
        <f t="shared" si="2"/>
        <v>c 928, v "\mp3_ost\gagarina.mp3"</v>
      </c>
    </row>
    <row r="45" spans="1:8" x14ac:dyDescent="0.25">
      <c r="A45" t="s">
        <v>92</v>
      </c>
      <c r="B45" t="s">
        <v>283</v>
      </c>
      <c r="C45" t="s">
        <v>207</v>
      </c>
      <c r="D45" t="s">
        <v>192</v>
      </c>
      <c r="E45" s="9" t="s">
        <v>121</v>
      </c>
      <c r="F45" s="19" t="str">
        <f t="shared" si="3"/>
        <v>c 928</v>
      </c>
      <c r="G45" t="str">
        <f t="shared" si="4"/>
        <v>v "\mp3_ost\darojnay.mp3"</v>
      </c>
      <c r="H45" t="str">
        <f t="shared" si="2"/>
        <v>c 928, v "\mp3_ost\darojnay.mp3"</v>
      </c>
    </row>
    <row r="46" spans="1:8" x14ac:dyDescent="0.25">
      <c r="A46" t="s">
        <v>92</v>
      </c>
      <c r="B46" t="s">
        <v>171</v>
      </c>
      <c r="C46" t="s">
        <v>218</v>
      </c>
      <c r="D46" t="s">
        <v>192</v>
      </c>
      <c r="E46" s="9" t="s">
        <v>130</v>
      </c>
      <c r="F46" s="19" t="str">
        <f t="shared" si="3"/>
        <v>c 928</v>
      </c>
      <c r="G46" t="str">
        <f t="shared" si="4"/>
        <v>v "\mp3_ost\kalinina.mp3"</v>
      </c>
      <c r="H46" t="str">
        <f t="shared" si="2"/>
        <v>c 928, v "\mp3_ost\kalinina.mp3"</v>
      </c>
    </row>
    <row r="47" spans="1:8" x14ac:dyDescent="0.25">
      <c r="A47" t="s">
        <v>92</v>
      </c>
      <c r="B47" t="s">
        <v>284</v>
      </c>
      <c r="C47" t="s">
        <v>236</v>
      </c>
      <c r="D47" t="s">
        <v>192</v>
      </c>
      <c r="E47" s="9" t="s">
        <v>133</v>
      </c>
      <c r="F47" s="19" t="str">
        <f t="shared" si="3"/>
        <v>c 928</v>
      </c>
      <c r="G47" t="str">
        <f t="shared" si="4"/>
        <v>v "\mp3_ost\kupriyan.mp3"</v>
      </c>
      <c r="H47" t="str">
        <f t="shared" si="2"/>
        <v>c 928, v "\mp3_ost\kupriyan.mp3"</v>
      </c>
    </row>
    <row r="48" spans="1:8" x14ac:dyDescent="0.25">
      <c r="A48" t="s">
        <v>92</v>
      </c>
      <c r="B48" t="s">
        <v>285</v>
      </c>
      <c r="C48" t="s">
        <v>224</v>
      </c>
      <c r="D48" t="s">
        <v>193</v>
      </c>
      <c r="E48" s="9" t="s">
        <v>137</v>
      </c>
      <c r="F48" s="19" t="str">
        <f t="shared" si="3"/>
        <v>c 928</v>
      </c>
      <c r="G48" t="str">
        <f t="shared" si="4"/>
        <v>v "\mp3_ost\leninska.mp3"</v>
      </c>
      <c r="H48" t="str">
        <f t="shared" si="2"/>
        <v>c 928, v "\mp3_ost\leninska.mp3"</v>
      </c>
    </row>
    <row r="49" spans="1:8" x14ac:dyDescent="0.25">
      <c r="A49" t="s">
        <v>92</v>
      </c>
      <c r="B49" t="s">
        <v>286</v>
      </c>
      <c r="C49" t="s">
        <v>225</v>
      </c>
      <c r="D49" t="s">
        <v>192</v>
      </c>
      <c r="E49" s="9" t="s">
        <v>138</v>
      </c>
      <c r="F49" s="19" t="str">
        <f t="shared" si="3"/>
        <v>c 928</v>
      </c>
      <c r="G49" t="str">
        <f t="shared" si="4"/>
        <v>v "\mp3_ost\lesnaya.mp3"</v>
      </c>
      <c r="H49" t="str">
        <f t="shared" si="2"/>
        <v>c 928, v "\mp3_ost\lesnaya.mp3"</v>
      </c>
    </row>
    <row r="50" spans="1:8" x14ac:dyDescent="0.25">
      <c r="A50" t="s">
        <v>92</v>
      </c>
      <c r="B50" t="s">
        <v>287</v>
      </c>
      <c r="C50" t="s">
        <v>238</v>
      </c>
      <c r="D50" t="s">
        <v>193</v>
      </c>
      <c r="E50" s="9" t="s">
        <v>135</v>
      </c>
      <c r="F50" s="19" t="str">
        <f t="shared" si="3"/>
        <v>c 928</v>
      </c>
      <c r="G50" t="str">
        <f t="shared" si="4"/>
        <v>v "\mp3_ost\lag.mp3"</v>
      </c>
      <c r="H50" t="str">
        <f t="shared" si="2"/>
        <v>c 928, v "\mp3_ost\lag.mp3"</v>
      </c>
    </row>
    <row r="51" spans="1:8" x14ac:dyDescent="0.25">
      <c r="A51" t="s">
        <v>92</v>
      </c>
      <c r="B51" t="s">
        <v>288</v>
      </c>
      <c r="C51" t="s">
        <v>228</v>
      </c>
      <c r="D51" t="s">
        <v>192</v>
      </c>
      <c r="E51" s="9" t="s">
        <v>141</v>
      </c>
      <c r="F51" s="19" t="str">
        <f t="shared" si="3"/>
        <v>c 928</v>
      </c>
      <c r="G51" t="str">
        <f t="shared" si="4"/>
        <v>v "\mp3_ost\magistra.mp3"</v>
      </c>
      <c r="H51" t="str">
        <f t="shared" si="2"/>
        <v>c 928, v "\mp3_ost\magistra.mp3"</v>
      </c>
    </row>
    <row r="52" spans="1:8" x14ac:dyDescent="0.25">
      <c r="A52" t="s">
        <v>92</v>
      </c>
      <c r="B52" t="s">
        <v>172</v>
      </c>
      <c r="C52" t="s">
        <v>230</v>
      </c>
      <c r="D52" t="s">
        <v>192</v>
      </c>
      <c r="E52" s="9" t="s">
        <v>143</v>
      </c>
      <c r="F52" s="19" t="str">
        <f t="shared" si="3"/>
        <v>c 928</v>
      </c>
      <c r="G52" t="str">
        <f t="shared" si="4"/>
        <v>v "\mp3_ost\moskovsk.mp3"</v>
      </c>
      <c r="H52" t="str">
        <f t="shared" si="2"/>
        <v>c 928, v "\mp3_ost\moskovsk.mp3"</v>
      </c>
    </row>
    <row r="53" spans="1:8" x14ac:dyDescent="0.25">
      <c r="A53" t="s">
        <v>92</v>
      </c>
      <c r="B53" t="s">
        <v>289</v>
      </c>
      <c r="C53" t="s">
        <v>231</v>
      </c>
      <c r="D53" t="s">
        <v>192</v>
      </c>
      <c r="E53" s="9" t="s">
        <v>144</v>
      </c>
      <c r="F53" s="19" t="str">
        <f t="shared" si="3"/>
        <v>c 928</v>
      </c>
      <c r="G53" t="str">
        <f t="shared" si="4"/>
        <v>v "\mp3_ost\nagornay.mp3"</v>
      </c>
      <c r="H53" t="str">
        <f t="shared" si="2"/>
        <v>c 928, v "\mp3_ost\nagornay.mp3"</v>
      </c>
    </row>
    <row r="54" spans="1:8" x14ac:dyDescent="0.25">
      <c r="A54" t="s">
        <v>92</v>
      </c>
      <c r="B54" t="s">
        <v>351</v>
      </c>
      <c r="C54" t="s">
        <v>232</v>
      </c>
      <c r="D54" t="s">
        <v>192</v>
      </c>
      <c r="E54" s="9" t="s">
        <v>145</v>
      </c>
      <c r="F54" s="19" t="str">
        <f t="shared" si="3"/>
        <v>c 928</v>
      </c>
      <c r="G54" t="str">
        <f t="shared" si="4"/>
        <v>v "\mp3_ost\ostrovsk.mp3"</v>
      </c>
      <c r="H54" t="str">
        <f t="shared" si="2"/>
        <v>c 928, v "\mp3_ost\ostrovsk.mp3"</v>
      </c>
    </row>
    <row r="55" spans="1:8" x14ac:dyDescent="0.25">
      <c r="A55" t="s">
        <v>92</v>
      </c>
      <c r="B55" t="s">
        <v>173</v>
      </c>
      <c r="C55" t="s">
        <v>240</v>
      </c>
      <c r="D55" t="s">
        <v>192</v>
      </c>
      <c r="E55" s="9" t="s">
        <v>147</v>
      </c>
      <c r="F55" s="19" t="str">
        <f t="shared" si="3"/>
        <v>c 928</v>
      </c>
      <c r="G55" t="str">
        <f t="shared" si="4"/>
        <v>v "\mp3_ost\partizan.mp3"</v>
      </c>
      <c r="H55" t="str">
        <f t="shared" si="2"/>
        <v>c 928, v "\mp3_ost\partizan.mp3"</v>
      </c>
    </row>
    <row r="56" spans="1:8" x14ac:dyDescent="0.25">
      <c r="A56" t="s">
        <v>92</v>
      </c>
      <c r="B56" t="s">
        <v>290</v>
      </c>
      <c r="C56" t="s">
        <v>245</v>
      </c>
      <c r="D56" t="s">
        <v>192</v>
      </c>
      <c r="E56" s="9" t="s">
        <v>150</v>
      </c>
      <c r="F56" s="19" t="str">
        <f t="shared" si="3"/>
        <v>c 928</v>
      </c>
      <c r="G56" t="str">
        <f t="shared" si="4"/>
        <v>v "\mp3_ost\pyaschan.mp3"</v>
      </c>
      <c r="H56" t="str">
        <f t="shared" si="2"/>
        <v>c 928, v "\mp3_ost\pyaschan.mp3"</v>
      </c>
    </row>
    <row r="57" spans="1:8" x14ac:dyDescent="0.25">
      <c r="A57" t="s">
        <v>92</v>
      </c>
      <c r="B57" t="s">
        <v>178</v>
      </c>
      <c r="C57" t="s">
        <v>246</v>
      </c>
      <c r="D57" t="s">
        <v>192</v>
      </c>
      <c r="E57" s="9" t="s">
        <v>151</v>
      </c>
      <c r="F57" s="19" t="str">
        <f t="shared" si="3"/>
        <v>c 928</v>
      </c>
      <c r="G57" t="str">
        <f t="shared" si="4"/>
        <v>v "\mp3_ost\rokosovs.mp3"</v>
      </c>
      <c r="H57" t="str">
        <f t="shared" si="2"/>
        <v>c 928, v "\mp3_ost\rokosovs.mp3"</v>
      </c>
    </row>
    <row r="58" spans="1:8" x14ac:dyDescent="0.25">
      <c r="A58" t="s">
        <v>92</v>
      </c>
      <c r="B58" t="s">
        <v>291</v>
      </c>
      <c r="C58" t="s">
        <v>255</v>
      </c>
      <c r="D58" t="s">
        <v>192</v>
      </c>
      <c r="E58" s="9" t="s">
        <v>156</v>
      </c>
      <c r="F58" s="19" t="str">
        <f t="shared" si="3"/>
        <v>c 928</v>
      </c>
      <c r="G58" t="str">
        <f t="shared" si="4"/>
        <v>v "\mp3_ost\suhogrya.mp3"</v>
      </c>
      <c r="H58" t="str">
        <f t="shared" si="2"/>
        <v>c 928, v "\mp3_ost\suhogrya.mp3"</v>
      </c>
    </row>
    <row r="59" spans="1:8" x14ac:dyDescent="0.25">
      <c r="A59" t="s">
        <v>92</v>
      </c>
      <c r="B59" t="s">
        <v>174</v>
      </c>
      <c r="C59" t="s">
        <v>258</v>
      </c>
      <c r="D59" t="s">
        <v>192</v>
      </c>
      <c r="E59" s="9" t="s">
        <v>158</v>
      </c>
      <c r="F59" s="19" t="str">
        <f t="shared" si="3"/>
        <v>c 928</v>
      </c>
      <c r="G59" t="str">
        <f t="shared" si="4"/>
        <v>v "\mp3_ost\swrokvas.mp3"</v>
      </c>
      <c r="H59" t="str">
        <f t="shared" si="2"/>
        <v>c 928, v "\mp3_ost\swrokvas.mp3"</v>
      </c>
    </row>
    <row r="60" spans="1:8" x14ac:dyDescent="0.25">
      <c r="A60" t="s">
        <v>92</v>
      </c>
      <c r="B60" t="s">
        <v>292</v>
      </c>
      <c r="C60" t="s">
        <v>265</v>
      </c>
      <c r="D60" t="s">
        <v>192</v>
      </c>
      <c r="E60" s="9" t="s">
        <v>162</v>
      </c>
      <c r="F60" s="19" t="str">
        <f t="shared" si="3"/>
        <v>c 928</v>
      </c>
      <c r="G60" t="str">
        <f t="shared" si="4"/>
        <v>v "\mp3_ost\truda.mp3"</v>
      </c>
      <c r="H60" t="str">
        <f t="shared" si="2"/>
        <v>c 928, v "\mp3_ost\truda.mp3"</v>
      </c>
    </row>
    <row r="61" spans="1:8" x14ac:dyDescent="0.25">
      <c r="B61" t="s">
        <v>266</v>
      </c>
      <c r="C61" t="s">
        <v>267</v>
      </c>
      <c r="D61" t="s">
        <v>192</v>
      </c>
      <c r="E61" s="9" t="s">
        <v>163</v>
      </c>
      <c r="F61" s="19" t="str">
        <f t="shared" si="3"/>
        <v/>
      </c>
      <c r="G61" t="str">
        <f t="shared" si="4"/>
        <v>v "\mp3_ost\universa.mp3"</v>
      </c>
      <c r="H61" t="str">
        <f t="shared" si="2"/>
        <v>v "\mp3_ost\universa.mp3"</v>
      </c>
    </row>
    <row r="62" spans="1:8" x14ac:dyDescent="0.25">
      <c r="B62" t="s">
        <v>206</v>
      </c>
      <c r="C62" t="s">
        <v>205</v>
      </c>
      <c r="D62" t="s">
        <v>193</v>
      </c>
      <c r="E62" s="9" t="s">
        <v>120</v>
      </c>
      <c r="F62" s="19" t="str">
        <f t="shared" si="3"/>
        <v/>
      </c>
      <c r="G62" t="str">
        <f t="shared" si="4"/>
        <v>v "\mp3_ost\carkva.mp3"</v>
      </c>
      <c r="H62" t="str">
        <f t="shared" si="2"/>
        <v>v "\mp3_ost\carkva.mp3"</v>
      </c>
    </row>
    <row r="63" spans="1:8" x14ac:dyDescent="0.25">
      <c r="B63" t="s">
        <v>209</v>
      </c>
      <c r="C63" t="s">
        <v>208</v>
      </c>
      <c r="D63" t="s">
        <v>192</v>
      </c>
      <c r="E63" s="9" t="s">
        <v>122</v>
      </c>
      <c r="F63" s="19" t="str">
        <f t="shared" si="3"/>
        <v/>
      </c>
      <c r="G63" t="str">
        <f t="shared" si="4"/>
        <v>v "\mp3_ost\elseti.mp3"</v>
      </c>
      <c r="H63" t="str">
        <f t="shared" si="2"/>
        <v>v "\mp3_ost\elseti.mp3"</v>
      </c>
    </row>
  </sheetData>
  <dataValidations count="1">
    <dataValidation type="list" allowBlank="1" showInputMessage="1" showErrorMessage="1" sqref="A2:A63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4"/>
  <sheetViews>
    <sheetView workbookViewId="0">
      <selection activeCell="D1" sqref="D1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20"/>
    <col min="4" max="4" width="16.25" style="21" bestFit="1" customWidth="1"/>
    <col min="5" max="5" width="17.25" style="21" bestFit="1" customWidth="1"/>
  </cols>
  <sheetData>
    <row r="1" spans="1:5" s="22" customFormat="1" x14ac:dyDescent="0.25">
      <c r="A1" s="26"/>
      <c r="B1" s="26"/>
      <c r="C1" s="7" t="s">
        <v>341</v>
      </c>
      <c r="D1" s="23" t="s">
        <v>293</v>
      </c>
      <c r="E1" s="23" t="s">
        <v>294</v>
      </c>
    </row>
    <row r="2" spans="1:5" x14ac:dyDescent="0.25">
      <c r="A2" s="27">
        <f>route!A3</f>
        <v>1</v>
      </c>
      <c r="B2" s="15" t="str">
        <f>route!B3</f>
        <v>1 Труда - КЗТШ</v>
      </c>
      <c r="C2" s="20" t="s">
        <v>295</v>
      </c>
      <c r="D2" s="21" t="s">
        <v>296</v>
      </c>
      <c r="E2" s="21" t="s">
        <v>221</v>
      </c>
    </row>
    <row r="3" spans="1:5" x14ac:dyDescent="0.25">
      <c r="A3" s="27">
        <f>route!A4</f>
        <v>2</v>
      </c>
      <c r="B3" s="15" t="str">
        <f>route!B4</f>
        <v>2 Бажора-Пож. часть</v>
      </c>
      <c r="C3" s="20" t="s">
        <v>19</v>
      </c>
      <c r="D3" s="21" t="s">
        <v>297</v>
      </c>
      <c r="E3" s="21" t="s">
        <v>300</v>
      </c>
    </row>
    <row r="4" spans="1:5" x14ac:dyDescent="0.25">
      <c r="A4" s="27">
        <f>route!A5</f>
        <v>3</v>
      </c>
      <c r="B4" s="15" t="str">
        <f>route!B5</f>
        <v>3 Кузн.3-Новогрядск.</v>
      </c>
      <c r="C4" s="20" t="s">
        <v>27</v>
      </c>
      <c r="D4" s="21" t="s">
        <v>301</v>
      </c>
      <c r="E4" s="21" t="s">
        <v>302</v>
      </c>
    </row>
    <row r="5" spans="1:5" x14ac:dyDescent="0.25">
      <c r="A5" s="27">
        <f>route!A6</f>
        <v>4</v>
      </c>
      <c r="B5" s="15" t="str">
        <f>route!B6</f>
        <v>4 Советская-Косьё</v>
      </c>
      <c r="C5" s="20" t="s">
        <v>20</v>
      </c>
      <c r="D5" s="21" t="s">
        <v>298</v>
      </c>
      <c r="E5" s="21" t="s">
        <v>299</v>
      </c>
    </row>
    <row r="6" spans="1:5" x14ac:dyDescent="0.25">
      <c r="A6" s="27">
        <f>route!A7</f>
        <v>5</v>
      </c>
      <c r="B6" s="15" t="str">
        <f>route!B7</f>
        <v>5 в/ч-Рокосовского</v>
      </c>
      <c r="C6" s="20" t="s">
        <v>21</v>
      </c>
      <c r="D6" s="21" t="s">
        <v>304</v>
      </c>
      <c r="E6" s="21" t="s">
        <v>305</v>
      </c>
    </row>
    <row r="7" spans="1:5" x14ac:dyDescent="0.25">
      <c r="A7" s="27">
        <f>route!A8</f>
        <v>6</v>
      </c>
      <c r="B7" s="15" t="str">
        <f>route!B8</f>
        <v>6 Советск.-Пож.часть</v>
      </c>
      <c r="C7" s="20" t="s">
        <v>22</v>
      </c>
      <c r="D7" s="21" t="s">
        <v>298</v>
      </c>
      <c r="E7" s="21" t="s">
        <v>305</v>
      </c>
    </row>
    <row r="8" spans="1:5" x14ac:dyDescent="0.25">
      <c r="A8" s="27">
        <f>route!A9</f>
        <v>60</v>
      </c>
      <c r="B8" s="15" t="str">
        <f>route!B9</f>
        <v>6а Советск.-9 мр-н</v>
      </c>
      <c r="C8" s="20" t="s">
        <v>306</v>
      </c>
      <c r="D8" s="21" t="s">
        <v>298</v>
      </c>
      <c r="E8" s="21" t="s">
        <v>307</v>
      </c>
    </row>
    <row r="9" spans="1:5" x14ac:dyDescent="0.25">
      <c r="A9" s="27">
        <f>route!A10</f>
        <v>7</v>
      </c>
      <c r="B9" s="15" t="str">
        <f>route!B10</f>
        <v>7 в/ч-Магистральная</v>
      </c>
      <c r="C9" s="20" t="s">
        <v>23</v>
      </c>
      <c r="D9" s="21" t="s">
        <v>304</v>
      </c>
      <c r="E9" s="21" t="s">
        <v>308</v>
      </c>
    </row>
    <row r="10" spans="1:5" x14ac:dyDescent="0.25">
      <c r="A10" s="27">
        <f>route!A11</f>
        <v>8</v>
      </c>
      <c r="B10" s="15" t="str">
        <f>route!B11</f>
        <v>8 АС Жодино-КЗТШ</v>
      </c>
      <c r="C10" s="20" t="s">
        <v>24</v>
      </c>
      <c r="D10" s="21" t="s">
        <v>303</v>
      </c>
      <c r="E10" s="21" t="s">
        <v>221</v>
      </c>
    </row>
    <row r="11" spans="1:5" x14ac:dyDescent="0.25">
      <c r="A11" s="27">
        <f>route!A12</f>
        <v>80</v>
      </c>
      <c r="B11" s="15" t="str">
        <f>route!B12</f>
        <v>8a АС Жодино-КЗТШ</v>
      </c>
      <c r="C11" s="20" t="s">
        <v>309</v>
      </c>
      <c r="D11" s="21" t="s">
        <v>303</v>
      </c>
      <c r="E11" s="21" t="s">
        <v>221</v>
      </c>
    </row>
    <row r="12" spans="1:5" x14ac:dyDescent="0.25">
      <c r="A12" s="27">
        <f>route!A13</f>
        <v>81</v>
      </c>
      <c r="B12" s="15" t="str">
        <f>route!B13</f>
        <v>8_ КЗТШ-АС Жодино</v>
      </c>
      <c r="C12" s="20" t="s">
        <v>24</v>
      </c>
      <c r="D12" s="21" t="s">
        <v>310</v>
      </c>
      <c r="E12" s="21" t="s">
        <v>311</v>
      </c>
    </row>
    <row r="13" spans="1:5" x14ac:dyDescent="0.25">
      <c r="A13" s="27">
        <f>route!A14</f>
        <v>9</v>
      </c>
      <c r="B13" s="15" t="str">
        <f>route!B14</f>
        <v>9 Бажора-КЗТШ</v>
      </c>
      <c r="C13" s="20" t="s">
        <v>25</v>
      </c>
      <c r="D13" s="21" t="s">
        <v>297</v>
      </c>
      <c r="E13" s="21" t="s">
        <v>221</v>
      </c>
    </row>
    <row r="14" spans="1:5" x14ac:dyDescent="0.25">
      <c r="A14" s="27">
        <f>route!A15</f>
        <v>11</v>
      </c>
      <c r="B14" s="15" t="str">
        <f>route!B15</f>
        <v>11 Труда-Вост.кладб.</v>
      </c>
      <c r="C14" s="20" t="s">
        <v>26</v>
      </c>
      <c r="D14" s="21" t="s">
        <v>296</v>
      </c>
      <c r="E14" s="21" t="s">
        <v>312</v>
      </c>
    </row>
    <row r="15" spans="1:5" x14ac:dyDescent="0.25">
      <c r="A15" s="27"/>
    </row>
    <row r="16" spans="1:5" x14ac:dyDescent="0.25">
      <c r="A16" s="27">
        <f>route!A17</f>
        <v>10</v>
      </c>
      <c r="B16" s="15" t="str">
        <f>route!B17</f>
        <v>Город 1 Смолевичи</v>
      </c>
      <c r="C16" s="20" t="s">
        <v>295</v>
      </c>
      <c r="D16" s="21" t="s">
        <v>313</v>
      </c>
      <c r="E16" s="21" t="s">
        <v>314</v>
      </c>
    </row>
    <row r="17" spans="1:5" x14ac:dyDescent="0.25">
      <c r="A17" s="27"/>
    </row>
    <row r="18" spans="1:5" x14ac:dyDescent="0.25">
      <c r="A18" s="27">
        <f>route!A19</f>
        <v>208</v>
      </c>
      <c r="B18" s="15" t="str">
        <f>route!B19</f>
        <v>Барсуки</v>
      </c>
      <c r="C18" s="20" t="s">
        <v>315</v>
      </c>
      <c r="D18" s="21" t="s">
        <v>316</v>
      </c>
      <c r="E18" s="21" t="s">
        <v>6</v>
      </c>
    </row>
    <row r="19" spans="1:5" x14ac:dyDescent="0.25">
      <c r="A19" s="27">
        <f>route!A20</f>
        <v>212</v>
      </c>
      <c r="B19" s="15" t="str">
        <f>route!B20</f>
        <v>Будагово</v>
      </c>
      <c r="C19" s="20" t="s">
        <v>317</v>
      </c>
      <c r="D19" s="21" t="s">
        <v>316</v>
      </c>
      <c r="E19" s="21" t="s">
        <v>62</v>
      </c>
    </row>
    <row r="20" spans="1:5" x14ac:dyDescent="0.25">
      <c r="A20" s="27">
        <f>route!A21</f>
        <v>219</v>
      </c>
      <c r="B20" s="15" t="str">
        <f>route!B21</f>
        <v>Замлынье</v>
      </c>
      <c r="C20" s="20" t="s">
        <v>318</v>
      </c>
      <c r="D20" s="21" t="s">
        <v>316</v>
      </c>
      <c r="E20" s="21" t="s">
        <v>7</v>
      </c>
    </row>
    <row r="21" spans="1:5" x14ac:dyDescent="0.25">
      <c r="A21" s="27">
        <f>route!A22</f>
        <v>211</v>
      </c>
      <c r="B21" s="15" t="str">
        <f>route!B22</f>
        <v>Зеленый Бор</v>
      </c>
      <c r="C21" s="20" t="s">
        <v>320</v>
      </c>
      <c r="D21" s="21" t="s">
        <v>316</v>
      </c>
      <c r="E21" s="21" t="s">
        <v>76</v>
      </c>
    </row>
    <row r="22" spans="1:5" x14ac:dyDescent="0.25">
      <c r="A22" s="27">
        <f>route!A23</f>
        <v>197</v>
      </c>
      <c r="B22" s="15" t="str">
        <f>route!B23</f>
        <v>Логойск</v>
      </c>
      <c r="C22" s="20" t="s">
        <v>323</v>
      </c>
      <c r="D22" s="21" t="s">
        <v>316</v>
      </c>
      <c r="E22" s="21" t="s">
        <v>66</v>
      </c>
    </row>
    <row r="23" spans="1:5" x14ac:dyDescent="0.25">
      <c r="A23" s="27">
        <f>route!A24</f>
        <v>204</v>
      </c>
      <c r="B23" s="15" t="str">
        <f>route!B24</f>
        <v>Лютка</v>
      </c>
      <c r="C23" s="20" t="s">
        <v>319</v>
      </c>
      <c r="D23" s="21" t="s">
        <v>316</v>
      </c>
      <c r="E23" s="21" t="s">
        <v>65</v>
      </c>
    </row>
    <row r="24" spans="1:5" x14ac:dyDescent="0.25">
      <c r="A24" s="27">
        <f>route!A25</f>
        <v>205</v>
      </c>
      <c r="B24" s="15" t="str">
        <f>route!B25</f>
        <v>Напалки</v>
      </c>
      <c r="C24" s="20" t="s">
        <v>322</v>
      </c>
      <c r="D24" s="21" t="s">
        <v>316</v>
      </c>
      <c r="E24" s="21" t="s">
        <v>67</v>
      </c>
    </row>
    <row r="25" spans="1:5" x14ac:dyDescent="0.25">
      <c r="A25" s="27">
        <f>route!A26</f>
        <v>216</v>
      </c>
      <c r="B25" s="15" t="str">
        <f>route!B26</f>
        <v>Сутоки</v>
      </c>
      <c r="C25" s="20" t="s">
        <v>325</v>
      </c>
      <c r="D25" s="21" t="s">
        <v>316</v>
      </c>
      <c r="E25" s="21" t="s">
        <v>71</v>
      </c>
    </row>
    <row r="26" spans="1:5" x14ac:dyDescent="0.25">
      <c r="A26" s="27">
        <f>route!A27</f>
        <v>209</v>
      </c>
      <c r="B26" s="15" t="str">
        <f>route!B27</f>
        <v>Точилище</v>
      </c>
      <c r="C26" s="20" t="s">
        <v>321</v>
      </c>
      <c r="D26" s="21" t="s">
        <v>316</v>
      </c>
      <c r="E26" s="21" t="s">
        <v>324</v>
      </c>
    </row>
    <row r="27" spans="1:5" x14ac:dyDescent="0.25">
      <c r="A27" s="27">
        <f>route!A28</f>
        <v>202</v>
      </c>
      <c r="B27" s="15" t="str">
        <f>route!B28</f>
        <v>Юзефово</v>
      </c>
      <c r="C27" s="20" t="s">
        <v>326</v>
      </c>
      <c r="D27" s="21" t="s">
        <v>316</v>
      </c>
      <c r="E27" s="21" t="s">
        <v>73</v>
      </c>
    </row>
    <row r="28" spans="1:5" x14ac:dyDescent="0.25">
      <c r="A28" s="27">
        <f>route!A29</f>
        <v>210</v>
      </c>
      <c r="B28" s="15" t="str">
        <f>route!B29</f>
        <v>Яловица</v>
      </c>
      <c r="C28" s="20" t="s">
        <v>327</v>
      </c>
      <c r="D28" s="21" t="s">
        <v>316</v>
      </c>
      <c r="E28" s="21" t="s">
        <v>64</v>
      </c>
    </row>
    <row r="29" spans="1:5" x14ac:dyDescent="0.25">
      <c r="A29" s="27"/>
    </row>
    <row r="30" spans="1:5" x14ac:dyDescent="0.25">
      <c r="A30" s="27">
        <f>route!A31</f>
        <v>207</v>
      </c>
      <c r="B30" s="15" t="str">
        <f>route!B31</f>
        <v>с/т Автомобилист</v>
      </c>
      <c r="C30" s="20" t="s">
        <v>328</v>
      </c>
      <c r="D30" s="21" t="s">
        <v>316</v>
      </c>
      <c r="E30" s="21" t="s">
        <v>333</v>
      </c>
    </row>
    <row r="31" spans="1:5" x14ac:dyDescent="0.25">
      <c r="A31" s="27">
        <f>route!A32</f>
        <v>214</v>
      </c>
      <c r="B31" s="15" t="str">
        <f>route!B32</f>
        <v>с/т Журавинка</v>
      </c>
      <c r="C31" s="20" t="s">
        <v>329</v>
      </c>
      <c r="D31" s="21" t="s">
        <v>316</v>
      </c>
      <c r="E31" s="21" t="s">
        <v>60</v>
      </c>
    </row>
    <row r="32" spans="1:5" x14ac:dyDescent="0.25">
      <c r="A32" s="27">
        <f>route!A33</f>
        <v>614</v>
      </c>
      <c r="B32" s="15" t="str">
        <f>route!B33</f>
        <v>пов. с/т Журавинка</v>
      </c>
      <c r="C32" s="20" t="s">
        <v>329</v>
      </c>
      <c r="D32" s="21" t="s">
        <v>316</v>
      </c>
      <c r="E32" s="21" t="s">
        <v>334</v>
      </c>
    </row>
    <row r="33" spans="1:5" x14ac:dyDescent="0.25">
      <c r="A33" s="27">
        <f>route!A34</f>
        <v>201</v>
      </c>
      <c r="B33" s="15" t="str">
        <f>route!B34</f>
        <v>с/т Радуга</v>
      </c>
      <c r="C33" s="20" t="s">
        <v>330</v>
      </c>
      <c r="D33" s="21" t="s">
        <v>316</v>
      </c>
      <c r="E33" s="21" t="s">
        <v>58</v>
      </c>
    </row>
    <row r="34" spans="1:5" x14ac:dyDescent="0.25">
      <c r="A34" s="27">
        <f>route!A35</f>
        <v>213</v>
      </c>
      <c r="B34" s="15" t="str">
        <f>route!B35</f>
        <v>с/т Родничок</v>
      </c>
      <c r="C34" s="20" t="s">
        <v>331</v>
      </c>
      <c r="D34" s="21" t="s">
        <v>316</v>
      </c>
      <c r="E34" s="21" t="s">
        <v>68</v>
      </c>
    </row>
    <row r="35" spans="1:5" x14ac:dyDescent="0.25">
      <c r="A35" s="27">
        <f>route!A36</f>
        <v>203</v>
      </c>
      <c r="B35" s="15" t="str">
        <f>route!B36</f>
        <v>с/т Строитель</v>
      </c>
      <c r="C35" s="20" t="s">
        <v>332</v>
      </c>
      <c r="D35" s="21" t="s">
        <v>316</v>
      </c>
      <c r="E35" s="21" t="s">
        <v>59</v>
      </c>
    </row>
    <row r="36" spans="1:5" x14ac:dyDescent="0.25">
      <c r="A36" s="27"/>
    </row>
    <row r="37" spans="1:5" x14ac:dyDescent="0.25">
      <c r="A37" s="27">
        <f>route!A38</f>
        <v>100</v>
      </c>
      <c r="B37" s="15" t="str">
        <f>route!B38</f>
        <v>СЛУЖЕБНЫЙ</v>
      </c>
      <c r="D37" s="21" t="s">
        <v>69</v>
      </c>
    </row>
    <row r="38" spans="1:5" x14ac:dyDescent="0.25">
      <c r="A38" s="27">
        <f>route!A39</f>
        <v>101</v>
      </c>
      <c r="B38" s="15" t="str">
        <f>route!B39</f>
        <v>ЗАКАЗНОЙ</v>
      </c>
      <c r="D38" s="21" t="s">
        <v>75</v>
      </c>
    </row>
    <row r="39" spans="1:5" x14ac:dyDescent="0.25">
      <c r="A39" s="27">
        <f>route!A40</f>
        <v>102</v>
      </c>
      <c r="B39" s="15" t="str">
        <f>route!B40</f>
        <v>СНЕКПРО</v>
      </c>
      <c r="D39" s="21" t="s">
        <v>70</v>
      </c>
    </row>
    <row r="40" spans="1:5" x14ac:dyDescent="0.25">
      <c r="A40" s="27">
        <f>route!A41</f>
        <v>103</v>
      </c>
      <c r="B40" s="15" t="str">
        <f>route!B41</f>
        <v>ДЕТИ</v>
      </c>
      <c r="D40" s="21" t="s">
        <v>63</v>
      </c>
    </row>
    <row r="41" spans="1:5" x14ac:dyDescent="0.25">
      <c r="A41" s="27">
        <f>route!A42</f>
        <v>104</v>
      </c>
      <c r="B41" s="15" t="str">
        <f>route!B42</f>
        <v>В ПАРК</v>
      </c>
      <c r="D41" s="21" t="s">
        <v>335</v>
      </c>
      <c r="E41" s="21" t="s">
        <v>336</v>
      </c>
    </row>
    <row r="42" spans="1:5" x14ac:dyDescent="0.25">
      <c r="A42" s="27"/>
    </row>
    <row r="43" spans="1:5" x14ac:dyDescent="0.25">
      <c r="A43" s="27"/>
    </row>
    <row r="44" spans="1:5" x14ac:dyDescent="0.25">
      <c r="A44" s="27"/>
    </row>
  </sheetData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/>
  <dimension ref="A1:K102"/>
  <sheetViews>
    <sheetView topLeftCell="B1" workbookViewId="0">
      <selection activeCell="B1" sqref="B1"/>
    </sheetView>
  </sheetViews>
  <sheetFormatPr defaultRowHeight="14.3" x14ac:dyDescent="0.25"/>
  <cols>
    <col min="1" max="1" width="22.625" hidden="1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4" bestFit="1" customWidth="1"/>
    <col min="8" max="8" width="5.25" style="24" hidden="1" customWidth="1"/>
    <col min="9" max="9" width="29.625" style="24" hidden="1" customWidth="1"/>
    <col min="10" max="10" width="5.25" style="24" hidden="1" customWidth="1"/>
    <col min="11" max="11" width="74.25" bestFit="1" customWidth="1"/>
  </cols>
  <sheetData>
    <row r="1" spans="1:11" s="1" customFormat="1" x14ac:dyDescent="0.25">
      <c r="A1" s="14" t="s">
        <v>81</v>
      </c>
      <c r="B1" s="2">
        <v>3</v>
      </c>
      <c r="C1" s="2"/>
      <c r="D1" s="2"/>
      <c r="E1" s="13"/>
      <c r="F1" s="13"/>
      <c r="G1" s="2"/>
      <c r="H1" s="2"/>
      <c r="I1" s="2"/>
      <c r="J1" s="2"/>
      <c r="K1" s="4" t="s">
        <v>8</v>
      </c>
    </row>
    <row r="2" spans="1:11" x14ac:dyDescent="0.25">
      <c r="A2" s="15">
        <f ca="1">INDIRECT(ADDRESS($B$1,3,4,1,"route"))</f>
        <v>1</v>
      </c>
      <c r="B2" s="1" t="s">
        <v>350</v>
      </c>
      <c r="C2" s="1" t="s">
        <v>348</v>
      </c>
      <c r="D2" s="1" t="s">
        <v>347</v>
      </c>
      <c r="E2" s="1" t="s">
        <v>85</v>
      </c>
      <c r="F2" s="1" t="s">
        <v>349</v>
      </c>
      <c r="G2" s="1" t="s">
        <v>339</v>
      </c>
      <c r="K2" s="16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1" x14ac:dyDescent="0.25">
      <c r="A3" s="15" t="str">
        <f ca="1">INDIRECT(ADDRESS($B$1,2,4,1,"route"))</f>
        <v>1 Труда - КЗТШ</v>
      </c>
      <c r="B3">
        <f>ROW(B3)</f>
        <v>3</v>
      </c>
      <c r="E3" t="s">
        <v>337</v>
      </c>
      <c r="G3" s="24">
        <f>B8</f>
        <v>8</v>
      </c>
      <c r="K3" s="15" t="str">
        <f>"&lt;unit"&amp;TEXT(B3,"000")&amp;"&gt; """&amp;E3&amp;""" {d 000, n "&amp;TEXT(G3,"000")&amp;"}"</f>
        <v>&lt;unit003&gt; "Прямой" {d 000, n 008}</v>
      </c>
    </row>
    <row r="4" spans="1:11" x14ac:dyDescent="0.25">
      <c r="A4" s="15" t="str">
        <f ca="1">TEXT(INDIRECT(ADDRESS($B$1,1,4,1,"route")),"000")</f>
        <v>001</v>
      </c>
      <c r="B4">
        <f>ROW(B4)</f>
        <v>4</v>
      </c>
      <c r="E4" t="s">
        <v>338</v>
      </c>
      <c r="G4" s="24">
        <f>B50</f>
        <v>50</v>
      </c>
      <c r="K4" s="15" t="str">
        <f>"&lt;unit"&amp;TEXT(B4,"000")&amp;"&gt; """&amp;E4&amp;""" {d 000, n "&amp;TEXT(G4,"000")&amp;"}"</f>
        <v>&lt;unit004&gt; "Обратный" {d 000, n 050}</v>
      </c>
    </row>
    <row r="5" spans="1:11" x14ac:dyDescent="0.25">
      <c r="A5" s="15"/>
      <c r="K5" s="15"/>
    </row>
    <row r="6" spans="1:11" x14ac:dyDescent="0.25">
      <c r="B6">
        <f>ROW(B6)</f>
        <v>6</v>
      </c>
      <c r="E6" s="25" t="s">
        <v>340</v>
      </c>
      <c r="F6" s="25"/>
      <c r="G6" s="24">
        <f>B8</f>
        <v>8</v>
      </c>
      <c r="K6" s="15" t="str">
        <f>"&lt;unit"&amp;TEXT(B6,"000")&amp;"&gt; """&amp;E6&amp;""" {d 000, n "&amp;TEXT(G6,"000")&amp;"}"</f>
        <v>&lt;unit006&gt; "----- Прямой -----" {d 000, n 008}</v>
      </c>
    </row>
    <row r="7" spans="1:11" x14ac:dyDescent="0.25">
      <c r="K7" s="15"/>
    </row>
    <row r="8" spans="1:11" x14ac:dyDescent="0.25">
      <c r="B8">
        <f>ROW(B8)</f>
        <v>8</v>
      </c>
      <c r="C8" t="s">
        <v>85</v>
      </c>
      <c r="D8" t="str">
        <f>IF(H8="c 900","&gt;&gt;","")</f>
        <v/>
      </c>
      <c r="E8" t="s">
        <v>292</v>
      </c>
      <c r="G8" s="24">
        <f t="shared" ref="G8:G45" si="0">B9</f>
        <v>9</v>
      </c>
      <c r="H8" s="24" t="str">
        <f t="shared" ref="H8:H46" si="1">IFERROR("c "&amp;VLOOKUP(C8,Punkti,2,FALSE),"")</f>
        <v>c 902</v>
      </c>
      <c r="I8" s="28" t="str">
        <f t="shared" ref="I8:I46" si="2">IFERROR(VLOOKUP(E8,Ostanovki,7,FALSE),"")</f>
        <v>c 928, v "\mp3_ost\truda.mp3"</v>
      </c>
      <c r="J8" s="24" t="str">
        <f t="shared" ref="J8:J46" si="3">IFERROR("c "&amp;VLOOKUP(F8,Punkti,2,FALSE),"")</f>
        <v/>
      </c>
      <c r="K8" s="15" t="str">
        <f t="shared" ref="K8:K46" si="4">"&lt;unit"&amp;TEXT(B8,"000")&amp;"&gt; """&amp;СцепитьМного(D8:E8,"")&amp;""" {"&amp;СцепитьМного(H8:J8,", ")&amp;", d 000, n "&amp;TEXT(G8,"000")&amp;"}"</f>
        <v>&lt;unit008&gt; "ул.Труда" {c 902, c 928, v "\mp3_ost\truda.mp3", d 000, n 009}</v>
      </c>
    </row>
    <row r="9" spans="1:11" x14ac:dyDescent="0.25">
      <c r="B9">
        <f t="shared" ref="B9:B46" si="5">ROW(B9)</f>
        <v>9</v>
      </c>
      <c r="C9" t="s">
        <v>344</v>
      </c>
      <c r="D9" t="str">
        <f>IF(H9="c 900","&gt;&gt;","")</f>
        <v>&gt;&gt;</v>
      </c>
      <c r="G9" s="24">
        <f t="shared" si="0"/>
        <v>10</v>
      </c>
      <c r="H9" s="24" t="str">
        <f t="shared" si="1"/>
        <v>c 900</v>
      </c>
      <c r="I9" s="28" t="str">
        <f t="shared" si="2"/>
        <v/>
      </c>
      <c r="J9" s="24" t="str">
        <f t="shared" si="3"/>
        <v/>
      </c>
      <c r="K9" s="15" t="str">
        <f t="shared" si="4"/>
        <v>&lt;unit009&gt; "&gt;&gt;" {c 900, d 000, n 010}</v>
      </c>
    </row>
    <row r="10" spans="1:11" x14ac:dyDescent="0.25">
      <c r="B10">
        <f t="shared" si="5"/>
        <v>10</v>
      </c>
      <c r="C10" t="s">
        <v>85</v>
      </c>
      <c r="D10" t="str">
        <f t="shared" ref="D10:D46" si="6">IF(H10="c 900","&gt;&gt;","")</f>
        <v/>
      </c>
      <c r="G10" s="24">
        <f t="shared" si="0"/>
        <v>11</v>
      </c>
      <c r="H10" s="24" t="str">
        <f t="shared" si="1"/>
        <v>c 902</v>
      </c>
      <c r="I10" s="28" t="str">
        <f t="shared" si="2"/>
        <v/>
      </c>
      <c r="J10" s="24" t="str">
        <f t="shared" si="3"/>
        <v/>
      </c>
      <c r="K10" s="15" t="str">
        <f t="shared" si="4"/>
        <v>&lt;unit010&gt; "" {c 902, d 000, n 011}</v>
      </c>
    </row>
    <row r="11" spans="1:11" x14ac:dyDescent="0.25">
      <c r="B11">
        <f t="shared" si="5"/>
        <v>11</v>
      </c>
      <c r="C11" t="s">
        <v>344</v>
      </c>
      <c r="D11" t="str">
        <f t="shared" si="6"/>
        <v>&gt;&gt;</v>
      </c>
      <c r="G11" s="24">
        <f t="shared" si="0"/>
        <v>12</v>
      </c>
      <c r="H11" s="24" t="str">
        <f t="shared" si="1"/>
        <v>c 900</v>
      </c>
      <c r="I11" s="28" t="str">
        <f t="shared" si="2"/>
        <v/>
      </c>
      <c r="J11" s="24" t="str">
        <f t="shared" si="3"/>
        <v/>
      </c>
      <c r="K11" s="15" t="str">
        <f t="shared" si="4"/>
        <v>&lt;unit011&gt; "&gt;&gt;" {c 900, d 000, n 012}</v>
      </c>
    </row>
    <row r="12" spans="1:11" x14ac:dyDescent="0.25">
      <c r="B12">
        <f t="shared" si="5"/>
        <v>12</v>
      </c>
      <c r="C12" t="s">
        <v>85</v>
      </c>
      <c r="D12" t="str">
        <f t="shared" si="6"/>
        <v/>
      </c>
      <c r="G12" s="24">
        <f t="shared" si="0"/>
        <v>13</v>
      </c>
      <c r="H12" s="24" t="str">
        <f t="shared" si="1"/>
        <v>c 902</v>
      </c>
      <c r="I12" s="28" t="str">
        <f t="shared" si="2"/>
        <v/>
      </c>
      <c r="J12" s="24" t="str">
        <f t="shared" si="3"/>
        <v/>
      </c>
      <c r="K12" s="15" t="str">
        <f t="shared" si="4"/>
        <v>&lt;unit012&gt; "" {c 902, d 000, n 013}</v>
      </c>
    </row>
    <row r="13" spans="1:11" x14ac:dyDescent="0.25">
      <c r="B13">
        <f t="shared" si="5"/>
        <v>13</v>
      </c>
      <c r="C13" t="s">
        <v>344</v>
      </c>
      <c r="D13" t="str">
        <f t="shared" si="6"/>
        <v>&gt;&gt;</v>
      </c>
      <c r="G13" s="24">
        <f t="shared" si="0"/>
        <v>14</v>
      </c>
      <c r="H13" s="24" t="str">
        <f t="shared" si="1"/>
        <v>c 900</v>
      </c>
      <c r="I13" s="28" t="str">
        <f t="shared" si="2"/>
        <v/>
      </c>
      <c r="J13" s="24" t="str">
        <f t="shared" si="3"/>
        <v/>
      </c>
      <c r="K13" s="15" t="str">
        <f t="shared" si="4"/>
        <v>&lt;unit013&gt; "&gt;&gt;" {c 900, d 000, n 014}</v>
      </c>
    </row>
    <row r="14" spans="1:11" x14ac:dyDescent="0.25">
      <c r="B14">
        <f t="shared" si="5"/>
        <v>14</v>
      </c>
      <c r="C14" t="s">
        <v>85</v>
      </c>
      <c r="D14" t="str">
        <f t="shared" si="6"/>
        <v/>
      </c>
      <c r="G14" s="24">
        <f t="shared" si="0"/>
        <v>15</v>
      </c>
      <c r="H14" s="24" t="str">
        <f t="shared" si="1"/>
        <v>c 902</v>
      </c>
      <c r="I14" s="28" t="str">
        <f t="shared" si="2"/>
        <v/>
      </c>
      <c r="J14" s="24" t="str">
        <f t="shared" si="3"/>
        <v/>
      </c>
      <c r="K14" s="15" t="str">
        <f t="shared" si="4"/>
        <v>&lt;unit014&gt; "" {c 902, d 000, n 015}</v>
      </c>
    </row>
    <row r="15" spans="1:11" x14ac:dyDescent="0.25">
      <c r="B15">
        <f t="shared" si="5"/>
        <v>15</v>
      </c>
      <c r="C15" t="s">
        <v>344</v>
      </c>
      <c r="D15" t="str">
        <f t="shared" si="6"/>
        <v>&gt;&gt;</v>
      </c>
      <c r="G15" s="24">
        <f t="shared" si="0"/>
        <v>16</v>
      </c>
      <c r="H15" s="24" t="str">
        <f t="shared" si="1"/>
        <v>c 900</v>
      </c>
      <c r="I15" s="28" t="str">
        <f t="shared" si="2"/>
        <v/>
      </c>
      <c r="J15" s="24" t="str">
        <f t="shared" si="3"/>
        <v/>
      </c>
      <c r="K15" s="15" t="str">
        <f t="shared" si="4"/>
        <v>&lt;unit015&gt; "&gt;&gt;" {c 900, d 000, n 016}</v>
      </c>
    </row>
    <row r="16" spans="1:11" x14ac:dyDescent="0.25">
      <c r="B16">
        <f t="shared" si="5"/>
        <v>16</v>
      </c>
      <c r="C16" t="s">
        <v>85</v>
      </c>
      <c r="D16" t="str">
        <f t="shared" si="6"/>
        <v/>
      </c>
      <c r="G16" s="24">
        <f t="shared" si="0"/>
        <v>17</v>
      </c>
      <c r="H16" s="24" t="str">
        <f t="shared" si="1"/>
        <v>c 902</v>
      </c>
      <c r="I16" s="28" t="str">
        <f t="shared" si="2"/>
        <v/>
      </c>
      <c r="J16" s="24" t="str">
        <f t="shared" si="3"/>
        <v/>
      </c>
      <c r="K16" s="15" t="str">
        <f t="shared" si="4"/>
        <v>&lt;unit016&gt; "" {c 902, d 000, n 017}</v>
      </c>
    </row>
    <row r="17" spans="2:11" x14ac:dyDescent="0.25">
      <c r="B17">
        <f t="shared" si="5"/>
        <v>17</v>
      </c>
      <c r="C17" t="s">
        <v>344</v>
      </c>
      <c r="D17" t="str">
        <f t="shared" si="6"/>
        <v>&gt;&gt;</v>
      </c>
      <c r="G17" s="24">
        <f t="shared" si="0"/>
        <v>18</v>
      </c>
      <c r="H17" s="24" t="str">
        <f t="shared" si="1"/>
        <v>c 900</v>
      </c>
      <c r="I17" s="28" t="str">
        <f t="shared" si="2"/>
        <v/>
      </c>
      <c r="J17" s="24" t="str">
        <f t="shared" si="3"/>
        <v/>
      </c>
      <c r="K17" s="15" t="str">
        <f t="shared" si="4"/>
        <v>&lt;unit017&gt; "&gt;&gt;" {c 900, d 000, n 018}</v>
      </c>
    </row>
    <row r="18" spans="2:11" x14ac:dyDescent="0.25">
      <c r="B18">
        <f t="shared" si="5"/>
        <v>18</v>
      </c>
      <c r="C18" t="s">
        <v>85</v>
      </c>
      <c r="D18" t="str">
        <f t="shared" si="6"/>
        <v/>
      </c>
      <c r="G18" s="24">
        <f t="shared" si="0"/>
        <v>19</v>
      </c>
      <c r="H18" s="24" t="str">
        <f t="shared" si="1"/>
        <v>c 902</v>
      </c>
      <c r="I18" s="28" t="str">
        <f t="shared" si="2"/>
        <v/>
      </c>
      <c r="J18" s="24" t="str">
        <f t="shared" si="3"/>
        <v/>
      </c>
      <c r="K18" s="15" t="str">
        <f t="shared" si="4"/>
        <v>&lt;unit018&gt; "" {c 902, d 000, n 019}</v>
      </c>
    </row>
    <row r="19" spans="2:11" x14ac:dyDescent="0.25">
      <c r="B19">
        <f t="shared" si="5"/>
        <v>19</v>
      </c>
      <c r="C19" t="s">
        <v>344</v>
      </c>
      <c r="D19" t="str">
        <f t="shared" si="6"/>
        <v>&gt;&gt;</v>
      </c>
      <c r="G19" s="24">
        <f t="shared" si="0"/>
        <v>20</v>
      </c>
      <c r="H19" s="24" t="str">
        <f t="shared" si="1"/>
        <v>c 900</v>
      </c>
      <c r="I19" s="28" t="str">
        <f t="shared" si="2"/>
        <v/>
      </c>
      <c r="J19" s="24" t="str">
        <f t="shared" si="3"/>
        <v/>
      </c>
      <c r="K19" s="15" t="str">
        <f t="shared" si="4"/>
        <v>&lt;unit019&gt; "&gt;&gt;" {c 900, d 000, n 020}</v>
      </c>
    </row>
    <row r="20" spans="2:11" x14ac:dyDescent="0.25">
      <c r="B20">
        <f t="shared" si="5"/>
        <v>20</v>
      </c>
      <c r="C20" t="s">
        <v>85</v>
      </c>
      <c r="D20" t="str">
        <f t="shared" si="6"/>
        <v/>
      </c>
      <c r="G20" s="24">
        <f t="shared" si="0"/>
        <v>21</v>
      </c>
      <c r="H20" s="24" t="str">
        <f t="shared" si="1"/>
        <v>c 902</v>
      </c>
      <c r="I20" s="28" t="str">
        <f t="shared" si="2"/>
        <v/>
      </c>
      <c r="J20" s="24" t="str">
        <f t="shared" si="3"/>
        <v/>
      </c>
      <c r="K20" s="15" t="str">
        <f t="shared" si="4"/>
        <v>&lt;unit020&gt; "" {c 902, d 000, n 021}</v>
      </c>
    </row>
    <row r="21" spans="2:11" x14ac:dyDescent="0.25">
      <c r="B21">
        <f t="shared" si="5"/>
        <v>21</v>
      </c>
      <c r="C21" t="s">
        <v>344</v>
      </c>
      <c r="D21" t="str">
        <f t="shared" si="6"/>
        <v>&gt;&gt;</v>
      </c>
      <c r="G21" s="24">
        <f t="shared" si="0"/>
        <v>22</v>
      </c>
      <c r="H21" s="24" t="str">
        <f t="shared" si="1"/>
        <v>c 900</v>
      </c>
      <c r="I21" s="28" t="str">
        <f t="shared" si="2"/>
        <v/>
      </c>
      <c r="J21" s="24" t="str">
        <f t="shared" si="3"/>
        <v/>
      </c>
      <c r="K21" s="15" t="str">
        <f t="shared" si="4"/>
        <v>&lt;unit021&gt; "&gt;&gt;" {c 900, d 000, n 022}</v>
      </c>
    </row>
    <row r="22" spans="2:11" x14ac:dyDescent="0.25">
      <c r="B22">
        <f t="shared" si="5"/>
        <v>22</v>
      </c>
      <c r="C22" t="s">
        <v>85</v>
      </c>
      <c r="D22" t="str">
        <f t="shared" si="6"/>
        <v/>
      </c>
      <c r="G22" s="24">
        <f t="shared" si="0"/>
        <v>23</v>
      </c>
      <c r="H22" s="24" t="str">
        <f t="shared" si="1"/>
        <v>c 902</v>
      </c>
      <c r="I22" s="28" t="str">
        <f t="shared" si="2"/>
        <v/>
      </c>
      <c r="J22" s="24" t="str">
        <f t="shared" si="3"/>
        <v/>
      </c>
      <c r="K22" s="15" t="str">
        <f t="shared" si="4"/>
        <v>&lt;unit022&gt; "" {c 902, d 000, n 023}</v>
      </c>
    </row>
    <row r="23" spans="2:11" x14ac:dyDescent="0.25">
      <c r="B23">
        <f t="shared" si="5"/>
        <v>23</v>
      </c>
      <c r="C23" t="s">
        <v>344</v>
      </c>
      <c r="D23" t="str">
        <f t="shared" si="6"/>
        <v>&gt;&gt;</v>
      </c>
      <c r="G23" s="24">
        <f t="shared" si="0"/>
        <v>24</v>
      </c>
      <c r="H23" s="24" t="str">
        <f t="shared" si="1"/>
        <v>c 900</v>
      </c>
      <c r="I23" s="28" t="str">
        <f t="shared" si="2"/>
        <v/>
      </c>
      <c r="J23" s="24" t="str">
        <f t="shared" si="3"/>
        <v/>
      </c>
      <c r="K23" s="15" t="str">
        <f t="shared" si="4"/>
        <v>&lt;unit023&gt; "&gt;&gt;" {c 900, d 000, n 024}</v>
      </c>
    </row>
    <row r="24" spans="2:11" x14ac:dyDescent="0.25">
      <c r="B24">
        <f t="shared" si="5"/>
        <v>24</v>
      </c>
      <c r="C24" t="s">
        <v>85</v>
      </c>
      <c r="D24" t="str">
        <f t="shared" si="6"/>
        <v/>
      </c>
      <c r="G24" s="24">
        <f t="shared" si="0"/>
        <v>25</v>
      </c>
      <c r="H24" s="24" t="str">
        <f t="shared" si="1"/>
        <v>c 902</v>
      </c>
      <c r="I24" s="28" t="str">
        <f t="shared" si="2"/>
        <v/>
      </c>
      <c r="J24" s="24" t="str">
        <f t="shared" si="3"/>
        <v/>
      </c>
      <c r="K24" s="15" t="str">
        <f t="shared" si="4"/>
        <v>&lt;unit024&gt; "" {c 902, d 000, n 025}</v>
      </c>
    </row>
    <row r="25" spans="2:11" x14ac:dyDescent="0.25">
      <c r="B25">
        <f t="shared" si="5"/>
        <v>25</v>
      </c>
      <c r="C25" t="s">
        <v>344</v>
      </c>
      <c r="D25" t="str">
        <f t="shared" si="6"/>
        <v>&gt;&gt;</v>
      </c>
      <c r="G25" s="24">
        <f t="shared" si="0"/>
        <v>26</v>
      </c>
      <c r="H25" s="24" t="str">
        <f t="shared" si="1"/>
        <v>c 900</v>
      </c>
      <c r="I25" s="28" t="str">
        <f t="shared" si="2"/>
        <v/>
      </c>
      <c r="J25" s="24" t="str">
        <f t="shared" si="3"/>
        <v/>
      </c>
      <c r="K25" s="15" t="str">
        <f t="shared" si="4"/>
        <v>&lt;unit025&gt; "&gt;&gt;" {c 900, d 000, n 026}</v>
      </c>
    </row>
    <row r="26" spans="2:11" x14ac:dyDescent="0.25">
      <c r="B26">
        <f t="shared" si="5"/>
        <v>26</v>
      </c>
      <c r="C26" t="s">
        <v>85</v>
      </c>
      <c r="D26" t="str">
        <f t="shared" si="6"/>
        <v/>
      </c>
      <c r="G26" s="24">
        <f t="shared" si="0"/>
        <v>27</v>
      </c>
      <c r="H26" s="24" t="str">
        <f t="shared" si="1"/>
        <v>c 902</v>
      </c>
      <c r="I26" s="28" t="str">
        <f t="shared" si="2"/>
        <v/>
      </c>
      <c r="J26" s="24" t="str">
        <f t="shared" si="3"/>
        <v/>
      </c>
      <c r="K26" s="15" t="str">
        <f t="shared" si="4"/>
        <v>&lt;unit026&gt; "" {c 902, d 000, n 027}</v>
      </c>
    </row>
    <row r="27" spans="2:11" x14ac:dyDescent="0.25">
      <c r="B27">
        <f t="shared" si="5"/>
        <v>27</v>
      </c>
      <c r="C27" t="s">
        <v>344</v>
      </c>
      <c r="D27" t="str">
        <f t="shared" si="6"/>
        <v>&gt;&gt;</v>
      </c>
      <c r="G27" s="24">
        <f t="shared" si="0"/>
        <v>28</v>
      </c>
      <c r="H27" s="24" t="str">
        <f t="shared" si="1"/>
        <v>c 900</v>
      </c>
      <c r="I27" s="28" t="str">
        <f t="shared" si="2"/>
        <v/>
      </c>
      <c r="J27" s="24" t="str">
        <f t="shared" si="3"/>
        <v/>
      </c>
      <c r="K27" s="15" t="str">
        <f t="shared" si="4"/>
        <v>&lt;unit027&gt; "&gt;&gt;" {c 900, d 000, n 028}</v>
      </c>
    </row>
    <row r="28" spans="2:11" x14ac:dyDescent="0.25">
      <c r="B28">
        <f t="shared" si="5"/>
        <v>28</v>
      </c>
      <c r="C28" t="s">
        <v>85</v>
      </c>
      <c r="D28" t="str">
        <f t="shared" si="6"/>
        <v/>
      </c>
      <c r="G28" s="24">
        <f t="shared" si="0"/>
        <v>29</v>
      </c>
      <c r="H28" s="24" t="str">
        <f t="shared" si="1"/>
        <v>c 902</v>
      </c>
      <c r="I28" s="28" t="str">
        <f t="shared" si="2"/>
        <v/>
      </c>
      <c r="J28" s="24" t="str">
        <f t="shared" si="3"/>
        <v/>
      </c>
      <c r="K28" s="15" t="str">
        <f t="shared" si="4"/>
        <v>&lt;unit028&gt; "" {c 902, d 000, n 029}</v>
      </c>
    </row>
    <row r="29" spans="2:11" x14ac:dyDescent="0.25">
      <c r="B29">
        <f t="shared" si="5"/>
        <v>29</v>
      </c>
      <c r="C29" t="s">
        <v>344</v>
      </c>
      <c r="D29" t="str">
        <f t="shared" si="6"/>
        <v>&gt;&gt;</v>
      </c>
      <c r="G29" s="24">
        <f t="shared" si="0"/>
        <v>30</v>
      </c>
      <c r="H29" s="24" t="str">
        <f t="shared" si="1"/>
        <v>c 900</v>
      </c>
      <c r="I29" s="28" t="str">
        <f t="shared" si="2"/>
        <v/>
      </c>
      <c r="J29" s="24" t="str">
        <f t="shared" si="3"/>
        <v/>
      </c>
      <c r="K29" s="15" t="str">
        <f t="shared" si="4"/>
        <v>&lt;unit029&gt; "&gt;&gt;" {c 900, d 000, n 030}</v>
      </c>
    </row>
    <row r="30" spans="2:11" x14ac:dyDescent="0.25">
      <c r="B30">
        <f t="shared" si="5"/>
        <v>30</v>
      </c>
      <c r="C30" t="s">
        <v>85</v>
      </c>
      <c r="D30" t="str">
        <f t="shared" si="6"/>
        <v/>
      </c>
      <c r="G30" s="24">
        <f t="shared" si="0"/>
        <v>31</v>
      </c>
      <c r="H30" s="24" t="str">
        <f t="shared" si="1"/>
        <v>c 902</v>
      </c>
      <c r="I30" s="28" t="str">
        <f t="shared" si="2"/>
        <v/>
      </c>
      <c r="J30" s="24" t="str">
        <f t="shared" si="3"/>
        <v/>
      </c>
      <c r="K30" s="15" t="str">
        <f t="shared" si="4"/>
        <v>&lt;unit030&gt; "" {c 902, d 000, n 031}</v>
      </c>
    </row>
    <row r="31" spans="2:11" x14ac:dyDescent="0.25">
      <c r="B31">
        <f t="shared" si="5"/>
        <v>31</v>
      </c>
      <c r="C31" t="s">
        <v>344</v>
      </c>
      <c r="D31" t="str">
        <f t="shared" si="6"/>
        <v>&gt;&gt;</v>
      </c>
      <c r="G31" s="24">
        <f t="shared" si="0"/>
        <v>32</v>
      </c>
      <c r="H31" s="24" t="str">
        <f t="shared" si="1"/>
        <v>c 900</v>
      </c>
      <c r="I31" s="28" t="str">
        <f t="shared" si="2"/>
        <v/>
      </c>
      <c r="J31" s="24" t="str">
        <f t="shared" si="3"/>
        <v/>
      </c>
      <c r="K31" s="15" t="str">
        <f t="shared" si="4"/>
        <v>&lt;unit031&gt; "&gt;&gt;" {c 900, d 000, n 032}</v>
      </c>
    </row>
    <row r="32" spans="2:11" x14ac:dyDescent="0.25">
      <c r="B32">
        <f t="shared" si="5"/>
        <v>32</v>
      </c>
      <c r="C32" t="s">
        <v>85</v>
      </c>
      <c r="D32" t="str">
        <f t="shared" si="6"/>
        <v/>
      </c>
      <c r="G32" s="24">
        <f t="shared" si="0"/>
        <v>33</v>
      </c>
      <c r="H32" s="24" t="str">
        <f t="shared" si="1"/>
        <v>c 902</v>
      </c>
      <c r="I32" s="28" t="str">
        <f t="shared" si="2"/>
        <v/>
      </c>
      <c r="J32" s="24" t="str">
        <f t="shared" si="3"/>
        <v/>
      </c>
      <c r="K32" s="15" t="str">
        <f t="shared" si="4"/>
        <v>&lt;unit032&gt; "" {c 902, d 000, n 033}</v>
      </c>
    </row>
    <row r="33" spans="2:11" x14ac:dyDescent="0.25">
      <c r="B33">
        <f>ROW(B33)</f>
        <v>33</v>
      </c>
      <c r="C33" t="s">
        <v>344</v>
      </c>
      <c r="D33" t="str">
        <f t="shared" si="6"/>
        <v>&gt;&gt;</v>
      </c>
      <c r="G33" s="24">
        <f t="shared" si="0"/>
        <v>34</v>
      </c>
      <c r="H33" s="24" t="str">
        <f t="shared" si="1"/>
        <v>c 900</v>
      </c>
      <c r="I33" s="28" t="str">
        <f t="shared" si="2"/>
        <v/>
      </c>
      <c r="J33" s="24" t="str">
        <f t="shared" si="3"/>
        <v/>
      </c>
      <c r="K33" s="15" t="str">
        <f t="shared" si="4"/>
        <v>&lt;unit033&gt; "&gt;&gt;" {c 900, d 000, n 034}</v>
      </c>
    </row>
    <row r="34" spans="2:11" x14ac:dyDescent="0.25">
      <c r="B34">
        <f t="shared" si="5"/>
        <v>34</v>
      </c>
      <c r="C34" t="s">
        <v>85</v>
      </c>
      <c r="D34" t="str">
        <f t="shared" si="6"/>
        <v/>
      </c>
      <c r="G34" s="24">
        <f t="shared" si="0"/>
        <v>35</v>
      </c>
      <c r="H34" s="24" t="str">
        <f t="shared" si="1"/>
        <v>c 902</v>
      </c>
      <c r="I34" s="28" t="str">
        <f t="shared" si="2"/>
        <v/>
      </c>
      <c r="J34" s="24" t="str">
        <f t="shared" si="3"/>
        <v/>
      </c>
      <c r="K34" s="15" t="str">
        <f t="shared" si="4"/>
        <v>&lt;unit034&gt; "" {c 902, d 000, n 035}</v>
      </c>
    </row>
    <row r="35" spans="2:11" x14ac:dyDescent="0.25">
      <c r="B35">
        <f t="shared" si="5"/>
        <v>35</v>
      </c>
      <c r="C35" t="s">
        <v>344</v>
      </c>
      <c r="D35" t="str">
        <f t="shared" si="6"/>
        <v>&gt;&gt;</v>
      </c>
      <c r="G35" s="24">
        <f t="shared" si="0"/>
        <v>36</v>
      </c>
      <c r="H35" s="24" t="str">
        <f t="shared" si="1"/>
        <v>c 900</v>
      </c>
      <c r="I35" s="28" t="str">
        <f t="shared" si="2"/>
        <v/>
      </c>
      <c r="J35" s="24" t="str">
        <f t="shared" si="3"/>
        <v/>
      </c>
      <c r="K35" s="15" t="str">
        <f t="shared" si="4"/>
        <v>&lt;unit035&gt; "&gt;&gt;" {c 900, d 000, n 036}</v>
      </c>
    </row>
    <row r="36" spans="2:11" x14ac:dyDescent="0.25">
      <c r="B36">
        <f t="shared" si="5"/>
        <v>36</v>
      </c>
      <c r="C36" t="s">
        <v>85</v>
      </c>
      <c r="D36" t="str">
        <f t="shared" si="6"/>
        <v/>
      </c>
      <c r="G36" s="24">
        <f t="shared" si="0"/>
        <v>37</v>
      </c>
      <c r="H36" s="24" t="str">
        <f t="shared" si="1"/>
        <v>c 902</v>
      </c>
      <c r="I36" s="28" t="str">
        <f t="shared" si="2"/>
        <v/>
      </c>
      <c r="J36" s="24" t="str">
        <f t="shared" si="3"/>
        <v/>
      </c>
      <c r="K36" s="15" t="str">
        <f t="shared" si="4"/>
        <v>&lt;unit036&gt; "" {c 902, d 000, n 037}</v>
      </c>
    </row>
    <row r="37" spans="2:11" x14ac:dyDescent="0.25">
      <c r="B37">
        <f t="shared" si="5"/>
        <v>37</v>
      </c>
      <c r="C37" t="s">
        <v>344</v>
      </c>
      <c r="D37" t="str">
        <f t="shared" si="6"/>
        <v>&gt;&gt;</v>
      </c>
      <c r="G37" s="24">
        <f t="shared" si="0"/>
        <v>38</v>
      </c>
      <c r="H37" s="24" t="str">
        <f t="shared" si="1"/>
        <v>c 900</v>
      </c>
      <c r="I37" s="28" t="str">
        <f t="shared" si="2"/>
        <v/>
      </c>
      <c r="J37" s="24" t="str">
        <f t="shared" si="3"/>
        <v/>
      </c>
      <c r="K37" s="15" t="str">
        <f t="shared" si="4"/>
        <v>&lt;unit037&gt; "&gt;&gt;" {c 900, d 000, n 038}</v>
      </c>
    </row>
    <row r="38" spans="2:11" x14ac:dyDescent="0.25">
      <c r="B38">
        <f t="shared" si="5"/>
        <v>38</v>
      </c>
      <c r="C38" t="s">
        <v>85</v>
      </c>
      <c r="D38" t="str">
        <f t="shared" si="6"/>
        <v/>
      </c>
      <c r="G38" s="24">
        <f t="shared" si="0"/>
        <v>39</v>
      </c>
      <c r="H38" s="24" t="str">
        <f t="shared" si="1"/>
        <v>c 902</v>
      </c>
      <c r="I38" s="28" t="str">
        <f t="shared" si="2"/>
        <v/>
      </c>
      <c r="J38" s="24" t="str">
        <f t="shared" si="3"/>
        <v/>
      </c>
      <c r="K38" s="15" t="str">
        <f t="shared" si="4"/>
        <v>&lt;unit038&gt; "" {c 902, d 000, n 039}</v>
      </c>
    </row>
    <row r="39" spans="2:11" x14ac:dyDescent="0.25">
      <c r="B39">
        <f t="shared" si="5"/>
        <v>39</v>
      </c>
      <c r="C39" t="s">
        <v>344</v>
      </c>
      <c r="D39" t="str">
        <f t="shared" si="6"/>
        <v>&gt;&gt;</v>
      </c>
      <c r="G39" s="24">
        <f t="shared" si="0"/>
        <v>40</v>
      </c>
      <c r="H39" s="24" t="str">
        <f t="shared" si="1"/>
        <v>c 900</v>
      </c>
      <c r="I39" s="28" t="str">
        <f t="shared" si="2"/>
        <v/>
      </c>
      <c r="K39" s="15" t="str">
        <f t="shared" si="4"/>
        <v>&lt;unit039&gt; "&gt;&gt;" {c 900, d 000, n 040}</v>
      </c>
    </row>
    <row r="40" spans="2:11" x14ac:dyDescent="0.25">
      <c r="B40">
        <f t="shared" si="5"/>
        <v>40</v>
      </c>
      <c r="C40" t="s">
        <v>85</v>
      </c>
      <c r="D40" t="str">
        <f t="shared" si="6"/>
        <v/>
      </c>
      <c r="G40" s="24">
        <f t="shared" si="0"/>
        <v>41</v>
      </c>
      <c r="H40" s="24" t="str">
        <f t="shared" si="1"/>
        <v>c 902</v>
      </c>
      <c r="I40" s="28" t="str">
        <f t="shared" si="2"/>
        <v/>
      </c>
      <c r="K40" s="15" t="str">
        <f t="shared" si="4"/>
        <v>&lt;unit040&gt; "" {c 902, d 000, n 041}</v>
      </c>
    </row>
    <row r="41" spans="2:11" x14ac:dyDescent="0.25">
      <c r="B41">
        <f t="shared" si="5"/>
        <v>41</v>
      </c>
      <c r="C41" t="s">
        <v>344</v>
      </c>
      <c r="D41" t="str">
        <f t="shared" si="6"/>
        <v>&gt;&gt;</v>
      </c>
      <c r="G41" s="24">
        <f t="shared" si="0"/>
        <v>42</v>
      </c>
      <c r="H41" s="24" t="str">
        <f t="shared" si="1"/>
        <v>c 900</v>
      </c>
      <c r="I41" s="28" t="str">
        <f t="shared" si="2"/>
        <v/>
      </c>
      <c r="K41" s="15" t="str">
        <f t="shared" si="4"/>
        <v>&lt;unit041&gt; "&gt;&gt;" {c 900, d 000, n 042}</v>
      </c>
    </row>
    <row r="42" spans="2:11" x14ac:dyDescent="0.25">
      <c r="B42">
        <f t="shared" si="5"/>
        <v>42</v>
      </c>
      <c r="C42" t="s">
        <v>85</v>
      </c>
      <c r="D42" t="str">
        <f t="shared" si="6"/>
        <v/>
      </c>
      <c r="G42" s="24">
        <f t="shared" si="0"/>
        <v>43</v>
      </c>
      <c r="H42" s="24" t="str">
        <f t="shared" si="1"/>
        <v>c 902</v>
      </c>
      <c r="I42" s="28" t="str">
        <f t="shared" si="2"/>
        <v/>
      </c>
      <c r="K42" s="15" t="str">
        <f t="shared" si="4"/>
        <v>&lt;unit042&gt; "" {c 902, d 000, n 043}</v>
      </c>
    </row>
    <row r="43" spans="2:11" x14ac:dyDescent="0.25">
      <c r="B43">
        <f t="shared" si="5"/>
        <v>43</v>
      </c>
      <c r="C43" t="s">
        <v>344</v>
      </c>
      <c r="D43" t="str">
        <f t="shared" si="6"/>
        <v>&gt;&gt;</v>
      </c>
      <c r="G43" s="24">
        <f t="shared" si="0"/>
        <v>44</v>
      </c>
      <c r="H43" s="24" t="str">
        <f t="shared" si="1"/>
        <v>c 900</v>
      </c>
      <c r="I43" s="28" t="str">
        <f t="shared" si="2"/>
        <v/>
      </c>
      <c r="J43" s="24" t="str">
        <f t="shared" si="3"/>
        <v/>
      </c>
      <c r="K43" s="15" t="str">
        <f t="shared" si="4"/>
        <v>&lt;unit043&gt; "&gt;&gt;" {c 900, d 000, n 044}</v>
      </c>
    </row>
    <row r="44" spans="2:11" x14ac:dyDescent="0.25">
      <c r="B44">
        <f t="shared" si="5"/>
        <v>44</v>
      </c>
      <c r="C44" t="s">
        <v>85</v>
      </c>
      <c r="D44" t="str">
        <f t="shared" si="6"/>
        <v/>
      </c>
      <c r="G44" s="24">
        <f t="shared" si="0"/>
        <v>45</v>
      </c>
      <c r="H44" s="24" t="str">
        <f t="shared" si="1"/>
        <v>c 902</v>
      </c>
      <c r="I44" s="28" t="str">
        <f t="shared" si="2"/>
        <v/>
      </c>
      <c r="J44" s="24" t="str">
        <f t="shared" si="3"/>
        <v/>
      </c>
      <c r="K44" s="15" t="str">
        <f t="shared" si="4"/>
        <v>&lt;unit044&gt; "" {c 902, d 000, n 045}</v>
      </c>
    </row>
    <row r="45" spans="2:11" x14ac:dyDescent="0.25">
      <c r="B45">
        <f t="shared" si="5"/>
        <v>45</v>
      </c>
      <c r="C45" t="s">
        <v>344</v>
      </c>
      <c r="D45" t="str">
        <f t="shared" si="6"/>
        <v>&gt;&gt;</v>
      </c>
      <c r="G45" s="24">
        <f t="shared" si="0"/>
        <v>46</v>
      </c>
      <c r="H45" s="24" t="str">
        <f t="shared" si="1"/>
        <v>c 900</v>
      </c>
      <c r="I45" s="28" t="str">
        <f t="shared" si="2"/>
        <v/>
      </c>
      <c r="J45" s="24" t="str">
        <f t="shared" si="3"/>
        <v/>
      </c>
      <c r="K45" s="15" t="str">
        <f t="shared" si="4"/>
        <v>&lt;unit045&gt; "&gt;&gt;" {c 900, d 000, n 046}</v>
      </c>
    </row>
    <row r="46" spans="2:11" x14ac:dyDescent="0.25">
      <c r="B46">
        <f t="shared" si="5"/>
        <v>46</v>
      </c>
      <c r="C46" t="s">
        <v>85</v>
      </c>
      <c r="D46" t="str">
        <f t="shared" si="6"/>
        <v/>
      </c>
      <c r="E46" t="s">
        <v>221</v>
      </c>
      <c r="F46" t="s">
        <v>346</v>
      </c>
      <c r="G46" s="24">
        <f>B48</f>
        <v>48</v>
      </c>
      <c r="H46" s="24" t="str">
        <f t="shared" si="1"/>
        <v>c 902</v>
      </c>
      <c r="I46" s="28" t="str">
        <f t="shared" si="2"/>
        <v>v "\mp3_ost\kztsh.mp3"</v>
      </c>
      <c r="J46" s="24" t="str">
        <f t="shared" si="3"/>
        <v>c 903</v>
      </c>
      <c r="K46" s="15" t="str">
        <f t="shared" si="4"/>
        <v>&lt;unit046&gt; "КЗТШ" {c 902, v "\mp3_ost\kztsh.mp3", c 903, d 000, n 048}</v>
      </c>
    </row>
    <row r="47" spans="2:11" x14ac:dyDescent="0.25">
      <c r="K47" s="15"/>
    </row>
    <row r="48" spans="2:11" x14ac:dyDescent="0.25">
      <c r="B48">
        <f t="shared" ref="B48:B90" si="7">ROW(B48)</f>
        <v>48</v>
      </c>
      <c r="E48" s="25" t="s">
        <v>342</v>
      </c>
      <c r="F48" s="25"/>
      <c r="G48" s="24">
        <f>B50</f>
        <v>50</v>
      </c>
      <c r="K48" s="15" t="str">
        <f>"&lt;unit"&amp;TEXT(B48,"000")&amp;"&gt; """&amp;E48&amp;""" {d 000, n "&amp;TEXT(G48,"000")&amp;"}"</f>
        <v>&lt;unit048&gt; "----- Обратный -----" {d 000, n 050}</v>
      </c>
    </row>
    <row r="49" spans="2:11" x14ac:dyDescent="0.25">
      <c r="K49" s="15"/>
    </row>
    <row r="50" spans="2:11" x14ac:dyDescent="0.25">
      <c r="B50">
        <f t="shared" si="7"/>
        <v>50</v>
      </c>
      <c r="C50" t="s">
        <v>85</v>
      </c>
      <c r="D50" t="str">
        <f t="shared" ref="D50:D88" si="8">IF(H50="c 900","&gt;&gt;","")</f>
        <v/>
      </c>
      <c r="E50" t="s">
        <v>221</v>
      </c>
      <c r="G50" s="24">
        <f>B51</f>
        <v>51</v>
      </c>
      <c r="H50" s="24" t="str">
        <f t="shared" ref="H50:H88" si="9">IFERROR("c "&amp;VLOOKUP(C50,Punkti,2,FALSE),"")</f>
        <v>c 902</v>
      </c>
      <c r="I50" s="28" t="str">
        <f t="shared" ref="I50:I88" si="10">IFERROR(VLOOKUP(E50,Ostanovki,7,FALSE),"")</f>
        <v>v "\mp3_ost\kztsh.mp3"</v>
      </c>
      <c r="J50" s="24" t="str">
        <f t="shared" ref="J50:J88" si="11">IFERROR("c "&amp;VLOOKUP(F50,Punkti,2,FALSE),"")</f>
        <v/>
      </c>
      <c r="K50" s="15" t="str">
        <f t="shared" ref="K50:K88" si="12">"&lt;unit"&amp;TEXT(B50,"000")&amp;"&gt; """&amp;СцепитьМного(D50:E50,"")&amp;""" {"&amp;СцепитьМного(H50:J50,", ")&amp;", d 000, n "&amp;TEXT(G50,"000")&amp;"}"</f>
        <v>&lt;unit050&gt; "КЗТШ" {c 902, v "\mp3_ost\kztsh.mp3", d 000, n 051}</v>
      </c>
    </row>
    <row r="51" spans="2:11" x14ac:dyDescent="0.25">
      <c r="B51">
        <f t="shared" si="7"/>
        <v>51</v>
      </c>
      <c r="C51" t="s">
        <v>344</v>
      </c>
      <c r="D51" t="str">
        <f t="shared" si="8"/>
        <v>&gt;&gt;</v>
      </c>
      <c r="G51" s="24">
        <f t="shared" ref="G51:G87" si="13">B52</f>
        <v>52</v>
      </c>
      <c r="H51" s="24" t="str">
        <f t="shared" si="9"/>
        <v>c 900</v>
      </c>
      <c r="I51" s="28" t="str">
        <f t="shared" si="10"/>
        <v/>
      </c>
      <c r="J51" s="24" t="str">
        <f t="shared" si="11"/>
        <v/>
      </c>
      <c r="K51" s="15" t="str">
        <f t="shared" si="12"/>
        <v>&lt;unit051&gt; "&gt;&gt;" {c 900, d 000, n 052}</v>
      </c>
    </row>
    <row r="52" spans="2:11" x14ac:dyDescent="0.25">
      <c r="B52">
        <f t="shared" si="7"/>
        <v>52</v>
      </c>
      <c r="C52" t="s">
        <v>85</v>
      </c>
      <c r="D52" t="str">
        <f t="shared" si="8"/>
        <v/>
      </c>
      <c r="G52" s="24">
        <f t="shared" si="13"/>
        <v>53</v>
      </c>
      <c r="H52" s="24" t="str">
        <f t="shared" si="9"/>
        <v>c 902</v>
      </c>
      <c r="I52" s="28" t="str">
        <f t="shared" si="10"/>
        <v/>
      </c>
      <c r="J52" s="24" t="str">
        <f t="shared" si="11"/>
        <v/>
      </c>
      <c r="K52" s="15" t="str">
        <f t="shared" si="12"/>
        <v>&lt;unit052&gt; "" {c 902, d 000, n 053}</v>
      </c>
    </row>
    <row r="53" spans="2:11" x14ac:dyDescent="0.25">
      <c r="B53">
        <f t="shared" si="7"/>
        <v>53</v>
      </c>
      <c r="C53" t="s">
        <v>344</v>
      </c>
      <c r="D53" t="str">
        <f t="shared" si="8"/>
        <v>&gt;&gt;</v>
      </c>
      <c r="G53" s="24">
        <f t="shared" si="13"/>
        <v>54</v>
      </c>
      <c r="H53" s="24" t="str">
        <f t="shared" si="9"/>
        <v>c 900</v>
      </c>
      <c r="I53" s="28" t="str">
        <f t="shared" si="10"/>
        <v/>
      </c>
      <c r="J53" s="24" t="str">
        <f t="shared" si="11"/>
        <v/>
      </c>
      <c r="K53" s="15" t="str">
        <f t="shared" si="12"/>
        <v>&lt;unit053&gt; "&gt;&gt;" {c 900, d 000, n 054}</v>
      </c>
    </row>
    <row r="54" spans="2:11" x14ac:dyDescent="0.25">
      <c r="B54">
        <f t="shared" si="7"/>
        <v>54</v>
      </c>
      <c r="C54" t="s">
        <v>85</v>
      </c>
      <c r="D54" t="str">
        <f t="shared" si="8"/>
        <v/>
      </c>
      <c r="G54" s="24">
        <f t="shared" si="13"/>
        <v>55</v>
      </c>
      <c r="H54" s="24" t="str">
        <f t="shared" si="9"/>
        <v>c 902</v>
      </c>
      <c r="I54" s="28" t="str">
        <f t="shared" si="10"/>
        <v/>
      </c>
      <c r="J54" s="24" t="str">
        <f t="shared" si="11"/>
        <v/>
      </c>
      <c r="K54" s="15" t="str">
        <f t="shared" si="12"/>
        <v>&lt;unit054&gt; "" {c 902, d 000, n 055}</v>
      </c>
    </row>
    <row r="55" spans="2:11" x14ac:dyDescent="0.25">
      <c r="B55">
        <f t="shared" si="7"/>
        <v>55</v>
      </c>
      <c r="C55" t="s">
        <v>344</v>
      </c>
      <c r="D55" t="str">
        <f t="shared" si="8"/>
        <v>&gt;&gt;</v>
      </c>
      <c r="G55" s="24">
        <f t="shared" si="13"/>
        <v>56</v>
      </c>
      <c r="H55" s="24" t="str">
        <f t="shared" si="9"/>
        <v>c 900</v>
      </c>
      <c r="I55" s="28" t="str">
        <f t="shared" si="10"/>
        <v/>
      </c>
      <c r="J55" s="24" t="str">
        <f t="shared" si="11"/>
        <v/>
      </c>
      <c r="K55" s="15" t="str">
        <f t="shared" si="12"/>
        <v>&lt;unit055&gt; "&gt;&gt;" {c 900, d 000, n 056}</v>
      </c>
    </row>
    <row r="56" spans="2:11" x14ac:dyDescent="0.25">
      <c r="B56">
        <f t="shared" si="7"/>
        <v>56</v>
      </c>
      <c r="C56" t="s">
        <v>85</v>
      </c>
      <c r="D56" t="str">
        <f t="shared" si="8"/>
        <v/>
      </c>
      <c r="G56" s="24">
        <f t="shared" si="13"/>
        <v>57</v>
      </c>
      <c r="H56" s="24" t="str">
        <f t="shared" si="9"/>
        <v>c 902</v>
      </c>
      <c r="I56" s="28" t="str">
        <f t="shared" si="10"/>
        <v/>
      </c>
      <c r="J56" s="24" t="str">
        <f t="shared" si="11"/>
        <v/>
      </c>
      <c r="K56" s="15" t="str">
        <f t="shared" si="12"/>
        <v>&lt;unit056&gt; "" {c 902, d 000, n 057}</v>
      </c>
    </row>
    <row r="57" spans="2:11" x14ac:dyDescent="0.25">
      <c r="B57">
        <f t="shared" si="7"/>
        <v>57</v>
      </c>
      <c r="C57" t="s">
        <v>344</v>
      </c>
      <c r="D57" t="str">
        <f t="shared" si="8"/>
        <v>&gt;&gt;</v>
      </c>
      <c r="G57" s="24">
        <f t="shared" si="13"/>
        <v>58</v>
      </c>
      <c r="H57" s="24" t="str">
        <f t="shared" si="9"/>
        <v>c 900</v>
      </c>
      <c r="I57" s="28" t="str">
        <f t="shared" si="10"/>
        <v/>
      </c>
      <c r="J57" s="24" t="str">
        <f t="shared" si="11"/>
        <v/>
      </c>
      <c r="K57" s="15" t="str">
        <f t="shared" si="12"/>
        <v>&lt;unit057&gt; "&gt;&gt;" {c 900, d 000, n 058}</v>
      </c>
    </row>
    <row r="58" spans="2:11" x14ac:dyDescent="0.25">
      <c r="B58">
        <f t="shared" si="7"/>
        <v>58</v>
      </c>
      <c r="C58" t="s">
        <v>85</v>
      </c>
      <c r="D58" t="str">
        <f t="shared" si="8"/>
        <v/>
      </c>
      <c r="G58" s="24">
        <f t="shared" si="13"/>
        <v>59</v>
      </c>
      <c r="H58" s="24" t="str">
        <f t="shared" si="9"/>
        <v>c 902</v>
      </c>
      <c r="I58" s="28" t="str">
        <f t="shared" si="10"/>
        <v/>
      </c>
      <c r="J58" s="24" t="str">
        <f t="shared" si="11"/>
        <v/>
      </c>
      <c r="K58" s="15" t="str">
        <f t="shared" si="12"/>
        <v>&lt;unit058&gt; "" {c 902, d 000, n 059}</v>
      </c>
    </row>
    <row r="59" spans="2:11" x14ac:dyDescent="0.25">
      <c r="B59">
        <f t="shared" si="7"/>
        <v>59</v>
      </c>
      <c r="C59" t="s">
        <v>344</v>
      </c>
      <c r="D59" t="str">
        <f t="shared" si="8"/>
        <v>&gt;&gt;</v>
      </c>
      <c r="G59" s="24">
        <f t="shared" si="13"/>
        <v>60</v>
      </c>
      <c r="H59" s="24" t="str">
        <f t="shared" si="9"/>
        <v>c 900</v>
      </c>
      <c r="I59" s="28" t="str">
        <f t="shared" si="10"/>
        <v/>
      </c>
      <c r="J59" s="24" t="str">
        <f t="shared" si="11"/>
        <v/>
      </c>
      <c r="K59" s="15" t="str">
        <f t="shared" si="12"/>
        <v>&lt;unit059&gt; "&gt;&gt;" {c 900, d 000, n 060}</v>
      </c>
    </row>
    <row r="60" spans="2:11" x14ac:dyDescent="0.25">
      <c r="B60">
        <f t="shared" si="7"/>
        <v>60</v>
      </c>
      <c r="C60" t="s">
        <v>85</v>
      </c>
      <c r="D60" t="str">
        <f t="shared" si="8"/>
        <v/>
      </c>
      <c r="G60" s="24">
        <f t="shared" si="13"/>
        <v>61</v>
      </c>
      <c r="H60" s="24" t="str">
        <f t="shared" si="9"/>
        <v>c 902</v>
      </c>
      <c r="I60" s="28" t="str">
        <f t="shared" si="10"/>
        <v/>
      </c>
      <c r="J60" s="24" t="str">
        <f t="shared" si="11"/>
        <v/>
      </c>
      <c r="K60" s="15" t="str">
        <f t="shared" si="12"/>
        <v>&lt;unit060&gt; "" {c 902, d 000, n 061}</v>
      </c>
    </row>
    <row r="61" spans="2:11" x14ac:dyDescent="0.25">
      <c r="B61">
        <f t="shared" si="7"/>
        <v>61</v>
      </c>
      <c r="C61" t="s">
        <v>344</v>
      </c>
      <c r="D61" t="str">
        <f t="shared" si="8"/>
        <v>&gt;&gt;</v>
      </c>
      <c r="G61" s="24">
        <f t="shared" si="13"/>
        <v>62</v>
      </c>
      <c r="H61" s="24" t="str">
        <f t="shared" si="9"/>
        <v>c 900</v>
      </c>
      <c r="I61" s="28" t="str">
        <f t="shared" si="10"/>
        <v/>
      </c>
      <c r="J61" s="24" t="str">
        <f t="shared" si="11"/>
        <v/>
      </c>
      <c r="K61" s="15" t="str">
        <f t="shared" si="12"/>
        <v>&lt;unit061&gt; "&gt;&gt;" {c 900, d 000, n 062}</v>
      </c>
    </row>
    <row r="62" spans="2:11" x14ac:dyDescent="0.25">
      <c r="B62">
        <f t="shared" si="7"/>
        <v>62</v>
      </c>
      <c r="C62" t="s">
        <v>85</v>
      </c>
      <c r="D62" t="str">
        <f t="shared" si="8"/>
        <v/>
      </c>
      <c r="G62" s="24">
        <f t="shared" si="13"/>
        <v>63</v>
      </c>
      <c r="H62" s="24" t="str">
        <f t="shared" si="9"/>
        <v>c 902</v>
      </c>
      <c r="I62" s="28" t="str">
        <f t="shared" si="10"/>
        <v/>
      </c>
      <c r="J62" s="24" t="str">
        <f t="shared" si="11"/>
        <v/>
      </c>
      <c r="K62" s="15" t="str">
        <f t="shared" si="12"/>
        <v>&lt;unit062&gt; "" {c 902, d 000, n 063}</v>
      </c>
    </row>
    <row r="63" spans="2:11" x14ac:dyDescent="0.25">
      <c r="B63">
        <f t="shared" si="7"/>
        <v>63</v>
      </c>
      <c r="C63" t="s">
        <v>344</v>
      </c>
      <c r="D63" t="str">
        <f t="shared" si="8"/>
        <v>&gt;&gt;</v>
      </c>
      <c r="G63" s="24">
        <f t="shared" si="13"/>
        <v>64</v>
      </c>
      <c r="H63" s="24" t="str">
        <f t="shared" si="9"/>
        <v>c 900</v>
      </c>
      <c r="I63" s="28" t="str">
        <f t="shared" si="10"/>
        <v/>
      </c>
      <c r="J63" s="24" t="str">
        <f t="shared" si="11"/>
        <v/>
      </c>
      <c r="K63" s="15" t="str">
        <f t="shared" si="12"/>
        <v>&lt;unit063&gt; "&gt;&gt;" {c 900, d 000, n 064}</v>
      </c>
    </row>
    <row r="64" spans="2:11" x14ac:dyDescent="0.25">
      <c r="B64">
        <f t="shared" si="7"/>
        <v>64</v>
      </c>
      <c r="C64" t="s">
        <v>85</v>
      </c>
      <c r="D64" t="str">
        <f t="shared" si="8"/>
        <v/>
      </c>
      <c r="G64" s="24">
        <f t="shared" si="13"/>
        <v>65</v>
      </c>
      <c r="H64" s="24" t="str">
        <f t="shared" si="9"/>
        <v>c 902</v>
      </c>
      <c r="I64" s="28" t="str">
        <f t="shared" si="10"/>
        <v/>
      </c>
      <c r="J64" s="24" t="str">
        <f t="shared" si="11"/>
        <v/>
      </c>
      <c r="K64" s="15" t="str">
        <f t="shared" si="12"/>
        <v>&lt;unit064&gt; "" {c 902, d 000, n 065}</v>
      </c>
    </row>
    <row r="65" spans="2:11" x14ac:dyDescent="0.25">
      <c r="B65">
        <f t="shared" si="7"/>
        <v>65</v>
      </c>
      <c r="C65" t="s">
        <v>344</v>
      </c>
      <c r="D65" t="str">
        <f t="shared" si="8"/>
        <v>&gt;&gt;</v>
      </c>
      <c r="G65" s="24">
        <f t="shared" si="13"/>
        <v>66</v>
      </c>
      <c r="H65" s="24" t="str">
        <f t="shared" si="9"/>
        <v>c 900</v>
      </c>
      <c r="I65" s="28" t="str">
        <f t="shared" si="10"/>
        <v/>
      </c>
      <c r="J65" s="24" t="str">
        <f t="shared" si="11"/>
        <v/>
      </c>
      <c r="K65" s="15" t="str">
        <f t="shared" si="12"/>
        <v>&lt;unit065&gt; "&gt;&gt;" {c 900, d 000, n 066}</v>
      </c>
    </row>
    <row r="66" spans="2:11" x14ac:dyDescent="0.25">
      <c r="B66">
        <f t="shared" si="7"/>
        <v>66</v>
      </c>
      <c r="C66" t="s">
        <v>85</v>
      </c>
      <c r="D66" t="str">
        <f t="shared" si="8"/>
        <v/>
      </c>
      <c r="G66" s="24">
        <f t="shared" si="13"/>
        <v>67</v>
      </c>
      <c r="H66" s="24" t="str">
        <f t="shared" si="9"/>
        <v>c 902</v>
      </c>
      <c r="I66" s="28" t="str">
        <f t="shared" si="10"/>
        <v/>
      </c>
      <c r="J66" s="24" t="str">
        <f t="shared" si="11"/>
        <v/>
      </c>
      <c r="K66" s="15" t="str">
        <f t="shared" si="12"/>
        <v>&lt;unit066&gt; "" {c 902, d 000, n 067}</v>
      </c>
    </row>
    <row r="67" spans="2:11" x14ac:dyDescent="0.25">
      <c r="B67">
        <f t="shared" si="7"/>
        <v>67</v>
      </c>
      <c r="C67" t="s">
        <v>344</v>
      </c>
      <c r="D67" t="str">
        <f t="shared" si="8"/>
        <v>&gt;&gt;</v>
      </c>
      <c r="G67" s="24">
        <f t="shared" si="13"/>
        <v>68</v>
      </c>
      <c r="H67" s="24" t="str">
        <f t="shared" si="9"/>
        <v>c 900</v>
      </c>
      <c r="I67" s="28" t="str">
        <f t="shared" si="10"/>
        <v/>
      </c>
      <c r="J67" s="24" t="str">
        <f t="shared" si="11"/>
        <v/>
      </c>
      <c r="K67" s="15" t="str">
        <f t="shared" si="12"/>
        <v>&lt;unit067&gt; "&gt;&gt;" {c 900, d 000, n 068}</v>
      </c>
    </row>
    <row r="68" spans="2:11" x14ac:dyDescent="0.25">
      <c r="B68">
        <f t="shared" si="7"/>
        <v>68</v>
      </c>
      <c r="C68" t="s">
        <v>85</v>
      </c>
      <c r="D68" t="str">
        <f t="shared" si="8"/>
        <v/>
      </c>
      <c r="G68" s="24">
        <f t="shared" si="13"/>
        <v>69</v>
      </c>
      <c r="H68" s="24" t="str">
        <f t="shared" si="9"/>
        <v>c 902</v>
      </c>
      <c r="I68" s="28" t="str">
        <f t="shared" si="10"/>
        <v/>
      </c>
      <c r="J68" s="24" t="str">
        <f t="shared" si="11"/>
        <v/>
      </c>
      <c r="K68" s="15" t="str">
        <f t="shared" si="12"/>
        <v>&lt;unit068&gt; "" {c 902, d 000, n 069}</v>
      </c>
    </row>
    <row r="69" spans="2:11" x14ac:dyDescent="0.25">
      <c r="B69">
        <f t="shared" si="7"/>
        <v>69</v>
      </c>
      <c r="C69" t="s">
        <v>344</v>
      </c>
      <c r="D69" t="str">
        <f t="shared" si="8"/>
        <v>&gt;&gt;</v>
      </c>
      <c r="G69" s="24">
        <f t="shared" si="13"/>
        <v>70</v>
      </c>
      <c r="H69" s="24" t="str">
        <f t="shared" si="9"/>
        <v>c 900</v>
      </c>
      <c r="I69" s="28" t="str">
        <f t="shared" si="10"/>
        <v/>
      </c>
      <c r="J69" s="24" t="str">
        <f t="shared" si="11"/>
        <v/>
      </c>
      <c r="K69" s="15" t="str">
        <f t="shared" si="12"/>
        <v>&lt;unit069&gt; "&gt;&gt;" {c 900, d 000, n 070}</v>
      </c>
    </row>
    <row r="70" spans="2:11" x14ac:dyDescent="0.25">
      <c r="B70">
        <f t="shared" si="7"/>
        <v>70</v>
      </c>
      <c r="C70" t="s">
        <v>85</v>
      </c>
      <c r="D70" t="str">
        <f t="shared" si="8"/>
        <v/>
      </c>
      <c r="G70" s="24">
        <f t="shared" si="13"/>
        <v>71</v>
      </c>
      <c r="H70" s="24" t="str">
        <f t="shared" si="9"/>
        <v>c 902</v>
      </c>
      <c r="I70" s="28" t="str">
        <f t="shared" si="10"/>
        <v/>
      </c>
      <c r="J70" s="24" t="str">
        <f t="shared" si="11"/>
        <v/>
      </c>
      <c r="K70" s="15" t="str">
        <f t="shared" si="12"/>
        <v>&lt;unit070&gt; "" {c 902, d 000, n 071}</v>
      </c>
    </row>
    <row r="71" spans="2:11" x14ac:dyDescent="0.25">
      <c r="B71">
        <f t="shared" si="7"/>
        <v>71</v>
      </c>
      <c r="C71" t="s">
        <v>344</v>
      </c>
      <c r="D71" t="str">
        <f t="shared" si="8"/>
        <v>&gt;&gt;</v>
      </c>
      <c r="G71" s="24">
        <f t="shared" si="13"/>
        <v>72</v>
      </c>
      <c r="H71" s="24" t="str">
        <f t="shared" si="9"/>
        <v>c 900</v>
      </c>
      <c r="I71" s="28" t="str">
        <f t="shared" si="10"/>
        <v/>
      </c>
      <c r="J71" s="24" t="str">
        <f t="shared" si="11"/>
        <v/>
      </c>
      <c r="K71" s="15" t="str">
        <f t="shared" si="12"/>
        <v>&lt;unit071&gt; "&gt;&gt;" {c 900, d 000, n 072}</v>
      </c>
    </row>
    <row r="72" spans="2:11" x14ac:dyDescent="0.25">
      <c r="B72">
        <f t="shared" si="7"/>
        <v>72</v>
      </c>
      <c r="C72" t="s">
        <v>85</v>
      </c>
      <c r="D72" t="str">
        <f t="shared" si="8"/>
        <v/>
      </c>
      <c r="G72" s="24">
        <f t="shared" si="13"/>
        <v>73</v>
      </c>
      <c r="H72" s="24" t="str">
        <f t="shared" si="9"/>
        <v>c 902</v>
      </c>
      <c r="I72" s="28" t="str">
        <f t="shared" si="10"/>
        <v/>
      </c>
      <c r="J72" s="24" t="str">
        <f t="shared" si="11"/>
        <v/>
      </c>
      <c r="K72" s="15" t="str">
        <f t="shared" si="12"/>
        <v>&lt;unit072&gt; "" {c 902, d 000, n 073}</v>
      </c>
    </row>
    <row r="73" spans="2:11" x14ac:dyDescent="0.25">
      <c r="B73">
        <f t="shared" si="7"/>
        <v>73</v>
      </c>
      <c r="C73" t="s">
        <v>344</v>
      </c>
      <c r="D73" t="str">
        <f t="shared" si="8"/>
        <v>&gt;&gt;</v>
      </c>
      <c r="G73" s="24">
        <f t="shared" si="13"/>
        <v>74</v>
      </c>
      <c r="H73" s="24" t="str">
        <f t="shared" si="9"/>
        <v>c 900</v>
      </c>
      <c r="I73" s="28" t="str">
        <f t="shared" si="10"/>
        <v/>
      </c>
      <c r="J73" s="24" t="str">
        <f t="shared" si="11"/>
        <v/>
      </c>
      <c r="K73" s="15" t="str">
        <f t="shared" si="12"/>
        <v>&lt;unit073&gt; "&gt;&gt;" {c 900, d 000, n 074}</v>
      </c>
    </row>
    <row r="74" spans="2:11" x14ac:dyDescent="0.25">
      <c r="B74">
        <f t="shared" si="7"/>
        <v>74</v>
      </c>
      <c r="C74" t="s">
        <v>85</v>
      </c>
      <c r="D74" t="str">
        <f t="shared" si="8"/>
        <v/>
      </c>
      <c r="G74" s="24">
        <f t="shared" si="13"/>
        <v>75</v>
      </c>
      <c r="H74" s="24" t="str">
        <f t="shared" si="9"/>
        <v>c 902</v>
      </c>
      <c r="I74" s="28" t="str">
        <f t="shared" si="10"/>
        <v/>
      </c>
      <c r="J74" s="24" t="str">
        <f t="shared" si="11"/>
        <v/>
      </c>
      <c r="K74" s="15" t="str">
        <f t="shared" si="12"/>
        <v>&lt;unit074&gt; "" {c 902, d 000, n 075}</v>
      </c>
    </row>
    <row r="75" spans="2:11" x14ac:dyDescent="0.25">
      <c r="B75">
        <f t="shared" si="7"/>
        <v>75</v>
      </c>
      <c r="C75" t="s">
        <v>344</v>
      </c>
      <c r="D75" t="str">
        <f t="shared" si="8"/>
        <v>&gt;&gt;</v>
      </c>
      <c r="G75" s="24">
        <f t="shared" si="13"/>
        <v>76</v>
      </c>
      <c r="H75" s="24" t="str">
        <f t="shared" si="9"/>
        <v>c 900</v>
      </c>
      <c r="I75" s="28" t="str">
        <f t="shared" si="10"/>
        <v/>
      </c>
      <c r="J75" s="24" t="str">
        <f t="shared" si="11"/>
        <v/>
      </c>
      <c r="K75" s="15" t="str">
        <f t="shared" si="12"/>
        <v>&lt;unit075&gt; "&gt;&gt;" {c 900, d 000, n 076}</v>
      </c>
    </row>
    <row r="76" spans="2:11" x14ac:dyDescent="0.25">
      <c r="B76">
        <f t="shared" si="7"/>
        <v>76</v>
      </c>
      <c r="C76" t="s">
        <v>85</v>
      </c>
      <c r="D76" t="str">
        <f t="shared" si="8"/>
        <v/>
      </c>
      <c r="G76" s="24">
        <f t="shared" si="13"/>
        <v>77</v>
      </c>
      <c r="H76" s="24" t="str">
        <f t="shared" si="9"/>
        <v>c 902</v>
      </c>
      <c r="I76" s="28" t="str">
        <f t="shared" si="10"/>
        <v/>
      </c>
      <c r="J76" s="24" t="str">
        <f t="shared" si="11"/>
        <v/>
      </c>
      <c r="K76" s="15" t="str">
        <f t="shared" si="12"/>
        <v>&lt;unit076&gt; "" {c 902, d 000, n 077}</v>
      </c>
    </row>
    <row r="77" spans="2:11" x14ac:dyDescent="0.25">
      <c r="B77">
        <f t="shared" si="7"/>
        <v>77</v>
      </c>
      <c r="C77" t="s">
        <v>344</v>
      </c>
      <c r="D77" t="str">
        <f t="shared" si="8"/>
        <v>&gt;&gt;</v>
      </c>
      <c r="G77" s="24">
        <f t="shared" si="13"/>
        <v>78</v>
      </c>
      <c r="H77" s="24" t="str">
        <f t="shared" si="9"/>
        <v>c 900</v>
      </c>
      <c r="I77" s="28" t="str">
        <f t="shared" si="10"/>
        <v/>
      </c>
      <c r="J77" s="24" t="str">
        <f t="shared" si="11"/>
        <v/>
      </c>
      <c r="K77" s="15" t="str">
        <f t="shared" si="12"/>
        <v>&lt;unit077&gt; "&gt;&gt;" {c 900, d 000, n 078}</v>
      </c>
    </row>
    <row r="78" spans="2:11" x14ac:dyDescent="0.25">
      <c r="B78">
        <f t="shared" si="7"/>
        <v>78</v>
      </c>
      <c r="C78" t="s">
        <v>85</v>
      </c>
      <c r="D78" t="str">
        <f t="shared" si="8"/>
        <v/>
      </c>
      <c r="G78" s="24">
        <f t="shared" si="13"/>
        <v>79</v>
      </c>
      <c r="H78" s="24" t="str">
        <f t="shared" si="9"/>
        <v>c 902</v>
      </c>
      <c r="I78" s="28" t="str">
        <f t="shared" si="10"/>
        <v/>
      </c>
      <c r="J78" s="24" t="str">
        <f t="shared" si="11"/>
        <v/>
      </c>
      <c r="K78" s="15" t="str">
        <f t="shared" si="12"/>
        <v>&lt;unit078&gt; "" {c 902, d 000, n 079}</v>
      </c>
    </row>
    <row r="79" spans="2:11" x14ac:dyDescent="0.25">
      <c r="B79">
        <f t="shared" si="7"/>
        <v>79</v>
      </c>
      <c r="C79" t="s">
        <v>344</v>
      </c>
      <c r="D79" t="str">
        <f t="shared" si="8"/>
        <v>&gt;&gt;</v>
      </c>
      <c r="G79" s="24">
        <f t="shared" si="13"/>
        <v>80</v>
      </c>
      <c r="H79" s="24" t="str">
        <f t="shared" si="9"/>
        <v>c 900</v>
      </c>
      <c r="I79" s="28" t="str">
        <f t="shared" si="10"/>
        <v/>
      </c>
      <c r="J79" s="24" t="str">
        <f t="shared" si="11"/>
        <v/>
      </c>
      <c r="K79" s="15" t="str">
        <f t="shared" si="12"/>
        <v>&lt;unit079&gt; "&gt;&gt;" {c 900, d 000, n 080}</v>
      </c>
    </row>
    <row r="80" spans="2:11" x14ac:dyDescent="0.25">
      <c r="B80">
        <f t="shared" si="7"/>
        <v>80</v>
      </c>
      <c r="C80" t="s">
        <v>85</v>
      </c>
      <c r="D80" t="str">
        <f t="shared" ref="D80:D83" si="14">IF(H80="c 900","&gt;&gt;","")</f>
        <v/>
      </c>
      <c r="G80" s="24">
        <f t="shared" si="13"/>
        <v>81</v>
      </c>
      <c r="H80" s="24" t="str">
        <f t="shared" ref="H80:H83" si="15">IFERROR("c "&amp;VLOOKUP(C80,Punkti,2,FALSE),"")</f>
        <v>c 902</v>
      </c>
      <c r="I80" s="28" t="str">
        <f t="shared" ref="I80:I83" si="16">IFERROR(VLOOKUP(E80,Ostanovki,7,FALSE),"")</f>
        <v/>
      </c>
      <c r="J80" s="24" t="str">
        <f t="shared" ref="J80:J83" si="17">IFERROR("c "&amp;VLOOKUP(F80,Punkti,2,FALSE),"")</f>
        <v/>
      </c>
      <c r="K80" s="15" t="str">
        <f t="shared" ref="K80:K83" si="18">"&lt;unit"&amp;TEXT(B80,"000")&amp;"&gt; """&amp;СцепитьМного(D80:E80,"")&amp;""" {"&amp;СцепитьМного(H80:J80,", ")&amp;", d 000, n "&amp;TEXT(G80,"000")&amp;"}"</f>
        <v>&lt;unit080&gt; "" {c 902, d 000, n 081}</v>
      </c>
    </row>
    <row r="81" spans="2:11" x14ac:dyDescent="0.25">
      <c r="B81">
        <f t="shared" si="7"/>
        <v>81</v>
      </c>
      <c r="C81" t="s">
        <v>344</v>
      </c>
      <c r="D81" t="str">
        <f t="shared" si="14"/>
        <v>&gt;&gt;</v>
      </c>
      <c r="G81" s="24">
        <f t="shared" si="13"/>
        <v>82</v>
      </c>
      <c r="H81" s="24" t="str">
        <f t="shared" si="15"/>
        <v>c 900</v>
      </c>
      <c r="I81" s="28" t="str">
        <f t="shared" si="16"/>
        <v/>
      </c>
      <c r="J81" s="24" t="str">
        <f t="shared" si="17"/>
        <v/>
      </c>
      <c r="K81" s="15" t="str">
        <f t="shared" si="18"/>
        <v>&lt;unit081&gt; "&gt;&gt;" {c 900, d 000, n 082}</v>
      </c>
    </row>
    <row r="82" spans="2:11" x14ac:dyDescent="0.25">
      <c r="B82">
        <f t="shared" si="7"/>
        <v>82</v>
      </c>
      <c r="C82" t="s">
        <v>85</v>
      </c>
      <c r="D82" t="str">
        <f t="shared" si="14"/>
        <v/>
      </c>
      <c r="G82" s="24">
        <f t="shared" si="13"/>
        <v>83</v>
      </c>
      <c r="H82" s="24" t="str">
        <f t="shared" si="15"/>
        <v>c 902</v>
      </c>
      <c r="I82" s="28" t="str">
        <f t="shared" si="16"/>
        <v/>
      </c>
      <c r="J82" s="24" t="str">
        <f t="shared" si="17"/>
        <v/>
      </c>
      <c r="K82" s="15" t="str">
        <f t="shared" si="18"/>
        <v>&lt;unit082&gt; "" {c 902, d 000, n 083}</v>
      </c>
    </row>
    <row r="83" spans="2:11" x14ac:dyDescent="0.25">
      <c r="B83">
        <f t="shared" si="7"/>
        <v>83</v>
      </c>
      <c r="C83" t="s">
        <v>344</v>
      </c>
      <c r="D83" t="str">
        <f t="shared" si="14"/>
        <v>&gt;&gt;</v>
      </c>
      <c r="G83" s="24">
        <f t="shared" si="13"/>
        <v>84</v>
      </c>
      <c r="H83" s="24" t="str">
        <f t="shared" si="15"/>
        <v>c 900</v>
      </c>
      <c r="I83" s="28" t="str">
        <f t="shared" si="16"/>
        <v/>
      </c>
      <c r="J83" s="24" t="str">
        <f t="shared" si="17"/>
        <v/>
      </c>
      <c r="K83" s="15" t="str">
        <f t="shared" si="18"/>
        <v>&lt;unit083&gt; "&gt;&gt;" {c 900, d 000, n 084}</v>
      </c>
    </row>
    <row r="84" spans="2:11" x14ac:dyDescent="0.25">
      <c r="B84">
        <f t="shared" si="7"/>
        <v>84</v>
      </c>
      <c r="C84" t="s">
        <v>85</v>
      </c>
      <c r="D84" t="str">
        <f t="shared" si="8"/>
        <v/>
      </c>
      <c r="G84" s="24">
        <f t="shared" si="13"/>
        <v>85</v>
      </c>
      <c r="H84" s="24" t="str">
        <f t="shared" si="9"/>
        <v>c 902</v>
      </c>
      <c r="I84" s="28" t="str">
        <f t="shared" si="10"/>
        <v/>
      </c>
      <c r="J84" s="24" t="str">
        <f t="shared" si="11"/>
        <v/>
      </c>
      <c r="K84" s="15" t="str">
        <f t="shared" si="12"/>
        <v>&lt;unit084&gt; "" {c 902, d 000, n 085}</v>
      </c>
    </row>
    <row r="85" spans="2:11" x14ac:dyDescent="0.25">
      <c r="B85">
        <f t="shared" si="7"/>
        <v>85</v>
      </c>
      <c r="C85" t="s">
        <v>344</v>
      </c>
      <c r="D85" t="str">
        <f t="shared" si="8"/>
        <v>&gt;&gt;</v>
      </c>
      <c r="G85" s="24">
        <f t="shared" si="13"/>
        <v>86</v>
      </c>
      <c r="H85" s="24" t="str">
        <f t="shared" si="9"/>
        <v>c 900</v>
      </c>
      <c r="I85" s="28" t="str">
        <f t="shared" si="10"/>
        <v/>
      </c>
      <c r="J85" s="24" t="str">
        <f t="shared" si="11"/>
        <v/>
      </c>
      <c r="K85" s="15" t="str">
        <f t="shared" si="12"/>
        <v>&lt;unit085&gt; "&gt;&gt;" {c 900, d 000, n 086}</v>
      </c>
    </row>
    <row r="86" spans="2:11" x14ac:dyDescent="0.25">
      <c r="B86">
        <f t="shared" si="7"/>
        <v>86</v>
      </c>
      <c r="C86" t="s">
        <v>85</v>
      </c>
      <c r="D86" t="str">
        <f t="shared" si="8"/>
        <v/>
      </c>
      <c r="G86" s="24">
        <f t="shared" si="13"/>
        <v>87</v>
      </c>
      <c r="H86" s="24" t="str">
        <f t="shared" si="9"/>
        <v>c 902</v>
      </c>
      <c r="I86" s="28" t="str">
        <f t="shared" si="10"/>
        <v/>
      </c>
      <c r="J86" s="24" t="str">
        <f t="shared" si="11"/>
        <v/>
      </c>
      <c r="K86" s="15" t="str">
        <f t="shared" si="12"/>
        <v>&lt;unit086&gt; "" {c 902, d 000, n 087}</v>
      </c>
    </row>
    <row r="87" spans="2:11" x14ac:dyDescent="0.25">
      <c r="B87">
        <f t="shared" si="7"/>
        <v>87</v>
      </c>
      <c r="C87" t="s">
        <v>344</v>
      </c>
      <c r="D87" t="str">
        <f t="shared" si="8"/>
        <v>&gt;&gt;</v>
      </c>
      <c r="G87" s="24">
        <f t="shared" si="13"/>
        <v>88</v>
      </c>
      <c r="H87" s="24" t="str">
        <f t="shared" si="9"/>
        <v>c 900</v>
      </c>
      <c r="I87" s="28" t="str">
        <f t="shared" si="10"/>
        <v/>
      </c>
      <c r="J87" s="24" t="str">
        <f t="shared" si="11"/>
        <v/>
      </c>
      <c r="K87" s="15" t="str">
        <f t="shared" si="12"/>
        <v>&lt;unit087&gt; "&gt;&gt;" {c 900, d 000, n 088}</v>
      </c>
    </row>
    <row r="88" spans="2:11" x14ac:dyDescent="0.25">
      <c r="B88">
        <f t="shared" si="7"/>
        <v>88</v>
      </c>
      <c r="C88" t="s">
        <v>85</v>
      </c>
      <c r="D88" t="str">
        <f t="shared" si="8"/>
        <v/>
      </c>
      <c r="E88" t="s">
        <v>292</v>
      </c>
      <c r="F88" t="s">
        <v>346</v>
      </c>
      <c r="G88" s="24">
        <f>B90</f>
        <v>90</v>
      </c>
      <c r="H88" s="24" t="str">
        <f t="shared" si="9"/>
        <v>c 902</v>
      </c>
      <c r="I88" s="28" t="str">
        <f t="shared" si="10"/>
        <v>c 928, v "\mp3_ost\truda.mp3"</v>
      </c>
      <c r="J88" s="24" t="str">
        <f t="shared" si="11"/>
        <v>c 903</v>
      </c>
      <c r="K88" s="15" t="str">
        <f t="shared" si="12"/>
        <v>&lt;unit088&gt; "ул.Труда" {c 902, c 928, v "\mp3_ost\truda.mp3", c 903, d 000, n 090}</v>
      </c>
    </row>
    <row r="89" spans="2:11" x14ac:dyDescent="0.25">
      <c r="K89" s="15"/>
    </row>
    <row r="90" spans="2:11" x14ac:dyDescent="0.25">
      <c r="B90">
        <f t="shared" si="7"/>
        <v>90</v>
      </c>
      <c r="E90" s="25" t="s">
        <v>343</v>
      </c>
      <c r="F90" s="25"/>
      <c r="G90" s="24">
        <f>B3</f>
        <v>3</v>
      </c>
      <c r="K90" s="15" t="str">
        <f>"&lt;unit"&amp;TEXT(B90,"000")&amp;"&gt; """&amp;E90&amp;""" {d 000, n "&amp;TEXT(G90,"000")&amp;"}"</f>
        <v>&lt;unit090&gt; "----- Конец -----" {d 000, n 003}</v>
      </c>
    </row>
    <row r="91" spans="2:11" x14ac:dyDescent="0.25">
      <c r="K91" s="15"/>
    </row>
    <row r="92" spans="2:11" x14ac:dyDescent="0.25">
      <c r="K92" s="15" t="str">
        <f>Константы!E2</f>
        <v>&lt;unit921&gt; "Автовокзал" {v "\mp3_knst\av.mp3", w 01}</v>
      </c>
    </row>
    <row r="93" spans="2:11" x14ac:dyDescent="0.25">
      <c r="K93" s="15" t="str">
        <f>Константы!E3</f>
        <v>&lt;unit923&gt; "Гостиница" {v "\mp3_knst\gos.mp3", w 01}</v>
      </c>
    </row>
    <row r="94" spans="2:11" x14ac:dyDescent="0.25">
      <c r="K94" s="15" t="str">
        <f>Константы!E4</f>
        <v>&lt;unit922&gt; "Дисп. станция" {v "\mp3_knst\ds.mp3", w 01}</v>
      </c>
    </row>
    <row r="95" spans="2:11" x14ac:dyDescent="0.25">
      <c r="K95" s="15" t="str">
        <f>Константы!E5</f>
        <v>&lt;unit903&gt; "Канцавая" {v "\mp3_knst\kanc.mp3", w 01}</v>
      </c>
    </row>
    <row r="96" spans="2:11" x14ac:dyDescent="0.25">
      <c r="K96" s="15" t="str">
        <f>Константы!E6</f>
        <v>&lt;unit924&gt; "Конечная" {v "\mp3_knst\ko.mp3", w 01}</v>
      </c>
    </row>
    <row r="97" spans="11:11" x14ac:dyDescent="0.25">
      <c r="K97" s="15" t="str">
        <f>Константы!E7</f>
        <v>&lt;unit902&gt; "Остановка" {v "\mp3_knst\ost.mp3", w 01}</v>
      </c>
    </row>
    <row r="98" spans="11:11" x14ac:dyDescent="0.25">
      <c r="K98" s="15" t="str">
        <f>Константы!E8</f>
        <v>&lt;unit900&gt; "Дв. закр. След. ост." {v "\mp3_knst\ostor.mp3", w 01}</v>
      </c>
    </row>
    <row r="99" spans="11:11" x14ac:dyDescent="0.25">
      <c r="K99" s="15" t="str">
        <f>Константы!E9</f>
        <v>&lt;unit925&gt; "Площадь" {v "\mp3_knst\pl.mp3", w 01}</v>
      </c>
    </row>
    <row r="100" spans="11:11" x14ac:dyDescent="0.25">
      <c r="K100" s="15" t="str">
        <f>Константы!E10</f>
        <v>&lt;unit926&gt; "Проспект" {v "\mp3_knst\pr.mp3", w 01}</v>
      </c>
    </row>
    <row r="101" spans="11:11" x14ac:dyDescent="0.25">
      <c r="K101" s="15" t="str">
        <f>Константы!E11</f>
        <v>&lt;unit927&gt; "Станция метро" {v "\mp3_knst\sm.mp3", w 01}</v>
      </c>
    </row>
    <row r="102" spans="11:11" x14ac:dyDescent="0.25">
      <c r="K102" s="15" t="str">
        <f>Константы!E12</f>
        <v>&lt;unit928&gt; "Улица" {v "\mp3_knst\ul.mp3", w 01}</v>
      </c>
    </row>
  </sheetData>
  <dataValidations count="2">
    <dataValidation type="list" allowBlank="1" showInputMessage="1" showErrorMessage="1" sqref="F8:F46 C8:C46 C50:C88 F50:F88">
      <formula1>Pref_Punktov</formula1>
    </dataValidation>
    <dataValidation type="list" allowBlank="1" showInputMessage="1" showErrorMessage="1" sqref="E8:E46 E50:E88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2"/>
  <sheetViews>
    <sheetView workbookViewId="0">
      <selection activeCell="E38" sqref="E38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79</v>
      </c>
      <c r="B2" s="3" t="s">
        <v>10</v>
      </c>
      <c r="C2" s="8" t="s">
        <v>9</v>
      </c>
      <c r="E2" s="5" t="s">
        <v>80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5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32</v>
      </c>
      <c r="C4" s="9" t="s">
        <v>19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31</v>
      </c>
      <c r="C5" s="9" t="s">
        <v>27</v>
      </c>
      <c r="E5" s="16" t="str">
        <f t="shared" si="0"/>
        <v>&lt;type02&gt; "3 Кузн.3-Новогрядск." {3.ini}</v>
      </c>
    </row>
    <row r="6" spans="1:5" x14ac:dyDescent="0.25">
      <c r="A6" s="12">
        <v>4</v>
      </c>
      <c r="B6" t="s">
        <v>12</v>
      </c>
      <c r="C6" s="9" t="s">
        <v>20</v>
      </c>
      <c r="E6" s="16" t="str">
        <f t="shared" si="0"/>
        <v>&lt;type03&gt; "4 Советская-Косьё" {4.ini}</v>
      </c>
    </row>
    <row r="7" spans="1:5" x14ac:dyDescent="0.25">
      <c r="A7" s="12">
        <v>5</v>
      </c>
      <c r="B7" t="s">
        <v>13</v>
      </c>
      <c r="C7" s="9" t="s">
        <v>21</v>
      </c>
      <c r="E7" s="16" t="str">
        <f t="shared" si="0"/>
        <v>&lt;type04&gt; "5 в/ч-Рокосовского" {5.ini}</v>
      </c>
    </row>
    <row r="8" spans="1:5" x14ac:dyDescent="0.25">
      <c r="A8" s="12">
        <v>6</v>
      </c>
      <c r="B8" t="s">
        <v>34</v>
      </c>
      <c r="C8" s="9" t="s">
        <v>22</v>
      </c>
      <c r="E8" s="16" t="str">
        <f t="shared" si="0"/>
        <v>&lt;type05&gt; "6 Советск.-Пож.часть" {6.ini}</v>
      </c>
    </row>
    <row r="9" spans="1:5" x14ac:dyDescent="0.25">
      <c r="A9" s="12">
        <v>60</v>
      </c>
      <c r="B9" t="s">
        <v>33</v>
      </c>
      <c r="C9" s="9" t="s">
        <v>28</v>
      </c>
      <c r="E9" s="16" t="str">
        <f t="shared" si="0"/>
        <v>&lt;type06&gt; "6а Советск.-9 мр-н" {6a.ini}</v>
      </c>
    </row>
    <row r="10" spans="1:5" x14ac:dyDescent="0.25">
      <c r="A10" s="12">
        <v>7</v>
      </c>
      <c r="B10" t="s">
        <v>14</v>
      </c>
      <c r="C10" s="9" t="s">
        <v>23</v>
      </c>
      <c r="E10" s="16" t="str">
        <f t="shared" si="0"/>
        <v>&lt;type07&gt; "7 в/ч-Магистральная" {7.ini}</v>
      </c>
    </row>
    <row r="11" spans="1:5" x14ac:dyDescent="0.25">
      <c r="A11" s="12">
        <v>8</v>
      </c>
      <c r="B11" t="s">
        <v>15</v>
      </c>
      <c r="C11" s="9" t="s">
        <v>24</v>
      </c>
      <c r="E11" s="16" t="str">
        <f t="shared" si="0"/>
        <v>&lt;type08&gt; "8 АС Жодино-КЗТШ" {8.ini}</v>
      </c>
    </row>
    <row r="12" spans="1:5" x14ac:dyDescent="0.25">
      <c r="A12" s="12">
        <v>80</v>
      </c>
      <c r="B12" t="s">
        <v>16</v>
      </c>
      <c r="C12" s="9" t="s">
        <v>29</v>
      </c>
      <c r="E12" s="16" t="str">
        <f t="shared" si="0"/>
        <v>&lt;type09&gt; "8a АС Жодино-КЗТШ" {8a.ini}</v>
      </c>
    </row>
    <row r="13" spans="1:5" x14ac:dyDescent="0.25">
      <c r="A13" s="12">
        <v>81</v>
      </c>
      <c r="B13" t="s">
        <v>17</v>
      </c>
      <c r="C13" s="9" t="s">
        <v>30</v>
      </c>
      <c r="E13" s="16" t="str">
        <f t="shared" si="0"/>
        <v>&lt;type10&gt; "8_ КЗТШ-АС Жодино" {8_.ini}</v>
      </c>
    </row>
    <row r="14" spans="1:5" x14ac:dyDescent="0.25">
      <c r="A14" s="12">
        <v>9</v>
      </c>
      <c r="B14" t="s">
        <v>18</v>
      </c>
      <c r="C14" s="9" t="s">
        <v>25</v>
      </c>
      <c r="E14" s="16" t="str">
        <f t="shared" si="0"/>
        <v>&lt;type11&gt; "9 Бажора-КЗТШ" {9.ini}</v>
      </c>
    </row>
    <row r="15" spans="1:5" x14ac:dyDescent="0.25">
      <c r="A15" s="12">
        <v>11</v>
      </c>
      <c r="B15" t="s">
        <v>35</v>
      </c>
      <c r="C15" s="9" t="s">
        <v>26</v>
      </c>
      <c r="E15" s="16" t="str">
        <f t="shared" si="0"/>
        <v>&lt;type12&gt; "11 Труда-Вост.кладб." {11.ini}</v>
      </c>
    </row>
    <row r="16" spans="1:5" x14ac:dyDescent="0.25">
      <c r="E16" s="16"/>
    </row>
    <row r="17" spans="1:5" x14ac:dyDescent="0.25">
      <c r="A17" s="12">
        <v>10</v>
      </c>
      <c r="B17" t="s">
        <v>56</v>
      </c>
      <c r="C17" s="9" t="s">
        <v>39</v>
      </c>
      <c r="E17" s="16" t="str">
        <f>"&lt;type"&amp;TEXT(ROW()+NumRoute-3,"00")&amp;"&gt; """&amp;B17&amp;""" {"&amp;C17&amp;".ini}"</f>
        <v>&lt;type14&gt; "Город 1 Смолевичи" {gor1smol.ini}</v>
      </c>
    </row>
    <row r="18" spans="1:5" x14ac:dyDescent="0.25">
      <c r="E18" s="16"/>
    </row>
    <row r="19" spans="1:5" x14ac:dyDescent="0.25">
      <c r="A19" s="12">
        <v>208</v>
      </c>
      <c r="B19" t="s">
        <v>6</v>
      </c>
      <c r="C19" s="9" t="s">
        <v>3</v>
      </c>
      <c r="E19" s="16" t="str">
        <f t="shared" ref="E19:E29" si="1">"&lt;type"&amp;TEXT(ROW()+NumRoute-3,"00")&amp;"&gt; """&amp;B19&amp;""" {"&amp;C19&amp;".ini}"</f>
        <v>&lt;type16&gt; "Барсуки" {barsuki.ini}</v>
      </c>
    </row>
    <row r="20" spans="1:5" x14ac:dyDescent="0.25">
      <c r="A20" s="12">
        <v>212</v>
      </c>
      <c r="B20" t="s">
        <v>62</v>
      </c>
      <c r="C20" s="9" t="s">
        <v>37</v>
      </c>
      <c r="E20" s="16" t="str">
        <f t="shared" si="1"/>
        <v>&lt;type17&gt; "Будагово" {budagovo.ini}</v>
      </c>
    </row>
    <row r="21" spans="1:5" x14ac:dyDescent="0.25">
      <c r="A21" s="12">
        <v>219</v>
      </c>
      <c r="B21" t="s">
        <v>7</v>
      </c>
      <c r="C21" s="9" t="s">
        <v>5</v>
      </c>
      <c r="E21" s="16" t="str">
        <f t="shared" si="1"/>
        <v>&lt;type18&gt; "Замлынье" {zamlinie.ini}</v>
      </c>
    </row>
    <row r="22" spans="1:5" x14ac:dyDescent="0.25">
      <c r="A22" s="12">
        <v>211</v>
      </c>
      <c r="B22" t="s">
        <v>76</v>
      </c>
      <c r="C22" s="9" t="s">
        <v>54</v>
      </c>
      <c r="E22" s="16" t="str">
        <f t="shared" si="1"/>
        <v>&lt;type19&gt; "Зеленый Бор" {zel_bor.ini}</v>
      </c>
    </row>
    <row r="23" spans="1:5" x14ac:dyDescent="0.25">
      <c r="A23" s="12">
        <v>197</v>
      </c>
      <c r="B23" t="s">
        <v>66</v>
      </c>
      <c r="C23" s="9" t="s">
        <v>42</v>
      </c>
      <c r="E23" s="16" t="str">
        <f t="shared" si="1"/>
        <v>&lt;type20&gt; "Логойск" {logoisk.ini}</v>
      </c>
    </row>
    <row r="24" spans="1:5" x14ac:dyDescent="0.25">
      <c r="A24" s="12">
        <v>204</v>
      </c>
      <c r="B24" t="s">
        <v>65</v>
      </c>
      <c r="C24" s="9" t="s">
        <v>41</v>
      </c>
      <c r="E24" s="16" t="str">
        <f t="shared" si="1"/>
        <v>&lt;type21&gt; "Лютка" {ljutka.ini}</v>
      </c>
    </row>
    <row r="25" spans="1:5" x14ac:dyDescent="0.25">
      <c r="A25" s="12">
        <v>205</v>
      </c>
      <c r="B25" t="s">
        <v>67</v>
      </c>
      <c r="C25" s="9" t="s">
        <v>43</v>
      </c>
      <c r="E25" s="16" t="str">
        <f t="shared" si="1"/>
        <v>&lt;type22&gt; "Напалки" {napalki.ini}</v>
      </c>
    </row>
    <row r="26" spans="1:5" x14ac:dyDescent="0.25">
      <c r="A26" s="12">
        <v>216</v>
      </c>
      <c r="B26" t="s">
        <v>71</v>
      </c>
      <c r="C26" s="9" t="s">
        <v>49</v>
      </c>
      <c r="E26" s="16" t="str">
        <f t="shared" si="1"/>
        <v>&lt;type23&gt; "Сутоки" {sutoki.ini}</v>
      </c>
    </row>
    <row r="27" spans="1:5" x14ac:dyDescent="0.25">
      <c r="A27" s="12">
        <v>209</v>
      </c>
      <c r="B27" t="s">
        <v>72</v>
      </c>
      <c r="C27" s="9" t="s">
        <v>50</v>
      </c>
      <c r="E27" s="16" t="str">
        <f t="shared" si="1"/>
        <v>&lt;type24&gt; "Точилище" {tochil.ini}</v>
      </c>
    </row>
    <row r="28" spans="1:5" x14ac:dyDescent="0.25">
      <c r="A28" s="12">
        <v>202</v>
      </c>
      <c r="B28" t="s">
        <v>73</v>
      </c>
      <c r="C28" s="9" t="s">
        <v>51</v>
      </c>
      <c r="E28" s="16" t="str">
        <f t="shared" si="1"/>
        <v>&lt;type25&gt; "Юзефово" {uzefovo.ini}</v>
      </c>
    </row>
    <row r="29" spans="1:5" x14ac:dyDescent="0.25">
      <c r="A29" s="12">
        <v>210</v>
      </c>
      <c r="B29" t="s">
        <v>64</v>
      </c>
      <c r="C29" s="9" t="s">
        <v>40</v>
      </c>
      <c r="E29" s="16" t="str">
        <f t="shared" si="1"/>
        <v>&lt;type26&gt; "Яловица" {jalov.ini}</v>
      </c>
    </row>
    <row r="30" spans="1:5" x14ac:dyDescent="0.25">
      <c r="E30" s="16"/>
    </row>
    <row r="31" spans="1:5" x14ac:dyDescent="0.25">
      <c r="A31" s="12">
        <v>207</v>
      </c>
      <c r="B31" t="s">
        <v>57</v>
      </c>
      <c r="C31" s="9" t="s">
        <v>36</v>
      </c>
      <c r="E31" s="16" t="str">
        <f t="shared" ref="E31:E36" si="2">"&lt;type"&amp;TEXT(ROW()+NumRoute-3,"00")&amp;"&gt; """&amp;B31&amp;""" {"&amp;C31&amp;".ini}"</f>
        <v>&lt;type28&gt; "с/т Автомобилист" {automob.ini}</v>
      </c>
    </row>
    <row r="32" spans="1:5" x14ac:dyDescent="0.25">
      <c r="A32" s="12">
        <v>214</v>
      </c>
      <c r="B32" t="s">
        <v>60</v>
      </c>
      <c r="C32" s="9" t="s">
        <v>55</v>
      </c>
      <c r="E32" s="16" t="str">
        <f t="shared" si="2"/>
        <v>&lt;type29&gt; "с/т Журавинка" {zhurav.ini}</v>
      </c>
    </row>
    <row r="33" spans="1:5" x14ac:dyDescent="0.25">
      <c r="A33" s="12">
        <v>614</v>
      </c>
      <c r="B33" t="s">
        <v>61</v>
      </c>
      <c r="C33" s="9" t="s">
        <v>44</v>
      </c>
      <c r="E33" s="16" t="str">
        <f t="shared" si="2"/>
        <v>&lt;type30&gt; "пов. с/т Журавинка" {pov_zur.ini}</v>
      </c>
    </row>
    <row r="34" spans="1:5" x14ac:dyDescent="0.25">
      <c r="A34" s="12">
        <v>201</v>
      </c>
      <c r="B34" t="s">
        <v>58</v>
      </c>
      <c r="C34" s="9" t="s">
        <v>4</v>
      </c>
      <c r="E34" s="16" t="str">
        <f t="shared" si="2"/>
        <v>&lt;type31&gt; "с/т Радуга" {raduga.ini}</v>
      </c>
    </row>
    <row r="35" spans="1:5" x14ac:dyDescent="0.25">
      <c r="A35" s="12">
        <v>213</v>
      </c>
      <c r="B35" t="s">
        <v>68</v>
      </c>
      <c r="C35" s="9" t="s">
        <v>45</v>
      </c>
      <c r="E35" s="16" t="str">
        <f t="shared" si="2"/>
        <v>&lt;type32&gt; "с/т Родничок" {rodnik.ini}</v>
      </c>
    </row>
    <row r="36" spans="1:5" x14ac:dyDescent="0.25">
      <c r="A36" s="12">
        <v>203</v>
      </c>
      <c r="B36" t="s">
        <v>59</v>
      </c>
      <c r="C36" s="9" t="s">
        <v>48</v>
      </c>
      <c r="E36" s="16" t="str">
        <f t="shared" si="2"/>
        <v>&lt;type33&gt; "с/т Строитель" {stroit.ini}</v>
      </c>
    </row>
    <row r="37" spans="1:5" x14ac:dyDescent="0.25">
      <c r="E37" s="16"/>
    </row>
    <row r="38" spans="1:5" x14ac:dyDescent="0.25">
      <c r="A38" s="12">
        <v>100</v>
      </c>
      <c r="B38" t="s">
        <v>69</v>
      </c>
      <c r="C38" s="9" t="s">
        <v>46</v>
      </c>
      <c r="E38" s="16" t="str">
        <f>"&lt;type"&amp;TEXT(ROW()+NumRoute-3,"00")&amp;"&gt; """&amp;B38&amp;""" {"&amp;C38&amp;".ini}"</f>
        <v>&lt;type35&gt; "СЛУЖЕБНЫЙ" {sluzhebn.ini}</v>
      </c>
    </row>
    <row r="39" spans="1:5" x14ac:dyDescent="0.25">
      <c r="A39" s="12">
        <v>101</v>
      </c>
      <c r="B39" t="s">
        <v>75</v>
      </c>
      <c r="C39" s="9" t="s">
        <v>53</v>
      </c>
      <c r="E39" s="16" t="str">
        <f>"&lt;type"&amp;TEXT(ROW()+NumRoute-3,"00")&amp;"&gt; """&amp;B39&amp;""" {"&amp;C39&amp;".ini}"</f>
        <v>&lt;type36&gt; "ЗАКАЗНОЙ" {zakaz.ini}</v>
      </c>
    </row>
    <row r="40" spans="1:5" x14ac:dyDescent="0.25">
      <c r="A40" s="12">
        <v>102</v>
      </c>
      <c r="B40" t="s">
        <v>70</v>
      </c>
      <c r="C40" s="9" t="s">
        <v>47</v>
      </c>
      <c r="E40" s="16" t="str">
        <f>"&lt;type"&amp;TEXT(ROW()+NumRoute-3,"00")&amp;"&gt; """&amp;B40&amp;""" {"&amp;C40&amp;".ini}"</f>
        <v>&lt;type37&gt; "СНЕКПРО" {snekpro.ini}</v>
      </c>
    </row>
    <row r="41" spans="1:5" x14ac:dyDescent="0.25">
      <c r="A41" s="12">
        <v>103</v>
      </c>
      <c r="B41" t="s">
        <v>63</v>
      </c>
      <c r="C41" s="9" t="s">
        <v>38</v>
      </c>
      <c r="E41" s="16" t="str">
        <f>"&lt;type"&amp;TEXT(ROW()+NumRoute-3,"00")&amp;"&gt; """&amp;B41&amp;""" {"&amp;C41&amp;".ini}"</f>
        <v>&lt;type38&gt; "ДЕТИ" {deti.ini}</v>
      </c>
    </row>
    <row r="42" spans="1:5" x14ac:dyDescent="0.25">
      <c r="A42" s="12">
        <v>104</v>
      </c>
      <c r="B42" t="s">
        <v>74</v>
      </c>
      <c r="C42" s="9" t="s">
        <v>52</v>
      </c>
      <c r="E42" s="16" t="str">
        <f>"&lt;type"&amp;TEXT(ROW()+NumRoute-3,"00")&amp;"&gt; """&amp;B42&amp;""" {"&amp;C42&amp;".ini}"</f>
        <v>&lt;type39&gt;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15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K94"/>
  <sheetViews>
    <sheetView topLeftCell="B1" workbookViewId="0">
      <selection activeCell="B1" sqref="B1"/>
    </sheetView>
  </sheetViews>
  <sheetFormatPr defaultRowHeight="14.3" x14ac:dyDescent="0.25"/>
  <cols>
    <col min="1" max="1" width="22.625" hidden="1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4" bestFit="1" customWidth="1"/>
    <col min="8" max="8" width="5.25" style="24" hidden="1" customWidth="1"/>
    <col min="9" max="9" width="29.625" style="24" hidden="1" customWidth="1"/>
    <col min="10" max="10" width="5.25" style="24" hidden="1" customWidth="1"/>
    <col min="11" max="11" width="74.25" bestFit="1" customWidth="1"/>
  </cols>
  <sheetData>
    <row r="1" spans="1:11" s="1" customFormat="1" x14ac:dyDescent="0.25">
      <c r="A1" s="14" t="s">
        <v>81</v>
      </c>
      <c r="B1" s="2">
        <v>3</v>
      </c>
      <c r="C1" s="2"/>
      <c r="D1" s="2"/>
      <c r="E1" s="13"/>
      <c r="F1" s="13"/>
      <c r="G1" s="2"/>
      <c r="H1" s="2"/>
      <c r="I1" s="2"/>
      <c r="J1" s="2"/>
      <c r="K1" s="4" t="s">
        <v>8</v>
      </c>
    </row>
    <row r="2" spans="1:11" x14ac:dyDescent="0.25">
      <c r="A2" s="15">
        <f ca="1">INDIRECT(ADDRESS($B$1,3,4,1,"route"))</f>
        <v>1</v>
      </c>
      <c r="B2" s="1" t="s">
        <v>350</v>
      </c>
      <c r="C2" s="1" t="s">
        <v>348</v>
      </c>
      <c r="D2" s="1" t="s">
        <v>347</v>
      </c>
      <c r="E2" s="1" t="s">
        <v>85</v>
      </c>
      <c r="F2" s="1" t="s">
        <v>349</v>
      </c>
      <c r="G2" s="1" t="s">
        <v>339</v>
      </c>
      <c r="K2" s="16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1" x14ac:dyDescent="0.25">
      <c r="A3" s="15" t="str">
        <f ca="1">INDIRECT(ADDRESS($B$1,2,4,1,"route"))</f>
        <v>1 Труда - КЗТШ</v>
      </c>
      <c r="B3">
        <f>ROW(B3)</f>
        <v>3</v>
      </c>
      <c r="E3" t="s">
        <v>337</v>
      </c>
      <c r="G3" s="24">
        <f>B8</f>
        <v>8</v>
      </c>
      <c r="K3" s="15" t="str">
        <f>"&lt;unit"&amp;TEXT(B3,"000")&amp;"&gt; """&amp;E3&amp;""" {d 000, n "&amp;TEXT(G3,"000")&amp;"}"</f>
        <v>&lt;unit003&gt; "Прямой" {d 000, n 008}</v>
      </c>
    </row>
    <row r="4" spans="1:11" x14ac:dyDescent="0.25">
      <c r="A4" s="15" t="str">
        <f ca="1">TEXT(INDIRECT(ADDRESS($B$1,1,4,1,"route")),"000")</f>
        <v>001</v>
      </c>
      <c r="B4">
        <f>ROW(B4)</f>
        <v>4</v>
      </c>
      <c r="E4" t="s">
        <v>338</v>
      </c>
      <c r="G4" s="24">
        <f>B46</f>
        <v>46</v>
      </c>
      <c r="K4" s="15" t="str">
        <f>"&lt;unit"&amp;TEXT(B4,"000")&amp;"&gt; """&amp;E4&amp;""" {d 000, n "&amp;TEXT(G4,"000")&amp;"}"</f>
        <v>&lt;unit004&gt; "Обратный" {d 000, n 046}</v>
      </c>
    </row>
    <row r="5" spans="1:11" x14ac:dyDescent="0.25">
      <c r="A5" s="15"/>
      <c r="K5" s="15"/>
    </row>
    <row r="6" spans="1:11" x14ac:dyDescent="0.25">
      <c r="B6">
        <f>ROW(B6)</f>
        <v>6</v>
      </c>
      <c r="E6" s="25" t="s">
        <v>340</v>
      </c>
      <c r="F6" s="25"/>
      <c r="G6" s="24">
        <f>B8</f>
        <v>8</v>
      </c>
      <c r="K6" s="15" t="str">
        <f>"&lt;unit"&amp;TEXT(B6,"000")&amp;"&gt; """&amp;E6&amp;""" {d 000, n "&amp;TEXT(G6,"000")&amp;"}"</f>
        <v>&lt;unit006&gt; "----- Прямой -----" {d 000, n 008}</v>
      </c>
    </row>
    <row r="7" spans="1:11" x14ac:dyDescent="0.25">
      <c r="K7" s="15"/>
    </row>
    <row r="8" spans="1:11" x14ac:dyDescent="0.25">
      <c r="B8">
        <f>ROW(B8)</f>
        <v>8</v>
      </c>
      <c r="C8" t="s">
        <v>85</v>
      </c>
      <c r="D8" t="str">
        <f>IF(H8="c 900","&gt;&gt;","")</f>
        <v/>
      </c>
      <c r="E8" t="s">
        <v>292</v>
      </c>
      <c r="G8" s="24">
        <f t="shared" ref="G8:G41" si="0">B9</f>
        <v>9</v>
      </c>
      <c r="H8" s="24" t="str">
        <f t="shared" ref="H8:H42" si="1">IFERROR("c "&amp;VLOOKUP(C8,Punkti,2,FALSE),"")</f>
        <v>c 902</v>
      </c>
      <c r="I8" s="28" t="str">
        <f t="shared" ref="I8:I11" si="2">IFERROR(VLOOKUP(E8,Ostanovki,7,FALSE),"")</f>
        <v>c 928, v "\mp3_ost\truda.mp3"</v>
      </c>
      <c r="J8" s="24" t="str">
        <f t="shared" ref="J8:J42" si="3">IFERROR("c "&amp;VLOOKUP(F8,Punkti,2,FALSE),"")</f>
        <v/>
      </c>
      <c r="K8" s="15" t="str">
        <f t="shared" ref="K8:K42" si="4">"&lt;unit"&amp;TEXT(B8,"000")&amp;"&gt; """&amp;СцепитьМного(D8:E8,"")&amp;""" {"&amp;СцепитьМного(H8:J8,", ")&amp;", d 000, n "&amp;TEXT(G8,"000")&amp;"}"</f>
        <v>&lt;unit008&gt; "ул.Труда" {c 902, c 928, v "\mp3_ost\truda.mp3", d 000, n 009}</v>
      </c>
    </row>
    <row r="9" spans="1:11" x14ac:dyDescent="0.25">
      <c r="B9">
        <f t="shared" ref="B9:B42" si="5">ROW(B9)</f>
        <v>9</v>
      </c>
      <c r="C9" t="s">
        <v>344</v>
      </c>
      <c r="D9" t="str">
        <f>IF(H9="c 900","&gt;&gt;","")</f>
        <v>&gt;&gt;</v>
      </c>
      <c r="E9" t="s">
        <v>209</v>
      </c>
      <c r="G9" s="24">
        <f t="shared" si="0"/>
        <v>10</v>
      </c>
      <c r="H9" s="24" t="str">
        <f t="shared" si="1"/>
        <v>c 900</v>
      </c>
      <c r="I9" s="28" t="str">
        <f t="shared" si="2"/>
        <v>v "\mp3_ost\elseti.mp3"</v>
      </c>
      <c r="J9" s="24" t="str">
        <f t="shared" si="3"/>
        <v/>
      </c>
      <c r="K9" s="15" t="str">
        <f t="shared" si="4"/>
        <v>&lt;unit009&gt; "&gt;&gt;Электросети" {c 900, v "\mp3_ost\elseti.mp3", d 000, n 010}</v>
      </c>
    </row>
    <row r="10" spans="1:11" x14ac:dyDescent="0.25">
      <c r="B10">
        <f t="shared" si="5"/>
        <v>10</v>
      </c>
      <c r="C10" t="s">
        <v>85</v>
      </c>
      <c r="D10" t="str">
        <f t="shared" ref="D10:D42" si="6">IF(H10="c 900","&gt;&gt;","")</f>
        <v/>
      </c>
      <c r="E10" t="s">
        <v>209</v>
      </c>
      <c r="G10" s="24">
        <f t="shared" si="0"/>
        <v>11</v>
      </c>
      <c r="H10" s="24" t="str">
        <f t="shared" si="1"/>
        <v>c 902</v>
      </c>
      <c r="I10" s="28" t="str">
        <f t="shared" si="2"/>
        <v>v "\mp3_ost\elseti.mp3"</v>
      </c>
      <c r="J10" s="24" t="str">
        <f t="shared" si="3"/>
        <v/>
      </c>
      <c r="K10" s="15" t="str">
        <f t="shared" si="4"/>
        <v>&lt;unit010&gt; "Электросети" {c 902, v "\mp3_ost\elseti.mp3", d 000, n 011}</v>
      </c>
    </row>
    <row r="11" spans="1:11" x14ac:dyDescent="0.25">
      <c r="B11">
        <f t="shared" si="5"/>
        <v>11</v>
      </c>
      <c r="C11" t="s">
        <v>344</v>
      </c>
      <c r="D11" t="str">
        <f t="shared" si="6"/>
        <v>&gt;&gt;</v>
      </c>
      <c r="E11" t="s">
        <v>284</v>
      </c>
      <c r="G11" s="24">
        <f t="shared" si="0"/>
        <v>12</v>
      </c>
      <c r="H11" s="24" t="str">
        <f t="shared" si="1"/>
        <v>c 900</v>
      </c>
      <c r="I11" s="28" t="str">
        <f t="shared" si="2"/>
        <v>c 928, v "\mp3_ost\kupriyan.mp3"</v>
      </c>
      <c r="J11" s="24" t="str">
        <f t="shared" si="3"/>
        <v/>
      </c>
      <c r="K11" s="15" t="str">
        <f t="shared" si="4"/>
        <v>&lt;unit011&gt; "&gt;&gt;ул.Куприянова" {c 900, c 928, v "\mp3_ost\kupriyan.mp3", d 000, n 012}</v>
      </c>
    </row>
    <row r="12" spans="1:11" x14ac:dyDescent="0.25">
      <c r="B12">
        <f t="shared" si="5"/>
        <v>12</v>
      </c>
      <c r="C12" t="s">
        <v>85</v>
      </c>
      <c r="D12" t="str">
        <f t="shared" si="6"/>
        <v/>
      </c>
      <c r="E12" t="s">
        <v>284</v>
      </c>
      <c r="G12" s="24">
        <f t="shared" si="0"/>
        <v>13</v>
      </c>
      <c r="H12" s="24" t="str">
        <f t="shared" si="1"/>
        <v>c 902</v>
      </c>
      <c r="I12" s="28" t="str">
        <f t="shared" ref="I12:I42" si="7">IFERROR(VLOOKUP(E12,Ostanovki,7,FALSE),"")</f>
        <v>c 928, v "\mp3_ost\kupriyan.mp3"</v>
      </c>
      <c r="J12" s="24" t="str">
        <f t="shared" si="3"/>
        <v/>
      </c>
      <c r="K12" s="15" t="str">
        <f t="shared" si="4"/>
        <v>&lt;unit012&gt; "ул.Куприянова" {c 902, c 928, v "\mp3_ost\kupriyan.mp3", d 000, n 013}</v>
      </c>
    </row>
    <row r="13" spans="1:11" x14ac:dyDescent="0.25">
      <c r="B13">
        <f t="shared" si="5"/>
        <v>13</v>
      </c>
      <c r="C13" t="s">
        <v>344</v>
      </c>
      <c r="D13" t="str">
        <f t="shared" si="6"/>
        <v>&gt;&gt;</v>
      </c>
      <c r="E13" t="s">
        <v>263</v>
      </c>
      <c r="G13" s="24">
        <f t="shared" si="0"/>
        <v>14</v>
      </c>
      <c r="H13" s="24" t="str">
        <f t="shared" si="1"/>
        <v>c 900</v>
      </c>
      <c r="I13" s="28" t="str">
        <f t="shared" si="7"/>
        <v>v "\mp3_ost\tec.mp3"</v>
      </c>
      <c r="J13" s="24" t="str">
        <f t="shared" si="3"/>
        <v/>
      </c>
      <c r="K13" s="15" t="str">
        <f t="shared" si="4"/>
        <v>&lt;unit013&gt; "&gt;&gt;ТЭЦ" {c 900, v "\mp3_ost\tec.mp3", d 000, n 014}</v>
      </c>
    </row>
    <row r="14" spans="1:11" x14ac:dyDescent="0.25">
      <c r="B14">
        <f t="shared" si="5"/>
        <v>14</v>
      </c>
      <c r="C14" t="s">
        <v>85</v>
      </c>
      <c r="D14" t="str">
        <f t="shared" si="6"/>
        <v/>
      </c>
      <c r="E14" t="s">
        <v>263</v>
      </c>
      <c r="G14" s="24">
        <f t="shared" si="0"/>
        <v>15</v>
      </c>
      <c r="H14" s="24" t="str">
        <f t="shared" si="1"/>
        <v>c 902</v>
      </c>
      <c r="I14" s="28" t="str">
        <f t="shared" si="7"/>
        <v>v "\mp3_ost\tec.mp3"</v>
      </c>
      <c r="J14" s="24" t="str">
        <f t="shared" si="3"/>
        <v/>
      </c>
      <c r="K14" s="15" t="str">
        <f t="shared" si="4"/>
        <v>&lt;unit014&gt; "ТЭЦ" {c 902, v "\mp3_ost\tec.mp3", d 000, n 015}</v>
      </c>
    </row>
    <row r="15" spans="1:11" x14ac:dyDescent="0.25">
      <c r="B15">
        <f t="shared" si="5"/>
        <v>15</v>
      </c>
      <c r="C15" t="s">
        <v>344</v>
      </c>
      <c r="D15" t="str">
        <f t="shared" si="6"/>
        <v>&gt;&gt;</v>
      </c>
      <c r="E15" t="s">
        <v>272</v>
      </c>
      <c r="G15" s="24">
        <f t="shared" si="0"/>
        <v>16</v>
      </c>
      <c r="H15" s="24" t="str">
        <f t="shared" si="1"/>
        <v>c 900</v>
      </c>
      <c r="I15" s="28" t="str">
        <f t="shared" si="7"/>
        <v>v "\mp3_ost\yunost`.mp3"</v>
      </c>
      <c r="J15" s="24" t="str">
        <f t="shared" si="3"/>
        <v/>
      </c>
      <c r="K15" s="15" t="str">
        <f t="shared" si="4"/>
        <v>&lt;unit015&gt; "&gt;&gt;к/т Юность" {c 900, v "\mp3_ost\yunost`.mp3", d 000, n 016}</v>
      </c>
    </row>
    <row r="16" spans="1:11" x14ac:dyDescent="0.25">
      <c r="B16">
        <f t="shared" si="5"/>
        <v>16</v>
      </c>
      <c r="C16" t="s">
        <v>85</v>
      </c>
      <c r="D16" t="str">
        <f t="shared" si="6"/>
        <v/>
      </c>
      <c r="E16" t="s">
        <v>272</v>
      </c>
      <c r="G16" s="24">
        <f t="shared" si="0"/>
        <v>17</v>
      </c>
      <c r="H16" s="24" t="str">
        <f t="shared" si="1"/>
        <v>c 902</v>
      </c>
      <c r="I16" s="28" t="str">
        <f t="shared" si="7"/>
        <v>v "\mp3_ost\yunost`.mp3"</v>
      </c>
      <c r="J16" s="24" t="str">
        <f t="shared" si="3"/>
        <v/>
      </c>
      <c r="K16" s="15" t="str">
        <f t="shared" si="4"/>
        <v>&lt;unit016&gt; "к/т Юность" {c 902, v "\mp3_ost\yunost`.mp3", d 000, n 017}</v>
      </c>
    </row>
    <row r="17" spans="2:11" x14ac:dyDescent="0.25">
      <c r="B17">
        <f t="shared" si="5"/>
        <v>17</v>
      </c>
      <c r="C17" t="s">
        <v>344</v>
      </c>
      <c r="D17" t="str">
        <f t="shared" si="6"/>
        <v>&gt;&gt;</v>
      </c>
      <c r="E17" t="s">
        <v>170</v>
      </c>
      <c r="G17" s="24">
        <f t="shared" si="0"/>
        <v>18</v>
      </c>
      <c r="H17" s="24" t="str">
        <f t="shared" si="1"/>
        <v>c 900</v>
      </c>
      <c r="I17" s="28" t="str">
        <f t="shared" si="7"/>
        <v>v "\mp3_ost\jd.mp3"</v>
      </c>
      <c r="J17" s="24" t="str">
        <f t="shared" si="3"/>
        <v/>
      </c>
      <c r="K17" s="15" t="str">
        <f t="shared" si="4"/>
        <v>&lt;unit017&gt; "&gt;&gt;ЖД Вокзал" {c 900, v "\mp3_ost\jd.mp3", d 000, n 018}</v>
      </c>
    </row>
    <row r="18" spans="2:11" x14ac:dyDescent="0.25">
      <c r="B18">
        <f t="shared" si="5"/>
        <v>18</v>
      </c>
      <c r="C18" t="s">
        <v>85</v>
      </c>
      <c r="D18" t="str">
        <f t="shared" si="6"/>
        <v/>
      </c>
      <c r="E18" t="s">
        <v>170</v>
      </c>
      <c r="G18" s="24">
        <f t="shared" si="0"/>
        <v>19</v>
      </c>
      <c r="H18" s="24" t="str">
        <f t="shared" si="1"/>
        <v>c 902</v>
      </c>
      <c r="I18" s="28" t="str">
        <f t="shared" si="7"/>
        <v>v "\mp3_ost\jd.mp3"</v>
      </c>
      <c r="J18" s="24" t="str">
        <f t="shared" si="3"/>
        <v/>
      </c>
      <c r="K18" s="15" t="str">
        <f t="shared" si="4"/>
        <v>&lt;unit018&gt; "ЖД Вокзал" {c 902, v "\mp3_ost\jd.mp3", d 000, n 019}</v>
      </c>
    </row>
    <row r="19" spans="2:11" x14ac:dyDescent="0.25">
      <c r="B19">
        <f t="shared" si="5"/>
        <v>19</v>
      </c>
      <c r="C19" t="s">
        <v>344</v>
      </c>
      <c r="D19" t="str">
        <f t="shared" si="6"/>
        <v>&gt;&gt;</v>
      </c>
      <c r="E19" t="s">
        <v>173</v>
      </c>
      <c r="G19" s="24">
        <f t="shared" si="0"/>
        <v>20</v>
      </c>
      <c r="H19" s="24" t="str">
        <f t="shared" si="1"/>
        <v>c 900</v>
      </c>
      <c r="I19" s="28" t="str">
        <f t="shared" si="7"/>
        <v>c 928, v "\mp3_ost\partizan.mp3"</v>
      </c>
      <c r="J19" s="24" t="str">
        <f t="shared" si="3"/>
        <v/>
      </c>
      <c r="K19" s="15" t="str">
        <f t="shared" si="4"/>
        <v>&lt;unit019&gt; "&gt;&gt;ул.Партизанская" {c 900, c 928, v "\mp3_ost\partizan.mp3", d 000, n 020}</v>
      </c>
    </row>
    <row r="20" spans="2:11" x14ac:dyDescent="0.25">
      <c r="B20">
        <f t="shared" si="5"/>
        <v>20</v>
      </c>
      <c r="C20" t="s">
        <v>85</v>
      </c>
      <c r="D20" t="str">
        <f t="shared" si="6"/>
        <v/>
      </c>
      <c r="E20" t="s">
        <v>173</v>
      </c>
      <c r="G20" s="24">
        <f t="shared" si="0"/>
        <v>21</v>
      </c>
      <c r="H20" s="24" t="str">
        <f t="shared" si="1"/>
        <v>c 902</v>
      </c>
      <c r="I20" s="28" t="str">
        <f t="shared" si="7"/>
        <v>c 928, v "\mp3_ost\partizan.mp3"</v>
      </c>
      <c r="J20" s="24" t="str">
        <f t="shared" si="3"/>
        <v/>
      </c>
      <c r="K20" s="15" t="str">
        <f t="shared" si="4"/>
        <v>&lt;unit020&gt; "ул.Партизанская" {c 902, c 928, v "\mp3_ost\partizan.mp3", d 000, n 021}</v>
      </c>
    </row>
    <row r="21" spans="2:11" x14ac:dyDescent="0.25">
      <c r="B21">
        <f t="shared" si="5"/>
        <v>21</v>
      </c>
      <c r="C21" t="s">
        <v>344</v>
      </c>
      <c r="D21" t="str">
        <f t="shared" si="6"/>
        <v>&gt;&gt;</v>
      </c>
      <c r="E21" t="s">
        <v>172</v>
      </c>
      <c r="G21" s="24">
        <f t="shared" si="0"/>
        <v>22</v>
      </c>
      <c r="H21" s="24" t="str">
        <f t="shared" si="1"/>
        <v>c 900</v>
      </c>
      <c r="I21" s="28" t="str">
        <f t="shared" si="7"/>
        <v>c 928, v "\mp3_ost\moskovsk.mp3"</v>
      </c>
      <c r="J21" s="24" t="str">
        <f t="shared" si="3"/>
        <v/>
      </c>
      <c r="K21" s="15" t="str">
        <f t="shared" si="4"/>
        <v>&lt;unit021&gt; "&gt;&gt;ул.Московская" {c 900, c 928, v "\mp3_ost\moskovsk.mp3", d 000, n 022}</v>
      </c>
    </row>
    <row r="22" spans="2:11" x14ac:dyDescent="0.25">
      <c r="B22">
        <f t="shared" si="5"/>
        <v>22</v>
      </c>
      <c r="C22" t="s">
        <v>85</v>
      </c>
      <c r="D22" t="str">
        <f t="shared" si="6"/>
        <v/>
      </c>
      <c r="E22" t="s">
        <v>172</v>
      </c>
      <c r="G22" s="24">
        <f t="shared" si="0"/>
        <v>23</v>
      </c>
      <c r="H22" s="24" t="str">
        <f t="shared" si="1"/>
        <v>c 902</v>
      </c>
      <c r="I22" s="28" t="str">
        <f t="shared" si="7"/>
        <v>c 928, v "\mp3_ost\moskovsk.mp3"</v>
      </c>
      <c r="J22" s="24" t="str">
        <f t="shared" si="3"/>
        <v/>
      </c>
      <c r="K22" s="15" t="str">
        <f t="shared" si="4"/>
        <v>&lt;unit022&gt; "ул.Московская" {c 902, c 928, v "\mp3_ost\moskovsk.mp3", d 000, n 023}</v>
      </c>
    </row>
    <row r="23" spans="2:11" x14ac:dyDescent="0.25">
      <c r="B23">
        <f t="shared" si="5"/>
        <v>23</v>
      </c>
      <c r="C23" t="s">
        <v>344</v>
      </c>
      <c r="D23" t="str">
        <f t="shared" si="6"/>
        <v>&gt;&gt;</v>
      </c>
      <c r="E23" t="s">
        <v>174</v>
      </c>
      <c r="G23" s="24">
        <f t="shared" si="0"/>
        <v>24</v>
      </c>
      <c r="H23" s="24" t="str">
        <f t="shared" si="1"/>
        <v>c 900</v>
      </c>
      <c r="I23" s="28" t="str">
        <f t="shared" si="7"/>
        <v>c 928, v "\mp3_ost\swrokvas.mp3"</v>
      </c>
      <c r="J23" s="24" t="str">
        <f t="shared" si="3"/>
        <v/>
      </c>
      <c r="K23" s="15" t="str">
        <f t="shared" si="4"/>
        <v>&lt;unit023&gt; "&gt;&gt;ул.Сырокваша" {c 900, c 928, v "\mp3_ost\swrokvas.mp3", d 000, n 024}</v>
      </c>
    </row>
    <row r="24" spans="2:11" x14ac:dyDescent="0.25">
      <c r="B24">
        <f t="shared" si="5"/>
        <v>24</v>
      </c>
      <c r="C24" t="s">
        <v>85</v>
      </c>
      <c r="D24" t="str">
        <f t="shared" si="6"/>
        <v/>
      </c>
      <c r="E24" t="s">
        <v>174</v>
      </c>
      <c r="G24" s="24">
        <f t="shared" si="0"/>
        <v>25</v>
      </c>
      <c r="H24" s="24" t="str">
        <f t="shared" si="1"/>
        <v>c 902</v>
      </c>
      <c r="I24" s="28" t="str">
        <f t="shared" si="7"/>
        <v>c 928, v "\mp3_ost\swrokvas.mp3"</v>
      </c>
      <c r="J24" s="24" t="str">
        <f t="shared" si="3"/>
        <v/>
      </c>
      <c r="K24" s="15" t="str">
        <f t="shared" si="4"/>
        <v>&lt;unit024&gt; "ул.Сырокваша" {c 902, c 928, v "\mp3_ost\swrokvas.mp3", d 000, n 025}</v>
      </c>
    </row>
    <row r="25" spans="2:11" x14ac:dyDescent="0.25">
      <c r="B25">
        <f t="shared" si="5"/>
        <v>25</v>
      </c>
      <c r="C25" t="s">
        <v>344</v>
      </c>
      <c r="D25" t="str">
        <f t="shared" si="6"/>
        <v>&gt;&gt;</v>
      </c>
      <c r="E25" t="s">
        <v>175</v>
      </c>
      <c r="G25" s="24">
        <f t="shared" si="0"/>
        <v>26</v>
      </c>
      <c r="H25" s="24" t="str">
        <f t="shared" si="1"/>
        <v>c 900</v>
      </c>
      <c r="I25" s="28" t="str">
        <f t="shared" si="7"/>
        <v>v "\mp3_ost\mira.mp3"</v>
      </c>
      <c r="J25" s="24" t="str">
        <f t="shared" si="3"/>
        <v/>
      </c>
      <c r="K25" s="15" t="str">
        <f t="shared" si="4"/>
        <v>&lt;unit025&gt; "&gt;&gt;пр-т Мира" {c 900, v "\mp3_ost\mira.mp3", d 000, n 026}</v>
      </c>
    </row>
    <row r="26" spans="2:11" x14ac:dyDescent="0.25">
      <c r="B26">
        <f t="shared" si="5"/>
        <v>26</v>
      </c>
      <c r="C26" t="s">
        <v>85</v>
      </c>
      <c r="D26" t="str">
        <f t="shared" si="6"/>
        <v/>
      </c>
      <c r="E26" t="s">
        <v>175</v>
      </c>
      <c r="G26" s="24">
        <f t="shared" si="0"/>
        <v>27</v>
      </c>
      <c r="H26" s="24" t="str">
        <f t="shared" si="1"/>
        <v>c 902</v>
      </c>
      <c r="I26" s="28" t="str">
        <f t="shared" si="7"/>
        <v>v "\mp3_ost\mira.mp3"</v>
      </c>
      <c r="J26" s="24" t="str">
        <f t="shared" si="3"/>
        <v/>
      </c>
      <c r="K26" s="15" t="str">
        <f t="shared" si="4"/>
        <v>&lt;unit026&gt; "пр-т Мира" {c 902, v "\mp3_ost\mira.mp3", d 000, n 027}</v>
      </c>
    </row>
    <row r="27" spans="2:11" x14ac:dyDescent="0.25">
      <c r="B27">
        <f t="shared" si="5"/>
        <v>27</v>
      </c>
      <c r="C27" t="s">
        <v>344</v>
      </c>
      <c r="D27" t="str">
        <f t="shared" si="6"/>
        <v>&gt;&gt;</v>
      </c>
      <c r="E27" t="s">
        <v>279</v>
      </c>
      <c r="G27" s="24">
        <f t="shared" si="0"/>
        <v>28</v>
      </c>
      <c r="H27" s="24" t="str">
        <f t="shared" si="1"/>
        <v>c 900</v>
      </c>
      <c r="I27" s="28" t="str">
        <f t="shared" si="7"/>
        <v>c 928, v "\mp3_ost\50letokt.mp3"</v>
      </c>
      <c r="J27" s="24" t="str">
        <f t="shared" si="3"/>
        <v/>
      </c>
      <c r="K27" s="15" t="str">
        <f t="shared" si="4"/>
        <v>&lt;unit027&gt; "&gt;&gt;ул.50 лет Октяб." {c 900, c 928, v "\mp3_ost\50letokt.mp3", d 000, n 028}</v>
      </c>
    </row>
    <row r="28" spans="2:11" x14ac:dyDescent="0.25">
      <c r="B28">
        <f t="shared" si="5"/>
        <v>28</v>
      </c>
      <c r="C28" t="s">
        <v>85</v>
      </c>
      <c r="D28" t="str">
        <f t="shared" si="6"/>
        <v/>
      </c>
      <c r="E28" t="s">
        <v>279</v>
      </c>
      <c r="G28" s="24">
        <f t="shared" si="0"/>
        <v>29</v>
      </c>
      <c r="H28" s="24" t="str">
        <f t="shared" si="1"/>
        <v>c 902</v>
      </c>
      <c r="I28" s="28" t="str">
        <f t="shared" si="7"/>
        <v>c 928, v "\mp3_ost\50letokt.mp3"</v>
      </c>
      <c r="J28" s="24" t="str">
        <f t="shared" si="3"/>
        <v/>
      </c>
      <c r="K28" s="15" t="str">
        <f t="shared" si="4"/>
        <v>&lt;unit028&gt; "ул.50 лет Октяб." {c 902, c 928, v "\mp3_ost\50letokt.mp3", d 000, n 029}</v>
      </c>
    </row>
    <row r="29" spans="2:11" x14ac:dyDescent="0.25">
      <c r="B29">
        <f t="shared" si="5"/>
        <v>29</v>
      </c>
      <c r="C29" t="s">
        <v>344</v>
      </c>
      <c r="D29" t="str">
        <f t="shared" si="6"/>
        <v>&gt;&gt;</v>
      </c>
      <c r="E29" t="s">
        <v>266</v>
      </c>
      <c r="G29" s="24">
        <f t="shared" si="0"/>
        <v>30</v>
      </c>
      <c r="H29" s="24" t="str">
        <f t="shared" si="1"/>
        <v>c 900</v>
      </c>
      <c r="I29" s="28" t="str">
        <f t="shared" si="7"/>
        <v>v "\mp3_ost\universa.mp3"</v>
      </c>
      <c r="J29" s="24" t="str">
        <f t="shared" si="3"/>
        <v/>
      </c>
      <c r="K29" s="15" t="str">
        <f t="shared" si="4"/>
        <v>&lt;unit029&gt; "&gt;&gt;Универсам" {c 900, v "\mp3_ost\universa.mp3", d 000, n 030}</v>
      </c>
    </row>
    <row r="30" spans="2:11" x14ac:dyDescent="0.25">
      <c r="B30">
        <f t="shared" si="5"/>
        <v>30</v>
      </c>
      <c r="C30" t="s">
        <v>85</v>
      </c>
      <c r="D30" t="str">
        <f t="shared" si="6"/>
        <v/>
      </c>
      <c r="E30" t="s">
        <v>266</v>
      </c>
      <c r="G30" s="24">
        <f t="shared" si="0"/>
        <v>31</v>
      </c>
      <c r="H30" s="24" t="str">
        <f t="shared" si="1"/>
        <v>c 902</v>
      </c>
      <c r="I30" s="28" t="str">
        <f t="shared" si="7"/>
        <v>v "\mp3_ost\universa.mp3"</v>
      </c>
      <c r="J30" s="24" t="str">
        <f t="shared" si="3"/>
        <v/>
      </c>
      <c r="K30" s="15" t="str">
        <f t="shared" si="4"/>
        <v>&lt;unit030&gt; "Универсам" {c 902, v "\mp3_ost\universa.mp3", d 000, n 031}</v>
      </c>
    </row>
    <row r="31" spans="2:11" x14ac:dyDescent="0.25">
      <c r="B31">
        <f t="shared" si="5"/>
        <v>31</v>
      </c>
      <c r="C31" t="s">
        <v>344</v>
      </c>
      <c r="D31" t="str">
        <f t="shared" si="6"/>
        <v>&gt;&gt;</v>
      </c>
      <c r="E31" t="s">
        <v>261</v>
      </c>
      <c r="G31" s="24">
        <f t="shared" si="0"/>
        <v>32</v>
      </c>
      <c r="H31" s="24" t="str">
        <f t="shared" si="1"/>
        <v>c 900</v>
      </c>
      <c r="I31" s="28" t="str">
        <f t="shared" si="7"/>
        <v>v "\mp3_ost\tc.mp3"</v>
      </c>
      <c r="J31" s="24" t="str">
        <f t="shared" si="3"/>
        <v/>
      </c>
      <c r="K31" s="15" t="str">
        <f t="shared" si="4"/>
        <v>&lt;unit031&gt; "&gt;&gt;Торг.центр" {c 900, v "\mp3_ost\tc.mp3", d 000, n 032}</v>
      </c>
    </row>
    <row r="32" spans="2:11" x14ac:dyDescent="0.25">
      <c r="B32">
        <f t="shared" si="5"/>
        <v>32</v>
      </c>
      <c r="C32" t="s">
        <v>85</v>
      </c>
      <c r="D32" t="str">
        <f t="shared" si="6"/>
        <v/>
      </c>
      <c r="E32" t="s">
        <v>261</v>
      </c>
      <c r="G32" s="24">
        <f t="shared" si="0"/>
        <v>33</v>
      </c>
      <c r="H32" s="24" t="str">
        <f t="shared" si="1"/>
        <v>c 902</v>
      </c>
      <c r="I32" s="28" t="str">
        <f t="shared" si="7"/>
        <v>v "\mp3_ost\tc.mp3"</v>
      </c>
      <c r="J32" s="24" t="str">
        <f t="shared" si="3"/>
        <v/>
      </c>
      <c r="K32" s="15" t="str">
        <f t="shared" si="4"/>
        <v>&lt;unit032&gt; "Торг.центр" {c 902, v "\mp3_ost\tc.mp3", d 000, n 033}</v>
      </c>
    </row>
    <row r="33" spans="2:11" x14ac:dyDescent="0.25">
      <c r="B33">
        <f>ROW(B33)</f>
        <v>33</v>
      </c>
      <c r="C33" t="s">
        <v>344</v>
      </c>
      <c r="D33" t="str">
        <f t="shared" si="6"/>
        <v>&gt;&gt;</v>
      </c>
      <c r="E33" t="s">
        <v>184</v>
      </c>
      <c r="G33" s="24">
        <f t="shared" si="0"/>
        <v>34</v>
      </c>
      <c r="H33" s="24" t="str">
        <f t="shared" si="1"/>
        <v>c 900</v>
      </c>
      <c r="I33" s="28" t="str">
        <f t="shared" si="7"/>
        <v>v "\mp3_ost\avtostan.mp3"</v>
      </c>
      <c r="J33" s="24" t="str">
        <f t="shared" si="3"/>
        <v/>
      </c>
      <c r="K33" s="15" t="str">
        <f t="shared" si="4"/>
        <v>&lt;unit033&gt; "&gt;&gt;Автостанция" {c 900, v "\mp3_ost\avtostan.mp3", d 000, n 034}</v>
      </c>
    </row>
    <row r="34" spans="2:11" x14ac:dyDescent="0.25">
      <c r="B34">
        <f t="shared" si="5"/>
        <v>34</v>
      </c>
      <c r="C34" t="s">
        <v>85</v>
      </c>
      <c r="D34" t="str">
        <f t="shared" si="6"/>
        <v/>
      </c>
      <c r="E34" t="s">
        <v>184</v>
      </c>
      <c r="G34" s="24">
        <f t="shared" si="0"/>
        <v>35</v>
      </c>
      <c r="H34" s="24" t="str">
        <f t="shared" si="1"/>
        <v>c 902</v>
      </c>
      <c r="I34" s="28" t="str">
        <f t="shared" si="7"/>
        <v>v "\mp3_ost\avtostan.mp3"</v>
      </c>
      <c r="J34" s="24" t="str">
        <f t="shared" si="3"/>
        <v/>
      </c>
      <c r="K34" s="15" t="str">
        <f t="shared" si="4"/>
        <v>&lt;unit034&gt; "Автостанция" {c 902, v "\mp3_ost\avtostan.mp3", d 000, n 035}</v>
      </c>
    </row>
    <row r="35" spans="2:11" x14ac:dyDescent="0.25">
      <c r="B35">
        <f t="shared" si="5"/>
        <v>35</v>
      </c>
      <c r="C35" t="s">
        <v>344</v>
      </c>
      <c r="D35" t="str">
        <f t="shared" si="6"/>
        <v>&gt;&gt;</v>
      </c>
      <c r="E35" t="s">
        <v>288</v>
      </c>
      <c r="G35" s="24">
        <f t="shared" si="0"/>
        <v>36</v>
      </c>
      <c r="H35" s="24" t="str">
        <f t="shared" si="1"/>
        <v>c 900</v>
      </c>
      <c r="I35" s="28" t="str">
        <f t="shared" si="7"/>
        <v>c 928, v "\mp3_ost\magistra.mp3"</v>
      </c>
      <c r="J35" s="24" t="str">
        <f t="shared" si="3"/>
        <v/>
      </c>
      <c r="K35" s="15" t="str">
        <f t="shared" si="4"/>
        <v>&lt;unit035&gt; "&gt;&gt;ул.Магистральная" {c 900, c 928, v "\mp3_ost\magistra.mp3", d 000, n 036}</v>
      </c>
    </row>
    <row r="36" spans="2:11" x14ac:dyDescent="0.25">
      <c r="B36">
        <f t="shared" si="5"/>
        <v>36</v>
      </c>
      <c r="C36" t="s">
        <v>85</v>
      </c>
      <c r="D36" t="str">
        <f t="shared" si="6"/>
        <v/>
      </c>
      <c r="E36" t="s">
        <v>288</v>
      </c>
      <c r="G36" s="24">
        <f t="shared" si="0"/>
        <v>37</v>
      </c>
      <c r="H36" s="24" t="str">
        <f t="shared" si="1"/>
        <v>c 902</v>
      </c>
      <c r="I36" s="28" t="str">
        <f t="shared" si="7"/>
        <v>c 928, v "\mp3_ost\magistra.mp3"</v>
      </c>
      <c r="J36" s="24" t="str">
        <f t="shared" si="3"/>
        <v/>
      </c>
      <c r="K36" s="15" t="str">
        <f t="shared" si="4"/>
        <v>&lt;unit036&gt; "ул.Магистральная" {c 902, c 928, v "\mp3_ost\magistra.mp3", d 000, n 037}</v>
      </c>
    </row>
    <row r="37" spans="2:11" x14ac:dyDescent="0.25">
      <c r="B37">
        <f t="shared" si="5"/>
        <v>37</v>
      </c>
      <c r="C37" t="s">
        <v>344</v>
      </c>
      <c r="D37" t="str">
        <f t="shared" si="6"/>
        <v>&gt;&gt;</v>
      </c>
      <c r="E37" t="s">
        <v>351</v>
      </c>
      <c r="G37" s="24">
        <f t="shared" si="0"/>
        <v>38</v>
      </c>
      <c r="H37" s="24" t="str">
        <f t="shared" si="1"/>
        <v>c 900</v>
      </c>
      <c r="I37" s="28" t="str">
        <f t="shared" si="7"/>
        <v>c 928, v "\mp3_ost\ostrovsk.mp3"</v>
      </c>
      <c r="J37" s="24" t="str">
        <f t="shared" si="3"/>
        <v/>
      </c>
      <c r="K37" s="15" t="str">
        <f t="shared" si="4"/>
        <v>&lt;unit037&gt; "&gt;&gt;ул.Островского" {c 900, c 928, v "\mp3_ost\ostrovsk.mp3", d 000, n 038}</v>
      </c>
    </row>
    <row r="38" spans="2:11" x14ac:dyDescent="0.25">
      <c r="B38">
        <f t="shared" si="5"/>
        <v>38</v>
      </c>
      <c r="C38" t="s">
        <v>85</v>
      </c>
      <c r="D38" t="str">
        <f t="shared" si="6"/>
        <v/>
      </c>
      <c r="E38" t="s">
        <v>351</v>
      </c>
      <c r="G38" s="24">
        <f t="shared" si="0"/>
        <v>39</v>
      </c>
      <c r="H38" s="24" t="str">
        <f t="shared" si="1"/>
        <v>c 902</v>
      </c>
      <c r="I38" s="28" t="str">
        <f t="shared" si="7"/>
        <v>c 928, v "\mp3_ost\ostrovsk.mp3"</v>
      </c>
      <c r="J38" s="24" t="str">
        <f t="shared" si="3"/>
        <v/>
      </c>
      <c r="K38" s="15" t="str">
        <f t="shared" si="4"/>
        <v>&lt;unit038&gt; "ул.Островского" {c 902, c 928, v "\mp3_ost\ostrovsk.mp3", d 000, n 039}</v>
      </c>
    </row>
    <row r="39" spans="2:11" x14ac:dyDescent="0.25">
      <c r="B39">
        <f t="shared" si="5"/>
        <v>39</v>
      </c>
      <c r="C39" t="s">
        <v>344</v>
      </c>
      <c r="D39" t="str">
        <f t="shared" si="6"/>
        <v>&gt;&gt;</v>
      </c>
      <c r="E39" t="s">
        <v>285</v>
      </c>
      <c r="G39" s="24">
        <f t="shared" si="0"/>
        <v>40</v>
      </c>
      <c r="H39" s="24" t="str">
        <f t="shared" si="1"/>
        <v>c 900</v>
      </c>
      <c r="I39" s="28" t="str">
        <f t="shared" si="7"/>
        <v>c 928, v "\mp3_ost\leninska.mp3"</v>
      </c>
      <c r="J39" s="24" t="str">
        <f t="shared" si="3"/>
        <v/>
      </c>
      <c r="K39" s="15" t="str">
        <f t="shared" si="4"/>
        <v>&lt;unit039&gt; "&gt;&gt;ул.Ленинская" {c 900, c 928, v "\mp3_ost\leninska.mp3", d 000, n 040}</v>
      </c>
    </row>
    <row r="40" spans="2:11" x14ac:dyDescent="0.25">
      <c r="B40">
        <f t="shared" si="5"/>
        <v>40</v>
      </c>
      <c r="C40" t="s">
        <v>85</v>
      </c>
      <c r="D40" t="str">
        <f t="shared" si="6"/>
        <v/>
      </c>
      <c r="E40" t="s">
        <v>285</v>
      </c>
      <c r="G40" s="24">
        <f t="shared" si="0"/>
        <v>41</v>
      </c>
      <c r="H40" s="24" t="str">
        <f t="shared" si="1"/>
        <v>c 902</v>
      </c>
      <c r="I40" s="28" t="str">
        <f t="shared" si="7"/>
        <v>c 928, v "\mp3_ost\leninska.mp3"</v>
      </c>
      <c r="J40" s="24" t="str">
        <f t="shared" si="3"/>
        <v/>
      </c>
      <c r="K40" s="15" t="str">
        <f t="shared" si="4"/>
        <v>&lt;unit040&gt; "ул.Ленинская" {c 902, c 928, v "\mp3_ost\leninska.mp3", d 000, n 041}</v>
      </c>
    </row>
    <row r="41" spans="2:11" x14ac:dyDescent="0.25">
      <c r="B41">
        <f t="shared" si="5"/>
        <v>41</v>
      </c>
      <c r="C41" t="s">
        <v>344</v>
      </c>
      <c r="D41" t="str">
        <f t="shared" si="6"/>
        <v>&gt;&gt;</v>
      </c>
      <c r="E41" t="s">
        <v>221</v>
      </c>
      <c r="G41" s="24">
        <f t="shared" si="0"/>
        <v>42</v>
      </c>
      <c r="H41" s="24" t="str">
        <f t="shared" si="1"/>
        <v>c 900</v>
      </c>
      <c r="I41" s="28" t="str">
        <f t="shared" si="7"/>
        <v>v "\mp3_ost\kztsh.mp3"</v>
      </c>
      <c r="J41" s="24" t="str">
        <f t="shared" si="3"/>
        <v/>
      </c>
      <c r="K41" s="15" t="str">
        <f t="shared" si="4"/>
        <v>&lt;unit041&gt; "&gt;&gt;КЗТШ" {c 900, v "\mp3_ost\kztsh.mp3", d 000, n 042}</v>
      </c>
    </row>
    <row r="42" spans="2:11" x14ac:dyDescent="0.25">
      <c r="B42">
        <f t="shared" si="5"/>
        <v>42</v>
      </c>
      <c r="C42" t="s">
        <v>85</v>
      </c>
      <c r="D42" t="str">
        <f t="shared" si="6"/>
        <v/>
      </c>
      <c r="E42" t="s">
        <v>221</v>
      </c>
      <c r="F42" t="s">
        <v>346</v>
      </c>
      <c r="G42" s="24">
        <f>B44</f>
        <v>44</v>
      </c>
      <c r="H42" s="24" t="str">
        <f t="shared" si="1"/>
        <v>c 902</v>
      </c>
      <c r="I42" s="28" t="str">
        <f t="shared" si="7"/>
        <v>v "\mp3_ost\kztsh.mp3"</v>
      </c>
      <c r="J42" s="24" t="str">
        <f t="shared" si="3"/>
        <v>c 903</v>
      </c>
      <c r="K42" s="15" t="str">
        <f t="shared" si="4"/>
        <v>&lt;unit042&gt; "КЗТШ" {c 902, v "\mp3_ost\kztsh.mp3", c 903, d 000, n 044}</v>
      </c>
    </row>
    <row r="43" spans="2:11" x14ac:dyDescent="0.25">
      <c r="K43" s="15"/>
    </row>
    <row r="44" spans="2:11" x14ac:dyDescent="0.25">
      <c r="B44">
        <f t="shared" ref="B44:B82" si="8">ROW(B44)</f>
        <v>44</v>
      </c>
      <c r="E44" s="25" t="s">
        <v>342</v>
      </c>
      <c r="F44" s="25"/>
      <c r="G44" s="24">
        <f>B46</f>
        <v>46</v>
      </c>
      <c r="K44" s="15" t="str">
        <f>"&lt;unit"&amp;TEXT(B44,"000")&amp;"&gt; """&amp;E44&amp;""" {d 000, n "&amp;TEXT(G44,"000")&amp;"}"</f>
        <v>&lt;unit044&gt; "----- Обратный -----" {d 000, n 046}</v>
      </c>
    </row>
    <row r="45" spans="2:11" x14ac:dyDescent="0.25">
      <c r="K45" s="15"/>
    </row>
    <row r="46" spans="2:11" x14ac:dyDescent="0.25">
      <c r="B46">
        <f t="shared" si="8"/>
        <v>46</v>
      </c>
      <c r="C46" t="s">
        <v>85</v>
      </c>
      <c r="D46" t="str">
        <f t="shared" ref="D46:D80" si="9">IF(H46="c 900","&gt;&gt;","")</f>
        <v/>
      </c>
      <c r="E46" t="s">
        <v>221</v>
      </c>
      <c r="G46" s="24">
        <f>B47</f>
        <v>47</v>
      </c>
      <c r="H46" s="24" t="str">
        <f t="shared" ref="H46:H80" si="10">IFERROR("c "&amp;VLOOKUP(C46,Punkti,2,FALSE),"")</f>
        <v>c 902</v>
      </c>
      <c r="I46" s="28" t="str">
        <f t="shared" ref="I46:I80" si="11">IFERROR(VLOOKUP(E46,Ostanovki,7,FALSE),"")</f>
        <v>v "\mp3_ost\kztsh.mp3"</v>
      </c>
      <c r="J46" s="24" t="str">
        <f t="shared" ref="J46:J80" si="12">IFERROR("c "&amp;VLOOKUP(F46,Punkti,2,FALSE),"")</f>
        <v/>
      </c>
      <c r="K46" s="15" t="str">
        <f t="shared" ref="K46:K80" si="13">"&lt;unit"&amp;TEXT(B46,"000")&amp;"&gt; """&amp;СцепитьМного(D46:E46,"")&amp;""" {"&amp;СцепитьМного(H46:J46,", ")&amp;", d 000, n "&amp;TEXT(G46,"000")&amp;"}"</f>
        <v>&lt;unit046&gt; "КЗТШ" {c 902, v "\mp3_ost\kztsh.mp3", d 000, n 047}</v>
      </c>
    </row>
    <row r="47" spans="2:11" x14ac:dyDescent="0.25">
      <c r="B47">
        <f t="shared" si="8"/>
        <v>47</v>
      </c>
      <c r="C47" t="s">
        <v>344</v>
      </c>
      <c r="D47" t="str">
        <f t="shared" si="9"/>
        <v>&gt;&gt;</v>
      </c>
      <c r="E47" t="s">
        <v>285</v>
      </c>
      <c r="G47" s="24">
        <f t="shared" ref="G47:G78" si="14">B48</f>
        <v>48</v>
      </c>
      <c r="H47" s="24" t="str">
        <f t="shared" si="10"/>
        <v>c 900</v>
      </c>
      <c r="I47" s="28" t="str">
        <f t="shared" si="11"/>
        <v>c 928, v "\mp3_ost\leninska.mp3"</v>
      </c>
      <c r="J47" s="24" t="str">
        <f t="shared" si="12"/>
        <v/>
      </c>
      <c r="K47" s="15" t="str">
        <f t="shared" si="13"/>
        <v>&lt;unit047&gt; "&gt;&gt;ул.Ленинская" {c 900, c 928, v "\mp3_ost\leninska.mp3", d 000, n 048}</v>
      </c>
    </row>
    <row r="48" spans="2:11" x14ac:dyDescent="0.25">
      <c r="B48">
        <f t="shared" si="8"/>
        <v>48</v>
      </c>
      <c r="C48" t="s">
        <v>85</v>
      </c>
      <c r="D48" t="str">
        <f t="shared" si="9"/>
        <v/>
      </c>
      <c r="E48" t="s">
        <v>285</v>
      </c>
      <c r="G48" s="24">
        <f t="shared" si="14"/>
        <v>49</v>
      </c>
      <c r="H48" s="24" t="str">
        <f t="shared" si="10"/>
        <v>c 902</v>
      </c>
      <c r="I48" s="28" t="str">
        <f t="shared" si="11"/>
        <v>c 928, v "\mp3_ost\leninska.mp3"</v>
      </c>
      <c r="J48" s="24" t="str">
        <f t="shared" si="12"/>
        <v/>
      </c>
      <c r="K48" s="15" t="str">
        <f t="shared" si="13"/>
        <v>&lt;unit048&gt; "ул.Ленинская" {c 902, c 928, v "\mp3_ost\leninska.mp3", d 000, n 049}</v>
      </c>
    </row>
    <row r="49" spans="2:11" x14ac:dyDescent="0.25">
      <c r="B49">
        <f t="shared" si="8"/>
        <v>49</v>
      </c>
      <c r="C49" t="s">
        <v>344</v>
      </c>
      <c r="D49" t="str">
        <f t="shared" si="9"/>
        <v>&gt;&gt;</v>
      </c>
      <c r="E49" t="s">
        <v>351</v>
      </c>
      <c r="G49" s="24">
        <f t="shared" si="14"/>
        <v>50</v>
      </c>
      <c r="H49" s="24" t="str">
        <f t="shared" si="10"/>
        <v>c 900</v>
      </c>
      <c r="I49" s="28" t="str">
        <f t="shared" si="11"/>
        <v>c 928, v "\mp3_ost\ostrovsk.mp3"</v>
      </c>
      <c r="J49" s="24" t="str">
        <f t="shared" si="12"/>
        <v/>
      </c>
      <c r="K49" s="15" t="str">
        <f t="shared" si="13"/>
        <v>&lt;unit049&gt; "&gt;&gt;ул.Островского" {c 900, c 928, v "\mp3_ost\ostrovsk.mp3", d 000, n 050}</v>
      </c>
    </row>
    <row r="50" spans="2:11" x14ac:dyDescent="0.25">
      <c r="B50">
        <f t="shared" si="8"/>
        <v>50</v>
      </c>
      <c r="C50" t="s">
        <v>85</v>
      </c>
      <c r="D50" t="str">
        <f t="shared" si="9"/>
        <v/>
      </c>
      <c r="E50" t="s">
        <v>351</v>
      </c>
      <c r="G50" s="24">
        <f t="shared" si="14"/>
        <v>51</v>
      </c>
      <c r="H50" s="24" t="str">
        <f t="shared" si="10"/>
        <v>c 902</v>
      </c>
      <c r="I50" s="28" t="str">
        <f t="shared" si="11"/>
        <v>c 928, v "\mp3_ost\ostrovsk.mp3"</v>
      </c>
      <c r="J50" s="24" t="str">
        <f t="shared" si="12"/>
        <v/>
      </c>
      <c r="K50" s="15" t="str">
        <f t="shared" si="13"/>
        <v>&lt;unit050&gt; "ул.Островского" {c 902, c 928, v "\mp3_ost\ostrovsk.mp3", d 000, n 051}</v>
      </c>
    </row>
    <row r="51" spans="2:11" x14ac:dyDescent="0.25">
      <c r="B51">
        <f t="shared" si="8"/>
        <v>51</v>
      </c>
      <c r="C51" t="s">
        <v>344</v>
      </c>
      <c r="D51" t="str">
        <f t="shared" si="9"/>
        <v>&gt;&gt;</v>
      </c>
      <c r="E51" t="s">
        <v>288</v>
      </c>
      <c r="G51" s="24">
        <f t="shared" si="14"/>
        <v>52</v>
      </c>
      <c r="H51" s="24" t="str">
        <f t="shared" si="10"/>
        <v>c 900</v>
      </c>
      <c r="I51" s="28" t="str">
        <f t="shared" si="11"/>
        <v>c 928, v "\mp3_ost\magistra.mp3"</v>
      </c>
      <c r="J51" s="24" t="str">
        <f t="shared" si="12"/>
        <v/>
      </c>
      <c r="K51" s="15" t="str">
        <f t="shared" si="13"/>
        <v>&lt;unit051&gt; "&gt;&gt;ул.Магистральная" {c 900, c 928, v "\mp3_ost\magistra.mp3", d 000, n 052}</v>
      </c>
    </row>
    <row r="52" spans="2:11" x14ac:dyDescent="0.25">
      <c r="B52">
        <f t="shared" si="8"/>
        <v>52</v>
      </c>
      <c r="C52" t="s">
        <v>85</v>
      </c>
      <c r="D52" t="str">
        <f t="shared" si="9"/>
        <v/>
      </c>
      <c r="E52" t="s">
        <v>288</v>
      </c>
      <c r="G52" s="24">
        <f t="shared" si="14"/>
        <v>53</v>
      </c>
      <c r="H52" s="24" t="str">
        <f t="shared" si="10"/>
        <v>c 902</v>
      </c>
      <c r="I52" s="28" t="str">
        <f t="shared" si="11"/>
        <v>c 928, v "\mp3_ost\magistra.mp3"</v>
      </c>
      <c r="J52" s="24" t="str">
        <f t="shared" si="12"/>
        <v/>
      </c>
      <c r="K52" s="15" t="str">
        <f t="shared" si="13"/>
        <v>&lt;unit052&gt; "ул.Магистральная" {c 902, c 928, v "\mp3_ost\magistra.mp3", d 000, n 053}</v>
      </c>
    </row>
    <row r="53" spans="2:11" x14ac:dyDescent="0.25">
      <c r="B53">
        <f t="shared" si="8"/>
        <v>53</v>
      </c>
      <c r="C53" t="s">
        <v>344</v>
      </c>
      <c r="D53" t="str">
        <f t="shared" si="9"/>
        <v>&gt;&gt;</v>
      </c>
      <c r="E53" t="s">
        <v>274</v>
      </c>
      <c r="G53" s="24">
        <f t="shared" si="14"/>
        <v>54</v>
      </c>
      <c r="H53" s="24" t="str">
        <f t="shared" si="10"/>
        <v>c 900</v>
      </c>
      <c r="I53" s="28" t="str">
        <f t="shared" si="11"/>
        <v>v "\mp3_ost\inst-zem.mp3"</v>
      </c>
      <c r="J53" s="24" t="str">
        <f t="shared" si="12"/>
        <v/>
      </c>
      <c r="K53" s="15" t="str">
        <f t="shared" si="13"/>
        <v>&lt;unit053&gt; "&gt;&gt;Инст. земледелия" {c 900, v "\mp3_ost\inst-zem.mp3", d 000, n 054}</v>
      </c>
    </row>
    <row r="54" spans="2:11" x14ac:dyDescent="0.25">
      <c r="B54">
        <f t="shared" si="8"/>
        <v>54</v>
      </c>
      <c r="C54" t="s">
        <v>85</v>
      </c>
      <c r="D54" t="str">
        <f t="shared" si="9"/>
        <v/>
      </c>
      <c r="E54" t="s">
        <v>274</v>
      </c>
      <c r="G54" s="24">
        <f t="shared" si="14"/>
        <v>55</v>
      </c>
      <c r="H54" s="24" t="str">
        <f t="shared" si="10"/>
        <v>c 902</v>
      </c>
      <c r="I54" s="28" t="str">
        <f t="shared" si="11"/>
        <v>v "\mp3_ost\inst-zem.mp3"</v>
      </c>
      <c r="J54" s="24" t="str">
        <f t="shared" si="12"/>
        <v/>
      </c>
      <c r="K54" s="15" t="str">
        <f t="shared" si="13"/>
        <v>&lt;unit054&gt; "Инст. земледелия" {c 902, v "\mp3_ost\inst-zem.mp3", d 000, n 055}</v>
      </c>
    </row>
    <row r="55" spans="2:11" x14ac:dyDescent="0.25">
      <c r="B55">
        <f t="shared" si="8"/>
        <v>55</v>
      </c>
      <c r="C55" t="s">
        <v>344</v>
      </c>
      <c r="D55" t="str">
        <f t="shared" si="9"/>
        <v>&gt;&gt;</v>
      </c>
      <c r="E55" t="s">
        <v>249</v>
      </c>
      <c r="G55" s="24">
        <f t="shared" si="14"/>
        <v>56</v>
      </c>
      <c r="H55" s="24" t="str">
        <f t="shared" si="10"/>
        <v>c 900</v>
      </c>
      <c r="I55" s="28" t="str">
        <f t="shared" si="11"/>
        <v>v "\mp3_ost\sberbank.mp3"</v>
      </c>
      <c r="J55" s="24" t="str">
        <f t="shared" si="12"/>
        <v/>
      </c>
      <c r="K55" s="15" t="str">
        <f t="shared" si="13"/>
        <v>&lt;unit055&gt; "&gt;&gt;Сбербанк" {c 900, v "\mp3_ost\sberbank.mp3", d 000, n 056}</v>
      </c>
    </row>
    <row r="56" spans="2:11" x14ac:dyDescent="0.25">
      <c r="B56">
        <f t="shared" si="8"/>
        <v>56</v>
      </c>
      <c r="C56" t="s">
        <v>85</v>
      </c>
      <c r="D56" t="str">
        <f t="shared" si="9"/>
        <v/>
      </c>
      <c r="E56" t="s">
        <v>249</v>
      </c>
      <c r="G56" s="24">
        <f t="shared" si="14"/>
        <v>57</v>
      </c>
      <c r="H56" s="24" t="str">
        <f t="shared" si="10"/>
        <v>c 902</v>
      </c>
      <c r="I56" s="28" t="str">
        <f t="shared" si="11"/>
        <v>v "\mp3_ost\sberbank.mp3"</v>
      </c>
      <c r="J56" s="24" t="str">
        <f t="shared" si="12"/>
        <v/>
      </c>
      <c r="K56" s="15" t="str">
        <f t="shared" si="13"/>
        <v>&lt;unit056&gt; "Сбербанк" {c 902, v "\mp3_ost\sberbank.mp3", d 000, n 057}</v>
      </c>
    </row>
    <row r="57" spans="2:11" x14ac:dyDescent="0.25">
      <c r="B57">
        <f t="shared" si="8"/>
        <v>57</v>
      </c>
      <c r="C57" t="s">
        <v>344</v>
      </c>
      <c r="D57" t="str">
        <f t="shared" si="9"/>
        <v>&gt;&gt;</v>
      </c>
      <c r="E57" t="s">
        <v>233</v>
      </c>
      <c r="G57" s="24">
        <f t="shared" si="14"/>
        <v>58</v>
      </c>
      <c r="H57" s="24" t="str">
        <f t="shared" si="10"/>
        <v>c 900</v>
      </c>
      <c r="I57" s="28" t="str">
        <f t="shared" si="11"/>
        <v>v "\mp3_ost\paliklin.mp3"</v>
      </c>
      <c r="J57" s="24" t="str">
        <f t="shared" si="12"/>
        <v/>
      </c>
      <c r="K57" s="15" t="str">
        <f t="shared" si="13"/>
        <v>&lt;unit057&gt; "&gt;&gt;Поликлиника" {c 900, v "\mp3_ost\paliklin.mp3", d 000, n 058}</v>
      </c>
    </row>
    <row r="58" spans="2:11" x14ac:dyDescent="0.25">
      <c r="B58">
        <f t="shared" si="8"/>
        <v>58</v>
      </c>
      <c r="C58" t="s">
        <v>85</v>
      </c>
      <c r="D58" t="str">
        <f t="shared" si="9"/>
        <v/>
      </c>
      <c r="E58" t="s">
        <v>233</v>
      </c>
      <c r="G58" s="24">
        <f t="shared" si="14"/>
        <v>59</v>
      </c>
      <c r="H58" s="24" t="str">
        <f t="shared" si="10"/>
        <v>c 902</v>
      </c>
      <c r="I58" s="28" t="str">
        <f t="shared" si="11"/>
        <v>v "\mp3_ost\paliklin.mp3"</v>
      </c>
      <c r="J58" s="24" t="str">
        <f t="shared" si="12"/>
        <v/>
      </c>
      <c r="K58" s="15" t="str">
        <f t="shared" si="13"/>
        <v>&lt;unit058&gt; "Поликлиника" {c 902, v "\mp3_ost\paliklin.mp3", d 000, n 059}</v>
      </c>
    </row>
    <row r="59" spans="2:11" x14ac:dyDescent="0.25">
      <c r="B59">
        <f t="shared" si="8"/>
        <v>59</v>
      </c>
      <c r="C59" t="s">
        <v>344</v>
      </c>
      <c r="D59" t="str">
        <f t="shared" si="9"/>
        <v>&gt;&gt;</v>
      </c>
      <c r="E59" t="s">
        <v>279</v>
      </c>
      <c r="G59" s="24">
        <f t="shared" si="14"/>
        <v>60</v>
      </c>
      <c r="H59" s="24" t="str">
        <f t="shared" si="10"/>
        <v>c 900</v>
      </c>
      <c r="I59" s="28" t="str">
        <f t="shared" si="11"/>
        <v>c 928, v "\mp3_ost\50letokt.mp3"</v>
      </c>
      <c r="J59" s="24" t="str">
        <f t="shared" si="12"/>
        <v/>
      </c>
      <c r="K59" s="15" t="str">
        <f t="shared" si="13"/>
        <v>&lt;unit059&gt; "&gt;&gt;ул.50 лет Октяб." {c 900, c 928, v "\mp3_ost\50letokt.mp3", d 000, n 060}</v>
      </c>
    </row>
    <row r="60" spans="2:11" x14ac:dyDescent="0.25">
      <c r="B60">
        <f t="shared" si="8"/>
        <v>60</v>
      </c>
      <c r="C60" t="s">
        <v>85</v>
      </c>
      <c r="D60" t="str">
        <f t="shared" si="9"/>
        <v/>
      </c>
      <c r="E60" t="s">
        <v>279</v>
      </c>
      <c r="G60" s="24">
        <f t="shared" si="14"/>
        <v>61</v>
      </c>
      <c r="H60" s="24" t="str">
        <f t="shared" si="10"/>
        <v>c 902</v>
      </c>
      <c r="I60" s="28" t="str">
        <f t="shared" si="11"/>
        <v>c 928, v "\mp3_ost\50letokt.mp3"</v>
      </c>
      <c r="J60" s="24" t="str">
        <f t="shared" si="12"/>
        <v/>
      </c>
      <c r="K60" s="15" t="str">
        <f t="shared" si="13"/>
        <v>&lt;unit060&gt; "ул.50 лет Октяб." {c 902, c 928, v "\mp3_ost\50letokt.mp3", d 000, n 061}</v>
      </c>
    </row>
    <row r="61" spans="2:11" x14ac:dyDescent="0.25">
      <c r="B61">
        <f t="shared" si="8"/>
        <v>61</v>
      </c>
      <c r="C61" t="s">
        <v>344</v>
      </c>
      <c r="D61" t="str">
        <f t="shared" si="9"/>
        <v>&gt;&gt;</v>
      </c>
      <c r="E61" t="s">
        <v>175</v>
      </c>
      <c r="G61" s="24">
        <f t="shared" si="14"/>
        <v>62</v>
      </c>
      <c r="H61" s="24" t="str">
        <f t="shared" si="10"/>
        <v>c 900</v>
      </c>
      <c r="I61" s="28" t="str">
        <f t="shared" si="11"/>
        <v>v "\mp3_ost\mira.mp3"</v>
      </c>
      <c r="J61" s="24" t="str">
        <f t="shared" si="12"/>
        <v/>
      </c>
      <c r="K61" s="15" t="str">
        <f t="shared" si="13"/>
        <v>&lt;unit061&gt; "&gt;&gt;пр-т Мира" {c 900, v "\mp3_ost\mira.mp3", d 000, n 062}</v>
      </c>
    </row>
    <row r="62" spans="2:11" x14ac:dyDescent="0.25">
      <c r="B62">
        <f t="shared" si="8"/>
        <v>62</v>
      </c>
      <c r="C62" t="s">
        <v>85</v>
      </c>
      <c r="D62" t="str">
        <f t="shared" si="9"/>
        <v/>
      </c>
      <c r="E62" t="s">
        <v>175</v>
      </c>
      <c r="G62" s="24">
        <f t="shared" si="14"/>
        <v>63</v>
      </c>
      <c r="H62" s="24" t="str">
        <f t="shared" si="10"/>
        <v>c 902</v>
      </c>
      <c r="I62" s="28" t="str">
        <f t="shared" si="11"/>
        <v>v "\mp3_ost\mira.mp3"</v>
      </c>
      <c r="J62" s="24" t="str">
        <f t="shared" si="12"/>
        <v/>
      </c>
      <c r="K62" s="15" t="str">
        <f t="shared" si="13"/>
        <v>&lt;unit062&gt; "пр-т Мира" {c 902, v "\mp3_ost\mira.mp3", d 000, n 063}</v>
      </c>
    </row>
    <row r="63" spans="2:11" x14ac:dyDescent="0.25">
      <c r="B63">
        <f t="shared" si="8"/>
        <v>63</v>
      </c>
      <c r="C63" t="s">
        <v>344</v>
      </c>
      <c r="D63" t="str">
        <f t="shared" si="9"/>
        <v>&gt;&gt;</v>
      </c>
      <c r="E63" t="s">
        <v>174</v>
      </c>
      <c r="G63" s="24">
        <f t="shared" si="14"/>
        <v>64</v>
      </c>
      <c r="H63" s="24" t="str">
        <f t="shared" si="10"/>
        <v>c 900</v>
      </c>
      <c r="I63" s="28" t="str">
        <f t="shared" si="11"/>
        <v>c 928, v "\mp3_ost\swrokvas.mp3"</v>
      </c>
      <c r="J63" s="24" t="str">
        <f t="shared" si="12"/>
        <v/>
      </c>
      <c r="K63" s="15" t="str">
        <f t="shared" si="13"/>
        <v>&lt;unit063&gt; "&gt;&gt;ул.Сырокваша" {c 900, c 928, v "\mp3_ost\swrokvas.mp3", d 000, n 064}</v>
      </c>
    </row>
    <row r="64" spans="2:11" x14ac:dyDescent="0.25">
      <c r="B64">
        <f t="shared" si="8"/>
        <v>64</v>
      </c>
      <c r="C64" t="s">
        <v>85</v>
      </c>
      <c r="D64" t="str">
        <f t="shared" si="9"/>
        <v/>
      </c>
      <c r="E64" t="s">
        <v>174</v>
      </c>
      <c r="G64" s="24">
        <f t="shared" si="14"/>
        <v>65</v>
      </c>
      <c r="H64" s="24" t="str">
        <f t="shared" si="10"/>
        <v>c 902</v>
      </c>
      <c r="I64" s="28" t="str">
        <f t="shared" si="11"/>
        <v>c 928, v "\mp3_ost\swrokvas.mp3"</v>
      </c>
      <c r="J64" s="24" t="str">
        <f t="shared" si="12"/>
        <v/>
      </c>
      <c r="K64" s="15" t="str">
        <f t="shared" si="13"/>
        <v>&lt;unit064&gt; "ул.Сырокваша" {c 902, c 928, v "\mp3_ost\swrokvas.mp3", d 000, n 065}</v>
      </c>
    </row>
    <row r="65" spans="2:11" x14ac:dyDescent="0.25">
      <c r="B65">
        <f t="shared" si="8"/>
        <v>65</v>
      </c>
      <c r="C65" t="s">
        <v>344</v>
      </c>
      <c r="D65" t="str">
        <f t="shared" si="9"/>
        <v>&gt;&gt;</v>
      </c>
      <c r="E65" t="s">
        <v>172</v>
      </c>
      <c r="G65" s="24">
        <f t="shared" si="14"/>
        <v>66</v>
      </c>
      <c r="H65" s="24" t="str">
        <f t="shared" si="10"/>
        <v>c 900</v>
      </c>
      <c r="I65" s="28" t="str">
        <f t="shared" si="11"/>
        <v>c 928, v "\mp3_ost\moskovsk.mp3"</v>
      </c>
      <c r="J65" s="24" t="str">
        <f t="shared" si="12"/>
        <v/>
      </c>
      <c r="K65" s="15" t="str">
        <f t="shared" si="13"/>
        <v>&lt;unit065&gt; "&gt;&gt;ул.Московская" {c 900, c 928, v "\mp3_ost\moskovsk.mp3", d 000, n 066}</v>
      </c>
    </row>
    <row r="66" spans="2:11" x14ac:dyDescent="0.25">
      <c r="B66">
        <f t="shared" si="8"/>
        <v>66</v>
      </c>
      <c r="C66" t="s">
        <v>85</v>
      </c>
      <c r="D66" t="str">
        <f t="shared" si="9"/>
        <v/>
      </c>
      <c r="E66" t="s">
        <v>172</v>
      </c>
      <c r="G66" s="24">
        <f t="shared" si="14"/>
        <v>67</v>
      </c>
      <c r="H66" s="24" t="str">
        <f t="shared" si="10"/>
        <v>c 902</v>
      </c>
      <c r="I66" s="28" t="str">
        <f t="shared" si="11"/>
        <v>c 928, v "\mp3_ost\moskovsk.mp3"</v>
      </c>
      <c r="J66" s="24" t="str">
        <f t="shared" si="12"/>
        <v/>
      </c>
      <c r="K66" s="15" t="str">
        <f t="shared" si="13"/>
        <v>&lt;unit066&gt; "ул.Московская" {c 902, c 928, v "\mp3_ost\moskovsk.mp3", d 000, n 067}</v>
      </c>
    </row>
    <row r="67" spans="2:11" x14ac:dyDescent="0.25">
      <c r="B67">
        <f t="shared" si="8"/>
        <v>67</v>
      </c>
      <c r="C67" t="s">
        <v>344</v>
      </c>
      <c r="D67" t="str">
        <f t="shared" si="9"/>
        <v>&gt;&gt;</v>
      </c>
      <c r="E67" t="s">
        <v>173</v>
      </c>
      <c r="G67" s="24">
        <f t="shared" si="14"/>
        <v>68</v>
      </c>
      <c r="H67" s="24" t="str">
        <f t="shared" si="10"/>
        <v>c 900</v>
      </c>
      <c r="I67" s="28" t="str">
        <f t="shared" si="11"/>
        <v>c 928, v "\mp3_ost\partizan.mp3"</v>
      </c>
      <c r="J67" s="24" t="str">
        <f t="shared" si="12"/>
        <v/>
      </c>
      <c r="K67" s="15" t="str">
        <f t="shared" si="13"/>
        <v>&lt;unit067&gt; "&gt;&gt;ул.Партизанская" {c 900, c 928, v "\mp3_ost\partizan.mp3", d 000, n 068}</v>
      </c>
    </row>
    <row r="68" spans="2:11" x14ac:dyDescent="0.25">
      <c r="B68">
        <f t="shared" si="8"/>
        <v>68</v>
      </c>
      <c r="C68" t="s">
        <v>85</v>
      </c>
      <c r="D68" t="str">
        <f t="shared" si="9"/>
        <v/>
      </c>
      <c r="E68" t="s">
        <v>173</v>
      </c>
      <c r="G68" s="24">
        <f t="shared" si="14"/>
        <v>69</v>
      </c>
      <c r="H68" s="24" t="str">
        <f t="shared" si="10"/>
        <v>c 902</v>
      </c>
      <c r="I68" s="28" t="str">
        <f t="shared" si="11"/>
        <v>c 928, v "\mp3_ost\partizan.mp3"</v>
      </c>
      <c r="J68" s="24" t="str">
        <f t="shared" si="12"/>
        <v/>
      </c>
      <c r="K68" s="15" t="str">
        <f t="shared" si="13"/>
        <v>&lt;unit068&gt; "ул.Партизанская" {c 902, c 928, v "\mp3_ost\partizan.mp3", d 000, n 069}</v>
      </c>
    </row>
    <row r="69" spans="2:11" x14ac:dyDescent="0.25">
      <c r="B69">
        <f t="shared" si="8"/>
        <v>69</v>
      </c>
      <c r="C69" t="s">
        <v>344</v>
      </c>
      <c r="D69" t="str">
        <f t="shared" si="9"/>
        <v>&gt;&gt;</v>
      </c>
      <c r="E69" t="s">
        <v>170</v>
      </c>
      <c r="G69" s="24">
        <f t="shared" si="14"/>
        <v>70</v>
      </c>
      <c r="H69" s="24" t="str">
        <f t="shared" si="10"/>
        <v>c 900</v>
      </c>
      <c r="I69" s="28" t="str">
        <f t="shared" si="11"/>
        <v>v "\mp3_ost\jd.mp3"</v>
      </c>
      <c r="J69" s="24" t="str">
        <f t="shared" si="12"/>
        <v/>
      </c>
      <c r="K69" s="15" t="str">
        <f t="shared" si="13"/>
        <v>&lt;unit069&gt; "&gt;&gt;ЖД Вокзал" {c 900, v "\mp3_ost\jd.mp3", d 000, n 070}</v>
      </c>
    </row>
    <row r="70" spans="2:11" x14ac:dyDescent="0.25">
      <c r="B70">
        <f t="shared" si="8"/>
        <v>70</v>
      </c>
      <c r="C70" t="s">
        <v>85</v>
      </c>
      <c r="D70" t="str">
        <f t="shared" si="9"/>
        <v/>
      </c>
      <c r="E70" t="s">
        <v>170</v>
      </c>
      <c r="G70" s="24">
        <f t="shared" si="14"/>
        <v>71</v>
      </c>
      <c r="H70" s="24" t="str">
        <f t="shared" si="10"/>
        <v>c 902</v>
      </c>
      <c r="I70" s="28" t="str">
        <f t="shared" si="11"/>
        <v>v "\mp3_ost\jd.mp3"</v>
      </c>
      <c r="J70" s="24" t="str">
        <f t="shared" si="12"/>
        <v/>
      </c>
      <c r="K70" s="15" t="str">
        <f t="shared" si="13"/>
        <v>&lt;unit070&gt; "ЖД Вокзал" {c 902, v "\mp3_ost\jd.mp3", d 000, n 071}</v>
      </c>
    </row>
    <row r="71" spans="2:11" x14ac:dyDescent="0.25">
      <c r="B71">
        <f t="shared" si="8"/>
        <v>71</v>
      </c>
      <c r="C71" t="s">
        <v>344</v>
      </c>
      <c r="D71" t="str">
        <f t="shared" si="9"/>
        <v>&gt;&gt;</v>
      </c>
      <c r="E71" t="s">
        <v>272</v>
      </c>
      <c r="G71" s="24">
        <f t="shared" si="14"/>
        <v>72</v>
      </c>
      <c r="H71" s="24" t="str">
        <f t="shared" si="10"/>
        <v>c 900</v>
      </c>
      <c r="I71" s="28" t="str">
        <f t="shared" si="11"/>
        <v>v "\mp3_ost\yunost`.mp3"</v>
      </c>
      <c r="J71" s="24" t="str">
        <f t="shared" si="12"/>
        <v/>
      </c>
      <c r="K71" s="15" t="str">
        <f t="shared" si="13"/>
        <v>&lt;unit071&gt; "&gt;&gt;к/т Юность" {c 900, v "\mp3_ost\yunost`.mp3", d 000, n 072}</v>
      </c>
    </row>
    <row r="72" spans="2:11" x14ac:dyDescent="0.25">
      <c r="B72">
        <f t="shared" si="8"/>
        <v>72</v>
      </c>
      <c r="C72" t="s">
        <v>85</v>
      </c>
      <c r="D72" t="str">
        <f t="shared" si="9"/>
        <v/>
      </c>
      <c r="E72" t="s">
        <v>272</v>
      </c>
      <c r="G72" s="24">
        <f t="shared" si="14"/>
        <v>73</v>
      </c>
      <c r="H72" s="24" t="str">
        <f t="shared" si="10"/>
        <v>c 902</v>
      </c>
      <c r="I72" s="28" t="str">
        <f t="shared" si="11"/>
        <v>v "\mp3_ost\yunost`.mp3"</v>
      </c>
      <c r="J72" s="24" t="str">
        <f t="shared" si="12"/>
        <v/>
      </c>
      <c r="K72" s="15" t="str">
        <f t="shared" si="13"/>
        <v>&lt;unit072&gt; "к/т Юность" {c 902, v "\mp3_ost\yunost`.mp3", d 000, n 073}</v>
      </c>
    </row>
    <row r="73" spans="2:11" x14ac:dyDescent="0.25">
      <c r="B73">
        <f t="shared" si="8"/>
        <v>73</v>
      </c>
      <c r="C73" t="s">
        <v>344</v>
      </c>
      <c r="D73" t="str">
        <f t="shared" si="9"/>
        <v>&gt;&gt;</v>
      </c>
      <c r="E73" t="s">
        <v>263</v>
      </c>
      <c r="G73" s="24">
        <f t="shared" si="14"/>
        <v>74</v>
      </c>
      <c r="H73" s="24" t="str">
        <f t="shared" si="10"/>
        <v>c 900</v>
      </c>
      <c r="I73" s="28" t="str">
        <f t="shared" si="11"/>
        <v>v "\mp3_ost\tec.mp3"</v>
      </c>
      <c r="J73" s="24" t="str">
        <f t="shared" si="12"/>
        <v/>
      </c>
      <c r="K73" s="15" t="str">
        <f t="shared" si="13"/>
        <v>&lt;unit073&gt; "&gt;&gt;ТЭЦ" {c 900, v "\mp3_ost\tec.mp3", d 000, n 074}</v>
      </c>
    </row>
    <row r="74" spans="2:11" x14ac:dyDescent="0.25">
      <c r="B74">
        <f t="shared" si="8"/>
        <v>74</v>
      </c>
      <c r="C74" t="s">
        <v>85</v>
      </c>
      <c r="D74" t="str">
        <f t="shared" si="9"/>
        <v/>
      </c>
      <c r="E74" t="s">
        <v>263</v>
      </c>
      <c r="G74" s="24">
        <f t="shared" si="14"/>
        <v>75</v>
      </c>
      <c r="H74" s="24" t="str">
        <f t="shared" si="10"/>
        <v>c 902</v>
      </c>
      <c r="I74" s="28" t="str">
        <f t="shared" si="11"/>
        <v>v "\mp3_ost\tec.mp3"</v>
      </c>
      <c r="J74" s="24" t="str">
        <f t="shared" si="12"/>
        <v/>
      </c>
      <c r="K74" s="15" t="str">
        <f t="shared" si="13"/>
        <v>&lt;unit074&gt; "ТЭЦ" {c 902, v "\mp3_ost\tec.mp3", d 000, n 075}</v>
      </c>
    </row>
    <row r="75" spans="2:11" x14ac:dyDescent="0.25">
      <c r="B75">
        <f t="shared" si="8"/>
        <v>75</v>
      </c>
      <c r="C75" t="s">
        <v>344</v>
      </c>
      <c r="D75" t="str">
        <f t="shared" si="9"/>
        <v>&gt;&gt;</v>
      </c>
      <c r="E75" t="s">
        <v>284</v>
      </c>
      <c r="G75" s="24">
        <f t="shared" si="14"/>
        <v>76</v>
      </c>
      <c r="H75" s="24" t="str">
        <f t="shared" si="10"/>
        <v>c 900</v>
      </c>
      <c r="I75" s="28" t="str">
        <f t="shared" si="11"/>
        <v>c 928, v "\mp3_ost\kupriyan.mp3"</v>
      </c>
      <c r="J75" s="24" t="str">
        <f t="shared" si="12"/>
        <v/>
      </c>
      <c r="K75" s="15" t="str">
        <f t="shared" si="13"/>
        <v>&lt;unit075&gt; "&gt;&gt;ул.Куприянова" {c 900, c 928, v "\mp3_ost\kupriyan.mp3", d 000, n 076}</v>
      </c>
    </row>
    <row r="76" spans="2:11" x14ac:dyDescent="0.25">
      <c r="B76">
        <f t="shared" si="8"/>
        <v>76</v>
      </c>
      <c r="C76" t="s">
        <v>85</v>
      </c>
      <c r="D76" t="str">
        <f t="shared" si="9"/>
        <v/>
      </c>
      <c r="E76" t="s">
        <v>284</v>
      </c>
      <c r="G76" s="24">
        <f t="shared" si="14"/>
        <v>77</v>
      </c>
      <c r="H76" s="24" t="str">
        <f t="shared" si="10"/>
        <v>c 902</v>
      </c>
      <c r="I76" s="28" t="str">
        <f t="shared" si="11"/>
        <v>c 928, v "\mp3_ost\kupriyan.mp3"</v>
      </c>
      <c r="J76" s="24" t="str">
        <f t="shared" si="12"/>
        <v/>
      </c>
      <c r="K76" s="15" t="str">
        <f t="shared" si="13"/>
        <v>&lt;unit076&gt; "ул.Куприянова" {c 902, c 928, v "\mp3_ost\kupriyan.mp3", d 000, n 077}</v>
      </c>
    </row>
    <row r="77" spans="2:11" x14ac:dyDescent="0.25">
      <c r="B77">
        <f t="shared" si="8"/>
        <v>77</v>
      </c>
      <c r="C77" t="s">
        <v>344</v>
      </c>
      <c r="D77" t="str">
        <f t="shared" si="9"/>
        <v>&gt;&gt;</v>
      </c>
      <c r="E77" t="s">
        <v>209</v>
      </c>
      <c r="G77" s="24">
        <f t="shared" si="14"/>
        <v>78</v>
      </c>
      <c r="H77" s="24" t="str">
        <f t="shared" si="10"/>
        <v>c 900</v>
      </c>
      <c r="I77" s="28" t="str">
        <f t="shared" si="11"/>
        <v>v "\mp3_ost\elseti.mp3"</v>
      </c>
      <c r="J77" s="24" t="str">
        <f t="shared" si="12"/>
        <v/>
      </c>
      <c r="K77" s="15" t="str">
        <f t="shared" si="13"/>
        <v>&lt;unit077&gt; "&gt;&gt;Электросети" {c 900, v "\mp3_ost\elseti.mp3", d 000, n 078}</v>
      </c>
    </row>
    <row r="78" spans="2:11" x14ac:dyDescent="0.25">
      <c r="B78">
        <f t="shared" si="8"/>
        <v>78</v>
      </c>
      <c r="C78" t="s">
        <v>85</v>
      </c>
      <c r="D78" t="str">
        <f t="shared" si="9"/>
        <v/>
      </c>
      <c r="E78" t="s">
        <v>209</v>
      </c>
      <c r="G78" s="24">
        <f t="shared" si="14"/>
        <v>79</v>
      </c>
      <c r="H78" s="24" t="str">
        <f t="shared" si="10"/>
        <v>c 902</v>
      </c>
      <c r="I78" s="28" t="str">
        <f t="shared" si="11"/>
        <v>v "\mp3_ost\elseti.mp3"</v>
      </c>
      <c r="J78" s="24" t="str">
        <f t="shared" si="12"/>
        <v/>
      </c>
      <c r="K78" s="15" t="str">
        <f t="shared" si="13"/>
        <v>&lt;unit078&gt; "Электросети" {c 902, v "\mp3_ost\elseti.mp3", d 000, n 079}</v>
      </c>
    </row>
    <row r="79" spans="2:11" x14ac:dyDescent="0.25">
      <c r="B79">
        <f t="shared" si="8"/>
        <v>79</v>
      </c>
      <c r="C79" t="s">
        <v>344</v>
      </c>
      <c r="D79" t="str">
        <f t="shared" si="9"/>
        <v>&gt;&gt;</v>
      </c>
      <c r="E79" t="s">
        <v>292</v>
      </c>
      <c r="G79" s="24">
        <f t="shared" ref="G79" si="15">B80</f>
        <v>80</v>
      </c>
      <c r="H79" s="24" t="str">
        <f t="shared" si="10"/>
        <v>c 900</v>
      </c>
      <c r="I79" s="28" t="str">
        <f t="shared" si="11"/>
        <v>c 928, v "\mp3_ost\truda.mp3"</v>
      </c>
      <c r="J79" s="24" t="str">
        <f t="shared" si="12"/>
        <v/>
      </c>
      <c r="K79" s="15" t="str">
        <f t="shared" si="13"/>
        <v>&lt;unit079&gt; "&gt;&gt;ул.Труда" {c 900, c 928, v "\mp3_ost\truda.mp3", d 000, n 080}</v>
      </c>
    </row>
    <row r="80" spans="2:11" x14ac:dyDescent="0.25">
      <c r="B80">
        <f t="shared" si="8"/>
        <v>80</v>
      </c>
      <c r="C80" t="s">
        <v>85</v>
      </c>
      <c r="D80" t="str">
        <f t="shared" si="9"/>
        <v/>
      </c>
      <c r="E80" t="s">
        <v>292</v>
      </c>
      <c r="F80" t="s">
        <v>346</v>
      </c>
      <c r="G80" s="24">
        <f>B82</f>
        <v>82</v>
      </c>
      <c r="H80" s="24" t="str">
        <f t="shared" si="10"/>
        <v>c 902</v>
      </c>
      <c r="I80" s="28" t="str">
        <f t="shared" si="11"/>
        <v>c 928, v "\mp3_ost\truda.mp3"</v>
      </c>
      <c r="J80" s="24" t="str">
        <f t="shared" si="12"/>
        <v>c 903</v>
      </c>
      <c r="K80" s="15" t="str">
        <f t="shared" si="13"/>
        <v>&lt;unit080&gt; "ул.Труда" {c 902, c 928, v "\mp3_ost\truda.mp3", c 903, d 000, n 082}</v>
      </c>
    </row>
    <row r="81" spans="2:11" x14ac:dyDescent="0.25">
      <c r="K81" s="15"/>
    </row>
    <row r="82" spans="2:11" x14ac:dyDescent="0.25">
      <c r="B82">
        <f t="shared" si="8"/>
        <v>82</v>
      </c>
      <c r="E82" s="25" t="s">
        <v>343</v>
      </c>
      <c r="F82" s="25"/>
      <c r="G82" s="24">
        <f>B3</f>
        <v>3</v>
      </c>
      <c r="K82" s="15" t="str">
        <f>"&lt;unit"&amp;TEXT(B82,"000")&amp;"&gt; """&amp;E82&amp;""" {d 000, n "&amp;TEXT(G82,"000")&amp;"}"</f>
        <v>&lt;unit082&gt; "----- Конец -----" {d 000, n 003}</v>
      </c>
    </row>
    <row r="83" spans="2:11" x14ac:dyDescent="0.25">
      <c r="K83" s="15"/>
    </row>
    <row r="84" spans="2:11" x14ac:dyDescent="0.25">
      <c r="K84" s="15" t="str">
        <f>Константы!E2</f>
        <v>&lt;unit921&gt; "Автовокзал" {v "\mp3_knst\av.mp3", w 01}</v>
      </c>
    </row>
    <row r="85" spans="2:11" x14ac:dyDescent="0.25">
      <c r="K85" s="15" t="str">
        <f>Константы!E3</f>
        <v>&lt;unit923&gt; "Гостиница" {v "\mp3_knst\gos.mp3", w 01}</v>
      </c>
    </row>
    <row r="86" spans="2:11" x14ac:dyDescent="0.25">
      <c r="K86" s="15" t="str">
        <f>Константы!E4</f>
        <v>&lt;unit922&gt; "Дисп. станция" {v "\mp3_knst\ds.mp3", w 01}</v>
      </c>
    </row>
    <row r="87" spans="2:11" x14ac:dyDescent="0.25">
      <c r="K87" s="15" t="str">
        <f>Константы!E5</f>
        <v>&lt;unit903&gt; "Канцавая" {v "\mp3_knst\kanc.mp3", w 01}</v>
      </c>
    </row>
    <row r="88" spans="2:11" x14ac:dyDescent="0.25">
      <c r="K88" s="15" t="str">
        <f>Константы!E6</f>
        <v>&lt;unit924&gt; "Конечная" {v "\mp3_knst\ko.mp3", w 01}</v>
      </c>
    </row>
    <row r="89" spans="2:11" x14ac:dyDescent="0.25">
      <c r="K89" s="15" t="str">
        <f>Константы!E7</f>
        <v>&lt;unit902&gt; "Остановка" {v "\mp3_knst\ost.mp3", w 01}</v>
      </c>
    </row>
    <row r="90" spans="2:11" x14ac:dyDescent="0.25">
      <c r="K90" s="15" t="str">
        <f>Константы!E8</f>
        <v>&lt;unit900&gt; "Дв. закр. След. ост." {v "\mp3_knst\ostor.mp3", w 01}</v>
      </c>
    </row>
    <row r="91" spans="2:11" x14ac:dyDescent="0.25">
      <c r="K91" s="15" t="str">
        <f>Константы!E9</f>
        <v>&lt;unit925&gt; "Площадь" {v "\mp3_knst\pl.mp3", w 01}</v>
      </c>
    </row>
    <row r="92" spans="2:11" x14ac:dyDescent="0.25">
      <c r="K92" s="15" t="str">
        <f>Константы!E10</f>
        <v>&lt;unit926&gt; "Проспект" {v "\mp3_knst\pr.mp3", w 01}</v>
      </c>
    </row>
    <row r="93" spans="2:11" x14ac:dyDescent="0.25">
      <c r="K93" s="15" t="str">
        <f>Константы!E11</f>
        <v>&lt;unit927&gt; "Станция метро" {v "\mp3_knst\sm.mp3", w 01}</v>
      </c>
    </row>
    <row r="94" spans="2:11" x14ac:dyDescent="0.25">
      <c r="K94" s="15" t="str">
        <f>Константы!E12</f>
        <v>&lt;unit928&gt; "Улица" {v "\mp3_knst\ul.mp3", w 01}</v>
      </c>
    </row>
  </sheetData>
  <dataValidations count="2">
    <dataValidation type="list" allowBlank="1" showInputMessage="1" showErrorMessage="1" sqref="E8:E42 E46:E80">
      <formula1>Zag_Ost</formula1>
    </dataValidation>
    <dataValidation type="list" allowBlank="1" showInputMessage="1" showErrorMessage="1" sqref="C8:C42 F8:F42 C46:C80 F46:F8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K88"/>
  <sheetViews>
    <sheetView topLeftCell="B1" workbookViewId="0">
      <selection activeCell="B1" sqref="B1"/>
    </sheetView>
  </sheetViews>
  <sheetFormatPr defaultRowHeight="14.3" x14ac:dyDescent="0.25"/>
  <cols>
    <col min="1" max="1" width="22.625" hidden="1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4" bestFit="1" customWidth="1"/>
    <col min="8" max="8" width="5.25" style="24" hidden="1" customWidth="1"/>
    <col min="9" max="9" width="29.625" style="24" hidden="1" customWidth="1"/>
    <col min="10" max="10" width="5.25" style="24" hidden="1" customWidth="1"/>
    <col min="11" max="11" width="74.25" bestFit="1" customWidth="1"/>
  </cols>
  <sheetData>
    <row r="1" spans="1:11" s="1" customFormat="1" x14ac:dyDescent="0.25">
      <c r="A1" s="14" t="s">
        <v>81</v>
      </c>
      <c r="B1" s="2">
        <v>4</v>
      </c>
      <c r="C1" s="2"/>
      <c r="D1" s="2"/>
      <c r="E1" s="13"/>
      <c r="F1" s="13"/>
      <c r="G1" s="2"/>
      <c r="H1" s="2"/>
      <c r="I1" s="2"/>
      <c r="J1" s="2"/>
      <c r="K1" s="4" t="s">
        <v>8</v>
      </c>
    </row>
    <row r="2" spans="1:11" x14ac:dyDescent="0.25">
      <c r="A2" s="15" t="str">
        <f ca="1">INDIRECT(ADDRESS($B$1,3,4,1,"route"))</f>
        <v>2</v>
      </c>
      <c r="B2" s="1" t="s">
        <v>350</v>
      </c>
      <c r="C2" s="1" t="s">
        <v>348</v>
      </c>
      <c r="D2" s="1" t="s">
        <v>347</v>
      </c>
      <c r="E2" s="1" t="s">
        <v>85</v>
      </c>
      <c r="F2" s="1" t="s">
        <v>349</v>
      </c>
      <c r="G2" s="1" t="s">
        <v>339</v>
      </c>
      <c r="K2" s="16" t="str">
        <f ca="1">"&lt;unit"&amp;NomZagMar&amp;"&gt; """&amp;$A$3&amp;""""&amp;" {i 0, t 002, l "&amp;$A$4&amp;" "&amp;$A$4&amp;", d 000}"</f>
        <v>&lt;unit100&gt; "2 Бажора-Пож. часть" {i 0, t 002, l 002 002, d 000}</v>
      </c>
    </row>
    <row r="3" spans="1:11" x14ac:dyDescent="0.25">
      <c r="A3" s="15" t="str">
        <f ca="1">INDIRECT(ADDRESS($B$1,2,4,1,"route"))</f>
        <v>2 Бажора-Пож. часть</v>
      </c>
      <c r="B3">
        <f>ROW(B3)</f>
        <v>3</v>
      </c>
      <c r="E3" t="s">
        <v>337</v>
      </c>
      <c r="G3" s="24">
        <f>B8</f>
        <v>8</v>
      </c>
      <c r="K3" s="15" t="str">
        <f>"&lt;unit"&amp;TEXT(B3,"000")&amp;"&gt; """&amp;E3&amp;""" {d 000, n "&amp;TEXT(G3,"000")&amp;"}"</f>
        <v>&lt;unit003&gt; "Прямой" {d 000, n 008}</v>
      </c>
    </row>
    <row r="4" spans="1:11" x14ac:dyDescent="0.25">
      <c r="A4" s="15" t="str">
        <f ca="1">TEXT(INDIRECT(ADDRESS($B$1,1,4,1,"route")),"000")</f>
        <v>002</v>
      </c>
      <c r="B4">
        <f>ROW(B4)</f>
        <v>4</v>
      </c>
      <c r="E4" t="s">
        <v>338</v>
      </c>
      <c r="G4" s="24">
        <f>B42</f>
        <v>42</v>
      </c>
      <c r="K4" s="15" t="str">
        <f>"&lt;unit"&amp;TEXT(B4,"000")&amp;"&gt; """&amp;E4&amp;""" {d 000, n "&amp;TEXT(G4,"000")&amp;"}"</f>
        <v>&lt;unit004&gt; "Обратный" {d 000, n 042}</v>
      </c>
    </row>
    <row r="5" spans="1:11" x14ac:dyDescent="0.25">
      <c r="A5" s="15"/>
      <c r="K5" s="15"/>
    </row>
    <row r="6" spans="1:11" x14ac:dyDescent="0.25">
      <c r="B6">
        <f>ROW(B6)</f>
        <v>6</v>
      </c>
      <c r="E6" s="25" t="s">
        <v>340</v>
      </c>
      <c r="F6" s="25"/>
      <c r="G6" s="24">
        <f>B8</f>
        <v>8</v>
      </c>
      <c r="K6" s="15" t="str">
        <f>"&lt;unit"&amp;TEXT(B6,"000")&amp;"&gt; """&amp;E6&amp;""" {d 000, n "&amp;TEXT(G6,"000")&amp;"}"</f>
        <v>&lt;unit006&gt; "----- Прямой -----" {d 000, n 008}</v>
      </c>
    </row>
    <row r="7" spans="1:11" x14ac:dyDescent="0.25">
      <c r="K7" s="15"/>
    </row>
    <row r="8" spans="1:11" x14ac:dyDescent="0.25">
      <c r="B8">
        <f>ROW(B8)</f>
        <v>8</v>
      </c>
      <c r="C8" t="s">
        <v>85</v>
      </c>
      <c r="D8" t="str">
        <f>IF(H8="c 900","&gt;&gt;","")</f>
        <v/>
      </c>
      <c r="E8" t="s">
        <v>179</v>
      </c>
      <c r="G8" s="24">
        <f t="shared" ref="G8:G37" si="0">B9</f>
        <v>9</v>
      </c>
      <c r="H8" s="24" t="str">
        <f t="shared" ref="H8:H38" si="1">IFERROR("c "&amp;VLOOKUP(C8,Punkti,2,FALSE),"")</f>
        <v>c 902</v>
      </c>
      <c r="I8" s="28" t="str">
        <f t="shared" ref="I8:I11" si="2">IFERROR(VLOOKUP(E8,Ostanovki,7,FALSE),"")</f>
        <v>c 928, v "\mp3_ost\bajora.mp3"</v>
      </c>
      <c r="J8" s="24" t="str">
        <f t="shared" ref="J8:J38" si="3">IFERROR("c "&amp;VLOOKUP(F8,Punkti,2,FALSE),"")</f>
        <v/>
      </c>
      <c r="K8" s="15" t="str">
        <f t="shared" ref="K8:K38" si="4">"&lt;unit"&amp;TEXT(B8,"000")&amp;"&gt; """&amp;СцепитьМного(D8:E8,"")&amp;""" {"&amp;СцепитьМного(H8:J8,", ")&amp;", d 000, n "&amp;TEXT(G8,"000")&amp;"}"</f>
        <v>&lt;unit008&gt; "ул.Бажора" {c 902, c 928, v "\mp3_ost\bajora.mp3", d 000, n 009}</v>
      </c>
    </row>
    <row r="9" spans="1:11" x14ac:dyDescent="0.25">
      <c r="B9">
        <f t="shared" ref="B9:B38" si="5">ROW(B9)</f>
        <v>9</v>
      </c>
      <c r="C9" t="s">
        <v>344</v>
      </c>
      <c r="D9" t="str">
        <f>IF(H9="c 900","&gt;&gt;","")</f>
        <v>&gt;&gt;</v>
      </c>
      <c r="E9" t="s">
        <v>289</v>
      </c>
      <c r="G9" s="24">
        <f t="shared" si="0"/>
        <v>10</v>
      </c>
      <c r="H9" s="24" t="str">
        <f t="shared" si="1"/>
        <v>c 900</v>
      </c>
      <c r="I9" s="28" t="str">
        <f t="shared" si="2"/>
        <v>c 928, v "\mp3_ost\nagornay.mp3"</v>
      </c>
      <c r="J9" s="24" t="str">
        <f t="shared" si="3"/>
        <v/>
      </c>
      <c r="K9" s="15" t="str">
        <f t="shared" si="4"/>
        <v>&lt;unit009&gt; "&gt;&gt;ул.Нагорная" {c 900, c 928, v "\mp3_ost\nagornay.mp3", d 000, n 010}</v>
      </c>
    </row>
    <row r="10" spans="1:11" x14ac:dyDescent="0.25">
      <c r="B10">
        <f t="shared" si="5"/>
        <v>10</v>
      </c>
      <c r="C10" t="s">
        <v>85</v>
      </c>
      <c r="D10" t="str">
        <f t="shared" ref="D10:D38" si="6">IF(H10="c 900","&gt;&gt;","")</f>
        <v/>
      </c>
      <c r="E10" t="s">
        <v>289</v>
      </c>
      <c r="G10" s="24">
        <f t="shared" si="0"/>
        <v>11</v>
      </c>
      <c r="H10" s="24" t="str">
        <f t="shared" si="1"/>
        <v>c 902</v>
      </c>
      <c r="I10" s="28" t="str">
        <f t="shared" si="2"/>
        <v>c 928, v "\mp3_ost\nagornay.mp3"</v>
      </c>
      <c r="J10" s="24" t="str">
        <f t="shared" si="3"/>
        <v/>
      </c>
      <c r="K10" s="15" t="str">
        <f t="shared" si="4"/>
        <v>&lt;unit010&gt; "ул.Нагорная" {c 902, c 928, v "\mp3_ost\nagornay.mp3", d 000, n 011}</v>
      </c>
    </row>
    <row r="11" spans="1:11" x14ac:dyDescent="0.25">
      <c r="B11">
        <f t="shared" si="5"/>
        <v>11</v>
      </c>
      <c r="C11" t="s">
        <v>344</v>
      </c>
      <c r="D11" t="str">
        <f t="shared" si="6"/>
        <v>&gt;&gt;</v>
      </c>
      <c r="E11" t="s">
        <v>241</v>
      </c>
      <c r="G11" s="24">
        <f t="shared" si="0"/>
        <v>12</v>
      </c>
      <c r="H11" s="24" t="str">
        <f t="shared" si="1"/>
        <v>c 900</v>
      </c>
      <c r="I11" s="28" t="str">
        <f t="shared" si="2"/>
        <v>v "\mp3_ost\pochta.mp3"</v>
      </c>
      <c r="J11" s="24" t="str">
        <f t="shared" si="3"/>
        <v/>
      </c>
      <c r="K11" s="15" t="str">
        <f t="shared" si="4"/>
        <v>&lt;unit011&gt; "&gt;&gt;Почта" {c 900, v "\mp3_ost\pochta.mp3", d 000, n 012}</v>
      </c>
    </row>
    <row r="12" spans="1:11" x14ac:dyDescent="0.25">
      <c r="B12">
        <f t="shared" si="5"/>
        <v>12</v>
      </c>
      <c r="C12" t="s">
        <v>85</v>
      </c>
      <c r="D12" t="str">
        <f t="shared" si="6"/>
        <v/>
      </c>
      <c r="E12" t="s">
        <v>241</v>
      </c>
      <c r="G12" s="24">
        <f t="shared" si="0"/>
        <v>13</v>
      </c>
      <c r="H12" s="24" t="str">
        <f t="shared" si="1"/>
        <v>c 902</v>
      </c>
      <c r="I12" s="28" t="str">
        <f t="shared" ref="I12:I38" si="7">IFERROR(VLOOKUP(E12,Ostanovki,7,FALSE),"")</f>
        <v>v "\mp3_ost\pochta.mp3"</v>
      </c>
      <c r="J12" s="24" t="str">
        <f t="shared" si="3"/>
        <v/>
      </c>
      <c r="K12" s="15" t="str">
        <f t="shared" si="4"/>
        <v>&lt;unit012&gt; "Почта" {c 902, v "\mp3_ost\pochta.mp3", d 000, n 013}</v>
      </c>
    </row>
    <row r="13" spans="1:11" x14ac:dyDescent="0.25">
      <c r="B13">
        <f t="shared" si="5"/>
        <v>13</v>
      </c>
      <c r="C13" t="s">
        <v>344</v>
      </c>
      <c r="D13" t="str">
        <f t="shared" si="6"/>
        <v>&gt;&gt;</v>
      </c>
      <c r="E13" t="s">
        <v>290</v>
      </c>
      <c r="G13" s="24">
        <f t="shared" si="0"/>
        <v>14</v>
      </c>
      <c r="H13" s="24" t="str">
        <f t="shared" si="1"/>
        <v>c 900</v>
      </c>
      <c r="I13" s="28" t="str">
        <f t="shared" si="7"/>
        <v>c 928, v "\mp3_ost\pyaschan.mp3"</v>
      </c>
      <c r="J13" s="24" t="str">
        <f t="shared" si="3"/>
        <v/>
      </c>
      <c r="K13" s="15" t="str">
        <f t="shared" si="4"/>
        <v>&lt;unit013&gt; "&gt;&gt;ул.Песчаная" {c 900, c 928, v "\mp3_ost\pyaschan.mp3", d 000, n 014}</v>
      </c>
    </row>
    <row r="14" spans="1:11" x14ac:dyDescent="0.25">
      <c r="B14">
        <f t="shared" si="5"/>
        <v>14</v>
      </c>
      <c r="C14" t="s">
        <v>85</v>
      </c>
      <c r="D14" t="str">
        <f t="shared" si="6"/>
        <v/>
      </c>
      <c r="E14" t="s">
        <v>290</v>
      </c>
      <c r="G14" s="24">
        <f t="shared" si="0"/>
        <v>15</v>
      </c>
      <c r="H14" s="24" t="str">
        <f t="shared" si="1"/>
        <v>c 902</v>
      </c>
      <c r="I14" s="28" t="str">
        <f t="shared" si="7"/>
        <v>c 928, v "\mp3_ost\pyaschan.mp3"</v>
      </c>
      <c r="J14" s="24" t="str">
        <f t="shared" si="3"/>
        <v/>
      </c>
      <c r="K14" s="15" t="str">
        <f t="shared" si="4"/>
        <v>&lt;unit014&gt; "ул.Песчаная" {c 902, c 928, v "\mp3_ost\pyaschan.mp3", d 000, n 015}</v>
      </c>
    </row>
    <row r="15" spans="1:11" x14ac:dyDescent="0.25">
      <c r="B15">
        <f t="shared" si="5"/>
        <v>15</v>
      </c>
      <c r="C15" t="s">
        <v>344</v>
      </c>
      <c r="D15" t="str">
        <f t="shared" si="6"/>
        <v>&gt;&gt;</v>
      </c>
      <c r="E15" t="s">
        <v>283</v>
      </c>
      <c r="G15" s="24">
        <f t="shared" si="0"/>
        <v>16</v>
      </c>
      <c r="H15" s="24" t="str">
        <f t="shared" si="1"/>
        <v>c 900</v>
      </c>
      <c r="I15" s="28" t="str">
        <f t="shared" si="7"/>
        <v>c 928, v "\mp3_ost\darojnay.mp3"</v>
      </c>
      <c r="J15" s="24" t="str">
        <f t="shared" si="3"/>
        <v/>
      </c>
      <c r="K15" s="15" t="str">
        <f t="shared" si="4"/>
        <v>&lt;unit015&gt; "&gt;&gt;ул.Дорожная" {c 900, c 928, v "\mp3_ost\darojnay.mp3", d 000, n 016}</v>
      </c>
    </row>
    <row r="16" spans="1:11" x14ac:dyDescent="0.25">
      <c r="B16">
        <f t="shared" si="5"/>
        <v>16</v>
      </c>
      <c r="C16" t="s">
        <v>85</v>
      </c>
      <c r="D16" t="str">
        <f t="shared" si="6"/>
        <v/>
      </c>
      <c r="E16" t="s">
        <v>283</v>
      </c>
      <c r="G16" s="24">
        <f t="shared" si="0"/>
        <v>17</v>
      </c>
      <c r="H16" s="24" t="str">
        <f t="shared" si="1"/>
        <v>c 902</v>
      </c>
      <c r="I16" s="28" t="str">
        <f t="shared" si="7"/>
        <v>c 928, v "\mp3_ost\darojnay.mp3"</v>
      </c>
      <c r="J16" s="24" t="str">
        <f t="shared" si="3"/>
        <v/>
      </c>
      <c r="K16" s="15" t="str">
        <f t="shared" si="4"/>
        <v>&lt;unit016&gt; "ул.Дорожная" {c 902, c 928, v "\mp3_ost\darojnay.mp3", d 000, n 017}</v>
      </c>
    </row>
    <row r="17" spans="2:11" x14ac:dyDescent="0.25">
      <c r="B17">
        <f t="shared" si="5"/>
        <v>17</v>
      </c>
      <c r="C17" t="s">
        <v>344</v>
      </c>
      <c r="D17" t="str">
        <f t="shared" si="6"/>
        <v>&gt;&gt;</v>
      </c>
      <c r="E17" t="s">
        <v>281</v>
      </c>
      <c r="G17" s="24">
        <f t="shared" si="0"/>
        <v>18</v>
      </c>
      <c r="H17" s="24" t="str">
        <f t="shared" si="1"/>
        <v>c 900</v>
      </c>
      <c r="I17" s="28" t="str">
        <f t="shared" si="7"/>
        <v>c 928, v "\mp3_ost\avtomobi.mp3"</v>
      </c>
      <c r="J17" s="24" t="str">
        <f t="shared" si="3"/>
        <v/>
      </c>
      <c r="K17" s="15" t="str">
        <f t="shared" si="4"/>
        <v>&lt;unit017&gt; "&gt;&gt;ул.Автомобилист." {c 900, c 928, v "\mp3_ost\avtomobi.mp3", d 000, n 018}</v>
      </c>
    </row>
    <row r="18" spans="2:11" x14ac:dyDescent="0.25">
      <c r="B18">
        <f t="shared" si="5"/>
        <v>18</v>
      </c>
      <c r="C18" t="s">
        <v>85</v>
      </c>
      <c r="D18" t="str">
        <f t="shared" si="6"/>
        <v/>
      </c>
      <c r="E18" t="s">
        <v>281</v>
      </c>
      <c r="G18" s="24">
        <f t="shared" si="0"/>
        <v>19</v>
      </c>
      <c r="H18" s="24" t="str">
        <f t="shared" si="1"/>
        <v>c 902</v>
      </c>
      <c r="I18" s="28" t="str">
        <f t="shared" si="7"/>
        <v>c 928, v "\mp3_ost\avtomobi.mp3"</v>
      </c>
      <c r="J18" s="24" t="str">
        <f t="shared" si="3"/>
        <v/>
      </c>
      <c r="K18" s="15" t="str">
        <f t="shared" si="4"/>
        <v>&lt;unit018&gt; "ул.Автомобилист." {c 902, c 928, v "\mp3_ost\avtomobi.mp3", d 000, n 019}</v>
      </c>
    </row>
    <row r="19" spans="2:11" x14ac:dyDescent="0.25">
      <c r="B19">
        <f t="shared" si="5"/>
        <v>19</v>
      </c>
      <c r="C19" t="s">
        <v>344</v>
      </c>
      <c r="D19" t="str">
        <f t="shared" si="6"/>
        <v>&gt;&gt;</v>
      </c>
      <c r="E19" t="s">
        <v>263</v>
      </c>
      <c r="G19" s="24">
        <f t="shared" si="0"/>
        <v>20</v>
      </c>
      <c r="H19" s="24" t="str">
        <f t="shared" si="1"/>
        <v>c 900</v>
      </c>
      <c r="I19" s="28" t="str">
        <f t="shared" si="7"/>
        <v>v "\mp3_ost\tec.mp3"</v>
      </c>
      <c r="J19" s="24" t="str">
        <f t="shared" si="3"/>
        <v/>
      </c>
      <c r="K19" s="15" t="str">
        <f t="shared" si="4"/>
        <v>&lt;unit019&gt; "&gt;&gt;ТЭЦ" {c 900, v "\mp3_ost\tec.mp3", d 000, n 020}</v>
      </c>
    </row>
    <row r="20" spans="2:11" x14ac:dyDescent="0.25">
      <c r="B20">
        <f t="shared" si="5"/>
        <v>20</v>
      </c>
      <c r="C20" t="s">
        <v>85</v>
      </c>
      <c r="D20" t="str">
        <f t="shared" si="6"/>
        <v/>
      </c>
      <c r="E20" t="s">
        <v>263</v>
      </c>
      <c r="G20" s="24">
        <f t="shared" si="0"/>
        <v>21</v>
      </c>
      <c r="H20" s="24" t="str">
        <f t="shared" si="1"/>
        <v>c 902</v>
      </c>
      <c r="I20" s="28" t="str">
        <f t="shared" si="7"/>
        <v>v "\mp3_ost\tec.mp3"</v>
      </c>
      <c r="J20" s="24" t="str">
        <f t="shared" si="3"/>
        <v/>
      </c>
      <c r="K20" s="15" t="str">
        <f t="shared" si="4"/>
        <v>&lt;unit020&gt; "ТЭЦ" {c 902, v "\mp3_ost\tec.mp3", d 000, n 021}</v>
      </c>
    </row>
    <row r="21" spans="2:11" x14ac:dyDescent="0.25">
      <c r="B21">
        <f t="shared" si="5"/>
        <v>21</v>
      </c>
      <c r="C21" t="s">
        <v>344</v>
      </c>
      <c r="D21" t="str">
        <f t="shared" si="6"/>
        <v>&gt;&gt;</v>
      </c>
      <c r="E21" t="s">
        <v>272</v>
      </c>
      <c r="G21" s="24">
        <f t="shared" si="0"/>
        <v>22</v>
      </c>
      <c r="H21" s="24" t="str">
        <f t="shared" si="1"/>
        <v>c 900</v>
      </c>
      <c r="I21" s="28" t="str">
        <f t="shared" si="7"/>
        <v>v "\mp3_ost\yunost`.mp3"</v>
      </c>
      <c r="J21" s="24" t="str">
        <f t="shared" si="3"/>
        <v/>
      </c>
      <c r="K21" s="15" t="str">
        <f t="shared" si="4"/>
        <v>&lt;unit021&gt; "&gt;&gt;к/т Юность" {c 900, v "\mp3_ost\yunost`.mp3", d 000, n 022}</v>
      </c>
    </row>
    <row r="22" spans="2:11" x14ac:dyDescent="0.25">
      <c r="B22">
        <f t="shared" si="5"/>
        <v>22</v>
      </c>
      <c r="C22" t="s">
        <v>85</v>
      </c>
      <c r="D22" t="str">
        <f t="shared" si="6"/>
        <v/>
      </c>
      <c r="E22" t="s">
        <v>272</v>
      </c>
      <c r="G22" s="24">
        <f t="shared" si="0"/>
        <v>23</v>
      </c>
      <c r="H22" s="24" t="str">
        <f t="shared" si="1"/>
        <v>c 902</v>
      </c>
      <c r="I22" s="28" t="str">
        <f t="shared" si="7"/>
        <v>v "\mp3_ost\yunost`.mp3"</v>
      </c>
      <c r="J22" s="24" t="str">
        <f t="shared" si="3"/>
        <v/>
      </c>
      <c r="K22" s="15" t="str">
        <f t="shared" si="4"/>
        <v>&lt;unit022&gt; "к/т Юность" {c 902, v "\mp3_ost\yunost`.mp3", d 000, n 023}</v>
      </c>
    </row>
    <row r="23" spans="2:11" x14ac:dyDescent="0.25">
      <c r="B23">
        <f t="shared" si="5"/>
        <v>23</v>
      </c>
      <c r="C23" t="s">
        <v>344</v>
      </c>
      <c r="D23" t="str">
        <f t="shared" si="6"/>
        <v>&gt;&gt;</v>
      </c>
      <c r="E23" t="s">
        <v>170</v>
      </c>
      <c r="G23" s="24">
        <f t="shared" si="0"/>
        <v>24</v>
      </c>
      <c r="H23" s="24" t="str">
        <f t="shared" si="1"/>
        <v>c 900</v>
      </c>
      <c r="I23" s="28" t="str">
        <f t="shared" si="7"/>
        <v>v "\mp3_ost\jd.mp3"</v>
      </c>
      <c r="J23" s="24" t="str">
        <f t="shared" si="3"/>
        <v/>
      </c>
      <c r="K23" s="15" t="str">
        <f t="shared" si="4"/>
        <v>&lt;unit023&gt; "&gt;&gt;ЖД Вокзал" {c 900, v "\mp3_ost\jd.mp3", d 000, n 024}</v>
      </c>
    </row>
    <row r="24" spans="2:11" x14ac:dyDescent="0.25">
      <c r="B24">
        <f t="shared" si="5"/>
        <v>24</v>
      </c>
      <c r="C24" t="s">
        <v>85</v>
      </c>
      <c r="D24" t="str">
        <f t="shared" si="6"/>
        <v/>
      </c>
      <c r="E24" t="s">
        <v>170</v>
      </c>
      <c r="G24" s="24">
        <f t="shared" si="0"/>
        <v>25</v>
      </c>
      <c r="H24" s="24" t="str">
        <f t="shared" si="1"/>
        <v>c 902</v>
      </c>
      <c r="I24" s="28" t="str">
        <f t="shared" si="7"/>
        <v>v "\mp3_ost\jd.mp3"</v>
      </c>
      <c r="J24" s="24" t="str">
        <f t="shared" si="3"/>
        <v/>
      </c>
      <c r="K24" s="15" t="str">
        <f t="shared" si="4"/>
        <v>&lt;unit024&gt; "ЖД Вокзал" {c 902, v "\mp3_ost\jd.mp3", d 000, n 025}</v>
      </c>
    </row>
    <row r="25" spans="2:11" x14ac:dyDescent="0.25">
      <c r="B25">
        <f t="shared" si="5"/>
        <v>25</v>
      </c>
      <c r="C25" t="s">
        <v>344</v>
      </c>
      <c r="D25" t="str">
        <f t="shared" si="6"/>
        <v>&gt;&gt;</v>
      </c>
      <c r="E25" t="s">
        <v>173</v>
      </c>
      <c r="G25" s="24">
        <f t="shared" si="0"/>
        <v>26</v>
      </c>
      <c r="H25" s="24" t="str">
        <f t="shared" si="1"/>
        <v>c 900</v>
      </c>
      <c r="I25" s="28" t="str">
        <f t="shared" si="7"/>
        <v>c 928, v "\mp3_ost\partizan.mp3"</v>
      </c>
      <c r="J25" s="24" t="str">
        <f t="shared" si="3"/>
        <v/>
      </c>
      <c r="K25" s="15" t="str">
        <f t="shared" si="4"/>
        <v>&lt;unit025&gt; "&gt;&gt;ул.Партизанская" {c 900, c 928, v "\mp3_ost\partizan.mp3", d 000, n 026}</v>
      </c>
    </row>
    <row r="26" spans="2:11" x14ac:dyDescent="0.25">
      <c r="B26">
        <f t="shared" si="5"/>
        <v>26</v>
      </c>
      <c r="C26" t="s">
        <v>85</v>
      </c>
      <c r="D26" t="str">
        <f t="shared" si="6"/>
        <v/>
      </c>
      <c r="E26" t="s">
        <v>173</v>
      </c>
      <c r="G26" s="24">
        <f t="shared" si="0"/>
        <v>27</v>
      </c>
      <c r="H26" s="24" t="str">
        <f t="shared" si="1"/>
        <v>c 902</v>
      </c>
      <c r="I26" s="28" t="str">
        <f t="shared" si="7"/>
        <v>c 928, v "\mp3_ost\partizan.mp3"</v>
      </c>
      <c r="J26" s="24" t="str">
        <f t="shared" si="3"/>
        <v/>
      </c>
      <c r="K26" s="15" t="str">
        <f t="shared" si="4"/>
        <v>&lt;unit026&gt; "ул.Партизанская" {c 902, c 928, v "\mp3_ost\partizan.mp3", d 000, n 027}</v>
      </c>
    </row>
    <row r="27" spans="2:11" x14ac:dyDescent="0.25">
      <c r="B27">
        <f t="shared" si="5"/>
        <v>27</v>
      </c>
      <c r="C27" t="s">
        <v>344</v>
      </c>
      <c r="D27" t="str">
        <f t="shared" si="6"/>
        <v>&gt;&gt;</v>
      </c>
      <c r="E27" t="s">
        <v>172</v>
      </c>
      <c r="G27" s="24">
        <f t="shared" si="0"/>
        <v>28</v>
      </c>
      <c r="H27" s="24" t="str">
        <f t="shared" si="1"/>
        <v>c 900</v>
      </c>
      <c r="I27" s="28" t="str">
        <f t="shared" si="7"/>
        <v>c 928, v "\mp3_ost\moskovsk.mp3"</v>
      </c>
      <c r="J27" s="24" t="str">
        <f t="shared" si="3"/>
        <v/>
      </c>
      <c r="K27" s="15" t="str">
        <f t="shared" si="4"/>
        <v>&lt;unit027&gt; "&gt;&gt;ул.Московская" {c 900, c 928, v "\mp3_ost\moskovsk.mp3", d 000, n 028}</v>
      </c>
    </row>
    <row r="28" spans="2:11" x14ac:dyDescent="0.25">
      <c r="B28">
        <f t="shared" si="5"/>
        <v>28</v>
      </c>
      <c r="C28" t="s">
        <v>85</v>
      </c>
      <c r="D28" t="str">
        <f t="shared" si="6"/>
        <v/>
      </c>
      <c r="E28" t="s">
        <v>172</v>
      </c>
      <c r="G28" s="24">
        <f t="shared" si="0"/>
        <v>29</v>
      </c>
      <c r="H28" s="24" t="str">
        <f t="shared" si="1"/>
        <v>c 902</v>
      </c>
      <c r="I28" s="28" t="str">
        <f t="shared" si="7"/>
        <v>c 928, v "\mp3_ost\moskovsk.mp3"</v>
      </c>
      <c r="J28" s="24" t="str">
        <f t="shared" si="3"/>
        <v/>
      </c>
      <c r="K28" s="15" t="str">
        <f t="shared" si="4"/>
        <v>&lt;unit028&gt; "ул.Московская" {c 902, c 928, v "\mp3_ost\moskovsk.mp3", d 000, n 029}</v>
      </c>
    </row>
    <row r="29" spans="2:11" x14ac:dyDescent="0.25">
      <c r="B29">
        <f t="shared" si="5"/>
        <v>29</v>
      </c>
      <c r="C29" t="s">
        <v>344</v>
      </c>
      <c r="D29" t="str">
        <f t="shared" si="6"/>
        <v>&gt;&gt;</v>
      </c>
      <c r="E29" t="s">
        <v>174</v>
      </c>
      <c r="G29" s="24">
        <f t="shared" si="0"/>
        <v>30</v>
      </c>
      <c r="H29" s="24" t="str">
        <f t="shared" si="1"/>
        <v>c 900</v>
      </c>
      <c r="I29" s="28" t="str">
        <f t="shared" si="7"/>
        <v>c 928, v "\mp3_ost\swrokvas.mp3"</v>
      </c>
      <c r="J29" s="24" t="str">
        <f t="shared" si="3"/>
        <v/>
      </c>
      <c r="K29" s="15" t="str">
        <f t="shared" si="4"/>
        <v>&lt;unit029&gt; "&gt;&gt;ул.Сырокваша" {c 900, c 928, v "\mp3_ost\swrokvas.mp3", d 000, n 030}</v>
      </c>
    </row>
    <row r="30" spans="2:11" x14ac:dyDescent="0.25">
      <c r="B30">
        <f t="shared" si="5"/>
        <v>30</v>
      </c>
      <c r="C30" t="s">
        <v>85</v>
      </c>
      <c r="D30" t="str">
        <f t="shared" si="6"/>
        <v/>
      </c>
      <c r="E30" t="s">
        <v>174</v>
      </c>
      <c r="G30" s="24">
        <f t="shared" si="0"/>
        <v>31</v>
      </c>
      <c r="H30" s="24" t="str">
        <f t="shared" si="1"/>
        <v>c 902</v>
      </c>
      <c r="I30" s="28" t="str">
        <f t="shared" si="7"/>
        <v>c 928, v "\mp3_ost\swrokvas.mp3"</v>
      </c>
      <c r="J30" s="24" t="str">
        <f t="shared" si="3"/>
        <v/>
      </c>
      <c r="K30" s="15" t="str">
        <f t="shared" si="4"/>
        <v>&lt;unit030&gt; "ул.Сырокваша" {c 902, c 928, v "\mp3_ost\swrokvas.mp3", d 000, n 031}</v>
      </c>
    </row>
    <row r="31" spans="2:11" x14ac:dyDescent="0.25">
      <c r="B31">
        <f t="shared" si="5"/>
        <v>31</v>
      </c>
      <c r="C31" t="s">
        <v>344</v>
      </c>
      <c r="D31" t="str">
        <f t="shared" si="6"/>
        <v>&gt;&gt;</v>
      </c>
      <c r="E31" t="s">
        <v>175</v>
      </c>
      <c r="G31" s="24">
        <f t="shared" si="0"/>
        <v>32</v>
      </c>
      <c r="H31" s="24" t="str">
        <f t="shared" si="1"/>
        <v>c 900</v>
      </c>
      <c r="I31" s="28" t="str">
        <f t="shared" si="7"/>
        <v>v "\mp3_ost\mira.mp3"</v>
      </c>
      <c r="J31" s="24" t="str">
        <f t="shared" si="3"/>
        <v/>
      </c>
      <c r="K31" s="15" t="str">
        <f t="shared" si="4"/>
        <v>&lt;unit031&gt; "&gt;&gt;пр-т Мира" {c 900, v "\mp3_ost\mira.mp3", d 000, n 032}</v>
      </c>
    </row>
    <row r="32" spans="2:11" x14ac:dyDescent="0.25">
      <c r="B32">
        <f t="shared" si="5"/>
        <v>32</v>
      </c>
      <c r="C32" t="s">
        <v>85</v>
      </c>
      <c r="D32" t="str">
        <f t="shared" si="6"/>
        <v/>
      </c>
      <c r="E32" t="s">
        <v>175</v>
      </c>
      <c r="G32" s="24">
        <f t="shared" si="0"/>
        <v>33</v>
      </c>
      <c r="H32" s="24" t="str">
        <f t="shared" si="1"/>
        <v>c 902</v>
      </c>
      <c r="I32" s="28" t="str">
        <f t="shared" si="7"/>
        <v>v "\mp3_ost\mira.mp3"</v>
      </c>
      <c r="J32" s="24" t="str">
        <f t="shared" si="3"/>
        <v/>
      </c>
      <c r="K32" s="15" t="str">
        <f t="shared" si="4"/>
        <v>&lt;unit032&gt; "пр-т Мира" {c 902, v "\mp3_ost\mira.mp3", d 000, n 033}</v>
      </c>
    </row>
    <row r="33" spans="2:11" x14ac:dyDescent="0.25">
      <c r="B33">
        <f>ROW(B33)</f>
        <v>33</v>
      </c>
      <c r="C33" t="s">
        <v>344</v>
      </c>
      <c r="D33" t="str">
        <f t="shared" si="6"/>
        <v>&gt;&gt;</v>
      </c>
      <c r="E33" t="s">
        <v>279</v>
      </c>
      <c r="G33" s="24">
        <f t="shared" si="0"/>
        <v>34</v>
      </c>
      <c r="H33" s="24" t="str">
        <f t="shared" si="1"/>
        <v>c 900</v>
      </c>
      <c r="I33" s="28" t="str">
        <f t="shared" si="7"/>
        <v>c 928, v "\mp3_ost\50letokt.mp3"</v>
      </c>
      <c r="J33" s="24" t="str">
        <f t="shared" si="3"/>
        <v/>
      </c>
      <c r="K33" s="15" t="str">
        <f t="shared" si="4"/>
        <v>&lt;unit033&gt; "&gt;&gt;ул.50 лет Октяб." {c 900, c 928, v "\mp3_ost\50letokt.mp3", d 000, n 034}</v>
      </c>
    </row>
    <row r="34" spans="2:11" x14ac:dyDescent="0.25">
      <c r="B34">
        <f t="shared" si="5"/>
        <v>34</v>
      </c>
      <c r="C34" t="s">
        <v>85</v>
      </c>
      <c r="D34" t="str">
        <f t="shared" si="6"/>
        <v/>
      </c>
      <c r="E34" t="s">
        <v>279</v>
      </c>
      <c r="G34" s="24">
        <f t="shared" si="0"/>
        <v>35</v>
      </c>
      <c r="H34" s="24" t="str">
        <f t="shared" si="1"/>
        <v>c 902</v>
      </c>
      <c r="I34" s="28" t="str">
        <f t="shared" si="7"/>
        <v>c 928, v "\mp3_ost\50letokt.mp3"</v>
      </c>
      <c r="J34" s="24" t="str">
        <f t="shared" si="3"/>
        <v/>
      </c>
      <c r="K34" s="15" t="str">
        <f t="shared" si="4"/>
        <v>&lt;unit034&gt; "ул.50 лет Октяб." {c 902, c 928, v "\mp3_ost\50letokt.mp3", d 000, n 035}</v>
      </c>
    </row>
    <row r="35" spans="2:11" x14ac:dyDescent="0.25">
      <c r="B35">
        <f t="shared" si="5"/>
        <v>35</v>
      </c>
      <c r="C35" t="s">
        <v>344</v>
      </c>
      <c r="D35" t="str">
        <f t="shared" si="6"/>
        <v>&gt;&gt;</v>
      </c>
      <c r="E35" t="s">
        <v>280</v>
      </c>
      <c r="G35" s="24">
        <f t="shared" si="0"/>
        <v>36</v>
      </c>
      <c r="H35" s="24" t="str">
        <f t="shared" si="1"/>
        <v>c 900</v>
      </c>
      <c r="I35" s="28" t="str">
        <f t="shared" si="7"/>
        <v>c 928, v "\mp3_ost\8marta.mp3"</v>
      </c>
      <c r="J35" s="24" t="str">
        <f t="shared" si="3"/>
        <v/>
      </c>
      <c r="K35" s="15" t="str">
        <f t="shared" si="4"/>
        <v>&lt;unit035&gt; "&gt;&gt;ул.8 Марта" {c 900, c 928, v "\mp3_ost\8marta.mp3", d 000, n 036}</v>
      </c>
    </row>
    <row r="36" spans="2:11" x14ac:dyDescent="0.25">
      <c r="B36">
        <f t="shared" si="5"/>
        <v>36</v>
      </c>
      <c r="C36" t="s">
        <v>85</v>
      </c>
      <c r="D36" t="str">
        <f t="shared" si="6"/>
        <v/>
      </c>
      <c r="E36" t="s">
        <v>280</v>
      </c>
      <c r="G36" s="24">
        <f t="shared" si="0"/>
        <v>37</v>
      </c>
      <c r="H36" s="24" t="str">
        <f t="shared" si="1"/>
        <v>c 902</v>
      </c>
      <c r="I36" s="28" t="str">
        <f t="shared" si="7"/>
        <v>c 928, v "\mp3_ost\8marta.mp3"</v>
      </c>
      <c r="J36" s="24" t="str">
        <f t="shared" si="3"/>
        <v/>
      </c>
      <c r="K36" s="15" t="str">
        <f t="shared" si="4"/>
        <v>&lt;unit036&gt; "ул.8 Марта" {c 902, c 928, v "\mp3_ost\8marta.mp3", d 000, n 037}</v>
      </c>
    </row>
    <row r="37" spans="2:11" x14ac:dyDescent="0.25">
      <c r="B37">
        <f t="shared" si="5"/>
        <v>37</v>
      </c>
      <c r="C37" t="s">
        <v>344</v>
      </c>
      <c r="D37" t="str">
        <f t="shared" si="6"/>
        <v>&gt;&gt;</v>
      </c>
      <c r="E37" t="s">
        <v>256</v>
      </c>
      <c r="G37" s="24">
        <f t="shared" si="0"/>
        <v>38</v>
      </c>
      <c r="H37" s="24" t="str">
        <f t="shared" si="1"/>
        <v>c 900</v>
      </c>
      <c r="I37" s="28" t="str">
        <f t="shared" si="7"/>
        <v>v "\mp3_ost\svitanak.mp3"</v>
      </c>
      <c r="J37" s="24" t="str">
        <f t="shared" si="3"/>
        <v/>
      </c>
      <c r="K37" s="15" t="str">
        <f t="shared" si="4"/>
        <v>&lt;unit037&gt; "&gt;&gt;Свитанок" {c 900, v "\mp3_ost\svitanak.mp3", d 000, n 038}</v>
      </c>
    </row>
    <row r="38" spans="2:11" x14ac:dyDescent="0.25">
      <c r="B38">
        <f t="shared" si="5"/>
        <v>38</v>
      </c>
      <c r="C38" t="s">
        <v>85</v>
      </c>
      <c r="D38" t="str">
        <f t="shared" si="6"/>
        <v/>
      </c>
      <c r="E38" t="s">
        <v>256</v>
      </c>
      <c r="F38" t="s">
        <v>346</v>
      </c>
      <c r="G38" s="24">
        <f>B40</f>
        <v>40</v>
      </c>
      <c r="H38" s="24" t="str">
        <f t="shared" si="1"/>
        <v>c 902</v>
      </c>
      <c r="I38" s="28" t="str">
        <f t="shared" si="7"/>
        <v>v "\mp3_ost\svitanak.mp3"</v>
      </c>
      <c r="J38" s="24" t="str">
        <f t="shared" si="3"/>
        <v>c 903</v>
      </c>
      <c r="K38" s="15" t="str">
        <f t="shared" si="4"/>
        <v>&lt;unit038&gt; "Свитанок" {c 902, v "\mp3_ost\svitanak.mp3", c 903, d 000, n 040}</v>
      </c>
    </row>
    <row r="39" spans="2:11" x14ac:dyDescent="0.25">
      <c r="K39" s="15"/>
    </row>
    <row r="40" spans="2:11" x14ac:dyDescent="0.25">
      <c r="B40">
        <f t="shared" ref="B40:B76" si="8">ROW(B40)</f>
        <v>40</v>
      </c>
      <c r="E40" s="25" t="s">
        <v>342</v>
      </c>
      <c r="F40" s="25"/>
      <c r="G40" s="24">
        <f>B42</f>
        <v>42</v>
      </c>
      <c r="K40" s="15" t="str">
        <f>"&lt;unit"&amp;TEXT(B40,"000")&amp;"&gt; """&amp;E40&amp;""" {d 000, n "&amp;TEXT(G40,"000")&amp;"}"</f>
        <v>&lt;unit040&gt; "----- Обратный -----" {d 000, n 042}</v>
      </c>
    </row>
    <row r="41" spans="2:11" x14ac:dyDescent="0.25">
      <c r="K41" s="15"/>
    </row>
    <row r="42" spans="2:11" x14ac:dyDescent="0.25">
      <c r="B42">
        <f t="shared" si="8"/>
        <v>42</v>
      </c>
      <c r="C42" t="s">
        <v>85</v>
      </c>
      <c r="D42" t="str">
        <f t="shared" ref="D42:D74" si="9">IF(H42="c 900","&gt;&gt;","")</f>
        <v/>
      </c>
      <c r="E42" t="s">
        <v>256</v>
      </c>
      <c r="G42" s="24">
        <f>B43</f>
        <v>43</v>
      </c>
      <c r="H42" s="24" t="str">
        <f t="shared" ref="H42:H74" si="10">IFERROR("c "&amp;VLOOKUP(C42,Punkti,2,FALSE),"")</f>
        <v>c 902</v>
      </c>
      <c r="I42" s="28" t="str">
        <f t="shared" ref="I42:I74" si="11">IFERROR(VLOOKUP(E42,Ostanovki,7,FALSE),"")</f>
        <v>v "\mp3_ost\svitanak.mp3"</v>
      </c>
      <c r="J42" s="24" t="str">
        <f t="shared" ref="J42:J74" si="12">IFERROR("c "&amp;VLOOKUP(F42,Punkti,2,FALSE),"")</f>
        <v/>
      </c>
      <c r="K42" s="15" t="str">
        <f t="shared" ref="K42:K74" si="13">"&lt;unit"&amp;TEXT(B42,"000")&amp;"&gt; """&amp;СцепитьМного(D42:E42,"")&amp;""" {"&amp;СцепитьМного(H42:J42,", ")&amp;", d 000, n "&amp;TEXT(G42,"000")&amp;"}"</f>
        <v>&lt;unit042&gt; "Свитанок" {c 902, v "\mp3_ost\svitanak.mp3", d 000, n 043}</v>
      </c>
    </row>
    <row r="43" spans="2:11" x14ac:dyDescent="0.25">
      <c r="B43">
        <f t="shared" si="8"/>
        <v>43</v>
      </c>
      <c r="C43" t="s">
        <v>344</v>
      </c>
      <c r="D43" t="str">
        <f t="shared" si="9"/>
        <v>&gt;&gt;</v>
      </c>
      <c r="E43" t="s">
        <v>243</v>
      </c>
      <c r="G43" s="24">
        <f t="shared" ref="G43:G73" si="14">B44</f>
        <v>44</v>
      </c>
      <c r="H43" s="24" t="str">
        <f t="shared" si="10"/>
        <v>c 900</v>
      </c>
      <c r="I43" s="28" t="str">
        <f t="shared" si="11"/>
        <v>v "\mp3_ost\pojarnay.mp3"</v>
      </c>
      <c r="J43" s="24" t="str">
        <f t="shared" si="12"/>
        <v/>
      </c>
      <c r="K43" s="15" t="str">
        <f t="shared" si="13"/>
        <v>&lt;unit043&gt; "&gt;&gt;Пожарная" {c 900, v "\mp3_ost\pojarnay.mp3", d 000, n 044}</v>
      </c>
    </row>
    <row r="44" spans="2:11" x14ac:dyDescent="0.25">
      <c r="B44">
        <f t="shared" si="8"/>
        <v>44</v>
      </c>
      <c r="C44" t="s">
        <v>85</v>
      </c>
      <c r="D44" t="str">
        <f t="shared" si="9"/>
        <v/>
      </c>
      <c r="E44" t="s">
        <v>243</v>
      </c>
      <c r="G44" s="24">
        <f t="shared" si="14"/>
        <v>45</v>
      </c>
      <c r="H44" s="24" t="str">
        <f t="shared" si="10"/>
        <v>c 902</v>
      </c>
      <c r="I44" s="28" t="str">
        <f t="shared" si="11"/>
        <v>v "\mp3_ost\pojarnay.mp3"</v>
      </c>
      <c r="J44" s="24" t="str">
        <f t="shared" si="12"/>
        <v/>
      </c>
      <c r="K44" s="15" t="str">
        <f t="shared" si="13"/>
        <v>&lt;unit044&gt; "Пожарная" {c 902, v "\mp3_ost\pojarnay.mp3", d 000, n 045}</v>
      </c>
    </row>
    <row r="45" spans="2:11" x14ac:dyDescent="0.25">
      <c r="B45">
        <f t="shared" si="8"/>
        <v>45</v>
      </c>
      <c r="C45" t="s">
        <v>344</v>
      </c>
      <c r="D45" t="str">
        <f t="shared" si="9"/>
        <v>&gt;&gt;</v>
      </c>
      <c r="E45" t="s">
        <v>352</v>
      </c>
      <c r="G45" s="24">
        <f t="shared" si="14"/>
        <v>46</v>
      </c>
      <c r="H45" s="24" t="str">
        <f t="shared" si="10"/>
        <v>c 900</v>
      </c>
      <c r="I45" s="28" t="str">
        <f t="shared" si="11"/>
        <v>v "\mp3_ost\!_silent.mp3"</v>
      </c>
      <c r="J45" s="24" t="str">
        <f t="shared" si="12"/>
        <v/>
      </c>
      <c r="K45" s="15" t="str">
        <f t="shared" si="13"/>
        <v>&lt;unit045&gt; "&gt;&gt;Рынок" {c 900, v "\mp3_ost\!_silent.mp3", d 000, n 046}</v>
      </c>
    </row>
    <row r="46" spans="2:11" x14ac:dyDescent="0.25">
      <c r="B46">
        <f t="shared" si="8"/>
        <v>46</v>
      </c>
      <c r="C46" t="s">
        <v>85</v>
      </c>
      <c r="D46" t="str">
        <f t="shared" si="9"/>
        <v/>
      </c>
      <c r="E46" t="s">
        <v>352</v>
      </c>
      <c r="G46" s="24">
        <f t="shared" si="14"/>
        <v>47</v>
      </c>
      <c r="H46" s="24" t="str">
        <f t="shared" si="10"/>
        <v>c 902</v>
      </c>
      <c r="I46" s="28" t="str">
        <f t="shared" si="11"/>
        <v>v "\mp3_ost\!_silent.mp3"</v>
      </c>
      <c r="J46" s="24" t="str">
        <f t="shared" si="12"/>
        <v/>
      </c>
      <c r="K46" s="15" t="str">
        <f t="shared" si="13"/>
        <v>&lt;unit046&gt; "Рынок" {c 902, v "\mp3_ost\!_silent.mp3", d 000, n 047}</v>
      </c>
    </row>
    <row r="47" spans="2:11" x14ac:dyDescent="0.25">
      <c r="B47">
        <f t="shared" si="8"/>
        <v>47</v>
      </c>
      <c r="C47" t="s">
        <v>344</v>
      </c>
      <c r="D47" t="str">
        <f t="shared" si="9"/>
        <v>&gt;&gt;</v>
      </c>
      <c r="E47" t="s">
        <v>279</v>
      </c>
      <c r="G47" s="24">
        <f t="shared" si="14"/>
        <v>48</v>
      </c>
      <c r="H47" s="24" t="str">
        <f t="shared" si="10"/>
        <v>c 900</v>
      </c>
      <c r="I47" s="28" t="str">
        <f t="shared" si="11"/>
        <v>c 928, v "\mp3_ost\50letokt.mp3"</v>
      </c>
      <c r="J47" s="24" t="str">
        <f t="shared" si="12"/>
        <v/>
      </c>
      <c r="K47" s="15" t="str">
        <f t="shared" si="13"/>
        <v>&lt;unit047&gt; "&gt;&gt;ул.50 лет Октяб." {c 900, c 928, v "\mp3_ost\50letokt.mp3", d 000, n 048}</v>
      </c>
    </row>
    <row r="48" spans="2:11" x14ac:dyDescent="0.25">
      <c r="B48">
        <f t="shared" si="8"/>
        <v>48</v>
      </c>
      <c r="C48" t="s">
        <v>85</v>
      </c>
      <c r="D48" t="str">
        <f t="shared" si="9"/>
        <v/>
      </c>
      <c r="E48" t="s">
        <v>279</v>
      </c>
      <c r="G48" s="24">
        <f t="shared" si="14"/>
        <v>49</v>
      </c>
      <c r="H48" s="24" t="str">
        <f t="shared" si="10"/>
        <v>c 902</v>
      </c>
      <c r="I48" s="28" t="str">
        <f t="shared" si="11"/>
        <v>c 928, v "\mp3_ost\50letokt.mp3"</v>
      </c>
      <c r="J48" s="24" t="str">
        <f t="shared" si="12"/>
        <v/>
      </c>
      <c r="K48" s="15" t="str">
        <f t="shared" si="13"/>
        <v>&lt;unit048&gt; "ул.50 лет Октяб." {c 902, c 928, v "\mp3_ost\50letokt.mp3", d 000, n 049}</v>
      </c>
    </row>
    <row r="49" spans="2:11" x14ac:dyDescent="0.25">
      <c r="B49">
        <f t="shared" si="8"/>
        <v>49</v>
      </c>
      <c r="C49" t="s">
        <v>344</v>
      </c>
      <c r="D49" t="str">
        <f t="shared" si="9"/>
        <v>&gt;&gt;</v>
      </c>
      <c r="E49" t="s">
        <v>175</v>
      </c>
      <c r="G49" s="24">
        <f t="shared" si="14"/>
        <v>50</v>
      </c>
      <c r="H49" s="24" t="str">
        <f t="shared" si="10"/>
        <v>c 900</v>
      </c>
      <c r="I49" s="28" t="str">
        <f t="shared" si="11"/>
        <v>v "\mp3_ost\mira.mp3"</v>
      </c>
      <c r="J49" s="24" t="str">
        <f t="shared" si="12"/>
        <v/>
      </c>
      <c r="K49" s="15" t="str">
        <f t="shared" si="13"/>
        <v>&lt;unit049&gt; "&gt;&gt;пр-т Мира" {c 900, v "\mp3_ost\mira.mp3", d 000, n 050}</v>
      </c>
    </row>
    <row r="50" spans="2:11" x14ac:dyDescent="0.25">
      <c r="B50">
        <f t="shared" si="8"/>
        <v>50</v>
      </c>
      <c r="C50" t="s">
        <v>85</v>
      </c>
      <c r="D50" t="str">
        <f t="shared" si="9"/>
        <v/>
      </c>
      <c r="E50" t="s">
        <v>175</v>
      </c>
      <c r="G50" s="24">
        <f t="shared" si="14"/>
        <v>51</v>
      </c>
      <c r="H50" s="24" t="str">
        <f t="shared" si="10"/>
        <v>c 902</v>
      </c>
      <c r="I50" s="28" t="str">
        <f t="shared" si="11"/>
        <v>v "\mp3_ost\mira.mp3"</v>
      </c>
      <c r="J50" s="24" t="str">
        <f t="shared" si="12"/>
        <v/>
      </c>
      <c r="K50" s="15" t="str">
        <f t="shared" si="13"/>
        <v>&lt;unit050&gt; "пр-т Мира" {c 902, v "\mp3_ost\mira.mp3", d 000, n 051}</v>
      </c>
    </row>
    <row r="51" spans="2:11" x14ac:dyDescent="0.25">
      <c r="B51">
        <f t="shared" si="8"/>
        <v>51</v>
      </c>
      <c r="C51" t="s">
        <v>344</v>
      </c>
      <c r="D51" t="str">
        <f t="shared" si="9"/>
        <v>&gt;&gt;</v>
      </c>
      <c r="E51" t="s">
        <v>174</v>
      </c>
      <c r="G51" s="24">
        <f t="shared" si="14"/>
        <v>52</v>
      </c>
      <c r="H51" s="24" t="str">
        <f t="shared" si="10"/>
        <v>c 900</v>
      </c>
      <c r="I51" s="28" t="str">
        <f t="shared" si="11"/>
        <v>c 928, v "\mp3_ost\swrokvas.mp3"</v>
      </c>
      <c r="J51" s="24" t="str">
        <f t="shared" si="12"/>
        <v/>
      </c>
      <c r="K51" s="15" t="str">
        <f t="shared" si="13"/>
        <v>&lt;unit051&gt; "&gt;&gt;ул.Сырокваша" {c 900, c 928, v "\mp3_ost\swrokvas.mp3", d 000, n 052}</v>
      </c>
    </row>
    <row r="52" spans="2:11" x14ac:dyDescent="0.25">
      <c r="B52">
        <f t="shared" si="8"/>
        <v>52</v>
      </c>
      <c r="C52" t="s">
        <v>85</v>
      </c>
      <c r="D52" t="str">
        <f t="shared" si="9"/>
        <v/>
      </c>
      <c r="E52" t="s">
        <v>174</v>
      </c>
      <c r="G52" s="24">
        <f t="shared" si="14"/>
        <v>53</v>
      </c>
      <c r="H52" s="24" t="str">
        <f t="shared" si="10"/>
        <v>c 902</v>
      </c>
      <c r="I52" s="28" t="str">
        <f t="shared" si="11"/>
        <v>c 928, v "\mp3_ost\swrokvas.mp3"</v>
      </c>
      <c r="J52" s="24" t="str">
        <f t="shared" si="12"/>
        <v/>
      </c>
      <c r="K52" s="15" t="str">
        <f t="shared" si="13"/>
        <v>&lt;unit052&gt; "ул.Сырокваша" {c 902, c 928, v "\mp3_ost\swrokvas.mp3", d 000, n 053}</v>
      </c>
    </row>
    <row r="53" spans="2:11" x14ac:dyDescent="0.25">
      <c r="B53">
        <f t="shared" si="8"/>
        <v>53</v>
      </c>
      <c r="C53" t="s">
        <v>344</v>
      </c>
      <c r="D53" t="str">
        <f t="shared" si="9"/>
        <v>&gt;&gt;</v>
      </c>
      <c r="E53" t="s">
        <v>172</v>
      </c>
      <c r="G53" s="24">
        <f t="shared" si="14"/>
        <v>54</v>
      </c>
      <c r="H53" s="24" t="str">
        <f t="shared" si="10"/>
        <v>c 900</v>
      </c>
      <c r="I53" s="28" t="str">
        <f t="shared" si="11"/>
        <v>c 928, v "\mp3_ost\moskovsk.mp3"</v>
      </c>
      <c r="J53" s="24" t="str">
        <f t="shared" si="12"/>
        <v/>
      </c>
      <c r="K53" s="15" t="str">
        <f t="shared" si="13"/>
        <v>&lt;unit053&gt; "&gt;&gt;ул.Московская" {c 900, c 928, v "\mp3_ost\moskovsk.mp3", d 000, n 054}</v>
      </c>
    </row>
    <row r="54" spans="2:11" x14ac:dyDescent="0.25">
      <c r="B54">
        <f t="shared" si="8"/>
        <v>54</v>
      </c>
      <c r="C54" t="s">
        <v>85</v>
      </c>
      <c r="D54" t="str">
        <f t="shared" si="9"/>
        <v/>
      </c>
      <c r="E54" t="s">
        <v>172</v>
      </c>
      <c r="G54" s="24">
        <f t="shared" si="14"/>
        <v>55</v>
      </c>
      <c r="H54" s="24" t="str">
        <f t="shared" si="10"/>
        <v>c 902</v>
      </c>
      <c r="I54" s="28" t="str">
        <f t="shared" si="11"/>
        <v>c 928, v "\mp3_ost\moskovsk.mp3"</v>
      </c>
      <c r="J54" s="24" t="str">
        <f t="shared" si="12"/>
        <v/>
      </c>
      <c r="K54" s="15" t="str">
        <f t="shared" si="13"/>
        <v>&lt;unit054&gt; "ул.Московская" {c 902, c 928, v "\mp3_ost\moskovsk.mp3", d 000, n 055}</v>
      </c>
    </row>
    <row r="55" spans="2:11" x14ac:dyDescent="0.25">
      <c r="B55">
        <f t="shared" si="8"/>
        <v>55</v>
      </c>
      <c r="C55" t="s">
        <v>344</v>
      </c>
      <c r="D55" t="str">
        <f t="shared" si="9"/>
        <v>&gt;&gt;</v>
      </c>
      <c r="E55" t="s">
        <v>173</v>
      </c>
      <c r="G55" s="24">
        <f t="shared" si="14"/>
        <v>56</v>
      </c>
      <c r="H55" s="24" t="str">
        <f t="shared" si="10"/>
        <v>c 900</v>
      </c>
      <c r="I55" s="28" t="str">
        <f t="shared" si="11"/>
        <v>c 928, v "\mp3_ost\partizan.mp3"</v>
      </c>
      <c r="J55" s="24" t="str">
        <f t="shared" si="12"/>
        <v/>
      </c>
      <c r="K55" s="15" t="str">
        <f t="shared" si="13"/>
        <v>&lt;unit055&gt; "&gt;&gt;ул.Партизанская" {c 900, c 928, v "\mp3_ost\partizan.mp3", d 000, n 056}</v>
      </c>
    </row>
    <row r="56" spans="2:11" x14ac:dyDescent="0.25">
      <c r="B56">
        <f t="shared" si="8"/>
        <v>56</v>
      </c>
      <c r="C56" t="s">
        <v>85</v>
      </c>
      <c r="D56" t="str">
        <f t="shared" si="9"/>
        <v/>
      </c>
      <c r="E56" t="s">
        <v>173</v>
      </c>
      <c r="G56" s="24">
        <f t="shared" si="14"/>
        <v>57</v>
      </c>
      <c r="H56" s="24" t="str">
        <f t="shared" si="10"/>
        <v>c 902</v>
      </c>
      <c r="I56" s="28" t="str">
        <f t="shared" si="11"/>
        <v>c 928, v "\mp3_ost\partizan.mp3"</v>
      </c>
      <c r="J56" s="24" t="str">
        <f t="shared" si="12"/>
        <v/>
      </c>
      <c r="K56" s="15" t="str">
        <f t="shared" si="13"/>
        <v>&lt;unit056&gt; "ул.Партизанская" {c 902, c 928, v "\mp3_ost\partizan.mp3", d 000, n 057}</v>
      </c>
    </row>
    <row r="57" spans="2:11" x14ac:dyDescent="0.25">
      <c r="B57">
        <f t="shared" si="8"/>
        <v>57</v>
      </c>
      <c r="C57" t="s">
        <v>344</v>
      </c>
      <c r="D57" t="str">
        <f t="shared" si="9"/>
        <v>&gt;&gt;</v>
      </c>
      <c r="E57" t="s">
        <v>170</v>
      </c>
      <c r="G57" s="24">
        <f t="shared" si="14"/>
        <v>58</v>
      </c>
      <c r="H57" s="24" t="str">
        <f t="shared" si="10"/>
        <v>c 900</v>
      </c>
      <c r="I57" s="28" t="str">
        <f t="shared" si="11"/>
        <v>v "\mp3_ost\jd.mp3"</v>
      </c>
      <c r="J57" s="24" t="str">
        <f t="shared" si="12"/>
        <v/>
      </c>
      <c r="K57" s="15" t="str">
        <f t="shared" si="13"/>
        <v>&lt;unit057&gt; "&gt;&gt;ЖД Вокзал" {c 900, v "\mp3_ost\jd.mp3", d 000, n 058}</v>
      </c>
    </row>
    <row r="58" spans="2:11" x14ac:dyDescent="0.25">
      <c r="B58">
        <f t="shared" si="8"/>
        <v>58</v>
      </c>
      <c r="C58" t="s">
        <v>85</v>
      </c>
      <c r="D58" t="str">
        <f t="shared" si="9"/>
        <v/>
      </c>
      <c r="E58" t="s">
        <v>170</v>
      </c>
      <c r="G58" s="24">
        <f t="shared" si="14"/>
        <v>59</v>
      </c>
      <c r="H58" s="24" t="str">
        <f t="shared" si="10"/>
        <v>c 902</v>
      </c>
      <c r="I58" s="28" t="str">
        <f t="shared" si="11"/>
        <v>v "\mp3_ost\jd.mp3"</v>
      </c>
      <c r="J58" s="24" t="str">
        <f t="shared" si="12"/>
        <v/>
      </c>
      <c r="K58" s="15" t="str">
        <f t="shared" si="13"/>
        <v>&lt;unit058&gt; "ЖД Вокзал" {c 902, v "\mp3_ost\jd.mp3", d 000, n 059}</v>
      </c>
    </row>
    <row r="59" spans="2:11" x14ac:dyDescent="0.25">
      <c r="B59">
        <f t="shared" si="8"/>
        <v>59</v>
      </c>
      <c r="C59" t="s">
        <v>344</v>
      </c>
      <c r="D59" t="str">
        <f t="shared" si="9"/>
        <v>&gt;&gt;</v>
      </c>
      <c r="E59" t="s">
        <v>272</v>
      </c>
      <c r="G59" s="24">
        <f t="shared" si="14"/>
        <v>60</v>
      </c>
      <c r="H59" s="24" t="str">
        <f t="shared" si="10"/>
        <v>c 900</v>
      </c>
      <c r="I59" s="28" t="str">
        <f t="shared" si="11"/>
        <v>v "\mp3_ost\yunost`.mp3"</v>
      </c>
      <c r="J59" s="24" t="str">
        <f t="shared" si="12"/>
        <v/>
      </c>
      <c r="K59" s="15" t="str">
        <f t="shared" si="13"/>
        <v>&lt;unit059&gt; "&gt;&gt;к/т Юность" {c 900, v "\mp3_ost\yunost`.mp3", d 000, n 060}</v>
      </c>
    </row>
    <row r="60" spans="2:11" x14ac:dyDescent="0.25">
      <c r="B60">
        <f t="shared" si="8"/>
        <v>60</v>
      </c>
      <c r="C60" t="s">
        <v>85</v>
      </c>
      <c r="D60" t="str">
        <f t="shared" si="9"/>
        <v/>
      </c>
      <c r="E60" t="s">
        <v>272</v>
      </c>
      <c r="G60" s="24">
        <f t="shared" si="14"/>
        <v>61</v>
      </c>
      <c r="H60" s="24" t="str">
        <f t="shared" si="10"/>
        <v>c 902</v>
      </c>
      <c r="I60" s="28" t="str">
        <f t="shared" si="11"/>
        <v>v "\mp3_ost\yunost`.mp3"</v>
      </c>
      <c r="J60" s="24" t="str">
        <f t="shared" si="12"/>
        <v/>
      </c>
      <c r="K60" s="15" t="str">
        <f t="shared" si="13"/>
        <v>&lt;unit060&gt; "к/т Юность" {c 902, v "\mp3_ost\yunost`.mp3", d 000, n 061}</v>
      </c>
    </row>
    <row r="61" spans="2:11" x14ac:dyDescent="0.25">
      <c r="B61">
        <f t="shared" si="8"/>
        <v>61</v>
      </c>
      <c r="C61" t="s">
        <v>344</v>
      </c>
      <c r="D61" t="str">
        <f t="shared" si="9"/>
        <v>&gt;&gt;</v>
      </c>
      <c r="E61" t="s">
        <v>263</v>
      </c>
      <c r="G61" s="24">
        <f t="shared" si="14"/>
        <v>62</v>
      </c>
      <c r="H61" s="24" t="str">
        <f t="shared" si="10"/>
        <v>c 900</v>
      </c>
      <c r="I61" s="28" t="str">
        <f t="shared" si="11"/>
        <v>v "\mp3_ost\tec.mp3"</v>
      </c>
      <c r="J61" s="24" t="str">
        <f t="shared" si="12"/>
        <v/>
      </c>
      <c r="K61" s="15" t="str">
        <f t="shared" si="13"/>
        <v>&lt;unit061&gt; "&gt;&gt;ТЭЦ" {c 900, v "\mp3_ost\tec.mp3", d 000, n 062}</v>
      </c>
    </row>
    <row r="62" spans="2:11" x14ac:dyDescent="0.25">
      <c r="B62">
        <f t="shared" si="8"/>
        <v>62</v>
      </c>
      <c r="C62" t="s">
        <v>85</v>
      </c>
      <c r="D62" t="str">
        <f t="shared" si="9"/>
        <v/>
      </c>
      <c r="E62" t="s">
        <v>263</v>
      </c>
      <c r="G62" s="24">
        <f t="shared" si="14"/>
        <v>63</v>
      </c>
      <c r="H62" s="24" t="str">
        <f t="shared" si="10"/>
        <v>c 902</v>
      </c>
      <c r="I62" s="28" t="str">
        <f t="shared" si="11"/>
        <v>v "\mp3_ost\tec.mp3"</v>
      </c>
      <c r="J62" s="24" t="str">
        <f t="shared" si="12"/>
        <v/>
      </c>
      <c r="K62" s="15" t="str">
        <f t="shared" si="13"/>
        <v>&lt;unit062&gt; "ТЭЦ" {c 902, v "\mp3_ost\tec.mp3", d 000, n 063}</v>
      </c>
    </row>
    <row r="63" spans="2:11" x14ac:dyDescent="0.25">
      <c r="B63">
        <f t="shared" si="8"/>
        <v>63</v>
      </c>
      <c r="C63" t="s">
        <v>344</v>
      </c>
      <c r="D63" t="str">
        <f t="shared" si="9"/>
        <v>&gt;&gt;</v>
      </c>
      <c r="E63" t="s">
        <v>281</v>
      </c>
      <c r="G63" s="24">
        <f t="shared" si="14"/>
        <v>64</v>
      </c>
      <c r="H63" s="24" t="str">
        <f t="shared" si="10"/>
        <v>c 900</v>
      </c>
      <c r="I63" s="28" t="str">
        <f t="shared" si="11"/>
        <v>c 928, v "\mp3_ost\avtomobi.mp3"</v>
      </c>
      <c r="J63" s="24" t="str">
        <f t="shared" si="12"/>
        <v/>
      </c>
      <c r="K63" s="15" t="str">
        <f t="shared" si="13"/>
        <v>&lt;unit063&gt; "&gt;&gt;ул.Автомобилист." {c 900, c 928, v "\mp3_ost\avtomobi.mp3", d 000, n 064}</v>
      </c>
    </row>
    <row r="64" spans="2:11" x14ac:dyDescent="0.25">
      <c r="B64">
        <f t="shared" si="8"/>
        <v>64</v>
      </c>
      <c r="C64" t="s">
        <v>85</v>
      </c>
      <c r="D64" t="str">
        <f t="shared" si="9"/>
        <v/>
      </c>
      <c r="E64" t="s">
        <v>281</v>
      </c>
      <c r="G64" s="24">
        <f t="shared" si="14"/>
        <v>65</v>
      </c>
      <c r="H64" s="24" t="str">
        <f t="shared" si="10"/>
        <v>c 902</v>
      </c>
      <c r="I64" s="28" t="str">
        <f t="shared" si="11"/>
        <v>c 928, v "\mp3_ost\avtomobi.mp3"</v>
      </c>
      <c r="J64" s="24" t="str">
        <f t="shared" si="12"/>
        <v/>
      </c>
      <c r="K64" s="15" t="str">
        <f t="shared" si="13"/>
        <v>&lt;unit064&gt; "ул.Автомобилист." {c 902, c 928, v "\mp3_ost\avtomobi.mp3", d 000, n 065}</v>
      </c>
    </row>
    <row r="65" spans="2:11" x14ac:dyDescent="0.25">
      <c r="B65">
        <f t="shared" si="8"/>
        <v>65</v>
      </c>
      <c r="C65" t="s">
        <v>344</v>
      </c>
      <c r="D65" t="str">
        <f t="shared" si="9"/>
        <v>&gt;&gt;</v>
      </c>
      <c r="E65" t="s">
        <v>283</v>
      </c>
      <c r="G65" s="24">
        <f t="shared" si="14"/>
        <v>66</v>
      </c>
      <c r="H65" s="24" t="str">
        <f t="shared" si="10"/>
        <v>c 900</v>
      </c>
      <c r="I65" s="28" t="str">
        <f t="shared" si="11"/>
        <v>c 928, v "\mp3_ost\darojnay.mp3"</v>
      </c>
      <c r="J65" s="24" t="str">
        <f t="shared" si="12"/>
        <v/>
      </c>
      <c r="K65" s="15" t="str">
        <f t="shared" si="13"/>
        <v>&lt;unit065&gt; "&gt;&gt;ул.Дорожная" {c 900, c 928, v "\mp3_ost\darojnay.mp3", d 000, n 066}</v>
      </c>
    </row>
    <row r="66" spans="2:11" x14ac:dyDescent="0.25">
      <c r="B66">
        <f t="shared" si="8"/>
        <v>66</v>
      </c>
      <c r="C66" t="s">
        <v>85</v>
      </c>
      <c r="D66" t="str">
        <f t="shared" si="9"/>
        <v/>
      </c>
      <c r="E66" t="s">
        <v>283</v>
      </c>
      <c r="G66" s="24">
        <f t="shared" si="14"/>
        <v>67</v>
      </c>
      <c r="H66" s="24" t="str">
        <f t="shared" si="10"/>
        <v>c 902</v>
      </c>
      <c r="I66" s="28" t="str">
        <f t="shared" si="11"/>
        <v>c 928, v "\mp3_ost\darojnay.mp3"</v>
      </c>
      <c r="J66" s="24" t="str">
        <f t="shared" si="12"/>
        <v/>
      </c>
      <c r="K66" s="15" t="str">
        <f t="shared" si="13"/>
        <v>&lt;unit066&gt; "ул.Дорожная" {c 902, c 928, v "\mp3_ost\darojnay.mp3", d 000, n 067}</v>
      </c>
    </row>
    <row r="67" spans="2:11" x14ac:dyDescent="0.25">
      <c r="B67">
        <f t="shared" si="8"/>
        <v>67</v>
      </c>
      <c r="C67" t="s">
        <v>344</v>
      </c>
      <c r="D67" t="str">
        <f t="shared" si="9"/>
        <v>&gt;&gt;</v>
      </c>
      <c r="E67" t="s">
        <v>290</v>
      </c>
      <c r="G67" s="24">
        <f t="shared" si="14"/>
        <v>68</v>
      </c>
      <c r="H67" s="24" t="str">
        <f t="shared" si="10"/>
        <v>c 900</v>
      </c>
      <c r="I67" s="28" t="str">
        <f t="shared" si="11"/>
        <v>c 928, v "\mp3_ost\pyaschan.mp3"</v>
      </c>
      <c r="J67" s="24" t="str">
        <f t="shared" si="12"/>
        <v/>
      </c>
      <c r="K67" s="15" t="str">
        <f t="shared" si="13"/>
        <v>&lt;unit067&gt; "&gt;&gt;ул.Песчаная" {c 900, c 928, v "\mp3_ost\pyaschan.mp3", d 000, n 068}</v>
      </c>
    </row>
    <row r="68" spans="2:11" x14ac:dyDescent="0.25">
      <c r="B68">
        <f t="shared" si="8"/>
        <v>68</v>
      </c>
      <c r="C68" t="s">
        <v>85</v>
      </c>
      <c r="D68" t="str">
        <f t="shared" si="9"/>
        <v/>
      </c>
      <c r="E68" t="s">
        <v>290</v>
      </c>
      <c r="G68" s="24">
        <f t="shared" si="14"/>
        <v>69</v>
      </c>
      <c r="H68" s="24" t="str">
        <f t="shared" si="10"/>
        <v>c 902</v>
      </c>
      <c r="I68" s="28" t="str">
        <f t="shared" si="11"/>
        <v>c 928, v "\mp3_ost\pyaschan.mp3"</v>
      </c>
      <c r="J68" s="24" t="str">
        <f t="shared" si="12"/>
        <v/>
      </c>
      <c r="K68" s="15" t="str">
        <f t="shared" si="13"/>
        <v>&lt;unit068&gt; "ул.Песчаная" {c 902, c 928, v "\mp3_ost\pyaschan.mp3", d 000, n 069}</v>
      </c>
    </row>
    <row r="69" spans="2:11" x14ac:dyDescent="0.25">
      <c r="B69">
        <f t="shared" si="8"/>
        <v>69</v>
      </c>
      <c r="C69" t="s">
        <v>344</v>
      </c>
      <c r="D69" t="str">
        <f t="shared" si="9"/>
        <v>&gt;&gt;</v>
      </c>
      <c r="E69" t="s">
        <v>241</v>
      </c>
      <c r="G69" s="24">
        <f t="shared" si="14"/>
        <v>70</v>
      </c>
      <c r="H69" s="24" t="str">
        <f t="shared" si="10"/>
        <v>c 900</v>
      </c>
      <c r="I69" s="28" t="str">
        <f t="shared" si="11"/>
        <v>v "\mp3_ost\pochta.mp3"</v>
      </c>
      <c r="J69" s="24" t="str">
        <f t="shared" si="12"/>
        <v/>
      </c>
      <c r="K69" s="15" t="str">
        <f t="shared" si="13"/>
        <v>&lt;unit069&gt; "&gt;&gt;Почта" {c 900, v "\mp3_ost\pochta.mp3", d 000, n 070}</v>
      </c>
    </row>
    <row r="70" spans="2:11" x14ac:dyDescent="0.25">
      <c r="B70">
        <f t="shared" si="8"/>
        <v>70</v>
      </c>
      <c r="C70" t="s">
        <v>85</v>
      </c>
      <c r="D70" t="str">
        <f t="shared" si="9"/>
        <v/>
      </c>
      <c r="E70" t="s">
        <v>241</v>
      </c>
      <c r="G70" s="24">
        <f t="shared" si="14"/>
        <v>71</v>
      </c>
      <c r="H70" s="24" t="str">
        <f t="shared" si="10"/>
        <v>c 902</v>
      </c>
      <c r="I70" s="28" t="str">
        <f t="shared" si="11"/>
        <v>v "\mp3_ost\pochta.mp3"</v>
      </c>
      <c r="J70" s="24" t="str">
        <f t="shared" si="12"/>
        <v/>
      </c>
      <c r="K70" s="15" t="str">
        <f t="shared" si="13"/>
        <v>&lt;unit070&gt; "Почта" {c 902, v "\mp3_ost\pochta.mp3", d 000, n 071}</v>
      </c>
    </row>
    <row r="71" spans="2:11" x14ac:dyDescent="0.25">
      <c r="B71">
        <f t="shared" si="8"/>
        <v>71</v>
      </c>
      <c r="C71" t="s">
        <v>344</v>
      </c>
      <c r="D71" t="str">
        <f t="shared" si="9"/>
        <v>&gt;&gt;</v>
      </c>
      <c r="E71" t="s">
        <v>289</v>
      </c>
      <c r="G71" s="24">
        <f t="shared" si="14"/>
        <v>72</v>
      </c>
      <c r="H71" s="24" t="str">
        <f t="shared" si="10"/>
        <v>c 900</v>
      </c>
      <c r="I71" s="28" t="str">
        <f t="shared" si="11"/>
        <v>c 928, v "\mp3_ost\nagornay.mp3"</v>
      </c>
      <c r="J71" s="24" t="str">
        <f t="shared" si="12"/>
        <v/>
      </c>
      <c r="K71" s="15" t="str">
        <f t="shared" si="13"/>
        <v>&lt;unit071&gt; "&gt;&gt;ул.Нагорная" {c 900, c 928, v "\mp3_ost\nagornay.mp3", d 000, n 072}</v>
      </c>
    </row>
    <row r="72" spans="2:11" x14ac:dyDescent="0.25">
      <c r="B72">
        <f t="shared" si="8"/>
        <v>72</v>
      </c>
      <c r="C72" t="s">
        <v>85</v>
      </c>
      <c r="D72" t="str">
        <f t="shared" si="9"/>
        <v/>
      </c>
      <c r="E72" t="s">
        <v>289</v>
      </c>
      <c r="G72" s="24">
        <f t="shared" si="14"/>
        <v>73</v>
      </c>
      <c r="H72" s="24" t="str">
        <f t="shared" si="10"/>
        <v>c 902</v>
      </c>
      <c r="I72" s="28" t="str">
        <f t="shared" si="11"/>
        <v>c 928, v "\mp3_ost\nagornay.mp3"</v>
      </c>
      <c r="J72" s="24" t="str">
        <f t="shared" si="12"/>
        <v/>
      </c>
      <c r="K72" s="15" t="str">
        <f t="shared" si="13"/>
        <v>&lt;unit072&gt; "ул.Нагорная" {c 902, c 928, v "\mp3_ost\nagornay.mp3", d 000, n 073}</v>
      </c>
    </row>
    <row r="73" spans="2:11" x14ac:dyDescent="0.25">
      <c r="B73">
        <f t="shared" si="8"/>
        <v>73</v>
      </c>
      <c r="C73" t="s">
        <v>344</v>
      </c>
      <c r="D73" t="str">
        <f t="shared" si="9"/>
        <v>&gt;&gt;</v>
      </c>
      <c r="E73" t="s">
        <v>179</v>
      </c>
      <c r="G73" s="24">
        <f t="shared" si="14"/>
        <v>74</v>
      </c>
      <c r="H73" s="24" t="str">
        <f t="shared" si="10"/>
        <v>c 900</v>
      </c>
      <c r="I73" s="28" t="str">
        <f t="shared" si="11"/>
        <v>c 928, v "\mp3_ost\bajora.mp3"</v>
      </c>
      <c r="J73" s="24" t="str">
        <f t="shared" si="12"/>
        <v/>
      </c>
      <c r="K73" s="15" t="str">
        <f t="shared" si="13"/>
        <v>&lt;unit073&gt; "&gt;&gt;ул.Бажора" {c 900, c 928, v "\mp3_ost\bajora.mp3", d 000, n 074}</v>
      </c>
    </row>
    <row r="74" spans="2:11" x14ac:dyDescent="0.25">
      <c r="B74">
        <f t="shared" si="8"/>
        <v>74</v>
      </c>
      <c r="C74" t="s">
        <v>85</v>
      </c>
      <c r="D74" t="str">
        <f t="shared" si="9"/>
        <v/>
      </c>
      <c r="E74" t="s">
        <v>179</v>
      </c>
      <c r="F74" t="s">
        <v>346</v>
      </c>
      <c r="G74" s="24">
        <f>B76</f>
        <v>76</v>
      </c>
      <c r="H74" s="24" t="str">
        <f t="shared" si="10"/>
        <v>c 902</v>
      </c>
      <c r="I74" s="28" t="str">
        <f t="shared" si="11"/>
        <v>c 928, v "\mp3_ost\bajora.mp3"</v>
      </c>
      <c r="J74" s="24" t="str">
        <f t="shared" si="12"/>
        <v>c 903</v>
      </c>
      <c r="K74" s="15" t="str">
        <f t="shared" si="13"/>
        <v>&lt;unit074&gt; "ул.Бажора" {c 902, c 928, v "\mp3_ost\bajora.mp3", c 903, d 000, n 076}</v>
      </c>
    </row>
    <row r="75" spans="2:11" x14ac:dyDescent="0.25">
      <c r="K75" s="15"/>
    </row>
    <row r="76" spans="2:11" x14ac:dyDescent="0.25">
      <c r="B76">
        <f t="shared" si="8"/>
        <v>76</v>
      </c>
      <c r="E76" s="25" t="s">
        <v>343</v>
      </c>
      <c r="F76" s="25"/>
      <c r="G76" s="24">
        <f>B3</f>
        <v>3</v>
      </c>
      <c r="K76" s="15" t="str">
        <f>"&lt;unit"&amp;TEXT(B76,"000")&amp;"&gt; """&amp;E76&amp;""" {d 000, n "&amp;TEXT(G76,"000")&amp;"}"</f>
        <v>&lt;unit076&gt; "----- Конец -----" {d 000, n 003}</v>
      </c>
    </row>
    <row r="77" spans="2:11" x14ac:dyDescent="0.25">
      <c r="K77" s="15"/>
    </row>
    <row r="78" spans="2:11" x14ac:dyDescent="0.25">
      <c r="K78" s="15" t="str">
        <f>Константы!E2</f>
        <v>&lt;unit921&gt; "Автовокзал" {v "\mp3_knst\av.mp3", w 01}</v>
      </c>
    </row>
    <row r="79" spans="2:11" x14ac:dyDescent="0.25">
      <c r="K79" s="15" t="str">
        <f>Константы!E3</f>
        <v>&lt;unit923&gt; "Гостиница" {v "\mp3_knst\gos.mp3", w 01}</v>
      </c>
    </row>
    <row r="80" spans="2:11" x14ac:dyDescent="0.25">
      <c r="K80" s="15" t="str">
        <f>Константы!E4</f>
        <v>&lt;unit922&gt; "Дисп. станция" {v "\mp3_knst\ds.mp3", w 01}</v>
      </c>
    </row>
    <row r="81" spans="11:11" x14ac:dyDescent="0.25">
      <c r="K81" s="15" t="str">
        <f>Константы!E5</f>
        <v>&lt;unit903&gt; "Канцавая" {v "\mp3_knst\kanc.mp3", w 01}</v>
      </c>
    </row>
    <row r="82" spans="11:11" x14ac:dyDescent="0.25">
      <c r="K82" s="15" t="str">
        <f>Константы!E6</f>
        <v>&lt;unit924&gt; "Конечная" {v "\mp3_knst\ko.mp3", w 01}</v>
      </c>
    </row>
    <row r="83" spans="11:11" x14ac:dyDescent="0.25">
      <c r="K83" s="15" t="str">
        <f>Константы!E7</f>
        <v>&lt;unit902&gt; "Остановка" {v "\mp3_knst\ost.mp3", w 01}</v>
      </c>
    </row>
    <row r="84" spans="11:11" x14ac:dyDescent="0.25">
      <c r="K84" s="15" t="str">
        <f>Константы!E8</f>
        <v>&lt;unit900&gt; "Дв. закр. След. ост." {v "\mp3_knst\ostor.mp3", w 01}</v>
      </c>
    </row>
    <row r="85" spans="11:11" x14ac:dyDescent="0.25">
      <c r="K85" s="15" t="str">
        <f>Константы!E9</f>
        <v>&lt;unit925&gt; "Площадь" {v "\mp3_knst\pl.mp3", w 01}</v>
      </c>
    </row>
    <row r="86" spans="11:11" x14ac:dyDescent="0.25">
      <c r="K86" s="15" t="str">
        <f>Константы!E10</f>
        <v>&lt;unit926&gt; "Проспект" {v "\mp3_knst\pr.mp3", w 01}</v>
      </c>
    </row>
    <row r="87" spans="11:11" x14ac:dyDescent="0.25">
      <c r="K87" s="15" t="str">
        <f>Константы!E11</f>
        <v>&lt;unit927&gt; "Станция метро" {v "\mp3_knst\sm.mp3", w 01}</v>
      </c>
    </row>
    <row r="88" spans="11:11" x14ac:dyDescent="0.25">
      <c r="K88" s="15" t="str">
        <f>Константы!E12</f>
        <v>&lt;unit928&gt; "Улица" {v "\mp3_knst\ul.mp3", w 01}</v>
      </c>
    </row>
  </sheetData>
  <dataValidations count="2">
    <dataValidation type="list" allowBlank="1" showInputMessage="1" showErrorMessage="1" sqref="F8:F38 C8:C38 F42:F74 C42:C74">
      <formula1>Pref_Punktov</formula1>
    </dataValidation>
    <dataValidation type="list" allowBlank="1" showInputMessage="1" showErrorMessage="1" sqref="E8:E38 E42:E74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K80"/>
  <sheetViews>
    <sheetView tabSelected="1" topLeftCell="B1" workbookViewId="0">
      <selection activeCell="B1" sqref="B1"/>
    </sheetView>
  </sheetViews>
  <sheetFormatPr defaultRowHeight="14.3" x14ac:dyDescent="0.25"/>
  <cols>
    <col min="1" max="1" width="22.625" hidden="1" customWidth="1"/>
    <col min="2" max="2" width="5" customWidth="1"/>
    <col min="3" max="3" width="17.5" bestFit="1" customWidth="1"/>
    <col min="4" max="4" width="6.125" bestFit="1" customWidth="1"/>
    <col min="5" max="5" width="17.25" bestFit="1" customWidth="1"/>
    <col min="6" max="6" width="9.875" bestFit="1" customWidth="1"/>
    <col min="7" max="7" width="8.375" style="24" bestFit="1" customWidth="1"/>
    <col min="8" max="8" width="5.25" style="24" hidden="1" customWidth="1"/>
    <col min="9" max="9" width="29.625" style="24" hidden="1" customWidth="1"/>
    <col min="10" max="10" width="5.25" style="24" hidden="1" customWidth="1"/>
    <col min="11" max="11" width="74.25" bestFit="1" customWidth="1"/>
  </cols>
  <sheetData>
    <row r="1" spans="1:11" s="1" customFormat="1" x14ac:dyDescent="0.25">
      <c r="A1" s="14" t="s">
        <v>81</v>
      </c>
      <c r="B1" s="2">
        <v>7</v>
      </c>
      <c r="C1" s="2"/>
      <c r="D1" s="2"/>
      <c r="E1" s="13"/>
      <c r="F1" s="13"/>
      <c r="G1" s="2"/>
      <c r="H1" s="2"/>
      <c r="I1" s="2"/>
      <c r="J1" s="2"/>
      <c r="K1" s="4" t="s">
        <v>8</v>
      </c>
    </row>
    <row r="2" spans="1:11" x14ac:dyDescent="0.25">
      <c r="A2" s="15" t="str">
        <f ca="1">INDIRECT(ADDRESS($B$1,3,4,1,"route"))</f>
        <v>5</v>
      </c>
      <c r="B2" s="1" t="s">
        <v>350</v>
      </c>
      <c r="C2" s="1" t="s">
        <v>348</v>
      </c>
      <c r="D2" s="1" t="s">
        <v>347</v>
      </c>
      <c r="E2" s="1" t="s">
        <v>85</v>
      </c>
      <c r="F2" s="1" t="s">
        <v>349</v>
      </c>
      <c r="G2" s="1" t="s">
        <v>339</v>
      </c>
      <c r="K2" s="16" t="str">
        <f ca="1">"&lt;unit"&amp;NomZagMar&amp;"&gt; """&amp;$A$3&amp;""""&amp;" {i 0, t 002, l "&amp;$A$4&amp;" "&amp;$A$4&amp;", d 000}"</f>
        <v>&lt;unit100&gt; "5 в/ч-Рокосовского" {i 0, t 002, l 005 005, d 000}</v>
      </c>
    </row>
    <row r="3" spans="1:11" x14ac:dyDescent="0.25">
      <c r="A3" s="15" t="str">
        <f ca="1">INDIRECT(ADDRESS($B$1,2,4,1,"route"))</f>
        <v>5 в/ч-Рокосовского</v>
      </c>
      <c r="B3">
        <f>ROW(B3)</f>
        <v>3</v>
      </c>
      <c r="E3" t="s">
        <v>337</v>
      </c>
      <c r="G3" s="24">
        <f>B8</f>
        <v>8</v>
      </c>
      <c r="K3" s="15" t="str">
        <f>"&lt;unit"&amp;TEXT(B3,"000")&amp;"&gt; """&amp;E3&amp;""" {d 000, n "&amp;TEXT(G3,"000")&amp;"}"</f>
        <v>&lt;unit003&gt; "Прямой" {d 000, n 008}</v>
      </c>
    </row>
    <row r="4" spans="1:11" x14ac:dyDescent="0.25">
      <c r="A4" s="15" t="str">
        <f ca="1">TEXT(INDIRECT(ADDRESS($B$1,1,4,1,"route")),"000")</f>
        <v>005</v>
      </c>
      <c r="B4">
        <f>ROW(B4)</f>
        <v>4</v>
      </c>
      <c r="E4" t="s">
        <v>338</v>
      </c>
      <c r="G4" s="24">
        <f>B38</f>
        <v>38</v>
      </c>
      <c r="K4" s="15" t="str">
        <f>"&lt;unit"&amp;TEXT(B4,"000")&amp;"&gt; """&amp;E4&amp;""" {d 000, n "&amp;TEXT(G4,"000")&amp;"}"</f>
        <v>&lt;unit004&gt; "Обратный" {d 000, n 038}</v>
      </c>
    </row>
    <row r="5" spans="1:11" x14ac:dyDescent="0.25">
      <c r="A5" s="15"/>
      <c r="K5" s="15"/>
    </row>
    <row r="6" spans="1:11" x14ac:dyDescent="0.25">
      <c r="B6">
        <f>ROW(B6)</f>
        <v>6</v>
      </c>
      <c r="E6" s="25" t="s">
        <v>340</v>
      </c>
      <c r="F6" s="25"/>
      <c r="G6" s="24">
        <f>B8</f>
        <v>8</v>
      </c>
      <c r="K6" s="15" t="str">
        <f>"&lt;unit"&amp;TEXT(B6,"000")&amp;"&gt; """&amp;E6&amp;""" {d 000, n "&amp;TEXT(G6,"000")&amp;"}"</f>
        <v>&lt;unit006&gt; "----- Прямой -----" {d 000, n 008}</v>
      </c>
    </row>
    <row r="7" spans="1:11" x14ac:dyDescent="0.25">
      <c r="K7" s="15"/>
    </row>
    <row r="8" spans="1:11" x14ac:dyDescent="0.25">
      <c r="B8">
        <f>ROW(B8)</f>
        <v>8</v>
      </c>
      <c r="C8" t="s">
        <v>85</v>
      </c>
      <c r="D8" t="str">
        <f>IF(H8="c 900","&gt;&gt;","")</f>
        <v/>
      </c>
      <c r="E8" t="s">
        <v>268</v>
      </c>
      <c r="G8" s="24">
        <f t="shared" ref="G8:G33" si="0">B9</f>
        <v>9</v>
      </c>
      <c r="H8" s="24" t="str">
        <f t="shared" ref="H8:H34" si="1">IFERROR("c "&amp;VLOOKUP(C8,Punkti,2,FALSE),"")</f>
        <v>c 902</v>
      </c>
      <c r="I8" s="28" t="str">
        <f t="shared" ref="I8:I34" si="2">IFERROR(VLOOKUP(E8,Ostanovki,7,FALSE),"")</f>
        <v>v "\mp3_ost\vch.mp3"</v>
      </c>
      <c r="J8" s="24" t="str">
        <f t="shared" ref="J8:J34" si="3">IFERROR("c "&amp;VLOOKUP(F8,Punkti,2,FALSE),"")</f>
        <v/>
      </c>
      <c r="K8" s="15" t="str">
        <f t="shared" ref="K8:K34" si="4">"&lt;unit"&amp;TEXT(B8,"000")&amp;"&gt; """&amp;СцепитьМного(D8:E8,"")&amp;""" {"&amp;СцепитьМного(H8:J8,", ")&amp;", d 000, n "&amp;TEXT(G8,"000")&amp;"}"</f>
        <v>&lt;unit008&gt; "Воинская часть" {c 902, v "\mp3_ost\vch.mp3", d 000, n 009}</v>
      </c>
    </row>
    <row r="9" spans="1:11" x14ac:dyDescent="0.25">
      <c r="B9">
        <f t="shared" ref="B9:B34" si="5">ROW(B9)</f>
        <v>9</v>
      </c>
      <c r="C9" t="s">
        <v>344</v>
      </c>
      <c r="D9" t="str">
        <f>IF(H9="c 900","&gt;&gt;","")</f>
        <v>&gt;&gt;</v>
      </c>
      <c r="E9" t="s">
        <v>168</v>
      </c>
      <c r="G9" s="24">
        <f t="shared" si="0"/>
        <v>10</v>
      </c>
      <c r="H9" s="24" t="str">
        <f t="shared" si="1"/>
        <v>c 900</v>
      </c>
      <c r="I9" s="28" t="str">
        <f t="shared" si="2"/>
        <v>v "\mp3_ost\itk.mp3"</v>
      </c>
      <c r="J9" s="24" t="str">
        <f t="shared" si="3"/>
        <v/>
      </c>
      <c r="K9" s="15" t="str">
        <f t="shared" si="4"/>
        <v>&lt;unit009&gt; "&gt;&gt;ИТК-8" {c 900, v "\mp3_ost\itk.mp3", d 000, n 010}</v>
      </c>
    </row>
    <row r="10" spans="1:11" x14ac:dyDescent="0.25">
      <c r="B10">
        <f t="shared" si="5"/>
        <v>10</v>
      </c>
      <c r="C10" t="s">
        <v>85</v>
      </c>
      <c r="D10" t="str">
        <f t="shared" ref="D10:D34" si="6">IF(H10="c 900","&gt;&gt;","")</f>
        <v/>
      </c>
      <c r="E10" t="s">
        <v>168</v>
      </c>
      <c r="G10" s="24">
        <f t="shared" si="0"/>
        <v>11</v>
      </c>
      <c r="H10" s="24" t="str">
        <f t="shared" si="1"/>
        <v>c 902</v>
      </c>
      <c r="I10" s="28" t="str">
        <f t="shared" si="2"/>
        <v>v "\mp3_ost\itk.mp3"</v>
      </c>
      <c r="J10" s="24" t="str">
        <f t="shared" si="3"/>
        <v/>
      </c>
      <c r="K10" s="15" t="str">
        <f t="shared" si="4"/>
        <v>&lt;unit010&gt; "ИТК-8" {c 902, v "\mp3_ost\itk.mp3", d 000, n 011}</v>
      </c>
    </row>
    <row r="11" spans="1:11" x14ac:dyDescent="0.25">
      <c r="B11">
        <f t="shared" si="5"/>
        <v>11</v>
      </c>
      <c r="C11" t="s">
        <v>344</v>
      </c>
      <c r="D11" t="str">
        <f t="shared" si="6"/>
        <v>&gt;&gt;</v>
      </c>
      <c r="E11" t="s">
        <v>169</v>
      </c>
      <c r="G11" s="24">
        <f t="shared" si="0"/>
        <v>12</v>
      </c>
      <c r="H11" s="24" t="str">
        <f t="shared" si="1"/>
        <v>c 900</v>
      </c>
      <c r="I11" s="28" t="str">
        <f t="shared" si="2"/>
        <v>v "\mp3_ost\jen-gimn.mp3"</v>
      </c>
      <c r="J11" s="24" t="str">
        <f t="shared" si="3"/>
        <v/>
      </c>
      <c r="K11" s="15" t="str">
        <f t="shared" si="4"/>
        <v>&lt;unit011&gt; "&gt;&gt;Женская гимназия" {c 900, v "\mp3_ost\jen-gimn.mp3", d 000, n 012}</v>
      </c>
    </row>
    <row r="12" spans="1:11" x14ac:dyDescent="0.25">
      <c r="B12">
        <f t="shared" si="5"/>
        <v>12</v>
      </c>
      <c r="C12" t="s">
        <v>85</v>
      </c>
      <c r="D12" t="str">
        <f t="shared" si="6"/>
        <v/>
      </c>
      <c r="E12" t="s">
        <v>169</v>
      </c>
      <c r="G12" s="24">
        <f t="shared" si="0"/>
        <v>13</v>
      </c>
      <c r="H12" s="24" t="str">
        <f t="shared" si="1"/>
        <v>c 902</v>
      </c>
      <c r="I12" s="28" t="str">
        <f t="shared" si="2"/>
        <v>v "\mp3_ost\jen-gimn.mp3"</v>
      </c>
      <c r="J12" s="24" t="str">
        <f t="shared" si="3"/>
        <v/>
      </c>
      <c r="K12" s="15" t="str">
        <f t="shared" si="4"/>
        <v>&lt;unit012&gt; "Женская гимназия" {c 902, v "\mp3_ost\jen-gimn.mp3", d 000, n 013}</v>
      </c>
    </row>
    <row r="13" spans="1:11" x14ac:dyDescent="0.25">
      <c r="B13">
        <f t="shared" si="5"/>
        <v>13</v>
      </c>
      <c r="C13" t="s">
        <v>344</v>
      </c>
      <c r="D13" t="str">
        <f t="shared" si="6"/>
        <v>&gt;&gt;</v>
      </c>
      <c r="E13" t="s">
        <v>275</v>
      </c>
      <c r="G13" s="24">
        <f t="shared" si="0"/>
        <v>14</v>
      </c>
      <c r="H13" s="24" t="str">
        <f t="shared" si="1"/>
        <v>c 900</v>
      </c>
      <c r="I13" s="28" t="str">
        <f t="shared" si="2"/>
        <v>v "\mp3_ost\inst-zve.mp3"</v>
      </c>
      <c r="J13" s="24" t="str">
        <f t="shared" si="3"/>
        <v/>
      </c>
      <c r="K13" s="15" t="str">
        <f t="shared" si="4"/>
        <v>&lt;unit013&gt; "&gt;&gt;Инст. животновод." {c 900, v "\mp3_ost\inst-zve.mp3", d 000, n 014}</v>
      </c>
    </row>
    <row r="14" spans="1:11" x14ac:dyDescent="0.25">
      <c r="B14">
        <f t="shared" si="5"/>
        <v>14</v>
      </c>
      <c r="C14" t="s">
        <v>85</v>
      </c>
      <c r="D14" t="str">
        <f t="shared" si="6"/>
        <v/>
      </c>
      <c r="E14" t="s">
        <v>275</v>
      </c>
      <c r="G14" s="24">
        <f t="shared" si="0"/>
        <v>15</v>
      </c>
      <c r="H14" s="24" t="str">
        <f t="shared" si="1"/>
        <v>c 902</v>
      </c>
      <c r="I14" s="28" t="str">
        <f t="shared" si="2"/>
        <v>v "\mp3_ost\inst-zve.mp3"</v>
      </c>
      <c r="J14" s="24" t="str">
        <f t="shared" si="3"/>
        <v/>
      </c>
      <c r="K14" s="15" t="str">
        <f t="shared" si="4"/>
        <v>&lt;unit014&gt; "Инст. животновод." {c 902, v "\mp3_ost\inst-zve.mp3", d 000, n 015}</v>
      </c>
    </row>
    <row r="15" spans="1:11" x14ac:dyDescent="0.25">
      <c r="B15">
        <f t="shared" si="5"/>
        <v>15</v>
      </c>
      <c r="C15" t="s">
        <v>344</v>
      </c>
      <c r="D15" t="str">
        <f t="shared" si="6"/>
        <v>&gt;&gt;</v>
      </c>
      <c r="E15" t="s">
        <v>171</v>
      </c>
      <c r="G15" s="24">
        <f t="shared" si="0"/>
        <v>16</v>
      </c>
      <c r="H15" s="24" t="str">
        <f t="shared" si="1"/>
        <v>c 900</v>
      </c>
      <c r="I15" s="28" t="str">
        <f t="shared" si="2"/>
        <v>c 928, v "\mp3_ost\kalinina.mp3"</v>
      </c>
      <c r="J15" s="24" t="str">
        <f t="shared" si="3"/>
        <v/>
      </c>
      <c r="K15" s="15" t="str">
        <f t="shared" si="4"/>
        <v>&lt;unit015&gt; "&gt;&gt;ул.Калинина" {c 900, c 928, v "\mp3_ost\kalinina.mp3", d 000, n 016}</v>
      </c>
    </row>
    <row r="16" spans="1:11" x14ac:dyDescent="0.25">
      <c r="B16">
        <f t="shared" si="5"/>
        <v>16</v>
      </c>
      <c r="C16" t="s">
        <v>85</v>
      </c>
      <c r="D16" t="str">
        <f t="shared" si="6"/>
        <v/>
      </c>
      <c r="E16" t="s">
        <v>171</v>
      </c>
      <c r="G16" s="24">
        <f t="shared" si="0"/>
        <v>17</v>
      </c>
      <c r="H16" s="24" t="str">
        <f t="shared" si="1"/>
        <v>c 902</v>
      </c>
      <c r="I16" s="28" t="str">
        <f t="shared" si="2"/>
        <v>c 928, v "\mp3_ost\kalinina.mp3"</v>
      </c>
      <c r="J16" s="24" t="str">
        <f t="shared" si="3"/>
        <v/>
      </c>
      <c r="K16" s="15" t="str">
        <f t="shared" si="4"/>
        <v>&lt;unit016&gt; "ул.Калинина" {c 902, c 928, v "\mp3_ost\kalinina.mp3", d 000, n 017}</v>
      </c>
    </row>
    <row r="17" spans="2:11" x14ac:dyDescent="0.25">
      <c r="B17">
        <f t="shared" si="5"/>
        <v>17</v>
      </c>
      <c r="C17" t="s">
        <v>344</v>
      </c>
      <c r="D17" t="str">
        <f t="shared" si="6"/>
        <v>&gt;&gt;</v>
      </c>
      <c r="E17" t="s">
        <v>170</v>
      </c>
      <c r="G17" s="24">
        <f t="shared" si="0"/>
        <v>18</v>
      </c>
      <c r="H17" s="24" t="str">
        <f t="shared" si="1"/>
        <v>c 900</v>
      </c>
      <c r="I17" s="28" t="str">
        <f t="shared" si="2"/>
        <v>v "\mp3_ost\jd.mp3"</v>
      </c>
      <c r="J17" s="24" t="str">
        <f t="shared" si="3"/>
        <v/>
      </c>
      <c r="K17" s="15" t="str">
        <f t="shared" si="4"/>
        <v>&lt;unit017&gt; "&gt;&gt;ЖД Вокзал" {c 900, v "\mp3_ost\jd.mp3", d 000, n 018}</v>
      </c>
    </row>
    <row r="18" spans="2:11" x14ac:dyDescent="0.25">
      <c r="B18">
        <f t="shared" si="5"/>
        <v>18</v>
      </c>
      <c r="C18" t="s">
        <v>85</v>
      </c>
      <c r="D18" t="str">
        <f t="shared" si="6"/>
        <v/>
      </c>
      <c r="E18" t="s">
        <v>170</v>
      </c>
      <c r="G18" s="24">
        <f t="shared" si="0"/>
        <v>19</v>
      </c>
      <c r="H18" s="24" t="str">
        <f t="shared" si="1"/>
        <v>c 902</v>
      </c>
      <c r="I18" s="28" t="str">
        <f t="shared" si="2"/>
        <v>v "\mp3_ost\jd.mp3"</v>
      </c>
      <c r="J18" s="24" t="str">
        <f t="shared" si="3"/>
        <v/>
      </c>
      <c r="K18" s="15" t="str">
        <f t="shared" si="4"/>
        <v>&lt;unit018&gt; "ЖД Вокзал" {c 902, v "\mp3_ost\jd.mp3", d 000, n 019}</v>
      </c>
    </row>
    <row r="19" spans="2:11" x14ac:dyDescent="0.25">
      <c r="B19">
        <f t="shared" si="5"/>
        <v>19</v>
      </c>
      <c r="C19" t="s">
        <v>344</v>
      </c>
      <c r="D19" t="str">
        <f t="shared" si="6"/>
        <v>&gt;&gt;</v>
      </c>
      <c r="E19" t="s">
        <v>173</v>
      </c>
      <c r="G19" s="24">
        <f t="shared" si="0"/>
        <v>20</v>
      </c>
      <c r="H19" s="24" t="str">
        <f t="shared" si="1"/>
        <v>c 900</v>
      </c>
      <c r="I19" s="28" t="str">
        <f t="shared" si="2"/>
        <v>c 928, v "\mp3_ost\partizan.mp3"</v>
      </c>
      <c r="J19" s="24" t="str">
        <f t="shared" si="3"/>
        <v/>
      </c>
      <c r="K19" s="15" t="str">
        <f t="shared" si="4"/>
        <v>&lt;unit019&gt; "&gt;&gt;ул.Партизанская" {c 900, c 928, v "\mp3_ost\partizan.mp3", d 000, n 020}</v>
      </c>
    </row>
    <row r="20" spans="2:11" x14ac:dyDescent="0.25">
      <c r="B20">
        <f t="shared" si="5"/>
        <v>20</v>
      </c>
      <c r="C20" t="s">
        <v>85</v>
      </c>
      <c r="D20" t="str">
        <f t="shared" si="6"/>
        <v/>
      </c>
      <c r="E20" t="s">
        <v>173</v>
      </c>
      <c r="G20" s="24">
        <f t="shared" si="0"/>
        <v>21</v>
      </c>
      <c r="H20" s="24" t="str">
        <f t="shared" si="1"/>
        <v>c 902</v>
      </c>
      <c r="I20" s="28" t="str">
        <f t="shared" si="2"/>
        <v>c 928, v "\mp3_ost\partizan.mp3"</v>
      </c>
      <c r="J20" s="24" t="str">
        <f t="shared" si="3"/>
        <v/>
      </c>
      <c r="K20" s="15" t="str">
        <f t="shared" si="4"/>
        <v>&lt;unit020&gt; "ул.Партизанская" {c 902, c 928, v "\mp3_ost\partizan.mp3", d 000, n 021}</v>
      </c>
    </row>
    <row r="21" spans="2:11" x14ac:dyDescent="0.25">
      <c r="B21">
        <f t="shared" si="5"/>
        <v>21</v>
      </c>
      <c r="C21" t="s">
        <v>344</v>
      </c>
      <c r="D21" t="str">
        <f t="shared" si="6"/>
        <v>&gt;&gt;</v>
      </c>
      <c r="E21" t="s">
        <v>172</v>
      </c>
      <c r="G21" s="24">
        <f t="shared" si="0"/>
        <v>22</v>
      </c>
      <c r="H21" s="24" t="str">
        <f t="shared" si="1"/>
        <v>c 900</v>
      </c>
      <c r="I21" s="28" t="str">
        <f t="shared" si="2"/>
        <v>c 928, v "\mp3_ost\moskovsk.mp3"</v>
      </c>
      <c r="J21" s="24" t="str">
        <f t="shared" si="3"/>
        <v/>
      </c>
      <c r="K21" s="15" t="str">
        <f t="shared" si="4"/>
        <v>&lt;unit021&gt; "&gt;&gt;ул.Московская" {c 900, c 928, v "\mp3_ost\moskovsk.mp3", d 000, n 022}</v>
      </c>
    </row>
    <row r="22" spans="2:11" x14ac:dyDescent="0.25">
      <c r="B22">
        <f t="shared" si="5"/>
        <v>22</v>
      </c>
      <c r="C22" t="s">
        <v>85</v>
      </c>
      <c r="D22" t="str">
        <f t="shared" si="6"/>
        <v/>
      </c>
      <c r="E22" t="s">
        <v>172</v>
      </c>
      <c r="G22" s="24">
        <f t="shared" si="0"/>
        <v>23</v>
      </c>
      <c r="H22" s="24" t="str">
        <f t="shared" si="1"/>
        <v>c 902</v>
      </c>
      <c r="I22" s="28" t="str">
        <f t="shared" si="2"/>
        <v>c 928, v "\mp3_ost\moskovsk.mp3"</v>
      </c>
      <c r="J22" s="24" t="str">
        <f t="shared" si="3"/>
        <v/>
      </c>
      <c r="K22" s="15" t="str">
        <f t="shared" si="4"/>
        <v>&lt;unit022&gt; "ул.Московская" {c 902, c 928, v "\mp3_ost\moskovsk.mp3", d 000, n 023}</v>
      </c>
    </row>
    <row r="23" spans="2:11" x14ac:dyDescent="0.25">
      <c r="B23">
        <f t="shared" si="5"/>
        <v>23</v>
      </c>
      <c r="C23" t="s">
        <v>344</v>
      </c>
      <c r="D23" t="str">
        <f t="shared" si="6"/>
        <v>&gt;&gt;</v>
      </c>
      <c r="E23" t="s">
        <v>174</v>
      </c>
      <c r="G23" s="24">
        <f t="shared" si="0"/>
        <v>24</v>
      </c>
      <c r="H23" s="24" t="str">
        <f t="shared" si="1"/>
        <v>c 900</v>
      </c>
      <c r="I23" s="28" t="str">
        <f t="shared" si="2"/>
        <v>c 928, v "\mp3_ost\swrokvas.mp3"</v>
      </c>
      <c r="J23" s="24" t="str">
        <f t="shared" si="3"/>
        <v/>
      </c>
      <c r="K23" s="15" t="str">
        <f t="shared" si="4"/>
        <v>&lt;unit023&gt; "&gt;&gt;ул.Сырокваша" {c 900, c 928, v "\mp3_ost\swrokvas.mp3", d 000, n 024}</v>
      </c>
    </row>
    <row r="24" spans="2:11" x14ac:dyDescent="0.25">
      <c r="B24">
        <f t="shared" si="5"/>
        <v>24</v>
      </c>
      <c r="C24" t="s">
        <v>85</v>
      </c>
      <c r="D24" t="str">
        <f t="shared" si="6"/>
        <v/>
      </c>
      <c r="E24" t="s">
        <v>174</v>
      </c>
      <c r="G24" s="24">
        <f t="shared" si="0"/>
        <v>25</v>
      </c>
      <c r="H24" s="24" t="str">
        <f t="shared" si="1"/>
        <v>c 902</v>
      </c>
      <c r="I24" s="28" t="str">
        <f t="shared" si="2"/>
        <v>c 928, v "\mp3_ost\swrokvas.mp3"</v>
      </c>
      <c r="J24" s="24" t="str">
        <f t="shared" si="3"/>
        <v/>
      </c>
      <c r="K24" s="15" t="str">
        <f t="shared" si="4"/>
        <v>&lt;unit024&gt; "ул.Сырокваша" {c 902, c 928, v "\mp3_ost\swrokvas.mp3", d 000, n 025}</v>
      </c>
    </row>
    <row r="25" spans="2:11" x14ac:dyDescent="0.25">
      <c r="B25">
        <f t="shared" si="5"/>
        <v>25</v>
      </c>
      <c r="C25" t="s">
        <v>344</v>
      </c>
      <c r="D25" t="str">
        <f t="shared" si="6"/>
        <v>&gt;&gt;</v>
      </c>
      <c r="E25" t="s">
        <v>175</v>
      </c>
      <c r="G25" s="24">
        <f t="shared" si="0"/>
        <v>26</v>
      </c>
      <c r="H25" s="24" t="str">
        <f t="shared" si="1"/>
        <v>c 900</v>
      </c>
      <c r="I25" s="28" t="str">
        <f t="shared" si="2"/>
        <v>v "\mp3_ost\mira.mp3"</v>
      </c>
      <c r="J25" s="24" t="str">
        <f t="shared" si="3"/>
        <v/>
      </c>
      <c r="K25" s="15" t="str">
        <f t="shared" si="4"/>
        <v>&lt;unit025&gt; "&gt;&gt;пр-т Мира" {c 900, v "\mp3_ost\mira.mp3", d 000, n 026}</v>
      </c>
    </row>
    <row r="26" spans="2:11" x14ac:dyDescent="0.25">
      <c r="B26">
        <f t="shared" si="5"/>
        <v>26</v>
      </c>
      <c r="C26" t="s">
        <v>85</v>
      </c>
      <c r="D26" t="str">
        <f t="shared" si="6"/>
        <v/>
      </c>
      <c r="E26" t="s">
        <v>175</v>
      </c>
      <c r="G26" s="24">
        <f t="shared" si="0"/>
        <v>27</v>
      </c>
      <c r="H26" s="24" t="str">
        <f t="shared" si="1"/>
        <v>c 902</v>
      </c>
      <c r="I26" s="28" t="str">
        <f t="shared" si="2"/>
        <v>v "\mp3_ost\mira.mp3"</v>
      </c>
      <c r="J26" s="24" t="str">
        <f t="shared" si="3"/>
        <v/>
      </c>
      <c r="K26" s="15" t="str">
        <f t="shared" si="4"/>
        <v>&lt;unit026&gt; "пр-т Мира" {c 902, v "\mp3_ost\mira.mp3", d 000, n 027}</v>
      </c>
    </row>
    <row r="27" spans="2:11" x14ac:dyDescent="0.25">
      <c r="B27">
        <f t="shared" si="5"/>
        <v>27</v>
      </c>
      <c r="C27" t="s">
        <v>344</v>
      </c>
      <c r="D27" t="str">
        <f t="shared" si="6"/>
        <v>&gt;&gt;</v>
      </c>
      <c r="E27" t="s">
        <v>279</v>
      </c>
      <c r="G27" s="24">
        <f t="shared" si="0"/>
        <v>28</v>
      </c>
      <c r="H27" s="24" t="str">
        <f t="shared" si="1"/>
        <v>c 900</v>
      </c>
      <c r="I27" s="28" t="str">
        <f t="shared" si="2"/>
        <v>c 928, v "\mp3_ost\50letokt.mp3"</v>
      </c>
      <c r="J27" s="24" t="str">
        <f t="shared" si="3"/>
        <v/>
      </c>
      <c r="K27" s="15" t="str">
        <f t="shared" si="4"/>
        <v>&lt;unit027&gt; "&gt;&gt;ул.50 лет Октяб." {c 900, c 928, v "\mp3_ost\50letokt.mp3", d 000, n 028}</v>
      </c>
    </row>
    <row r="28" spans="2:11" x14ac:dyDescent="0.25">
      <c r="B28">
        <f t="shared" si="5"/>
        <v>28</v>
      </c>
      <c r="C28" t="s">
        <v>85</v>
      </c>
      <c r="D28" t="str">
        <f t="shared" si="6"/>
        <v/>
      </c>
      <c r="E28" t="s">
        <v>279</v>
      </c>
      <c r="G28" s="24">
        <f t="shared" si="0"/>
        <v>29</v>
      </c>
      <c r="H28" s="24" t="str">
        <f t="shared" si="1"/>
        <v>c 902</v>
      </c>
      <c r="I28" s="28" t="str">
        <f t="shared" si="2"/>
        <v>c 928, v "\mp3_ost\50letokt.mp3"</v>
      </c>
      <c r="J28" s="24" t="str">
        <f t="shared" si="3"/>
        <v/>
      </c>
      <c r="K28" s="15" t="str">
        <f t="shared" si="4"/>
        <v>&lt;unit028&gt; "ул.50 лет Октяб." {c 902, c 928, v "\mp3_ost\50letokt.mp3", d 000, n 029}</v>
      </c>
    </row>
    <row r="29" spans="2:11" x14ac:dyDescent="0.25">
      <c r="B29">
        <f t="shared" si="5"/>
        <v>29</v>
      </c>
      <c r="C29" t="s">
        <v>344</v>
      </c>
      <c r="D29" t="str">
        <f t="shared" si="6"/>
        <v>&gt;&gt;</v>
      </c>
      <c r="E29" t="s">
        <v>176</v>
      </c>
      <c r="G29" s="24">
        <f t="shared" si="0"/>
        <v>30</v>
      </c>
      <c r="H29" s="24" t="str">
        <f t="shared" si="1"/>
        <v>c 900</v>
      </c>
      <c r="I29" s="28" t="str">
        <f t="shared" si="2"/>
        <v>c 928, v "\mp3_ost\gagarina.mp3"</v>
      </c>
      <c r="J29" s="24" t="str">
        <f t="shared" si="3"/>
        <v/>
      </c>
      <c r="K29" s="15" t="str">
        <f t="shared" si="4"/>
        <v>&lt;unit029&gt; "&gt;&gt;ул.Гагарина" {c 900, c 928, v "\mp3_ost\gagarina.mp3", d 000, n 030}</v>
      </c>
    </row>
    <row r="30" spans="2:11" x14ac:dyDescent="0.25">
      <c r="B30">
        <f t="shared" si="5"/>
        <v>30</v>
      </c>
      <c r="C30" t="s">
        <v>85</v>
      </c>
      <c r="D30" t="str">
        <f t="shared" si="6"/>
        <v/>
      </c>
      <c r="E30" t="s">
        <v>176</v>
      </c>
      <c r="G30" s="24">
        <f t="shared" si="0"/>
        <v>31</v>
      </c>
      <c r="H30" s="24" t="str">
        <f t="shared" si="1"/>
        <v>c 902</v>
      </c>
      <c r="I30" s="28" t="str">
        <f t="shared" si="2"/>
        <v>c 928, v "\mp3_ost\gagarina.mp3"</v>
      </c>
      <c r="J30" s="24" t="str">
        <f t="shared" si="3"/>
        <v/>
      </c>
      <c r="K30" s="15" t="str">
        <f t="shared" si="4"/>
        <v>&lt;unit030&gt; "ул.Гагарина" {c 902, c 928, v "\mp3_ost\gagarina.mp3", d 000, n 031}</v>
      </c>
    </row>
    <row r="31" spans="2:11" x14ac:dyDescent="0.25">
      <c r="B31">
        <f t="shared" si="5"/>
        <v>31</v>
      </c>
      <c r="C31" t="s">
        <v>344</v>
      </c>
      <c r="D31" t="str">
        <f t="shared" si="6"/>
        <v>&gt;&gt;</v>
      </c>
      <c r="E31" t="s">
        <v>177</v>
      </c>
      <c r="G31" s="24">
        <f t="shared" si="0"/>
        <v>32</v>
      </c>
      <c r="H31" s="24" t="str">
        <f t="shared" si="1"/>
        <v>c 900</v>
      </c>
      <c r="I31" s="28" t="str">
        <f t="shared" si="2"/>
        <v>v "\mp3_ost\5ssh.mp3"</v>
      </c>
      <c r="J31" s="24" t="str">
        <f t="shared" si="3"/>
        <v/>
      </c>
      <c r="K31" s="15" t="str">
        <f t="shared" si="4"/>
        <v>&lt;unit031&gt; "&gt;&gt;СШ № 5" {c 900, v "\mp3_ost\5ssh.mp3", d 000, n 032}</v>
      </c>
    </row>
    <row r="32" spans="2:11" x14ac:dyDescent="0.25">
      <c r="B32">
        <f t="shared" si="5"/>
        <v>32</v>
      </c>
      <c r="C32" t="s">
        <v>85</v>
      </c>
      <c r="D32" t="str">
        <f t="shared" si="6"/>
        <v/>
      </c>
      <c r="E32" t="s">
        <v>177</v>
      </c>
      <c r="G32" s="24">
        <f t="shared" si="0"/>
        <v>33</v>
      </c>
      <c r="H32" s="24" t="str">
        <f t="shared" si="1"/>
        <v>c 902</v>
      </c>
      <c r="I32" s="28" t="str">
        <f t="shared" si="2"/>
        <v>v "\mp3_ost\5ssh.mp3"</v>
      </c>
      <c r="J32" s="24" t="str">
        <f t="shared" si="3"/>
        <v/>
      </c>
      <c r="K32" s="15" t="str">
        <f t="shared" si="4"/>
        <v>&lt;unit032&gt; "СШ № 5" {c 902, v "\mp3_ost\5ssh.mp3", d 000, n 033}</v>
      </c>
    </row>
    <row r="33" spans="2:11" x14ac:dyDescent="0.25">
      <c r="B33">
        <f t="shared" si="5"/>
        <v>33</v>
      </c>
      <c r="C33" t="s">
        <v>344</v>
      </c>
      <c r="D33" t="str">
        <f t="shared" si="6"/>
        <v>&gt;&gt;</v>
      </c>
      <c r="E33" t="s">
        <v>178</v>
      </c>
      <c r="G33" s="24">
        <f t="shared" si="0"/>
        <v>34</v>
      </c>
      <c r="H33" s="24" t="str">
        <f t="shared" si="1"/>
        <v>c 900</v>
      </c>
      <c r="I33" s="28" t="str">
        <f t="shared" si="2"/>
        <v>c 928, v "\mp3_ost\rokosovs.mp3"</v>
      </c>
      <c r="J33" s="24" t="str">
        <f t="shared" si="3"/>
        <v/>
      </c>
      <c r="K33" s="15" t="str">
        <f t="shared" si="4"/>
        <v>&lt;unit033&gt; "&gt;&gt;ул.Рокоссовского" {c 900, c 928, v "\mp3_ost\rokosovs.mp3", d 000, n 034}</v>
      </c>
    </row>
    <row r="34" spans="2:11" x14ac:dyDescent="0.25">
      <c r="B34">
        <f t="shared" si="5"/>
        <v>34</v>
      </c>
      <c r="C34" t="s">
        <v>85</v>
      </c>
      <c r="D34" t="str">
        <f t="shared" si="6"/>
        <v/>
      </c>
      <c r="E34" t="s">
        <v>178</v>
      </c>
      <c r="F34" t="s">
        <v>346</v>
      </c>
      <c r="G34" s="24">
        <f>B36</f>
        <v>36</v>
      </c>
      <c r="H34" s="24" t="str">
        <f t="shared" si="1"/>
        <v>c 902</v>
      </c>
      <c r="I34" s="28" t="str">
        <f t="shared" si="2"/>
        <v>c 928, v "\mp3_ost\rokosovs.mp3"</v>
      </c>
      <c r="J34" s="24" t="str">
        <f t="shared" si="3"/>
        <v>c 903</v>
      </c>
      <c r="K34" s="15" t="str">
        <f t="shared" si="4"/>
        <v>&lt;unit034&gt; "ул.Рокоссовского" {c 902, c 928, v "\mp3_ost\rokosovs.mp3", c 903, d 000, n 036}</v>
      </c>
    </row>
    <row r="35" spans="2:11" x14ac:dyDescent="0.25">
      <c r="K35" s="15"/>
    </row>
    <row r="36" spans="2:11" x14ac:dyDescent="0.25">
      <c r="B36">
        <f t="shared" ref="B36:B68" si="7">ROW(B36)</f>
        <v>36</v>
      </c>
      <c r="E36" s="25" t="s">
        <v>342</v>
      </c>
      <c r="F36" s="25"/>
      <c r="G36" s="24">
        <f>B38</f>
        <v>38</v>
      </c>
      <c r="K36" s="15" t="str">
        <f>"&lt;unit"&amp;TEXT(B36,"000")&amp;"&gt; """&amp;E36&amp;""" {d 000, n "&amp;TEXT(G36,"000")&amp;"}"</f>
        <v>&lt;unit036&gt; "----- Обратный -----" {d 000, n 038}</v>
      </c>
    </row>
    <row r="37" spans="2:11" x14ac:dyDescent="0.25">
      <c r="K37" s="15"/>
    </row>
    <row r="38" spans="2:11" x14ac:dyDescent="0.25">
      <c r="B38">
        <f t="shared" si="7"/>
        <v>38</v>
      </c>
      <c r="C38" t="s">
        <v>85</v>
      </c>
      <c r="D38" t="str">
        <f t="shared" ref="D38:D66" si="8">IF(H38="c 900","&gt;&gt;","")</f>
        <v/>
      </c>
      <c r="E38" t="s">
        <v>178</v>
      </c>
      <c r="G38" s="24">
        <f>B39</f>
        <v>39</v>
      </c>
      <c r="H38" s="24" t="str">
        <f t="shared" ref="H38:H66" si="9">IFERROR("c "&amp;VLOOKUP(C38,Punkti,2,FALSE),"")</f>
        <v>c 902</v>
      </c>
      <c r="I38" s="28" t="str">
        <f t="shared" ref="I38:I66" si="10">IFERROR(VLOOKUP(E38,Ostanovki,7,FALSE),"")</f>
        <v>c 928, v "\mp3_ost\rokosovs.mp3"</v>
      </c>
      <c r="J38" s="24" t="str">
        <f t="shared" ref="J38:J66" si="11">IFERROR("c "&amp;VLOOKUP(F38,Punkti,2,FALSE),"")</f>
        <v/>
      </c>
      <c r="K38" s="15" t="str">
        <f t="shared" ref="K38:K66" si="12">"&lt;unit"&amp;TEXT(B38,"000")&amp;"&gt; """&amp;СцепитьМного(D38:E38,"")&amp;""" {"&amp;СцепитьМного(H38:J38,", ")&amp;", d 000, n "&amp;TEXT(G38,"000")&amp;"}"</f>
        <v>&lt;unit038&gt; "ул.Рокоссовского" {c 902, c 928, v "\mp3_ost\rokosovs.mp3", d 000, n 039}</v>
      </c>
    </row>
    <row r="39" spans="2:11" x14ac:dyDescent="0.25">
      <c r="B39">
        <f t="shared" si="7"/>
        <v>39</v>
      </c>
      <c r="C39" t="s">
        <v>344</v>
      </c>
      <c r="D39" t="str">
        <f t="shared" si="8"/>
        <v>&gt;&gt;</v>
      </c>
      <c r="E39" t="s">
        <v>222</v>
      </c>
      <c r="G39" s="24">
        <f t="shared" ref="G39:G65" si="13">B40</f>
        <v>40</v>
      </c>
      <c r="H39" s="24" t="str">
        <f t="shared" si="9"/>
        <v>c 900</v>
      </c>
      <c r="I39" s="28" t="str">
        <f t="shared" si="10"/>
        <v>v "\mp3_ost\lenina.mp3"</v>
      </c>
      <c r="J39" s="24" t="str">
        <f t="shared" si="11"/>
        <v/>
      </c>
      <c r="K39" s="15" t="str">
        <f t="shared" si="12"/>
        <v>&lt;unit039&gt; "&gt;&gt;пр-т Ленина" {c 900, v "\mp3_ost\lenina.mp3", d 000, n 040}</v>
      </c>
    </row>
    <row r="40" spans="2:11" x14ac:dyDescent="0.25">
      <c r="B40">
        <f t="shared" si="7"/>
        <v>40</v>
      </c>
      <c r="C40" t="s">
        <v>85</v>
      </c>
      <c r="D40" t="str">
        <f t="shared" si="8"/>
        <v/>
      </c>
      <c r="E40" t="s">
        <v>222</v>
      </c>
      <c r="G40" s="24">
        <f t="shared" si="13"/>
        <v>41</v>
      </c>
      <c r="H40" s="24" t="str">
        <f t="shared" si="9"/>
        <v>c 902</v>
      </c>
      <c r="I40" s="28" t="str">
        <f t="shared" si="10"/>
        <v>v "\mp3_ost\lenina.mp3"</v>
      </c>
      <c r="J40" s="24" t="str">
        <f t="shared" si="11"/>
        <v/>
      </c>
      <c r="K40" s="15" t="str">
        <f t="shared" si="12"/>
        <v>&lt;unit040&gt; "пр-т Ленина" {c 902, v "\mp3_ost\lenina.mp3", d 000, n 041}</v>
      </c>
    </row>
    <row r="41" spans="2:11" x14ac:dyDescent="0.25">
      <c r="B41">
        <f t="shared" si="7"/>
        <v>41</v>
      </c>
      <c r="C41" t="s">
        <v>344</v>
      </c>
      <c r="D41" t="str">
        <f t="shared" si="8"/>
        <v>&gt;&gt;</v>
      </c>
      <c r="E41" t="s">
        <v>249</v>
      </c>
      <c r="G41" s="24">
        <f t="shared" si="13"/>
        <v>42</v>
      </c>
      <c r="H41" s="24" t="str">
        <f t="shared" si="9"/>
        <v>c 900</v>
      </c>
      <c r="I41" s="28" t="str">
        <f t="shared" si="10"/>
        <v>v "\mp3_ost\sberbank.mp3"</v>
      </c>
      <c r="J41" s="24" t="str">
        <f t="shared" si="11"/>
        <v/>
      </c>
      <c r="K41" s="15" t="str">
        <f t="shared" si="12"/>
        <v>&lt;unit041&gt; "&gt;&gt;Сбербанк" {c 900, v "\mp3_ost\sberbank.mp3", d 000, n 042}</v>
      </c>
    </row>
    <row r="42" spans="2:11" x14ac:dyDescent="0.25">
      <c r="B42">
        <f t="shared" si="7"/>
        <v>42</v>
      </c>
      <c r="C42" t="s">
        <v>85</v>
      </c>
      <c r="D42" t="str">
        <f t="shared" si="8"/>
        <v/>
      </c>
      <c r="E42" t="s">
        <v>249</v>
      </c>
      <c r="G42" s="24">
        <f t="shared" si="13"/>
        <v>43</v>
      </c>
      <c r="H42" s="24" t="str">
        <f t="shared" si="9"/>
        <v>c 902</v>
      </c>
      <c r="I42" s="28" t="str">
        <f t="shared" si="10"/>
        <v>v "\mp3_ost\sberbank.mp3"</v>
      </c>
      <c r="J42" s="24" t="str">
        <f t="shared" si="11"/>
        <v/>
      </c>
      <c r="K42" s="15" t="str">
        <f t="shared" si="12"/>
        <v>&lt;unit042&gt; "Сбербанк" {c 902, v "\mp3_ost\sberbank.mp3", d 000, n 043}</v>
      </c>
    </row>
    <row r="43" spans="2:11" x14ac:dyDescent="0.25">
      <c r="B43">
        <f t="shared" si="7"/>
        <v>43</v>
      </c>
      <c r="C43" t="s">
        <v>344</v>
      </c>
      <c r="D43" t="str">
        <f t="shared" si="8"/>
        <v>&gt;&gt;</v>
      </c>
      <c r="E43" t="s">
        <v>233</v>
      </c>
      <c r="G43" s="24">
        <f t="shared" si="13"/>
        <v>44</v>
      </c>
      <c r="H43" s="24" t="str">
        <f t="shared" si="9"/>
        <v>c 900</v>
      </c>
      <c r="I43" s="28" t="str">
        <f t="shared" si="10"/>
        <v>v "\mp3_ost\paliklin.mp3"</v>
      </c>
      <c r="J43" s="24" t="str">
        <f t="shared" si="11"/>
        <v/>
      </c>
      <c r="K43" s="15" t="str">
        <f t="shared" si="12"/>
        <v>&lt;unit043&gt; "&gt;&gt;Поликлиника" {c 900, v "\mp3_ost\paliklin.mp3", d 000, n 044}</v>
      </c>
    </row>
    <row r="44" spans="2:11" x14ac:dyDescent="0.25">
      <c r="B44">
        <f t="shared" si="7"/>
        <v>44</v>
      </c>
      <c r="C44" t="s">
        <v>85</v>
      </c>
      <c r="D44" t="str">
        <f t="shared" si="8"/>
        <v/>
      </c>
      <c r="E44" t="s">
        <v>233</v>
      </c>
      <c r="G44" s="24">
        <f t="shared" si="13"/>
        <v>45</v>
      </c>
      <c r="H44" s="24" t="str">
        <f t="shared" si="9"/>
        <v>c 902</v>
      </c>
      <c r="I44" s="28" t="str">
        <f t="shared" si="10"/>
        <v>v "\mp3_ost\paliklin.mp3"</v>
      </c>
      <c r="J44" s="24" t="str">
        <f t="shared" si="11"/>
        <v/>
      </c>
      <c r="K44" s="15" t="str">
        <f t="shared" si="12"/>
        <v>&lt;unit044&gt; "Поликлиника" {c 902, v "\mp3_ost\paliklin.mp3", d 000, n 045}</v>
      </c>
    </row>
    <row r="45" spans="2:11" x14ac:dyDescent="0.25">
      <c r="B45">
        <f t="shared" si="7"/>
        <v>45</v>
      </c>
      <c r="C45" t="s">
        <v>344</v>
      </c>
      <c r="D45" t="str">
        <f t="shared" si="8"/>
        <v>&gt;&gt;</v>
      </c>
      <c r="E45" t="s">
        <v>212</v>
      </c>
      <c r="G45" s="24">
        <f t="shared" si="13"/>
        <v>46</v>
      </c>
      <c r="H45" s="24" t="str">
        <f t="shared" si="9"/>
        <v>c 900</v>
      </c>
      <c r="I45" s="28" t="str">
        <f t="shared" si="10"/>
        <v>v "\mp3_ost\gdk.mp3"</v>
      </c>
      <c r="J45" s="24" t="str">
        <f t="shared" si="11"/>
        <v/>
      </c>
      <c r="K45" s="15" t="str">
        <f t="shared" si="12"/>
        <v>&lt;unit045&gt; "&gt;&gt;Дом культуры" {c 900, v "\mp3_ost\gdk.mp3", d 000, n 046}</v>
      </c>
    </row>
    <row r="46" spans="2:11" x14ac:dyDescent="0.25">
      <c r="B46">
        <f t="shared" si="7"/>
        <v>46</v>
      </c>
      <c r="C46" t="s">
        <v>85</v>
      </c>
      <c r="D46" t="str">
        <f t="shared" si="8"/>
        <v/>
      </c>
      <c r="E46" t="s">
        <v>212</v>
      </c>
      <c r="G46" s="24">
        <f t="shared" si="13"/>
        <v>47</v>
      </c>
      <c r="H46" s="24" t="str">
        <f t="shared" si="9"/>
        <v>c 902</v>
      </c>
      <c r="I46" s="28" t="str">
        <f t="shared" si="10"/>
        <v>v "\mp3_ost\gdk.mp3"</v>
      </c>
      <c r="J46" s="24" t="str">
        <f t="shared" si="11"/>
        <v/>
      </c>
      <c r="K46" s="15" t="str">
        <f t="shared" si="12"/>
        <v>&lt;unit046&gt; "Дом культуры" {c 902, v "\mp3_ost\gdk.mp3", d 000, n 047}</v>
      </c>
    </row>
    <row r="47" spans="2:11" x14ac:dyDescent="0.25">
      <c r="B47">
        <f t="shared" si="7"/>
        <v>47</v>
      </c>
      <c r="C47" t="s">
        <v>344</v>
      </c>
      <c r="D47" t="str">
        <f t="shared" si="8"/>
        <v>&gt;&gt;</v>
      </c>
      <c r="E47" t="s">
        <v>175</v>
      </c>
      <c r="G47" s="24">
        <f t="shared" si="13"/>
        <v>48</v>
      </c>
      <c r="H47" s="24" t="str">
        <f t="shared" si="9"/>
        <v>c 900</v>
      </c>
      <c r="I47" s="28" t="str">
        <f t="shared" si="10"/>
        <v>v "\mp3_ost\mira.mp3"</v>
      </c>
      <c r="J47" s="24" t="str">
        <f t="shared" si="11"/>
        <v/>
      </c>
      <c r="K47" s="15" t="str">
        <f t="shared" si="12"/>
        <v>&lt;unit047&gt; "&gt;&gt;пр-т Мира" {c 900, v "\mp3_ost\mira.mp3", d 000, n 048}</v>
      </c>
    </row>
    <row r="48" spans="2:11" x14ac:dyDescent="0.25">
      <c r="B48">
        <f t="shared" si="7"/>
        <v>48</v>
      </c>
      <c r="C48" t="s">
        <v>85</v>
      </c>
      <c r="D48" t="str">
        <f t="shared" si="8"/>
        <v/>
      </c>
      <c r="E48" t="s">
        <v>175</v>
      </c>
      <c r="G48" s="24">
        <f t="shared" si="13"/>
        <v>49</v>
      </c>
      <c r="H48" s="24" t="str">
        <f t="shared" si="9"/>
        <v>c 902</v>
      </c>
      <c r="I48" s="28" t="str">
        <f t="shared" si="10"/>
        <v>v "\mp3_ost\mira.mp3"</v>
      </c>
      <c r="J48" s="24" t="str">
        <f t="shared" si="11"/>
        <v/>
      </c>
      <c r="K48" s="15" t="str">
        <f t="shared" si="12"/>
        <v>&lt;unit048&gt; "пр-т Мира" {c 902, v "\mp3_ost\mira.mp3", d 000, n 049}</v>
      </c>
    </row>
    <row r="49" spans="2:11" x14ac:dyDescent="0.25">
      <c r="B49">
        <f t="shared" si="7"/>
        <v>49</v>
      </c>
      <c r="C49" t="s">
        <v>344</v>
      </c>
      <c r="D49" t="str">
        <f t="shared" si="8"/>
        <v>&gt;&gt;</v>
      </c>
      <c r="E49" t="s">
        <v>174</v>
      </c>
      <c r="G49" s="24">
        <f t="shared" si="13"/>
        <v>50</v>
      </c>
      <c r="H49" s="24" t="str">
        <f t="shared" si="9"/>
        <v>c 900</v>
      </c>
      <c r="I49" s="28" t="str">
        <f t="shared" si="10"/>
        <v>c 928, v "\mp3_ost\swrokvas.mp3"</v>
      </c>
      <c r="J49" s="24" t="str">
        <f t="shared" si="11"/>
        <v/>
      </c>
      <c r="K49" s="15" t="str">
        <f t="shared" si="12"/>
        <v>&lt;unit049&gt; "&gt;&gt;ул.Сырокваша" {c 900, c 928, v "\mp3_ost\swrokvas.mp3", d 000, n 050}</v>
      </c>
    </row>
    <row r="50" spans="2:11" x14ac:dyDescent="0.25">
      <c r="B50">
        <f t="shared" si="7"/>
        <v>50</v>
      </c>
      <c r="C50" t="s">
        <v>85</v>
      </c>
      <c r="D50" t="str">
        <f t="shared" si="8"/>
        <v/>
      </c>
      <c r="E50" t="s">
        <v>174</v>
      </c>
      <c r="G50" s="24">
        <f t="shared" si="13"/>
        <v>51</v>
      </c>
      <c r="H50" s="24" t="str">
        <f t="shared" si="9"/>
        <v>c 902</v>
      </c>
      <c r="I50" s="28" t="str">
        <f t="shared" si="10"/>
        <v>c 928, v "\mp3_ost\swrokvas.mp3"</v>
      </c>
      <c r="J50" s="24" t="str">
        <f t="shared" si="11"/>
        <v/>
      </c>
      <c r="K50" s="15" t="str">
        <f t="shared" si="12"/>
        <v>&lt;unit050&gt; "ул.Сырокваша" {c 902, c 928, v "\mp3_ost\swrokvas.mp3", d 000, n 051}</v>
      </c>
    </row>
    <row r="51" spans="2:11" x14ac:dyDescent="0.25">
      <c r="B51">
        <f t="shared" si="7"/>
        <v>51</v>
      </c>
      <c r="C51" t="s">
        <v>344</v>
      </c>
      <c r="D51" t="str">
        <f t="shared" si="8"/>
        <v>&gt;&gt;</v>
      </c>
      <c r="E51" t="s">
        <v>172</v>
      </c>
      <c r="G51" s="24">
        <f t="shared" si="13"/>
        <v>52</v>
      </c>
      <c r="H51" s="24" t="str">
        <f t="shared" si="9"/>
        <v>c 900</v>
      </c>
      <c r="I51" s="28" t="str">
        <f t="shared" si="10"/>
        <v>c 928, v "\mp3_ost\moskovsk.mp3"</v>
      </c>
      <c r="J51" s="24" t="str">
        <f t="shared" si="11"/>
        <v/>
      </c>
      <c r="K51" s="15" t="str">
        <f t="shared" si="12"/>
        <v>&lt;unit051&gt; "&gt;&gt;ул.Московская" {c 900, c 928, v "\mp3_ost\moskovsk.mp3", d 000, n 052}</v>
      </c>
    </row>
    <row r="52" spans="2:11" x14ac:dyDescent="0.25">
      <c r="B52">
        <f t="shared" si="7"/>
        <v>52</v>
      </c>
      <c r="C52" t="s">
        <v>85</v>
      </c>
      <c r="D52" t="str">
        <f t="shared" si="8"/>
        <v/>
      </c>
      <c r="E52" t="s">
        <v>172</v>
      </c>
      <c r="G52" s="24">
        <f t="shared" si="13"/>
        <v>53</v>
      </c>
      <c r="H52" s="24" t="str">
        <f t="shared" si="9"/>
        <v>c 902</v>
      </c>
      <c r="I52" s="28" t="str">
        <f t="shared" si="10"/>
        <v>c 928, v "\mp3_ost\moskovsk.mp3"</v>
      </c>
      <c r="J52" s="24" t="str">
        <f t="shared" si="11"/>
        <v/>
      </c>
      <c r="K52" s="15" t="str">
        <f t="shared" si="12"/>
        <v>&lt;unit052&gt; "ул.Московская" {c 902, c 928, v "\mp3_ost\moskovsk.mp3", d 000, n 053}</v>
      </c>
    </row>
    <row r="53" spans="2:11" x14ac:dyDescent="0.25">
      <c r="B53">
        <f t="shared" si="7"/>
        <v>53</v>
      </c>
      <c r="C53" t="s">
        <v>344</v>
      </c>
      <c r="D53" t="str">
        <f t="shared" si="8"/>
        <v>&gt;&gt;</v>
      </c>
      <c r="E53" t="s">
        <v>173</v>
      </c>
      <c r="G53" s="24">
        <f t="shared" si="13"/>
        <v>54</v>
      </c>
      <c r="H53" s="24" t="str">
        <f t="shared" si="9"/>
        <v>c 900</v>
      </c>
      <c r="I53" s="28" t="str">
        <f t="shared" si="10"/>
        <v>c 928, v "\mp3_ost\partizan.mp3"</v>
      </c>
      <c r="J53" s="24" t="str">
        <f t="shared" si="11"/>
        <v/>
      </c>
      <c r="K53" s="15" t="str">
        <f t="shared" si="12"/>
        <v>&lt;unit053&gt; "&gt;&gt;ул.Партизанская" {c 900, c 928, v "\mp3_ost\partizan.mp3", d 000, n 054}</v>
      </c>
    </row>
    <row r="54" spans="2:11" x14ac:dyDescent="0.25">
      <c r="B54">
        <f t="shared" si="7"/>
        <v>54</v>
      </c>
      <c r="C54" t="s">
        <v>85</v>
      </c>
      <c r="D54" t="str">
        <f t="shared" si="8"/>
        <v/>
      </c>
      <c r="E54" t="s">
        <v>173</v>
      </c>
      <c r="G54" s="24">
        <f t="shared" si="13"/>
        <v>55</v>
      </c>
      <c r="H54" s="24" t="str">
        <f t="shared" si="9"/>
        <v>c 902</v>
      </c>
      <c r="I54" s="28" t="str">
        <f t="shared" si="10"/>
        <v>c 928, v "\mp3_ost\partizan.mp3"</v>
      </c>
      <c r="J54" s="24" t="str">
        <f t="shared" si="11"/>
        <v/>
      </c>
      <c r="K54" s="15" t="str">
        <f t="shared" si="12"/>
        <v>&lt;unit054&gt; "ул.Партизанская" {c 902, c 928, v "\mp3_ost\partizan.mp3", d 000, n 055}</v>
      </c>
    </row>
    <row r="55" spans="2:11" x14ac:dyDescent="0.25">
      <c r="B55">
        <f t="shared" si="7"/>
        <v>55</v>
      </c>
      <c r="C55" t="s">
        <v>344</v>
      </c>
      <c r="D55" t="str">
        <f t="shared" si="8"/>
        <v>&gt;&gt;</v>
      </c>
      <c r="E55" t="s">
        <v>170</v>
      </c>
      <c r="G55" s="24">
        <f t="shared" si="13"/>
        <v>56</v>
      </c>
      <c r="H55" s="24" t="str">
        <f t="shared" si="9"/>
        <v>c 900</v>
      </c>
      <c r="I55" s="28" t="str">
        <f t="shared" si="10"/>
        <v>v "\mp3_ost\jd.mp3"</v>
      </c>
      <c r="J55" s="24" t="str">
        <f t="shared" si="11"/>
        <v/>
      </c>
      <c r="K55" s="15" t="str">
        <f t="shared" si="12"/>
        <v>&lt;unit055&gt; "&gt;&gt;ЖД Вокзал" {c 900, v "\mp3_ost\jd.mp3", d 000, n 056}</v>
      </c>
    </row>
    <row r="56" spans="2:11" x14ac:dyDescent="0.25">
      <c r="B56">
        <f t="shared" si="7"/>
        <v>56</v>
      </c>
      <c r="C56" t="s">
        <v>85</v>
      </c>
      <c r="D56" t="str">
        <f t="shared" si="8"/>
        <v/>
      </c>
      <c r="E56" t="s">
        <v>170</v>
      </c>
      <c r="G56" s="24">
        <f t="shared" si="13"/>
        <v>57</v>
      </c>
      <c r="H56" s="24" t="str">
        <f t="shared" si="9"/>
        <v>c 902</v>
      </c>
      <c r="I56" s="28" t="str">
        <f t="shared" si="10"/>
        <v>v "\mp3_ost\jd.mp3"</v>
      </c>
      <c r="J56" s="24" t="str">
        <f t="shared" si="11"/>
        <v/>
      </c>
      <c r="K56" s="15" t="str">
        <f t="shared" si="12"/>
        <v>&lt;unit056&gt; "ЖД Вокзал" {c 902, v "\mp3_ost\jd.mp3", d 000, n 057}</v>
      </c>
    </row>
    <row r="57" spans="2:11" x14ac:dyDescent="0.25">
      <c r="B57">
        <f t="shared" si="7"/>
        <v>57</v>
      </c>
      <c r="C57" t="s">
        <v>344</v>
      </c>
      <c r="D57" t="str">
        <f t="shared" si="8"/>
        <v>&gt;&gt;</v>
      </c>
      <c r="E57" t="s">
        <v>171</v>
      </c>
      <c r="G57" s="24">
        <f t="shared" si="13"/>
        <v>58</v>
      </c>
      <c r="H57" s="24" t="str">
        <f t="shared" si="9"/>
        <v>c 900</v>
      </c>
      <c r="I57" s="28" t="str">
        <f t="shared" si="10"/>
        <v>c 928, v "\mp3_ost\kalinina.mp3"</v>
      </c>
      <c r="J57" s="24" t="str">
        <f t="shared" si="11"/>
        <v/>
      </c>
      <c r="K57" s="15" t="str">
        <f t="shared" si="12"/>
        <v>&lt;unit057&gt; "&gt;&gt;ул.Калинина" {c 900, c 928, v "\mp3_ost\kalinina.mp3", d 000, n 058}</v>
      </c>
    </row>
    <row r="58" spans="2:11" x14ac:dyDescent="0.25">
      <c r="B58">
        <f t="shared" si="7"/>
        <v>58</v>
      </c>
      <c r="C58" t="s">
        <v>85</v>
      </c>
      <c r="D58" t="str">
        <f t="shared" si="8"/>
        <v/>
      </c>
      <c r="E58" t="s">
        <v>171</v>
      </c>
      <c r="G58" s="24">
        <f t="shared" si="13"/>
        <v>59</v>
      </c>
      <c r="H58" s="24" t="str">
        <f t="shared" si="9"/>
        <v>c 902</v>
      </c>
      <c r="I58" s="28" t="str">
        <f t="shared" si="10"/>
        <v>c 928, v "\mp3_ost\kalinina.mp3"</v>
      </c>
      <c r="J58" s="24" t="str">
        <f t="shared" si="11"/>
        <v/>
      </c>
      <c r="K58" s="15" t="str">
        <f t="shared" si="12"/>
        <v>&lt;unit058&gt; "ул.Калинина" {c 902, c 928, v "\mp3_ost\kalinina.mp3", d 000, n 059}</v>
      </c>
    </row>
    <row r="59" spans="2:11" x14ac:dyDescent="0.25">
      <c r="B59">
        <f t="shared" si="7"/>
        <v>59</v>
      </c>
      <c r="C59" t="s">
        <v>344</v>
      </c>
      <c r="D59" t="str">
        <f t="shared" si="8"/>
        <v>&gt;&gt;</v>
      </c>
      <c r="E59" t="s">
        <v>275</v>
      </c>
      <c r="G59" s="24">
        <f t="shared" si="13"/>
        <v>60</v>
      </c>
      <c r="H59" s="24" t="str">
        <f t="shared" si="9"/>
        <v>c 900</v>
      </c>
      <c r="I59" s="28" t="str">
        <f t="shared" si="10"/>
        <v>v "\mp3_ost\inst-zve.mp3"</v>
      </c>
      <c r="J59" s="24" t="str">
        <f t="shared" si="11"/>
        <v/>
      </c>
      <c r="K59" s="15" t="str">
        <f t="shared" si="12"/>
        <v>&lt;unit059&gt; "&gt;&gt;Инст. животновод." {c 900, v "\mp3_ost\inst-zve.mp3", d 000, n 060}</v>
      </c>
    </row>
    <row r="60" spans="2:11" x14ac:dyDescent="0.25">
      <c r="B60">
        <f t="shared" si="7"/>
        <v>60</v>
      </c>
      <c r="C60" t="s">
        <v>85</v>
      </c>
      <c r="D60" t="str">
        <f t="shared" si="8"/>
        <v/>
      </c>
      <c r="E60" t="s">
        <v>275</v>
      </c>
      <c r="G60" s="24">
        <f t="shared" si="13"/>
        <v>61</v>
      </c>
      <c r="H60" s="24" t="str">
        <f t="shared" si="9"/>
        <v>c 902</v>
      </c>
      <c r="I60" s="28" t="str">
        <f t="shared" si="10"/>
        <v>v "\mp3_ost\inst-zve.mp3"</v>
      </c>
      <c r="J60" s="24" t="str">
        <f t="shared" si="11"/>
        <v/>
      </c>
      <c r="K60" s="15" t="str">
        <f t="shared" si="12"/>
        <v>&lt;unit060&gt; "Инст. животновод." {c 902, v "\mp3_ost\inst-zve.mp3", d 000, n 061}</v>
      </c>
    </row>
    <row r="61" spans="2:11" x14ac:dyDescent="0.25">
      <c r="B61">
        <f t="shared" si="7"/>
        <v>61</v>
      </c>
      <c r="C61" t="s">
        <v>344</v>
      </c>
      <c r="D61" t="str">
        <f t="shared" si="8"/>
        <v>&gt;&gt;</v>
      </c>
      <c r="E61" t="s">
        <v>169</v>
      </c>
      <c r="G61" s="24">
        <f t="shared" si="13"/>
        <v>62</v>
      </c>
      <c r="H61" s="24" t="str">
        <f t="shared" si="9"/>
        <v>c 900</v>
      </c>
      <c r="I61" s="28" t="str">
        <f t="shared" si="10"/>
        <v>v "\mp3_ost\jen-gimn.mp3"</v>
      </c>
      <c r="J61" s="24" t="str">
        <f t="shared" si="11"/>
        <v/>
      </c>
      <c r="K61" s="15" t="str">
        <f t="shared" si="12"/>
        <v>&lt;unit061&gt; "&gt;&gt;Женская гимназия" {c 900, v "\mp3_ost\jen-gimn.mp3", d 000, n 062}</v>
      </c>
    </row>
    <row r="62" spans="2:11" x14ac:dyDescent="0.25">
      <c r="B62">
        <f t="shared" si="7"/>
        <v>62</v>
      </c>
      <c r="C62" t="s">
        <v>85</v>
      </c>
      <c r="D62" t="str">
        <f t="shared" si="8"/>
        <v/>
      </c>
      <c r="E62" t="s">
        <v>169</v>
      </c>
      <c r="G62" s="24">
        <f t="shared" si="13"/>
        <v>63</v>
      </c>
      <c r="H62" s="24" t="str">
        <f t="shared" si="9"/>
        <v>c 902</v>
      </c>
      <c r="I62" s="28" t="str">
        <f t="shared" si="10"/>
        <v>v "\mp3_ost\jen-gimn.mp3"</v>
      </c>
      <c r="J62" s="24" t="str">
        <f t="shared" si="11"/>
        <v/>
      </c>
      <c r="K62" s="15" t="str">
        <f t="shared" si="12"/>
        <v>&lt;unit062&gt; "Женская гимназия" {c 902, v "\mp3_ost\jen-gimn.mp3", d 000, n 063}</v>
      </c>
    </row>
    <row r="63" spans="2:11" x14ac:dyDescent="0.25">
      <c r="B63">
        <f t="shared" si="7"/>
        <v>63</v>
      </c>
      <c r="C63" t="s">
        <v>344</v>
      </c>
      <c r="D63" t="str">
        <f t="shared" si="8"/>
        <v>&gt;&gt;</v>
      </c>
      <c r="E63" t="s">
        <v>168</v>
      </c>
      <c r="G63" s="24">
        <f t="shared" si="13"/>
        <v>64</v>
      </c>
      <c r="H63" s="24" t="str">
        <f t="shared" si="9"/>
        <v>c 900</v>
      </c>
      <c r="I63" s="28" t="str">
        <f t="shared" si="10"/>
        <v>v "\mp3_ost\itk.mp3"</v>
      </c>
      <c r="J63" s="24" t="str">
        <f t="shared" si="11"/>
        <v/>
      </c>
      <c r="K63" s="15" t="str">
        <f t="shared" si="12"/>
        <v>&lt;unit063&gt; "&gt;&gt;ИТК-8" {c 900, v "\mp3_ost\itk.mp3", d 000, n 064}</v>
      </c>
    </row>
    <row r="64" spans="2:11" x14ac:dyDescent="0.25">
      <c r="B64">
        <f t="shared" si="7"/>
        <v>64</v>
      </c>
      <c r="C64" t="s">
        <v>85</v>
      </c>
      <c r="D64" t="str">
        <f t="shared" si="8"/>
        <v/>
      </c>
      <c r="E64" t="s">
        <v>168</v>
      </c>
      <c r="G64" s="24">
        <f t="shared" si="13"/>
        <v>65</v>
      </c>
      <c r="H64" s="24" t="str">
        <f t="shared" si="9"/>
        <v>c 902</v>
      </c>
      <c r="I64" s="28" t="str">
        <f t="shared" si="10"/>
        <v>v "\mp3_ost\itk.mp3"</v>
      </c>
      <c r="J64" s="24" t="str">
        <f t="shared" si="11"/>
        <v/>
      </c>
      <c r="K64" s="15" t="str">
        <f t="shared" si="12"/>
        <v>&lt;unit064&gt; "ИТК-8" {c 902, v "\mp3_ost\itk.mp3", d 000, n 065}</v>
      </c>
    </row>
    <row r="65" spans="2:11" x14ac:dyDescent="0.25">
      <c r="B65">
        <f t="shared" si="7"/>
        <v>65</v>
      </c>
      <c r="C65" t="s">
        <v>344</v>
      </c>
      <c r="D65" t="str">
        <f t="shared" si="8"/>
        <v>&gt;&gt;</v>
      </c>
      <c r="E65" t="s">
        <v>268</v>
      </c>
      <c r="G65" s="24">
        <f t="shared" si="13"/>
        <v>66</v>
      </c>
      <c r="H65" s="24" t="str">
        <f t="shared" si="9"/>
        <v>c 900</v>
      </c>
      <c r="I65" s="28" t="str">
        <f t="shared" si="10"/>
        <v>v "\mp3_ost\vch.mp3"</v>
      </c>
      <c r="J65" s="24" t="str">
        <f t="shared" si="11"/>
        <v/>
      </c>
      <c r="K65" s="15" t="str">
        <f t="shared" si="12"/>
        <v>&lt;unit065&gt; "&gt;&gt;Воинская часть" {c 900, v "\mp3_ost\vch.mp3", d 000, n 066}</v>
      </c>
    </row>
    <row r="66" spans="2:11" x14ac:dyDescent="0.25">
      <c r="B66">
        <f t="shared" si="7"/>
        <v>66</v>
      </c>
      <c r="C66" t="s">
        <v>85</v>
      </c>
      <c r="D66" t="str">
        <f t="shared" si="8"/>
        <v/>
      </c>
      <c r="E66" t="s">
        <v>268</v>
      </c>
      <c r="F66" t="s">
        <v>346</v>
      </c>
      <c r="G66" s="24">
        <f>B68</f>
        <v>68</v>
      </c>
      <c r="H66" s="24" t="str">
        <f t="shared" si="9"/>
        <v>c 902</v>
      </c>
      <c r="I66" s="28" t="str">
        <f t="shared" si="10"/>
        <v>v "\mp3_ost\vch.mp3"</v>
      </c>
      <c r="J66" s="24" t="str">
        <f t="shared" si="11"/>
        <v>c 903</v>
      </c>
      <c r="K66" s="15" t="str">
        <f t="shared" si="12"/>
        <v>&lt;unit066&gt; "Воинская часть" {c 902, v "\mp3_ost\vch.mp3", c 903, d 000, n 068}</v>
      </c>
    </row>
    <row r="67" spans="2:11" x14ac:dyDescent="0.25">
      <c r="K67" s="15"/>
    </row>
    <row r="68" spans="2:11" x14ac:dyDescent="0.25">
      <c r="B68">
        <f t="shared" si="7"/>
        <v>68</v>
      </c>
      <c r="E68" s="25" t="s">
        <v>343</v>
      </c>
      <c r="F68" s="25"/>
      <c r="G68" s="24">
        <f>B3</f>
        <v>3</v>
      </c>
      <c r="K68" s="15" t="str">
        <f>"&lt;unit"&amp;TEXT(B68,"000")&amp;"&gt; """&amp;E68&amp;""" {d 000, n "&amp;TEXT(G68,"000")&amp;"}"</f>
        <v>&lt;unit068&gt; "----- Конец -----" {d 000, n 003}</v>
      </c>
    </row>
    <row r="69" spans="2:11" x14ac:dyDescent="0.25">
      <c r="K69" s="15"/>
    </row>
    <row r="70" spans="2:11" x14ac:dyDescent="0.25">
      <c r="K70" s="15" t="str">
        <f>Константы!E2</f>
        <v>&lt;unit921&gt; "Автовокзал" {v "\mp3_knst\av.mp3", w 01}</v>
      </c>
    </row>
    <row r="71" spans="2:11" x14ac:dyDescent="0.25">
      <c r="K71" s="15" t="str">
        <f>Константы!E3</f>
        <v>&lt;unit923&gt; "Гостиница" {v "\mp3_knst\gos.mp3", w 01}</v>
      </c>
    </row>
    <row r="72" spans="2:11" x14ac:dyDescent="0.25">
      <c r="K72" s="15" t="str">
        <f>Константы!E4</f>
        <v>&lt;unit922&gt; "Дисп. станция" {v "\mp3_knst\ds.mp3", w 01}</v>
      </c>
    </row>
    <row r="73" spans="2:11" x14ac:dyDescent="0.25">
      <c r="K73" s="15" t="str">
        <f>Константы!E5</f>
        <v>&lt;unit903&gt; "Канцавая" {v "\mp3_knst\kanc.mp3", w 01}</v>
      </c>
    </row>
    <row r="74" spans="2:11" x14ac:dyDescent="0.25">
      <c r="K74" s="15" t="str">
        <f>Константы!E6</f>
        <v>&lt;unit924&gt; "Конечная" {v "\mp3_knst\ko.mp3", w 01}</v>
      </c>
    </row>
    <row r="75" spans="2:11" x14ac:dyDescent="0.25">
      <c r="K75" s="15" t="str">
        <f>Константы!E7</f>
        <v>&lt;unit902&gt; "Остановка" {v "\mp3_knst\ost.mp3", w 01}</v>
      </c>
    </row>
    <row r="76" spans="2:11" x14ac:dyDescent="0.25">
      <c r="K76" s="15" t="str">
        <f>Константы!E8</f>
        <v>&lt;unit900&gt; "Дв. закр. След. ост." {v "\mp3_knst\ostor.mp3", w 01}</v>
      </c>
    </row>
    <row r="77" spans="2:11" x14ac:dyDescent="0.25">
      <c r="K77" s="15" t="str">
        <f>Константы!E9</f>
        <v>&lt;unit925&gt; "Площадь" {v "\mp3_knst\pl.mp3", w 01}</v>
      </c>
    </row>
    <row r="78" spans="2:11" x14ac:dyDescent="0.25">
      <c r="K78" s="15" t="str">
        <f>Константы!E10</f>
        <v>&lt;unit926&gt; "Проспект" {v "\mp3_knst\pr.mp3", w 01}</v>
      </c>
    </row>
    <row r="79" spans="2:11" x14ac:dyDescent="0.25">
      <c r="K79" s="15" t="str">
        <f>Константы!E11</f>
        <v>&lt;unit927&gt; "Станция метро" {v "\mp3_knst\sm.mp3", w 01}</v>
      </c>
    </row>
    <row r="80" spans="2:11" x14ac:dyDescent="0.25">
      <c r="K80" s="15" t="str">
        <f>Константы!E12</f>
        <v>&lt;unit928&gt; "Улица" {v "\mp3_knst\ul.mp3", w 01}</v>
      </c>
    </row>
  </sheetData>
  <dataValidations count="2">
    <dataValidation type="list" allowBlank="1" showInputMessage="1" showErrorMessage="1" sqref="E8:E34 E38:E66">
      <formula1>Zag_Ost</formula1>
    </dataValidation>
    <dataValidation type="list" allowBlank="1" showInputMessage="1" showErrorMessage="1" sqref="C8:C34 F8:F34 F38:F66 C38:C66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barsuki</v>
      </c>
      <c r="E2" s="16" t="str">
        <f ca="1">"&lt;unit"&amp;NomZagMar&amp;"&gt; """&amp;$A$3&amp;""""&amp;" {i 0, t 002, l "&amp;$A$4&amp;" "&amp;$A$4&amp;", d 000}"</f>
        <v>&lt;unit100&gt; "Барсуки" {i 0, t 002, l 208 208, d 000}</v>
      </c>
    </row>
    <row r="3" spans="1:5" x14ac:dyDescent="0.25">
      <c r="A3" s="15" t="str">
        <f ca="1">INDIRECT(ADDRESS($B$1,2,4,1,"route"))</f>
        <v>Барсуки</v>
      </c>
    </row>
    <row r="4" spans="1:5" x14ac:dyDescent="0.25">
      <c r="A4" s="15" t="str">
        <f ca="1">TEXT(INDIRECT(ADDRESS($B$1,1,4,1,"route")),"000")</f>
        <v>208</v>
      </c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budagovo</v>
      </c>
      <c r="E2" s="16" t="str">
        <f ca="1">"&lt;unit"&amp;NomZagMar&amp;"&gt; """&amp;$A$3&amp;""""&amp;" {i 0, t 002, l "&amp;$A$4&amp;" "&amp;$A$4&amp;", d 000}"</f>
        <v>&lt;unit100&gt; "Будагово" {i 0, t 002, l 212 212, d 000}</v>
      </c>
    </row>
    <row r="3" spans="1:5" x14ac:dyDescent="0.25">
      <c r="A3" s="15" t="str">
        <f ca="1">INDIRECT(ADDRESS($B$1,2,4,1,"route"))</f>
        <v>Будагово</v>
      </c>
    </row>
    <row r="4" spans="1:5" x14ac:dyDescent="0.25">
      <c r="A4" s="15" t="str">
        <f ca="1">TEXT(INDIRECT(ADDRESS($B$1,1,4,1,"route")),"000")</f>
        <v>212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&lt;unit100&gt;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&lt;unit100&gt;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&lt;unit100&gt;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&lt;unit100&gt;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&lt;unit100&gt;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&lt;unit100&gt;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&lt;unit100&gt;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&lt;unit100&gt;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&lt;unit100&gt;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&lt;unit100&gt;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zhurav</v>
      </c>
      <c r="E2" s="16" t="str">
        <f ca="1">"&lt;unit"&amp;NomZagMar&amp;"&gt; """&amp;$A$3&amp;""""&amp;" {i 0, t 002, l "&amp;$A$4&amp;" "&amp;$A$4&amp;", d 000}"</f>
        <v>&lt;unit100&gt; "с/т Журавинка" {i 0, t 002, l 214 214, d 000}</v>
      </c>
    </row>
    <row r="3" spans="1:5" x14ac:dyDescent="0.25">
      <c r="A3" s="15" t="str">
        <f ca="1">INDIRECT(ADDRESS($B$1,2,4,1,"route"))</f>
        <v>с/т Журавинка</v>
      </c>
    </row>
    <row r="4" spans="1:5" x14ac:dyDescent="0.25">
      <c r="A4" s="15" t="str">
        <f ca="1">TEXT(INDIRECT(ADDRESS($B$1,1,4,1,"route")),"000")</f>
        <v>214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&lt;unit100&gt;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&lt;unit100&gt;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&lt;unit100&gt;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&lt;unit100&gt;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&lt;unit100&gt;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zakaz</v>
      </c>
      <c r="E2" s="16" t="str">
        <f ca="1">"&lt;unit"&amp;NomZagMar&amp;"&gt; """&amp;$A$3&amp;""""&amp;" {i 0, t 002, l "&amp;$A$4&amp;" "&amp;$A$4&amp;", d 000}"</f>
        <v>&lt;unit100&gt; "ЗАКАЗНОЙ" {i 0, t 002, l 101 101, d 000}</v>
      </c>
    </row>
    <row r="3" spans="1:5" x14ac:dyDescent="0.25">
      <c r="A3" s="15" t="str">
        <f ca="1">INDIRECT(ADDRESS($B$1,2,4,1,"route"))</f>
        <v>ЗАКАЗНОЙ</v>
      </c>
    </row>
    <row r="4" spans="1:5" x14ac:dyDescent="0.25">
      <c r="A4" s="15" t="str">
        <f ca="1">TEXT(INDIRECT(ADDRESS($B$1,1,4,1,"route")),"000")</f>
        <v>101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&lt;unit100&gt;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41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&lt;unit100&gt;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81</v>
      </c>
      <c r="B1" s="2">
        <v>42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&lt;unit100&gt;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31</vt:i4>
      </vt:variant>
      <vt:variant>
        <vt:lpstr>Именованные диапазоны</vt:lpstr>
      </vt:variant>
      <vt:variant>
        <vt:i4>9</vt:i4>
      </vt:variant>
    </vt:vector>
  </HeadingPairs>
  <TitlesOfParts>
    <vt:vector size="40" baseType="lpstr">
      <vt:lpstr>Настройки</vt:lpstr>
      <vt:lpstr>Константы</vt:lpstr>
      <vt:lpstr>Остановки</vt:lpstr>
      <vt:lpstr>Табло</vt:lpstr>
      <vt:lpstr>Шаблон маршрута</vt:lpstr>
      <vt:lpstr>route</vt:lpstr>
      <vt:lpstr>1</vt:lpstr>
      <vt:lpstr>2</vt:lpstr>
      <vt:lpstr>5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dcterms:created xsi:type="dcterms:W3CDTF">2015-06-05T18:19:34Z</dcterms:created>
  <dcterms:modified xsi:type="dcterms:W3CDTF">2019-08-14T09:20:24Z</dcterms:modified>
</cp:coreProperties>
</file>