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activeTab="5"/>
  </bookViews>
  <sheets>
    <sheet name="Настройки" sheetId="2" r:id="rId1"/>
    <sheet name="Константы" sheetId="37" r:id="rId2"/>
    <sheet name="Остановки" sheetId="38" r:id="rId3"/>
    <sheet name="Табло" sheetId="40" r:id="rId4"/>
    <sheet name="Шаблон маршрута" sheetId="44" r:id="rId5"/>
    <sheet name="route.txt" sheetId="47" r:id="rId6"/>
    <sheet name="route" sheetId="1" r:id="rId7"/>
    <sheet name="1" sheetId="42" r:id="rId8"/>
    <sheet name="2" sheetId="43" r:id="rId9"/>
    <sheet name="5" sheetId="45" r:id="rId10"/>
    <sheet name="7" sheetId="46" r:id="rId11"/>
    <sheet name="barsuki" sheetId="3" r:id="rId12"/>
    <sheet name="budagovo" sheetId="16" r:id="rId13"/>
    <sheet name="zamlinie" sheetId="17" r:id="rId14"/>
    <sheet name="zel_bor" sheetId="18" r:id="rId15"/>
    <sheet name="logoisk" sheetId="19" r:id="rId16"/>
    <sheet name="ljutka" sheetId="20" r:id="rId17"/>
    <sheet name="napalki" sheetId="21" r:id="rId18"/>
    <sheet name="sutoki" sheetId="22" r:id="rId19"/>
    <sheet name="tochil" sheetId="23" r:id="rId20"/>
    <sheet name="uzefovo" sheetId="24" r:id="rId21"/>
    <sheet name="jalov" sheetId="25" r:id="rId22"/>
    <sheet name="automob" sheetId="26" r:id="rId23"/>
    <sheet name="zhurav" sheetId="27" r:id="rId24"/>
    <sheet name="pov_zur" sheetId="28" r:id="rId25"/>
    <sheet name="raduga" sheetId="29" r:id="rId26"/>
    <sheet name="rodnik" sheetId="30" r:id="rId27"/>
    <sheet name="stroit" sheetId="31" r:id="rId28"/>
    <sheet name="sluzhebn" sheetId="32" r:id="rId29"/>
    <sheet name="zakaz" sheetId="33" r:id="rId30"/>
    <sheet name="snekpro" sheetId="34" r:id="rId31"/>
    <sheet name="deti" sheetId="35" r:id="rId32"/>
    <sheet name="v_park" sheetId="36" r:id="rId33"/>
  </sheets>
  <functionGroups builtInGroupCount="18"/>
  <definedNames>
    <definedName name="File_Footer">Константы!$E$2:$E$12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Остановки!$B$2:$H$63</definedName>
    <definedName name="Pref_Punktov">Константы!$A$2:$A$12</definedName>
    <definedName name="Punkti">Константы!$A$2:$B$12</definedName>
    <definedName name="Zag_Ost">Остановки!$B$2:$B$63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3" i="47" l="1"/>
  <c r="E34" i="47"/>
  <c r="E35" i="47"/>
  <c r="E36" i="47"/>
  <c r="E3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E58" i="47"/>
  <c r="E59" i="47"/>
  <c r="E60" i="47"/>
  <c r="E61" i="47"/>
  <c r="E62" i="47"/>
  <c r="E63" i="47"/>
  <c r="E64" i="47"/>
  <c r="E65" i="47"/>
  <c r="E66" i="47"/>
  <c r="E67" i="47"/>
  <c r="E68" i="47"/>
  <c r="E69" i="47"/>
  <c r="E70" i="47"/>
  <c r="E1" i="47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C2" i="47" l="1"/>
  <c r="C3" i="47"/>
  <c r="C4" i="47"/>
  <c r="C5" i="47"/>
  <c r="C6" i="47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C44" i="47"/>
  <c r="C45" i="47"/>
  <c r="C46" i="47"/>
  <c r="C47" i="47"/>
  <c r="C48" i="47"/>
  <c r="C49" i="47"/>
  <c r="C50" i="47"/>
  <c r="C51" i="47"/>
  <c r="C52" i="47"/>
  <c r="C53" i="47"/>
  <c r="C54" i="47"/>
  <c r="C55" i="47"/>
  <c r="C56" i="47"/>
  <c r="C57" i="47"/>
  <c r="C58" i="47"/>
  <c r="C59" i="47"/>
  <c r="C60" i="47"/>
  <c r="C61" i="47"/>
  <c r="C62" i="47"/>
  <c r="C63" i="47"/>
  <c r="C64" i="47"/>
  <c r="C65" i="47"/>
  <c r="C66" i="47"/>
  <c r="C67" i="47"/>
  <c r="C68" i="47"/>
  <c r="C69" i="47"/>
  <c r="C70" i="47"/>
  <c r="C1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1" i="47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20" i="47"/>
  <c r="A2" i="47"/>
  <c r="G82" i="46" l="1"/>
  <c r="B86" i="46"/>
  <c r="J84" i="46"/>
  <c r="H84" i="46"/>
  <c r="G84" i="46"/>
  <c r="D84" i="46"/>
  <c r="B84" i="46"/>
  <c r="J83" i="46"/>
  <c r="I83" i="46"/>
  <c r="H83" i="46"/>
  <c r="D83" i="46" s="1"/>
  <c r="B83" i="46"/>
  <c r="J82" i="46"/>
  <c r="I82" i="46"/>
  <c r="H82" i="46"/>
  <c r="D82" i="46"/>
  <c r="B82" i="46"/>
  <c r="J81" i="46"/>
  <c r="I81" i="46"/>
  <c r="H81" i="46"/>
  <c r="D81" i="46"/>
  <c r="B81" i="46"/>
  <c r="J80" i="46"/>
  <c r="I80" i="46"/>
  <c r="H80" i="46"/>
  <c r="G80" i="46"/>
  <c r="D80" i="46"/>
  <c r="B80" i="46"/>
  <c r="J79" i="46"/>
  <c r="I79" i="46"/>
  <c r="H79" i="46"/>
  <c r="D79" i="46" s="1"/>
  <c r="B79" i="46"/>
  <c r="J78" i="46"/>
  <c r="I78" i="46"/>
  <c r="H78" i="46"/>
  <c r="G78" i="46"/>
  <c r="D78" i="46"/>
  <c r="B78" i="46"/>
  <c r="J77" i="46"/>
  <c r="I77" i="46"/>
  <c r="H77" i="46"/>
  <c r="D77" i="46" s="1"/>
  <c r="B77" i="46"/>
  <c r="J76" i="46"/>
  <c r="I76" i="46"/>
  <c r="H76" i="46"/>
  <c r="G76" i="46"/>
  <c r="D76" i="46"/>
  <c r="B76" i="46"/>
  <c r="J75" i="46"/>
  <c r="I75" i="46"/>
  <c r="H75" i="46"/>
  <c r="D75" i="46" s="1"/>
  <c r="B75" i="46"/>
  <c r="J74" i="46"/>
  <c r="I74" i="46"/>
  <c r="H74" i="46"/>
  <c r="G74" i="46"/>
  <c r="D74" i="46"/>
  <c r="B74" i="46"/>
  <c r="J73" i="46"/>
  <c r="I73" i="46"/>
  <c r="H73" i="46"/>
  <c r="D73" i="46"/>
  <c r="B73" i="46"/>
  <c r="J72" i="46"/>
  <c r="I72" i="46"/>
  <c r="H72" i="46"/>
  <c r="G72" i="46"/>
  <c r="D72" i="46"/>
  <c r="B72" i="46"/>
  <c r="J71" i="46"/>
  <c r="I71" i="46"/>
  <c r="H71" i="46"/>
  <c r="D71" i="46" s="1"/>
  <c r="B71" i="46"/>
  <c r="J70" i="46"/>
  <c r="I70" i="46"/>
  <c r="H70" i="46"/>
  <c r="G70" i="46"/>
  <c r="D70" i="46"/>
  <c r="B70" i="46"/>
  <c r="J69" i="46"/>
  <c r="I69" i="46"/>
  <c r="H69" i="46"/>
  <c r="D69" i="46" s="1"/>
  <c r="B69" i="46"/>
  <c r="J68" i="46"/>
  <c r="I68" i="46"/>
  <c r="H68" i="46"/>
  <c r="G68" i="46"/>
  <c r="D68" i="46"/>
  <c r="B68" i="46"/>
  <c r="J67" i="46"/>
  <c r="I67" i="46"/>
  <c r="H67" i="46"/>
  <c r="D67" i="46" s="1"/>
  <c r="B67" i="46"/>
  <c r="J66" i="46"/>
  <c r="I66" i="46"/>
  <c r="H66" i="46"/>
  <c r="G66" i="46"/>
  <c r="D66" i="46"/>
  <c r="B66" i="46"/>
  <c r="J65" i="46"/>
  <c r="I65" i="46"/>
  <c r="H65" i="46"/>
  <c r="D65" i="46"/>
  <c r="B65" i="46"/>
  <c r="J64" i="46"/>
  <c r="I64" i="46"/>
  <c r="H64" i="46"/>
  <c r="G64" i="46"/>
  <c r="D64" i="46"/>
  <c r="B64" i="46"/>
  <c r="J63" i="46"/>
  <c r="I63" i="46"/>
  <c r="H63" i="46"/>
  <c r="G63" i="46"/>
  <c r="D63" i="46"/>
  <c r="B63" i="46"/>
  <c r="J62" i="46"/>
  <c r="I62" i="46"/>
  <c r="H62" i="46"/>
  <c r="G62" i="46"/>
  <c r="D62" i="46"/>
  <c r="B62" i="46"/>
  <c r="J61" i="46"/>
  <c r="I61" i="46"/>
  <c r="H61" i="46"/>
  <c r="G61" i="46"/>
  <c r="D61" i="46"/>
  <c r="B61" i="46"/>
  <c r="J60" i="46"/>
  <c r="I60" i="46"/>
  <c r="H60" i="46"/>
  <c r="G60" i="46"/>
  <c r="D60" i="46"/>
  <c r="B60" i="46"/>
  <c r="J59" i="46"/>
  <c r="I59" i="46"/>
  <c r="H59" i="46"/>
  <c r="G59" i="46"/>
  <c r="D59" i="46"/>
  <c r="B59" i="46"/>
  <c r="J58" i="46"/>
  <c r="I58" i="46"/>
  <c r="H58" i="46"/>
  <c r="G58" i="46"/>
  <c r="D58" i="46"/>
  <c r="B58" i="46"/>
  <c r="J57" i="46"/>
  <c r="I57" i="46"/>
  <c r="H57" i="46"/>
  <c r="G57" i="46"/>
  <c r="D57" i="46"/>
  <c r="B57" i="46"/>
  <c r="J56" i="46"/>
  <c r="I56" i="46"/>
  <c r="H56" i="46"/>
  <c r="G56" i="46"/>
  <c r="D56" i="46"/>
  <c r="B56" i="46"/>
  <c r="J55" i="46"/>
  <c r="I55" i="46"/>
  <c r="H55" i="46"/>
  <c r="G55" i="46"/>
  <c r="D55" i="46"/>
  <c r="B55" i="46"/>
  <c r="J54" i="46"/>
  <c r="I54" i="46"/>
  <c r="H54" i="46"/>
  <c r="G54" i="46"/>
  <c r="D54" i="46"/>
  <c r="B54" i="46"/>
  <c r="J53" i="46"/>
  <c r="I53" i="46"/>
  <c r="H53" i="46"/>
  <c r="G53" i="46"/>
  <c r="D53" i="46"/>
  <c r="B53" i="46"/>
  <c r="J52" i="46"/>
  <c r="I52" i="46"/>
  <c r="H52" i="46"/>
  <c r="G52" i="46"/>
  <c r="D52" i="46"/>
  <c r="B52" i="46"/>
  <c r="J51" i="46"/>
  <c r="I51" i="46"/>
  <c r="H51" i="46"/>
  <c r="G51" i="46"/>
  <c r="D51" i="46"/>
  <c r="B51" i="46"/>
  <c r="G50" i="46" s="1"/>
  <c r="J50" i="46"/>
  <c r="I50" i="46"/>
  <c r="H50" i="46"/>
  <c r="D50" i="46" s="1"/>
  <c r="B50" i="46"/>
  <c r="J49" i="46"/>
  <c r="I49" i="46"/>
  <c r="H49" i="46"/>
  <c r="G49" i="46"/>
  <c r="D49" i="46"/>
  <c r="B49" i="46"/>
  <c r="G48" i="46" s="1"/>
  <c r="J48" i="46"/>
  <c r="H48" i="46"/>
  <c r="D48" i="46" s="1"/>
  <c r="B48" i="46"/>
  <c r="G46" i="46" s="1"/>
  <c r="B46" i="46"/>
  <c r="G44" i="46" s="1"/>
  <c r="J44" i="46"/>
  <c r="H44" i="46"/>
  <c r="D44" i="46" s="1"/>
  <c r="B44" i="46"/>
  <c r="G43" i="46" s="1"/>
  <c r="J43" i="46"/>
  <c r="I43" i="46"/>
  <c r="H43" i="46"/>
  <c r="D43" i="46"/>
  <c r="B43" i="46"/>
  <c r="G42" i="46" s="1"/>
  <c r="I42" i="46"/>
  <c r="H42" i="46"/>
  <c r="D42" i="46"/>
  <c r="B42" i="46"/>
  <c r="G41" i="46" s="1"/>
  <c r="I41" i="46"/>
  <c r="H41" i="46"/>
  <c r="D41" i="46"/>
  <c r="B41" i="46"/>
  <c r="G40" i="46" s="1"/>
  <c r="I40" i="46"/>
  <c r="H40" i="46"/>
  <c r="D40" i="46"/>
  <c r="B40" i="46"/>
  <c r="I39" i="46"/>
  <c r="H39" i="46"/>
  <c r="G39" i="46"/>
  <c r="D39" i="46"/>
  <c r="B39" i="46"/>
  <c r="J38" i="46"/>
  <c r="I38" i="46"/>
  <c r="H38" i="46"/>
  <c r="D38" i="46"/>
  <c r="B38" i="46"/>
  <c r="J37" i="46"/>
  <c r="I37" i="46"/>
  <c r="H37" i="46"/>
  <c r="G37" i="46"/>
  <c r="D37" i="46"/>
  <c r="B37" i="46"/>
  <c r="G36" i="46" s="1"/>
  <c r="J36" i="46"/>
  <c r="I36" i="46"/>
  <c r="H36" i="46"/>
  <c r="D36" i="46" s="1"/>
  <c r="B36" i="46"/>
  <c r="J35" i="46"/>
  <c r="I35" i="46"/>
  <c r="H35" i="46"/>
  <c r="G35" i="46"/>
  <c r="D35" i="46"/>
  <c r="B35" i="46"/>
  <c r="G34" i="46" s="1"/>
  <c r="J34" i="46"/>
  <c r="I34" i="46"/>
  <c r="H34" i="46"/>
  <c r="D34" i="46" s="1"/>
  <c r="B34" i="46"/>
  <c r="J33" i="46"/>
  <c r="I33" i="46"/>
  <c r="H33" i="46"/>
  <c r="G33" i="46"/>
  <c r="D33" i="46"/>
  <c r="B33" i="46"/>
  <c r="G32" i="46" s="1"/>
  <c r="J32" i="46"/>
  <c r="I32" i="46"/>
  <c r="H32" i="46"/>
  <c r="D32" i="46" s="1"/>
  <c r="B32" i="46"/>
  <c r="J31" i="46"/>
  <c r="I31" i="46"/>
  <c r="H31" i="46"/>
  <c r="G31" i="46"/>
  <c r="D31" i="46"/>
  <c r="B31" i="46"/>
  <c r="G30" i="46" s="1"/>
  <c r="J30" i="46"/>
  <c r="I30" i="46"/>
  <c r="H30" i="46"/>
  <c r="D30" i="46"/>
  <c r="B30" i="46"/>
  <c r="J29" i="46"/>
  <c r="I29" i="46"/>
  <c r="H29" i="46"/>
  <c r="G29" i="46"/>
  <c r="D29" i="46"/>
  <c r="B29" i="46"/>
  <c r="G28" i="46" s="1"/>
  <c r="J28" i="46"/>
  <c r="I28" i="46"/>
  <c r="H28" i="46"/>
  <c r="D28" i="46" s="1"/>
  <c r="B28" i="46"/>
  <c r="J27" i="46"/>
  <c r="I27" i="46"/>
  <c r="H27" i="46"/>
  <c r="G27" i="46"/>
  <c r="D27" i="46"/>
  <c r="B27" i="46"/>
  <c r="G26" i="46" s="1"/>
  <c r="J26" i="46"/>
  <c r="I26" i="46"/>
  <c r="H26" i="46"/>
  <c r="D26" i="46" s="1"/>
  <c r="B26" i="46"/>
  <c r="J25" i="46"/>
  <c r="I25" i="46"/>
  <c r="H25" i="46"/>
  <c r="G25" i="46"/>
  <c r="D25" i="46"/>
  <c r="B25" i="46"/>
  <c r="G24" i="46" s="1"/>
  <c r="J24" i="46"/>
  <c r="I24" i="46"/>
  <c r="H24" i="46"/>
  <c r="D24" i="46" s="1"/>
  <c r="B24" i="46"/>
  <c r="J23" i="46"/>
  <c r="I23" i="46"/>
  <c r="H23" i="46"/>
  <c r="G23" i="46"/>
  <c r="D23" i="46"/>
  <c r="B23" i="46"/>
  <c r="G22" i="46" s="1"/>
  <c r="J22" i="46"/>
  <c r="I22" i="46"/>
  <c r="H22" i="46"/>
  <c r="D22" i="46"/>
  <c r="B22" i="46"/>
  <c r="J21" i="46"/>
  <c r="I21" i="46"/>
  <c r="H21" i="46"/>
  <c r="D21" i="46" s="1"/>
  <c r="G21" i="46"/>
  <c r="B21" i="46"/>
  <c r="G20" i="46" s="1"/>
  <c r="J20" i="46"/>
  <c r="I20" i="46"/>
  <c r="H20" i="46"/>
  <c r="D20" i="46" s="1"/>
  <c r="B20" i="46"/>
  <c r="J19" i="46"/>
  <c r="I19" i="46"/>
  <c r="H19" i="46"/>
  <c r="D19" i="46" s="1"/>
  <c r="G19" i="46"/>
  <c r="B19" i="46"/>
  <c r="G18" i="46" s="1"/>
  <c r="J18" i="46"/>
  <c r="I18" i="46"/>
  <c r="H18" i="46"/>
  <c r="D18" i="46" s="1"/>
  <c r="B18" i="46"/>
  <c r="J17" i="46"/>
  <c r="I17" i="46"/>
  <c r="H17" i="46"/>
  <c r="G17" i="46"/>
  <c r="D17" i="46"/>
  <c r="B17" i="46"/>
  <c r="G16" i="46" s="1"/>
  <c r="J16" i="46"/>
  <c r="I16" i="46"/>
  <c r="H16" i="46"/>
  <c r="D16" i="46" s="1"/>
  <c r="B16" i="46"/>
  <c r="J15" i="46"/>
  <c r="I15" i="46"/>
  <c r="H15" i="46"/>
  <c r="G15" i="46"/>
  <c r="D15" i="46"/>
  <c r="B15" i="46"/>
  <c r="G14" i="46" s="1"/>
  <c r="J14" i="46"/>
  <c r="I14" i="46"/>
  <c r="H14" i="46"/>
  <c r="D14" i="46"/>
  <c r="B14" i="46"/>
  <c r="J13" i="46"/>
  <c r="I13" i="46"/>
  <c r="H13" i="46"/>
  <c r="D13" i="46" s="1"/>
  <c r="G13" i="46"/>
  <c r="B13" i="46"/>
  <c r="G12" i="46" s="1"/>
  <c r="J12" i="46"/>
  <c r="I12" i="46"/>
  <c r="H12" i="46"/>
  <c r="D12" i="46" s="1"/>
  <c r="B12" i="46"/>
  <c r="J11" i="46"/>
  <c r="I11" i="46"/>
  <c r="H11" i="46"/>
  <c r="G11" i="46"/>
  <c r="D11" i="46"/>
  <c r="B11" i="46"/>
  <c r="G10" i="46" s="1"/>
  <c r="J10" i="46"/>
  <c r="I10" i="46"/>
  <c r="H10" i="46"/>
  <c r="D10" i="46" s="1"/>
  <c r="B10" i="46"/>
  <c r="J9" i="46"/>
  <c r="I9" i="46"/>
  <c r="H9" i="46"/>
  <c r="G9" i="46"/>
  <c r="D9" i="46"/>
  <c r="B9" i="46"/>
  <c r="G8" i="46" s="1"/>
  <c r="J8" i="46"/>
  <c r="H8" i="46"/>
  <c r="D8" i="46" s="1"/>
  <c r="B8" i="46"/>
  <c r="G6" i="46" s="1"/>
  <c r="B6" i="46"/>
  <c r="B4" i="46"/>
  <c r="B3" i="46"/>
  <c r="G86" i="46" s="1"/>
  <c r="K80" i="46"/>
  <c r="K76" i="46"/>
  <c r="K72" i="46"/>
  <c r="K68" i="46"/>
  <c r="K64" i="46"/>
  <c r="K63" i="46"/>
  <c r="K62" i="46"/>
  <c r="K61" i="46"/>
  <c r="K60" i="46"/>
  <c r="K59" i="46"/>
  <c r="K58" i="46"/>
  <c r="K57" i="46"/>
  <c r="K56" i="46"/>
  <c r="K55" i="46"/>
  <c r="K53" i="46"/>
  <c r="K41" i="46"/>
  <c r="K32" i="46"/>
  <c r="K24" i="46"/>
  <c r="K16" i="46"/>
  <c r="K82" i="46"/>
  <c r="K78" i="46"/>
  <c r="K74" i="46"/>
  <c r="K70" i="46"/>
  <c r="K66" i="46"/>
  <c r="K42" i="46"/>
  <c r="K40" i="46"/>
  <c r="K12" i="46"/>
  <c r="K10" i="46"/>
  <c r="K54" i="46"/>
  <c r="K52" i="46"/>
  <c r="K39" i="46"/>
  <c r="K36" i="46"/>
  <c r="K28" i="46"/>
  <c r="K20" i="46"/>
  <c r="A3" i="46"/>
  <c r="A4" i="46"/>
  <c r="A2" i="46"/>
  <c r="K6" i="46" l="1"/>
  <c r="G3" i="46"/>
  <c r="G4" i="46"/>
  <c r="K4" i="46" s="1"/>
  <c r="K2" i="46"/>
  <c r="K86" i="46"/>
  <c r="K46" i="46"/>
  <c r="G65" i="46"/>
  <c r="G67" i="46"/>
  <c r="G69" i="46"/>
  <c r="G71" i="46"/>
  <c r="G73" i="46"/>
  <c r="G75" i="46"/>
  <c r="G77" i="46"/>
  <c r="G79" i="46"/>
  <c r="G81" i="46"/>
  <c r="G83" i="46"/>
  <c r="K3" i="46"/>
  <c r="G38" i="46"/>
  <c r="G63" i="45"/>
  <c r="G64" i="45"/>
  <c r="G65" i="45"/>
  <c r="B68" i="45"/>
  <c r="J66" i="45"/>
  <c r="H66" i="45"/>
  <c r="D66" i="45" s="1"/>
  <c r="B66" i="45"/>
  <c r="J65" i="45"/>
  <c r="H65" i="45"/>
  <c r="D65" i="45" s="1"/>
  <c r="B65" i="45"/>
  <c r="J64" i="45"/>
  <c r="H64" i="45"/>
  <c r="D64" i="45" s="1"/>
  <c r="B64" i="45"/>
  <c r="J63" i="45"/>
  <c r="H63" i="45"/>
  <c r="D63" i="45"/>
  <c r="B63" i="45"/>
  <c r="G62" i="45" s="1"/>
  <c r="J62" i="45"/>
  <c r="H62" i="45"/>
  <c r="D62" i="45" s="1"/>
  <c r="B62" i="45"/>
  <c r="J61" i="45"/>
  <c r="H61" i="45"/>
  <c r="G61" i="45"/>
  <c r="D61" i="45"/>
  <c r="B61" i="45"/>
  <c r="G60" i="45" s="1"/>
  <c r="J60" i="45"/>
  <c r="H60" i="45"/>
  <c r="D60" i="45" s="1"/>
  <c r="B60" i="45"/>
  <c r="J59" i="45"/>
  <c r="H59" i="45"/>
  <c r="G59" i="45"/>
  <c r="D59" i="45"/>
  <c r="B59" i="45"/>
  <c r="G58" i="45" s="1"/>
  <c r="J58" i="45"/>
  <c r="H58" i="45"/>
  <c r="D58" i="45" s="1"/>
  <c r="B58" i="45"/>
  <c r="J57" i="45"/>
  <c r="H57" i="45"/>
  <c r="G57" i="45"/>
  <c r="D57" i="45"/>
  <c r="B57" i="45"/>
  <c r="G56" i="45" s="1"/>
  <c r="J56" i="45"/>
  <c r="H56" i="45"/>
  <c r="D56" i="45" s="1"/>
  <c r="B56" i="45"/>
  <c r="J55" i="45"/>
  <c r="H55" i="45"/>
  <c r="G55" i="45"/>
  <c r="D55" i="45"/>
  <c r="B55" i="45"/>
  <c r="G54" i="45" s="1"/>
  <c r="J54" i="45"/>
  <c r="H54" i="45"/>
  <c r="D54" i="45" s="1"/>
  <c r="B54" i="45"/>
  <c r="J53" i="45"/>
  <c r="H53" i="45"/>
  <c r="G53" i="45"/>
  <c r="D53" i="45"/>
  <c r="B53" i="45"/>
  <c r="G52" i="45" s="1"/>
  <c r="J52" i="45"/>
  <c r="H52" i="45"/>
  <c r="D52" i="45" s="1"/>
  <c r="B52" i="45"/>
  <c r="J51" i="45"/>
  <c r="H51" i="45"/>
  <c r="G51" i="45"/>
  <c r="D51" i="45"/>
  <c r="B51" i="45"/>
  <c r="G50" i="45" s="1"/>
  <c r="J50" i="45"/>
  <c r="H50" i="45"/>
  <c r="D50" i="45" s="1"/>
  <c r="B50" i="45"/>
  <c r="J49" i="45"/>
  <c r="H49" i="45"/>
  <c r="G49" i="45"/>
  <c r="D49" i="45"/>
  <c r="B49" i="45"/>
  <c r="G48" i="45" s="1"/>
  <c r="J48" i="45"/>
  <c r="H48" i="45"/>
  <c r="D48" i="45" s="1"/>
  <c r="B48" i="45"/>
  <c r="J47" i="45"/>
  <c r="H47" i="45"/>
  <c r="G47" i="45"/>
  <c r="D47" i="45"/>
  <c r="B47" i="45"/>
  <c r="G46" i="45" s="1"/>
  <c r="J46" i="45"/>
  <c r="H46" i="45"/>
  <c r="D46" i="45" s="1"/>
  <c r="B46" i="45"/>
  <c r="J45" i="45"/>
  <c r="H45" i="45"/>
  <c r="G45" i="45"/>
  <c r="D45" i="45"/>
  <c r="B45" i="45"/>
  <c r="G44" i="45" s="1"/>
  <c r="J44" i="45"/>
  <c r="H44" i="45"/>
  <c r="D44" i="45" s="1"/>
  <c r="B44" i="45"/>
  <c r="J43" i="45"/>
  <c r="H43" i="45"/>
  <c r="G43" i="45"/>
  <c r="D43" i="45"/>
  <c r="B43" i="45"/>
  <c r="G42" i="45" s="1"/>
  <c r="J42" i="45"/>
  <c r="H42" i="45"/>
  <c r="D42" i="45" s="1"/>
  <c r="B42" i="45"/>
  <c r="J41" i="45"/>
  <c r="H41" i="45"/>
  <c r="G41" i="45"/>
  <c r="D41" i="45"/>
  <c r="B41" i="45"/>
  <c r="G40" i="45" s="1"/>
  <c r="J40" i="45"/>
  <c r="H40" i="45"/>
  <c r="D40" i="45" s="1"/>
  <c r="B40" i="45"/>
  <c r="J39" i="45"/>
  <c r="H39" i="45"/>
  <c r="G39" i="45"/>
  <c r="D39" i="45"/>
  <c r="B39" i="45"/>
  <c r="G38" i="45" s="1"/>
  <c r="J38" i="45"/>
  <c r="H38" i="45"/>
  <c r="D38" i="45" s="1"/>
  <c r="B38" i="45"/>
  <c r="G36" i="45" s="1"/>
  <c r="B36" i="45"/>
  <c r="G34" i="45" s="1"/>
  <c r="J34" i="45"/>
  <c r="H34" i="45"/>
  <c r="D34" i="45" s="1"/>
  <c r="B34" i="45"/>
  <c r="G33" i="45" s="1"/>
  <c r="J33" i="45"/>
  <c r="H33" i="45"/>
  <c r="D33" i="45" s="1"/>
  <c r="B33" i="45"/>
  <c r="G32" i="45" s="1"/>
  <c r="J32" i="45"/>
  <c r="H32" i="45"/>
  <c r="D32" i="45" s="1"/>
  <c r="B32" i="45"/>
  <c r="G31" i="45" s="1"/>
  <c r="J31" i="45"/>
  <c r="H31" i="45"/>
  <c r="D31" i="45"/>
  <c r="B31" i="45"/>
  <c r="G30" i="45" s="1"/>
  <c r="J30" i="45"/>
  <c r="H30" i="45"/>
  <c r="D30" i="45" s="1"/>
  <c r="B30" i="45"/>
  <c r="J29" i="45"/>
  <c r="H29" i="45"/>
  <c r="G29" i="45"/>
  <c r="D29" i="45"/>
  <c r="B29" i="45"/>
  <c r="G28" i="45" s="1"/>
  <c r="J28" i="45"/>
  <c r="H28" i="45"/>
  <c r="D28" i="45" s="1"/>
  <c r="B28" i="45"/>
  <c r="J27" i="45"/>
  <c r="H27" i="45"/>
  <c r="G27" i="45"/>
  <c r="D27" i="45"/>
  <c r="B27" i="45"/>
  <c r="G26" i="45" s="1"/>
  <c r="J26" i="45"/>
  <c r="H26" i="45"/>
  <c r="D26" i="45" s="1"/>
  <c r="B26" i="45"/>
  <c r="J25" i="45"/>
  <c r="H25" i="45"/>
  <c r="G25" i="45"/>
  <c r="D25" i="45"/>
  <c r="B25" i="45"/>
  <c r="G24" i="45" s="1"/>
  <c r="J24" i="45"/>
  <c r="H24" i="45"/>
  <c r="D24" i="45" s="1"/>
  <c r="B24" i="45"/>
  <c r="J23" i="45"/>
  <c r="H23" i="45"/>
  <c r="G23" i="45"/>
  <c r="D23" i="45"/>
  <c r="B23" i="45"/>
  <c r="G22" i="45" s="1"/>
  <c r="J22" i="45"/>
  <c r="H22" i="45"/>
  <c r="D22" i="45" s="1"/>
  <c r="B22" i="45"/>
  <c r="J21" i="45"/>
  <c r="H21" i="45"/>
  <c r="G21" i="45"/>
  <c r="D21" i="45"/>
  <c r="B21" i="45"/>
  <c r="G20" i="45" s="1"/>
  <c r="J20" i="45"/>
  <c r="H20" i="45"/>
  <c r="D20" i="45" s="1"/>
  <c r="B20" i="45"/>
  <c r="J19" i="45"/>
  <c r="H19" i="45"/>
  <c r="G19" i="45"/>
  <c r="D19" i="45"/>
  <c r="B19" i="45"/>
  <c r="G18" i="45" s="1"/>
  <c r="J18" i="45"/>
  <c r="H18" i="45"/>
  <c r="D18" i="45" s="1"/>
  <c r="B18" i="45"/>
  <c r="J17" i="45"/>
  <c r="H17" i="45"/>
  <c r="G17" i="45"/>
  <c r="D17" i="45"/>
  <c r="B17" i="45"/>
  <c r="G16" i="45" s="1"/>
  <c r="J16" i="45"/>
  <c r="H16" i="45"/>
  <c r="D16" i="45" s="1"/>
  <c r="B16" i="45"/>
  <c r="J15" i="45"/>
  <c r="H15" i="45"/>
  <c r="G15" i="45"/>
  <c r="D15" i="45"/>
  <c r="B15" i="45"/>
  <c r="G14" i="45" s="1"/>
  <c r="J14" i="45"/>
  <c r="H14" i="45"/>
  <c r="D14" i="45" s="1"/>
  <c r="B14" i="45"/>
  <c r="J13" i="45"/>
  <c r="H13" i="45"/>
  <c r="D13" i="45" s="1"/>
  <c r="G13" i="45"/>
  <c r="B13" i="45"/>
  <c r="J12" i="45"/>
  <c r="H12" i="45"/>
  <c r="D12" i="45" s="1"/>
  <c r="G12" i="45"/>
  <c r="B12" i="45"/>
  <c r="J11" i="45"/>
  <c r="H11" i="45"/>
  <c r="D11" i="45" s="1"/>
  <c r="G11" i="45"/>
  <c r="B11" i="45"/>
  <c r="G10" i="45" s="1"/>
  <c r="J10" i="45"/>
  <c r="H10" i="45"/>
  <c r="D10" i="45" s="1"/>
  <c r="B10" i="45"/>
  <c r="J9" i="45"/>
  <c r="H9" i="45"/>
  <c r="G9" i="45"/>
  <c r="D9" i="45"/>
  <c r="B9" i="45"/>
  <c r="G8" i="45" s="1"/>
  <c r="J8" i="45"/>
  <c r="H8" i="45"/>
  <c r="D8" i="45" s="1"/>
  <c r="B8" i="45"/>
  <c r="G6" i="45" s="1"/>
  <c r="B6" i="45"/>
  <c r="B4" i="45"/>
  <c r="B3" i="45"/>
  <c r="G68" i="45" s="1"/>
  <c r="K18" i="46"/>
  <c r="K26" i="46"/>
  <c r="K34" i="46"/>
  <c r="K50" i="46"/>
  <c r="K13" i="46"/>
  <c r="K17" i="46"/>
  <c r="K21" i="46"/>
  <c r="K25" i="46"/>
  <c r="K29" i="46"/>
  <c r="K33" i="46"/>
  <c r="K37" i="46"/>
  <c r="K51" i="46"/>
  <c r="K11" i="46"/>
  <c r="K14" i="46"/>
  <c r="K22" i="46"/>
  <c r="K30" i="46"/>
  <c r="K9" i="46"/>
  <c r="K15" i="46"/>
  <c r="K19" i="46"/>
  <c r="K23" i="46"/>
  <c r="K27" i="46"/>
  <c r="K31" i="46"/>
  <c r="K35" i="46"/>
  <c r="K43" i="46"/>
  <c r="K49" i="46"/>
  <c r="K67" i="46"/>
  <c r="K71" i="46"/>
  <c r="K75" i="46"/>
  <c r="K79" i="46"/>
  <c r="K65" i="46"/>
  <c r="K69" i="46"/>
  <c r="K73" i="46"/>
  <c r="K77" i="46"/>
  <c r="K81" i="46"/>
  <c r="K83" i="46"/>
  <c r="K38" i="46"/>
  <c r="A2" i="45"/>
  <c r="A3" i="45"/>
  <c r="A4" i="45"/>
  <c r="K6" i="45" l="1"/>
  <c r="G3" i="45"/>
  <c r="G4" i="45"/>
  <c r="K4" i="45" s="1"/>
  <c r="K2" i="45"/>
  <c r="K36" i="45"/>
  <c r="G66" i="45"/>
  <c r="K68" i="45"/>
  <c r="K3" i="45"/>
  <c r="G88" i="44"/>
  <c r="G77" i="44"/>
  <c r="G78" i="44"/>
  <c r="G79" i="44"/>
  <c r="G80" i="44"/>
  <c r="G81" i="44"/>
  <c r="G82" i="44"/>
  <c r="G83" i="44"/>
  <c r="G84" i="44"/>
  <c r="G85" i="44"/>
  <c r="G86" i="44"/>
  <c r="G87" i="44"/>
  <c r="J83" i="44"/>
  <c r="I83" i="44"/>
  <c r="H83" i="44"/>
  <c r="D83" i="44" s="1"/>
  <c r="B83" i="44"/>
  <c r="J82" i="44"/>
  <c r="I82" i="44"/>
  <c r="H82" i="44"/>
  <c r="D82" i="44" s="1"/>
  <c r="B82" i="44"/>
  <c r="J81" i="44"/>
  <c r="I81" i="44"/>
  <c r="H81" i="44"/>
  <c r="D81" i="44" s="1"/>
  <c r="B81" i="44"/>
  <c r="J80" i="44"/>
  <c r="I80" i="44"/>
  <c r="H80" i="44"/>
  <c r="D80" i="44"/>
  <c r="B80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28" i="44"/>
  <c r="I29" i="44"/>
  <c r="I30" i="44"/>
  <c r="I31" i="44"/>
  <c r="I32" i="44"/>
  <c r="I33" i="44"/>
  <c r="I34" i="44"/>
  <c r="I35" i="44"/>
  <c r="I36" i="44"/>
  <c r="I37" i="44"/>
  <c r="I38" i="44"/>
  <c r="I39" i="44"/>
  <c r="I40" i="44"/>
  <c r="I41" i="44"/>
  <c r="I42" i="44"/>
  <c r="I43" i="44"/>
  <c r="I44" i="44"/>
  <c r="I45" i="44"/>
  <c r="H39" i="44"/>
  <c r="H40" i="44"/>
  <c r="D40" i="44" s="1"/>
  <c r="H41" i="44"/>
  <c r="D41" i="44" s="1"/>
  <c r="H42" i="44"/>
  <c r="D42" i="44" s="1"/>
  <c r="H43" i="44"/>
  <c r="H44" i="44"/>
  <c r="D44" i="44" s="1"/>
  <c r="H45" i="44"/>
  <c r="D45" i="44" s="1"/>
  <c r="H46" i="44"/>
  <c r="D46" i="44" s="1"/>
  <c r="D39" i="44"/>
  <c r="D43" i="44"/>
  <c r="B39" i="44"/>
  <c r="G38" i="44" s="1"/>
  <c r="B40" i="44"/>
  <c r="G39" i="44" s="1"/>
  <c r="B41" i="44"/>
  <c r="G40" i="44" s="1"/>
  <c r="B42" i="44"/>
  <c r="G41" i="44" s="1"/>
  <c r="B43" i="44"/>
  <c r="G42" i="44" s="1"/>
  <c r="B44" i="44"/>
  <c r="G43" i="44" s="1"/>
  <c r="B90" i="44"/>
  <c r="J88" i="44"/>
  <c r="H88" i="44"/>
  <c r="D88" i="44" s="1"/>
  <c r="B88" i="44"/>
  <c r="J87" i="44"/>
  <c r="H87" i="44"/>
  <c r="D87" i="44" s="1"/>
  <c r="B87" i="44"/>
  <c r="J86" i="44"/>
  <c r="H86" i="44"/>
  <c r="D86" i="44" s="1"/>
  <c r="B86" i="44"/>
  <c r="J85" i="44"/>
  <c r="H85" i="44"/>
  <c r="D85" i="44" s="1"/>
  <c r="B85" i="44"/>
  <c r="J84" i="44"/>
  <c r="H84" i="44"/>
  <c r="D84" i="44" s="1"/>
  <c r="B84" i="44"/>
  <c r="J79" i="44"/>
  <c r="H79" i="44"/>
  <c r="D79" i="44" s="1"/>
  <c r="B79" i="44"/>
  <c r="J78" i="44"/>
  <c r="H78" i="44"/>
  <c r="D78" i="44" s="1"/>
  <c r="B78" i="44"/>
  <c r="J77" i="44"/>
  <c r="H77" i="44"/>
  <c r="D77" i="44" s="1"/>
  <c r="B77" i="44"/>
  <c r="G76" i="44" s="1"/>
  <c r="J76" i="44"/>
  <c r="H76" i="44"/>
  <c r="D76" i="44" s="1"/>
  <c r="B76" i="44"/>
  <c r="G75" i="44" s="1"/>
  <c r="J75" i="44"/>
  <c r="H75" i="44"/>
  <c r="D75" i="44" s="1"/>
  <c r="B75" i="44"/>
  <c r="G74" i="44" s="1"/>
  <c r="J74" i="44"/>
  <c r="H74" i="44"/>
  <c r="D74" i="44" s="1"/>
  <c r="B74" i="44"/>
  <c r="G73" i="44" s="1"/>
  <c r="J73" i="44"/>
  <c r="H73" i="44"/>
  <c r="D73" i="44" s="1"/>
  <c r="B73" i="44"/>
  <c r="G72" i="44" s="1"/>
  <c r="J72" i="44"/>
  <c r="H72" i="44"/>
  <c r="D72" i="44" s="1"/>
  <c r="B72" i="44"/>
  <c r="G71" i="44" s="1"/>
  <c r="J71" i="44"/>
  <c r="H71" i="44"/>
  <c r="D71" i="44" s="1"/>
  <c r="B71" i="44"/>
  <c r="G70" i="44" s="1"/>
  <c r="J70" i="44"/>
  <c r="H70" i="44"/>
  <c r="D70" i="44" s="1"/>
  <c r="B70" i="44"/>
  <c r="G69" i="44" s="1"/>
  <c r="J69" i="44"/>
  <c r="H69" i="44"/>
  <c r="D69" i="44" s="1"/>
  <c r="B69" i="44"/>
  <c r="G68" i="44" s="1"/>
  <c r="J68" i="44"/>
  <c r="H68" i="44"/>
  <c r="D68" i="44" s="1"/>
  <c r="B68" i="44"/>
  <c r="G67" i="44" s="1"/>
  <c r="J67" i="44"/>
  <c r="H67" i="44"/>
  <c r="D67" i="44" s="1"/>
  <c r="B67" i="44"/>
  <c r="G66" i="44" s="1"/>
  <c r="J66" i="44"/>
  <c r="H66" i="44"/>
  <c r="D66" i="44" s="1"/>
  <c r="B66" i="44"/>
  <c r="G65" i="44" s="1"/>
  <c r="J65" i="44"/>
  <c r="H65" i="44"/>
  <c r="D65" i="44" s="1"/>
  <c r="B65" i="44"/>
  <c r="G64" i="44" s="1"/>
  <c r="J64" i="44"/>
  <c r="H64" i="44"/>
  <c r="D64" i="44" s="1"/>
  <c r="B64" i="44"/>
  <c r="G63" i="44" s="1"/>
  <c r="J63" i="44"/>
  <c r="H63" i="44"/>
  <c r="D63" i="44" s="1"/>
  <c r="B63" i="44"/>
  <c r="G62" i="44" s="1"/>
  <c r="J62" i="44"/>
  <c r="H62" i="44"/>
  <c r="D62" i="44" s="1"/>
  <c r="B62" i="44"/>
  <c r="G61" i="44" s="1"/>
  <c r="J61" i="44"/>
  <c r="H61" i="44"/>
  <c r="D61" i="44" s="1"/>
  <c r="B61" i="44"/>
  <c r="G60" i="44" s="1"/>
  <c r="J60" i="44"/>
  <c r="H60" i="44"/>
  <c r="D60" i="44" s="1"/>
  <c r="B60" i="44"/>
  <c r="G59" i="44" s="1"/>
  <c r="J59" i="44"/>
  <c r="H59" i="44"/>
  <c r="D59" i="44" s="1"/>
  <c r="B59" i="44"/>
  <c r="G58" i="44" s="1"/>
  <c r="J58" i="44"/>
  <c r="H58" i="44"/>
  <c r="D58" i="44" s="1"/>
  <c r="B58" i="44"/>
  <c r="G57" i="44" s="1"/>
  <c r="J57" i="44"/>
  <c r="H57" i="44"/>
  <c r="D57" i="44" s="1"/>
  <c r="B57" i="44"/>
  <c r="G56" i="44" s="1"/>
  <c r="J56" i="44"/>
  <c r="H56" i="44"/>
  <c r="D56" i="44" s="1"/>
  <c r="B56" i="44"/>
  <c r="G55" i="44" s="1"/>
  <c r="J55" i="44"/>
  <c r="H55" i="44"/>
  <c r="D55" i="44" s="1"/>
  <c r="B55" i="44"/>
  <c r="G54" i="44" s="1"/>
  <c r="J54" i="44"/>
  <c r="H54" i="44"/>
  <c r="D54" i="44" s="1"/>
  <c r="B54" i="44"/>
  <c r="G53" i="44" s="1"/>
  <c r="J53" i="44"/>
  <c r="H53" i="44"/>
  <c r="D53" i="44" s="1"/>
  <c r="B53" i="44"/>
  <c r="G52" i="44" s="1"/>
  <c r="J52" i="44"/>
  <c r="H52" i="44"/>
  <c r="D52" i="44" s="1"/>
  <c r="B52" i="44"/>
  <c r="G51" i="44" s="1"/>
  <c r="J51" i="44"/>
  <c r="H51" i="44"/>
  <c r="D51" i="44" s="1"/>
  <c r="B51" i="44"/>
  <c r="G50" i="44" s="1"/>
  <c r="J50" i="44"/>
  <c r="H50" i="44"/>
  <c r="D50" i="44" s="1"/>
  <c r="B50" i="44"/>
  <c r="G48" i="44" s="1"/>
  <c r="B48" i="44"/>
  <c r="G46" i="44" s="1"/>
  <c r="J46" i="44"/>
  <c r="B46" i="44"/>
  <c r="G45" i="44" s="1"/>
  <c r="J45" i="44"/>
  <c r="B45" i="44"/>
  <c r="G44" i="44" s="1"/>
  <c r="J44" i="44"/>
  <c r="J43" i="44"/>
  <c r="J38" i="44"/>
  <c r="H38" i="44"/>
  <c r="D38" i="44" s="1"/>
  <c r="B38" i="44"/>
  <c r="G37" i="44" s="1"/>
  <c r="J37" i="44"/>
  <c r="H37" i="44"/>
  <c r="D37" i="44" s="1"/>
  <c r="B37" i="44"/>
  <c r="G36" i="44" s="1"/>
  <c r="J36" i="44"/>
  <c r="H36" i="44"/>
  <c r="D36" i="44" s="1"/>
  <c r="B36" i="44"/>
  <c r="G35" i="44" s="1"/>
  <c r="J35" i="44"/>
  <c r="H35" i="44"/>
  <c r="D35" i="44" s="1"/>
  <c r="B35" i="44"/>
  <c r="G34" i="44" s="1"/>
  <c r="J34" i="44"/>
  <c r="H34" i="44"/>
  <c r="D34" i="44" s="1"/>
  <c r="B34" i="44"/>
  <c r="G33" i="44" s="1"/>
  <c r="J33" i="44"/>
  <c r="H33" i="44"/>
  <c r="D33" i="44" s="1"/>
  <c r="B33" i="44"/>
  <c r="G32" i="44" s="1"/>
  <c r="J32" i="44"/>
  <c r="H32" i="44"/>
  <c r="D32" i="44" s="1"/>
  <c r="B32" i="44"/>
  <c r="G31" i="44" s="1"/>
  <c r="J31" i="44"/>
  <c r="H31" i="44"/>
  <c r="D31" i="44" s="1"/>
  <c r="B31" i="44"/>
  <c r="G30" i="44" s="1"/>
  <c r="J30" i="44"/>
  <c r="H30" i="44"/>
  <c r="D30" i="44" s="1"/>
  <c r="B30" i="44"/>
  <c r="G29" i="44" s="1"/>
  <c r="J29" i="44"/>
  <c r="H29" i="44"/>
  <c r="D29" i="44" s="1"/>
  <c r="B29" i="44"/>
  <c r="G28" i="44" s="1"/>
  <c r="J28" i="44"/>
  <c r="H28" i="44"/>
  <c r="D28" i="44" s="1"/>
  <c r="B28" i="44"/>
  <c r="J27" i="44"/>
  <c r="H27" i="44"/>
  <c r="D27" i="44" s="1"/>
  <c r="B27" i="44"/>
  <c r="G26" i="44" s="1"/>
  <c r="J26" i="44"/>
  <c r="H26" i="44"/>
  <c r="D26" i="44" s="1"/>
  <c r="B26" i="44"/>
  <c r="G25" i="44" s="1"/>
  <c r="J25" i="44"/>
  <c r="H25" i="44"/>
  <c r="D25" i="44" s="1"/>
  <c r="B25" i="44"/>
  <c r="G24" i="44" s="1"/>
  <c r="J24" i="44"/>
  <c r="H24" i="44"/>
  <c r="D24" i="44" s="1"/>
  <c r="B24" i="44"/>
  <c r="G23" i="44" s="1"/>
  <c r="J23" i="44"/>
  <c r="H23" i="44"/>
  <c r="D23" i="44" s="1"/>
  <c r="B23" i="44"/>
  <c r="G22" i="44" s="1"/>
  <c r="J22" i="44"/>
  <c r="H22" i="44"/>
  <c r="D22" i="44" s="1"/>
  <c r="B22" i="44"/>
  <c r="G21" i="44" s="1"/>
  <c r="J21" i="44"/>
  <c r="H21" i="44"/>
  <c r="D21" i="44" s="1"/>
  <c r="B21" i="44"/>
  <c r="G20" i="44" s="1"/>
  <c r="J20" i="44"/>
  <c r="H20" i="44"/>
  <c r="D20" i="44" s="1"/>
  <c r="B20" i="44"/>
  <c r="G19" i="44" s="1"/>
  <c r="J19" i="44"/>
  <c r="H19" i="44"/>
  <c r="D19" i="44" s="1"/>
  <c r="B19" i="44"/>
  <c r="G18" i="44" s="1"/>
  <c r="J18" i="44"/>
  <c r="H18" i="44"/>
  <c r="D18" i="44" s="1"/>
  <c r="B18" i="44"/>
  <c r="G17" i="44" s="1"/>
  <c r="J17" i="44"/>
  <c r="H17" i="44"/>
  <c r="D17" i="44" s="1"/>
  <c r="B17" i="44"/>
  <c r="G16" i="44" s="1"/>
  <c r="J16" i="44"/>
  <c r="H16" i="44"/>
  <c r="D16" i="44" s="1"/>
  <c r="B16" i="44"/>
  <c r="G15" i="44" s="1"/>
  <c r="J15" i="44"/>
  <c r="H15" i="44"/>
  <c r="D15" i="44" s="1"/>
  <c r="B15" i="44"/>
  <c r="G14" i="44" s="1"/>
  <c r="J14" i="44"/>
  <c r="H14" i="44"/>
  <c r="D14" i="44" s="1"/>
  <c r="B14" i="44"/>
  <c r="G13" i="44" s="1"/>
  <c r="J13" i="44"/>
  <c r="H13" i="44"/>
  <c r="D13" i="44" s="1"/>
  <c r="B13" i="44"/>
  <c r="G12" i="44" s="1"/>
  <c r="J12" i="44"/>
  <c r="H12" i="44"/>
  <c r="D12" i="44" s="1"/>
  <c r="B12" i="44"/>
  <c r="G11" i="44" s="1"/>
  <c r="J11" i="44"/>
  <c r="H11" i="44"/>
  <c r="D11" i="44" s="1"/>
  <c r="B11" i="44"/>
  <c r="G10" i="44" s="1"/>
  <c r="J10" i="44"/>
  <c r="H10" i="44"/>
  <c r="D10" i="44" s="1"/>
  <c r="B10" i="44"/>
  <c r="G9" i="44" s="1"/>
  <c r="J9" i="44"/>
  <c r="H9" i="44"/>
  <c r="D9" i="44" s="1"/>
  <c r="B9" i="44"/>
  <c r="G8" i="44" s="1"/>
  <c r="J8" i="44"/>
  <c r="H8" i="44"/>
  <c r="D8" i="44" s="1"/>
  <c r="B8" i="44"/>
  <c r="G3" i="44" s="1"/>
  <c r="B6" i="44"/>
  <c r="B4" i="44"/>
  <c r="B3" i="44"/>
  <c r="G90" i="44" s="1"/>
  <c r="K81" i="44"/>
  <c r="K43" i="44"/>
  <c r="K82" i="44"/>
  <c r="K42" i="44"/>
  <c r="K83" i="44"/>
  <c r="K39" i="44"/>
  <c r="K44" i="44"/>
  <c r="K80" i="44"/>
  <c r="K45" i="44"/>
  <c r="K40" i="44"/>
  <c r="K41" i="44"/>
  <c r="A4" i="44"/>
  <c r="A3" i="44"/>
  <c r="A2" i="44"/>
  <c r="K90" i="44" l="1"/>
  <c r="G4" i="44"/>
  <c r="K4" i="44" s="1"/>
  <c r="G6" i="44"/>
  <c r="K6" i="44" s="1"/>
  <c r="K2" i="44"/>
  <c r="K3" i="44"/>
  <c r="G27" i="44"/>
  <c r="K48" i="44"/>
  <c r="G72" i="43"/>
  <c r="G73" i="43"/>
  <c r="F28" i="38"/>
  <c r="G28" i="38"/>
  <c r="B76" i="43"/>
  <c r="G74" i="43" s="1"/>
  <c r="J74" i="43"/>
  <c r="H74" i="43"/>
  <c r="D74" i="43" s="1"/>
  <c r="B74" i="43"/>
  <c r="J73" i="43"/>
  <c r="H73" i="43"/>
  <c r="D73" i="43" s="1"/>
  <c r="B73" i="43"/>
  <c r="J72" i="43"/>
  <c r="H72" i="43"/>
  <c r="D72" i="43" s="1"/>
  <c r="B72" i="43"/>
  <c r="J71" i="43"/>
  <c r="H71" i="43"/>
  <c r="D71" i="43" s="1"/>
  <c r="B71" i="43"/>
  <c r="J70" i="43"/>
  <c r="H70" i="43"/>
  <c r="G70" i="43"/>
  <c r="D70" i="43"/>
  <c r="B70" i="43"/>
  <c r="G69" i="43" s="1"/>
  <c r="J69" i="43"/>
  <c r="H69" i="43"/>
  <c r="D69" i="43" s="1"/>
  <c r="B69" i="43"/>
  <c r="J68" i="43"/>
  <c r="H68" i="43"/>
  <c r="G68" i="43"/>
  <c r="D68" i="43"/>
  <c r="B68" i="43"/>
  <c r="G67" i="43" s="1"/>
  <c r="J67" i="43"/>
  <c r="H67" i="43"/>
  <c r="D67" i="43" s="1"/>
  <c r="B67" i="43"/>
  <c r="G66" i="43" s="1"/>
  <c r="J66" i="43"/>
  <c r="H66" i="43"/>
  <c r="D66" i="43" s="1"/>
  <c r="B66" i="43"/>
  <c r="G65" i="43" s="1"/>
  <c r="J65" i="43"/>
  <c r="H65" i="43"/>
  <c r="D65" i="43" s="1"/>
  <c r="B65" i="43"/>
  <c r="G64" i="43" s="1"/>
  <c r="J64" i="43"/>
  <c r="H64" i="43"/>
  <c r="D64" i="43" s="1"/>
  <c r="B64" i="43"/>
  <c r="G63" i="43" s="1"/>
  <c r="J63" i="43"/>
  <c r="H63" i="43"/>
  <c r="D63" i="43" s="1"/>
  <c r="B63" i="43"/>
  <c r="G62" i="43" s="1"/>
  <c r="J62" i="43"/>
  <c r="H62" i="43"/>
  <c r="D62" i="43" s="1"/>
  <c r="B62" i="43"/>
  <c r="G61" i="43" s="1"/>
  <c r="J61" i="43"/>
  <c r="H61" i="43"/>
  <c r="D61" i="43" s="1"/>
  <c r="B61" i="43"/>
  <c r="G60" i="43" s="1"/>
  <c r="J60" i="43"/>
  <c r="H60" i="43"/>
  <c r="D60" i="43" s="1"/>
  <c r="B60" i="43"/>
  <c r="G59" i="43" s="1"/>
  <c r="J59" i="43"/>
  <c r="H59" i="43"/>
  <c r="D59" i="43" s="1"/>
  <c r="B59" i="43"/>
  <c r="G58" i="43" s="1"/>
  <c r="J58" i="43"/>
  <c r="H58" i="43"/>
  <c r="D58" i="43" s="1"/>
  <c r="B58" i="43"/>
  <c r="G57" i="43" s="1"/>
  <c r="J57" i="43"/>
  <c r="H57" i="43"/>
  <c r="D57" i="43" s="1"/>
  <c r="B57" i="43"/>
  <c r="G56" i="43" s="1"/>
  <c r="J56" i="43"/>
  <c r="H56" i="43"/>
  <c r="D56" i="43" s="1"/>
  <c r="B56" i="43"/>
  <c r="G55" i="43" s="1"/>
  <c r="J55" i="43"/>
  <c r="H55" i="43"/>
  <c r="D55" i="43" s="1"/>
  <c r="B55" i="43"/>
  <c r="J54" i="43"/>
  <c r="H54" i="43"/>
  <c r="D54" i="43" s="1"/>
  <c r="G54" i="43"/>
  <c r="B54" i="43"/>
  <c r="G53" i="43" s="1"/>
  <c r="J53" i="43"/>
  <c r="H53" i="43"/>
  <c r="D53" i="43" s="1"/>
  <c r="B53" i="43"/>
  <c r="J52" i="43"/>
  <c r="H52" i="43"/>
  <c r="D52" i="43" s="1"/>
  <c r="G52" i="43"/>
  <c r="B52" i="43"/>
  <c r="G51" i="43" s="1"/>
  <c r="J51" i="43"/>
  <c r="H51" i="43"/>
  <c r="D51" i="43" s="1"/>
  <c r="B51" i="43"/>
  <c r="G50" i="43" s="1"/>
  <c r="J50" i="43"/>
  <c r="H50" i="43"/>
  <c r="D50" i="43" s="1"/>
  <c r="B50" i="43"/>
  <c r="G49" i="43" s="1"/>
  <c r="J49" i="43"/>
  <c r="H49" i="43"/>
  <c r="D49" i="43" s="1"/>
  <c r="B49" i="43"/>
  <c r="G48" i="43" s="1"/>
  <c r="J48" i="43"/>
  <c r="H48" i="43"/>
  <c r="D48" i="43" s="1"/>
  <c r="B48" i="43"/>
  <c r="G47" i="43" s="1"/>
  <c r="J47" i="43"/>
  <c r="H47" i="43"/>
  <c r="D47" i="43" s="1"/>
  <c r="B47" i="43"/>
  <c r="G46" i="43" s="1"/>
  <c r="J46" i="43"/>
  <c r="H46" i="43"/>
  <c r="D46" i="43" s="1"/>
  <c r="B46" i="43"/>
  <c r="G45" i="43" s="1"/>
  <c r="J45" i="43"/>
  <c r="H45" i="43"/>
  <c r="D45" i="43" s="1"/>
  <c r="B45" i="43"/>
  <c r="G44" i="43" s="1"/>
  <c r="J44" i="43"/>
  <c r="H44" i="43"/>
  <c r="D44" i="43" s="1"/>
  <c r="B44" i="43"/>
  <c r="G43" i="43" s="1"/>
  <c r="J43" i="43"/>
  <c r="H43" i="43"/>
  <c r="D43" i="43" s="1"/>
  <c r="B43" i="43"/>
  <c r="G42" i="43" s="1"/>
  <c r="J42" i="43"/>
  <c r="H42" i="43"/>
  <c r="D42" i="43" s="1"/>
  <c r="B42" i="43"/>
  <c r="B40" i="43"/>
  <c r="G38" i="43" s="1"/>
  <c r="J38" i="43"/>
  <c r="H38" i="43"/>
  <c r="D38" i="43" s="1"/>
  <c r="B38" i="43"/>
  <c r="G37" i="43" s="1"/>
  <c r="J37" i="43"/>
  <c r="H37" i="43"/>
  <c r="D37" i="43" s="1"/>
  <c r="B37" i="43"/>
  <c r="G36" i="43" s="1"/>
  <c r="J36" i="43"/>
  <c r="H36" i="43"/>
  <c r="D36" i="43" s="1"/>
  <c r="B36" i="43"/>
  <c r="G35" i="43" s="1"/>
  <c r="J35" i="43"/>
  <c r="H35" i="43"/>
  <c r="D35" i="43" s="1"/>
  <c r="B35" i="43"/>
  <c r="G34" i="43" s="1"/>
  <c r="J34" i="43"/>
  <c r="H34" i="43"/>
  <c r="D34" i="43" s="1"/>
  <c r="B34" i="43"/>
  <c r="G33" i="43" s="1"/>
  <c r="J33" i="43"/>
  <c r="H33" i="43"/>
  <c r="D33" i="43" s="1"/>
  <c r="B33" i="43"/>
  <c r="G32" i="43" s="1"/>
  <c r="J32" i="43"/>
  <c r="H32" i="43"/>
  <c r="D32" i="43"/>
  <c r="B32" i="43"/>
  <c r="G31" i="43" s="1"/>
  <c r="J31" i="43"/>
  <c r="H31" i="43"/>
  <c r="D31" i="43" s="1"/>
  <c r="B31" i="43"/>
  <c r="G30" i="43" s="1"/>
  <c r="J30" i="43"/>
  <c r="H30" i="43"/>
  <c r="D30" i="43" s="1"/>
  <c r="B30" i="43"/>
  <c r="G29" i="43" s="1"/>
  <c r="J29" i="43"/>
  <c r="H29" i="43"/>
  <c r="D29" i="43" s="1"/>
  <c r="B29" i="43"/>
  <c r="G28" i="43" s="1"/>
  <c r="J28" i="43"/>
  <c r="H28" i="43"/>
  <c r="D28" i="43" s="1"/>
  <c r="B28" i="43"/>
  <c r="G27" i="43" s="1"/>
  <c r="J27" i="43"/>
  <c r="H27" i="43"/>
  <c r="D27" i="43" s="1"/>
  <c r="B27" i="43"/>
  <c r="G26" i="43" s="1"/>
  <c r="J26" i="43"/>
  <c r="H26" i="43"/>
  <c r="D26" i="43" s="1"/>
  <c r="B26" i="43"/>
  <c r="G25" i="43" s="1"/>
  <c r="J25" i="43"/>
  <c r="H25" i="43"/>
  <c r="D25" i="43" s="1"/>
  <c r="B25" i="43"/>
  <c r="J24" i="43"/>
  <c r="H24" i="43"/>
  <c r="D24" i="43" s="1"/>
  <c r="G24" i="43"/>
  <c r="B24" i="43"/>
  <c r="J23" i="43"/>
  <c r="H23" i="43"/>
  <c r="D23" i="43" s="1"/>
  <c r="B23" i="43"/>
  <c r="G22" i="43" s="1"/>
  <c r="J22" i="43"/>
  <c r="H22" i="43"/>
  <c r="D22" i="43" s="1"/>
  <c r="B22" i="43"/>
  <c r="J21" i="43"/>
  <c r="H21" i="43"/>
  <c r="D21" i="43" s="1"/>
  <c r="B21" i="43"/>
  <c r="G20" i="43" s="1"/>
  <c r="J20" i="43"/>
  <c r="H20" i="43"/>
  <c r="D20" i="43" s="1"/>
  <c r="B20" i="43"/>
  <c r="J19" i="43"/>
  <c r="H19" i="43"/>
  <c r="D19" i="43" s="1"/>
  <c r="B19" i="43"/>
  <c r="G18" i="43" s="1"/>
  <c r="J18" i="43"/>
  <c r="H18" i="43"/>
  <c r="D18" i="43" s="1"/>
  <c r="B18" i="43"/>
  <c r="J17" i="43"/>
  <c r="H17" i="43"/>
  <c r="D17" i="43" s="1"/>
  <c r="B17" i="43"/>
  <c r="J16" i="43"/>
  <c r="H16" i="43"/>
  <c r="D16" i="43" s="1"/>
  <c r="G16" i="43"/>
  <c r="B16" i="43"/>
  <c r="J15" i="43"/>
  <c r="H15" i="43"/>
  <c r="D15" i="43" s="1"/>
  <c r="B15" i="43"/>
  <c r="G14" i="43" s="1"/>
  <c r="J14" i="43"/>
  <c r="H14" i="43"/>
  <c r="D14" i="43" s="1"/>
  <c r="B14" i="43"/>
  <c r="J13" i="43"/>
  <c r="H13" i="43"/>
  <c r="D13" i="43" s="1"/>
  <c r="B13" i="43"/>
  <c r="G12" i="43" s="1"/>
  <c r="J12" i="43"/>
  <c r="H12" i="43"/>
  <c r="D12" i="43" s="1"/>
  <c r="B12" i="43"/>
  <c r="J11" i="43"/>
  <c r="H11" i="43"/>
  <c r="D11" i="43" s="1"/>
  <c r="B11" i="43"/>
  <c r="G10" i="43" s="1"/>
  <c r="J10" i="43"/>
  <c r="H10" i="43"/>
  <c r="D10" i="43" s="1"/>
  <c r="B10" i="43"/>
  <c r="J9" i="43"/>
  <c r="H9" i="43"/>
  <c r="D9" i="43" s="1"/>
  <c r="B9" i="43"/>
  <c r="J8" i="43"/>
  <c r="H8" i="43"/>
  <c r="D8" i="43" s="1"/>
  <c r="G8" i="43"/>
  <c r="B8" i="43"/>
  <c r="G6" i="43" s="1"/>
  <c r="B6" i="43"/>
  <c r="G4" i="43"/>
  <c r="B4" i="43"/>
  <c r="B3" i="43"/>
  <c r="G76" i="43" s="1"/>
  <c r="G3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H61" i="42"/>
  <c r="D61" i="42" s="1"/>
  <c r="H62" i="42"/>
  <c r="D62" i="42" s="1"/>
  <c r="H63" i="42"/>
  <c r="D63" i="42" s="1"/>
  <c r="H64" i="42"/>
  <c r="D64" i="42" s="1"/>
  <c r="H65" i="42"/>
  <c r="D65" i="42" s="1"/>
  <c r="H66" i="42"/>
  <c r="D66" i="42" s="1"/>
  <c r="H67" i="42"/>
  <c r="D67" i="42" s="1"/>
  <c r="H68" i="42"/>
  <c r="D68" i="42" s="1"/>
  <c r="H69" i="42"/>
  <c r="D69" i="42" s="1"/>
  <c r="H70" i="42"/>
  <c r="D70" i="42" s="1"/>
  <c r="H71" i="42"/>
  <c r="D71" i="42" s="1"/>
  <c r="H72" i="42"/>
  <c r="D72" i="42" s="1"/>
  <c r="H73" i="42"/>
  <c r="D73" i="42" s="1"/>
  <c r="H74" i="42"/>
  <c r="D74" i="42" s="1"/>
  <c r="H75" i="42"/>
  <c r="D75" i="42" s="1"/>
  <c r="H76" i="42"/>
  <c r="D76" i="42" s="1"/>
  <c r="H77" i="42"/>
  <c r="D77" i="42" s="1"/>
  <c r="H47" i="42"/>
  <c r="H48" i="42"/>
  <c r="D48" i="42" s="1"/>
  <c r="H49" i="42"/>
  <c r="D49" i="42" s="1"/>
  <c r="H50" i="42"/>
  <c r="D50" i="42" s="1"/>
  <c r="H51" i="42"/>
  <c r="D51" i="42" s="1"/>
  <c r="H52" i="42"/>
  <c r="D52" i="42" s="1"/>
  <c r="H53" i="42"/>
  <c r="D53" i="42" s="1"/>
  <c r="H54" i="42"/>
  <c r="D54" i="42" s="1"/>
  <c r="H55" i="42"/>
  <c r="D55" i="42" s="1"/>
  <c r="H56" i="42"/>
  <c r="D56" i="42" s="1"/>
  <c r="H57" i="42"/>
  <c r="D57" i="42" s="1"/>
  <c r="H58" i="42"/>
  <c r="D58" i="42" s="1"/>
  <c r="H59" i="42"/>
  <c r="D59" i="42" s="1"/>
  <c r="H60" i="42"/>
  <c r="D60" i="42" s="1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B73" i="42"/>
  <c r="B74" i="42"/>
  <c r="B75" i="42"/>
  <c r="B76" i="42"/>
  <c r="B77" i="42"/>
  <c r="B78" i="42"/>
  <c r="B79" i="42"/>
  <c r="B80" i="42"/>
  <c r="B62" i="42"/>
  <c r="B63" i="42"/>
  <c r="B64" i="42"/>
  <c r="B65" i="42"/>
  <c r="B66" i="42"/>
  <c r="B67" i="42"/>
  <c r="B68" i="42"/>
  <c r="B69" i="42"/>
  <c r="B70" i="42"/>
  <c r="B71" i="42"/>
  <c r="B72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H31" i="42"/>
  <c r="D31" i="42" s="1"/>
  <c r="H32" i="42"/>
  <c r="D32" i="42" s="1"/>
  <c r="H33" i="42"/>
  <c r="D33" i="42" s="1"/>
  <c r="H34" i="42"/>
  <c r="D34" i="42" s="1"/>
  <c r="H35" i="42"/>
  <c r="D35" i="42" s="1"/>
  <c r="H36" i="42"/>
  <c r="D36" i="42" s="1"/>
  <c r="H37" i="42"/>
  <c r="D37" i="42" s="1"/>
  <c r="H38" i="42"/>
  <c r="D38" i="42" s="1"/>
  <c r="H39" i="42"/>
  <c r="D39" i="42" s="1"/>
  <c r="H40" i="42"/>
  <c r="D40" i="42" s="1"/>
  <c r="H41" i="42"/>
  <c r="D41" i="42" s="1"/>
  <c r="H22" i="42"/>
  <c r="D22" i="42" s="1"/>
  <c r="H23" i="42"/>
  <c r="D23" i="42" s="1"/>
  <c r="H24" i="42"/>
  <c r="D24" i="42" s="1"/>
  <c r="H25" i="42"/>
  <c r="D25" i="42" s="1"/>
  <c r="H26" i="42"/>
  <c r="D26" i="42" s="1"/>
  <c r="H27" i="42"/>
  <c r="D27" i="42" s="1"/>
  <c r="H28" i="42"/>
  <c r="D28" i="42" s="1"/>
  <c r="H29" i="42"/>
  <c r="D29" i="42" s="1"/>
  <c r="H30" i="42"/>
  <c r="D30" i="42" s="1"/>
  <c r="H13" i="42"/>
  <c r="D13" i="42" s="1"/>
  <c r="H14" i="42"/>
  <c r="D14" i="42" s="1"/>
  <c r="H15" i="42"/>
  <c r="D15" i="42" s="1"/>
  <c r="H16" i="42"/>
  <c r="D16" i="42" s="1"/>
  <c r="H17" i="42"/>
  <c r="D17" i="42" s="1"/>
  <c r="H18" i="42"/>
  <c r="D18" i="42" s="1"/>
  <c r="H19" i="42"/>
  <c r="D19" i="42" s="1"/>
  <c r="H20" i="42"/>
  <c r="D20" i="42" s="1"/>
  <c r="H21" i="42"/>
  <c r="D21" i="42" s="1"/>
  <c r="G39" i="42"/>
  <c r="G28" i="42"/>
  <c r="G18" i="42"/>
  <c r="G22" i="42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B41" i="42"/>
  <c r="G40" i="42" s="1"/>
  <c r="B42" i="42"/>
  <c r="B18" i="42"/>
  <c r="G17" i="42" s="1"/>
  <c r="B19" i="42"/>
  <c r="B20" i="42"/>
  <c r="G19" i="42" s="1"/>
  <c r="B21" i="42"/>
  <c r="G20" i="42" s="1"/>
  <c r="B22" i="42"/>
  <c r="G21" i="42" s="1"/>
  <c r="B23" i="42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8" i="38"/>
  <c r="A4" i="43"/>
  <c r="A2" i="43"/>
  <c r="A3" i="43"/>
  <c r="K4" i="43" l="1"/>
  <c r="K6" i="43"/>
  <c r="K2" i="43"/>
  <c r="G3" i="43"/>
  <c r="G9" i="43"/>
  <c r="G11" i="43"/>
  <c r="G13" i="43"/>
  <c r="G15" i="43"/>
  <c r="G17" i="43"/>
  <c r="G19" i="43"/>
  <c r="G21" i="43"/>
  <c r="G23" i="43"/>
  <c r="G40" i="43"/>
  <c r="K40" i="43" s="1"/>
  <c r="G71" i="43"/>
  <c r="K3" i="43"/>
  <c r="K76" i="43"/>
  <c r="D47" i="42"/>
  <c r="H78" i="42"/>
  <c r="D78" i="42" s="1"/>
  <c r="H79" i="42"/>
  <c r="D79" i="42" s="1"/>
  <c r="H80" i="42"/>
  <c r="D80" i="42" s="1"/>
  <c r="J80" i="42"/>
  <c r="H46" i="42"/>
  <c r="D46" i="42" s="1"/>
  <c r="G79" i="42"/>
  <c r="H9" i="42"/>
  <c r="D9" i="42" s="1"/>
  <c r="H10" i="42"/>
  <c r="D10" i="42" s="1"/>
  <c r="H11" i="42"/>
  <c r="D11" i="42" s="1"/>
  <c r="H12" i="42"/>
  <c r="D12" i="42" s="1"/>
  <c r="H42" i="42"/>
  <c r="D42" i="42" s="1"/>
  <c r="H8" i="42"/>
  <c r="D8" i="42" s="1"/>
  <c r="J42" i="42"/>
  <c r="G41" i="42"/>
  <c r="B82" i="42"/>
  <c r="G80" i="42" s="1"/>
  <c r="B46" i="42"/>
  <c r="G44" i="42" s="1"/>
  <c r="B44" i="42"/>
  <c r="G42" i="42" s="1"/>
  <c r="G8" i="42"/>
  <c r="B8" i="42"/>
  <c r="G6" i="42" s="1"/>
  <c r="B6" i="42"/>
  <c r="B4" i="42"/>
  <c r="B3" i="42"/>
  <c r="G82" i="42" s="1"/>
  <c r="G4" i="42" l="1"/>
  <c r="K82" i="42"/>
  <c r="K4" i="42"/>
  <c r="K3" i="42"/>
  <c r="K6" i="42"/>
  <c r="G46" i="42"/>
  <c r="K44" i="42"/>
  <c r="A38" i="40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3" i="42"/>
  <c r="A2" i="42"/>
  <c r="A4" i="42"/>
  <c r="K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63" i="38"/>
  <c r="F2" i="38"/>
  <c r="G40" i="38"/>
  <c r="G2" i="38"/>
  <c r="G34" i="38"/>
  <c r="G39" i="38"/>
  <c r="G19" i="38"/>
  <c r="G20" i="38"/>
  <c r="G41" i="38"/>
  <c r="G3" i="38"/>
  <c r="G4" i="38"/>
  <c r="G42" i="38"/>
  <c r="G37" i="38"/>
  <c r="G43" i="38"/>
  <c r="G5" i="38"/>
  <c r="G62" i="38"/>
  <c r="G45" i="38"/>
  <c r="G63" i="38"/>
  <c r="G44" i="38"/>
  <c r="G8" i="38"/>
  <c r="G12" i="38"/>
  <c r="G11" i="38"/>
  <c r="G13" i="38"/>
  <c r="G9" i="38"/>
  <c r="G10" i="38"/>
  <c r="G46" i="38"/>
  <c r="G16" i="38"/>
  <c r="G7" i="38"/>
  <c r="G47" i="38"/>
  <c r="G15" i="38"/>
  <c r="G50" i="38"/>
  <c r="G25" i="38"/>
  <c r="G48" i="38"/>
  <c r="G49" i="38"/>
  <c r="G17" i="38"/>
  <c r="G18" i="38"/>
  <c r="G51" i="38"/>
  <c r="G26" i="38"/>
  <c r="G52" i="38"/>
  <c r="G53" i="38"/>
  <c r="G54" i="38"/>
  <c r="G22" i="38"/>
  <c r="G55" i="38"/>
  <c r="G23" i="38"/>
  <c r="G21" i="38"/>
  <c r="G56" i="38"/>
  <c r="G57" i="38"/>
  <c r="G31" i="38"/>
  <c r="G29" i="38"/>
  <c r="G27" i="38"/>
  <c r="G32" i="38"/>
  <c r="G58" i="38"/>
  <c r="G30" i="38"/>
  <c r="G59" i="38"/>
  <c r="G35" i="38"/>
  <c r="G36" i="38"/>
  <c r="G38" i="38"/>
  <c r="G60" i="38"/>
  <c r="G61" i="38"/>
  <c r="G6" i="38"/>
  <c r="G24" i="38"/>
  <c r="G14" i="38"/>
  <c r="G33" i="38"/>
  <c r="E7" i="37"/>
  <c r="K93" i="46" s="1"/>
  <c r="E5" i="37"/>
  <c r="K91" i="46" s="1"/>
  <c r="E2" i="37"/>
  <c r="K88" i="46" s="1"/>
  <c r="E4" i="37"/>
  <c r="K90" i="46" s="1"/>
  <c r="E3" i="37"/>
  <c r="K89" i="46" s="1"/>
  <c r="E6" i="37"/>
  <c r="K92" i="46" s="1"/>
  <c r="E9" i="37"/>
  <c r="K95" i="46" s="1"/>
  <c r="E10" i="37"/>
  <c r="K96" i="46" s="1"/>
  <c r="E11" i="37"/>
  <c r="K97" i="46" s="1"/>
  <c r="E12" i="37"/>
  <c r="K98" i="46" s="1"/>
  <c r="E8" i="37"/>
  <c r="K94" i="46" s="1"/>
  <c r="H53" i="38"/>
  <c r="H48" i="38"/>
  <c r="H35" i="38"/>
  <c r="H56" i="38"/>
  <c r="H25" i="38"/>
  <c r="H45" i="38"/>
  <c r="H31" i="38"/>
  <c r="H34" i="38"/>
  <c r="H37" i="38"/>
  <c r="H40" i="38"/>
  <c r="H26" i="38"/>
  <c r="H59" i="38"/>
  <c r="H30" i="38"/>
  <c r="H2" i="38"/>
  <c r="H49" i="38"/>
  <c r="H54" i="38"/>
  <c r="H42" i="38"/>
  <c r="H41" i="38"/>
  <c r="H24" i="38"/>
  <c r="H32" i="38"/>
  <c r="H22" i="38"/>
  <c r="H55" i="38"/>
  <c r="H60" i="38"/>
  <c r="H51" i="38"/>
  <c r="H38" i="38"/>
  <c r="H33" i="38"/>
  <c r="H62" i="38"/>
  <c r="H29" i="38"/>
  <c r="H19" i="38"/>
  <c r="H47" i="38"/>
  <c r="H4" i="38"/>
  <c r="H23" i="38"/>
  <c r="H18" i="38"/>
  <c r="H5" i="38"/>
  <c r="H61" i="38"/>
  <c r="H7" i="38"/>
  <c r="H50" i="38"/>
  <c r="H9" i="38"/>
  <c r="H27" i="38"/>
  <c r="H11" i="38"/>
  <c r="H10" i="38"/>
  <c r="H43" i="38"/>
  <c r="H13" i="38"/>
  <c r="H46" i="38"/>
  <c r="H20" i="38"/>
  <c r="H15" i="38"/>
  <c r="H63" i="38"/>
  <c r="H8" i="38"/>
  <c r="H44" i="38"/>
  <c r="H3" i="38"/>
  <c r="H6" i="38"/>
  <c r="H39" i="38"/>
  <c r="H17" i="38"/>
  <c r="H57" i="38"/>
  <c r="H21" i="38"/>
  <c r="H12" i="38"/>
  <c r="H36" i="38"/>
  <c r="H52" i="38"/>
  <c r="H58" i="38"/>
  <c r="H14" i="38"/>
  <c r="H16" i="38"/>
  <c r="A3" i="32"/>
  <c r="A4" i="22"/>
  <c r="A4" i="20"/>
  <c r="A3" i="36"/>
  <c r="A3" i="29"/>
  <c r="A2" i="32"/>
  <c r="A4" i="27"/>
  <c r="A4" i="30"/>
  <c r="A2" i="3"/>
  <c r="A4" i="21"/>
  <c r="A3" i="20"/>
  <c r="A4" i="25"/>
  <c r="A3" i="24"/>
  <c r="A3" i="22"/>
  <c r="A3" i="25"/>
  <c r="A4" i="34"/>
  <c r="A3" i="18"/>
  <c r="A2" i="28"/>
  <c r="A3" i="26"/>
  <c r="A2" i="16"/>
  <c r="A2" i="18"/>
  <c r="A4" i="23"/>
  <c r="A2" i="21"/>
  <c r="A2" i="17"/>
  <c r="A2" i="23"/>
  <c r="A3" i="33"/>
  <c r="A3" i="28"/>
  <c r="A2" i="29"/>
  <c r="A3" i="16"/>
  <c r="A3" i="31"/>
  <c r="A4" i="29"/>
  <c r="A3" i="19"/>
  <c r="A3" i="35"/>
  <c r="A3" i="27"/>
  <c r="A4" i="16"/>
  <c r="A4" i="19"/>
  <c r="A2" i="19"/>
  <c r="A3" i="23"/>
  <c r="A2" i="35"/>
  <c r="A2" i="24"/>
  <c r="A2" i="30"/>
  <c r="A4" i="31"/>
  <c r="A2" i="20"/>
  <c r="A2" i="36"/>
  <c r="A2" i="25"/>
  <c r="A2" i="34"/>
  <c r="A2" i="26"/>
  <c r="A4" i="24"/>
  <c r="A4" i="18"/>
  <c r="A2" i="27"/>
  <c r="A3" i="17"/>
  <c r="A3" i="3"/>
  <c r="A4" i="33"/>
  <c r="A3" i="34"/>
  <c r="A4" i="35"/>
  <c r="A2" i="33"/>
  <c r="A4" i="17"/>
  <c r="A3" i="21"/>
  <c r="A4" i="32"/>
  <c r="A4" i="28"/>
  <c r="A4" i="26"/>
  <c r="A4" i="3"/>
  <c r="A3" i="30"/>
  <c r="A4" i="36"/>
  <c r="A2" i="31"/>
  <c r="A2" i="22"/>
  <c r="I52" i="45" l="1"/>
  <c r="I51" i="45"/>
  <c r="I22" i="45"/>
  <c r="I21" i="45"/>
  <c r="I33" i="45"/>
  <c r="I28" i="45"/>
  <c r="I27" i="45"/>
  <c r="I65" i="45"/>
  <c r="I30" i="45"/>
  <c r="I29" i="45"/>
  <c r="I46" i="45"/>
  <c r="I45" i="45"/>
  <c r="I48" i="46"/>
  <c r="I44" i="46"/>
  <c r="I58" i="45"/>
  <c r="I57" i="45"/>
  <c r="I16" i="45"/>
  <c r="I15" i="45"/>
  <c r="I64" i="45"/>
  <c r="I63" i="45"/>
  <c r="I10" i="45"/>
  <c r="I9" i="45"/>
  <c r="I12" i="45"/>
  <c r="I62" i="45"/>
  <c r="I61" i="45"/>
  <c r="I11" i="45"/>
  <c r="I60" i="45"/>
  <c r="I59" i="45"/>
  <c r="I14" i="45"/>
  <c r="I13" i="45"/>
  <c r="I56" i="45"/>
  <c r="I55" i="45"/>
  <c r="I18" i="45"/>
  <c r="I17" i="45"/>
  <c r="I42" i="45"/>
  <c r="I41" i="45"/>
  <c r="I32" i="45"/>
  <c r="I31" i="45"/>
  <c r="I84" i="46"/>
  <c r="I8" i="46"/>
  <c r="I54" i="45"/>
  <c r="I53" i="45"/>
  <c r="I20" i="45"/>
  <c r="I19" i="45"/>
  <c r="I44" i="45"/>
  <c r="I43" i="45"/>
  <c r="I50" i="45"/>
  <c r="I49" i="45"/>
  <c r="I24" i="45"/>
  <c r="I23" i="45"/>
  <c r="I48" i="45"/>
  <c r="I47" i="45"/>
  <c r="I26" i="45"/>
  <c r="I25" i="45"/>
  <c r="I40" i="45"/>
  <c r="I39" i="45"/>
  <c r="I66" i="45"/>
  <c r="I8" i="45"/>
  <c r="I38" i="45"/>
  <c r="I34" i="45"/>
  <c r="I46" i="44"/>
  <c r="K98" i="44"/>
  <c r="K76" i="45"/>
  <c r="K101" i="44"/>
  <c r="K79" i="45"/>
  <c r="K99" i="44"/>
  <c r="K77" i="45"/>
  <c r="K93" i="44"/>
  <c r="K71" i="45"/>
  <c r="K92" i="44"/>
  <c r="K70" i="45"/>
  <c r="K97" i="44"/>
  <c r="K75" i="45"/>
  <c r="K102" i="44"/>
  <c r="K80" i="45"/>
  <c r="K100" i="44"/>
  <c r="K78" i="45"/>
  <c r="K96" i="44"/>
  <c r="K74" i="45"/>
  <c r="K94" i="44"/>
  <c r="K72" i="45"/>
  <c r="K95" i="44"/>
  <c r="K73" i="45"/>
  <c r="I88" i="44"/>
  <c r="I87" i="44"/>
  <c r="I8" i="44"/>
  <c r="I74" i="44"/>
  <c r="I73" i="44"/>
  <c r="I72" i="44"/>
  <c r="I71" i="44"/>
  <c r="I84" i="44"/>
  <c r="I79" i="44"/>
  <c r="I64" i="44"/>
  <c r="I63" i="44"/>
  <c r="I62" i="44"/>
  <c r="I61" i="44"/>
  <c r="I76" i="44"/>
  <c r="I75" i="44"/>
  <c r="I60" i="44"/>
  <c r="I59" i="44"/>
  <c r="I70" i="44"/>
  <c r="I69" i="44"/>
  <c r="I86" i="44"/>
  <c r="I85" i="44"/>
  <c r="I54" i="44"/>
  <c r="I53" i="44"/>
  <c r="I50" i="44"/>
  <c r="I58" i="44"/>
  <c r="I57" i="44"/>
  <c r="I78" i="44"/>
  <c r="I77" i="44"/>
  <c r="I68" i="44"/>
  <c r="I67" i="44"/>
  <c r="I56" i="44"/>
  <c r="I55" i="44"/>
  <c r="I66" i="44"/>
  <c r="I65" i="44"/>
  <c r="I52" i="44"/>
  <c r="I51" i="44"/>
  <c r="I45" i="43"/>
  <c r="I37" i="43"/>
  <c r="I46" i="43"/>
  <c r="I38" i="42"/>
  <c r="I49" i="42"/>
  <c r="I37" i="42"/>
  <c r="I50" i="42"/>
  <c r="I31" i="43"/>
  <c r="I32" i="43"/>
  <c r="I32" i="42"/>
  <c r="I31" i="42"/>
  <c r="I42" i="43"/>
  <c r="I38" i="43"/>
  <c r="I41" i="42"/>
  <c r="I42" i="42"/>
  <c r="I46" i="42"/>
  <c r="I29" i="43"/>
  <c r="I30" i="43"/>
  <c r="I29" i="42"/>
  <c r="I30" i="42"/>
  <c r="I51" i="43"/>
  <c r="I56" i="42"/>
  <c r="I52" i="43"/>
  <c r="I55" i="42"/>
  <c r="I49" i="43"/>
  <c r="I50" i="43"/>
  <c r="I53" i="42"/>
  <c r="I54" i="42"/>
  <c r="I74" i="43"/>
  <c r="I8" i="43"/>
  <c r="I79" i="42"/>
  <c r="I80" i="42"/>
  <c r="I8" i="42"/>
  <c r="I61" i="43"/>
  <c r="I62" i="43"/>
  <c r="I22" i="43"/>
  <c r="I21" i="43"/>
  <c r="I66" i="42"/>
  <c r="I21" i="42"/>
  <c r="I65" i="42"/>
  <c r="I22" i="42"/>
  <c r="I69" i="43"/>
  <c r="I70" i="43"/>
  <c r="I14" i="43"/>
  <c r="I73" i="42"/>
  <c r="I13" i="43"/>
  <c r="I74" i="42"/>
  <c r="I13" i="42"/>
  <c r="I14" i="42"/>
  <c r="I65" i="43"/>
  <c r="I66" i="43"/>
  <c r="I18" i="43"/>
  <c r="I17" i="43"/>
  <c r="I70" i="42"/>
  <c r="I17" i="42"/>
  <c r="I69" i="42"/>
  <c r="I18" i="42"/>
  <c r="I73" i="43"/>
  <c r="I10" i="43"/>
  <c r="I9" i="43"/>
  <c r="I78" i="42"/>
  <c r="I77" i="42"/>
  <c r="I9" i="42"/>
  <c r="I10" i="42"/>
  <c r="I59" i="43"/>
  <c r="I24" i="43"/>
  <c r="I63" i="42"/>
  <c r="I60" i="43"/>
  <c r="I23" i="43"/>
  <c r="I64" i="42"/>
  <c r="I23" i="42"/>
  <c r="I24" i="42"/>
  <c r="I63" i="43"/>
  <c r="I20" i="43"/>
  <c r="I67" i="42"/>
  <c r="I64" i="43"/>
  <c r="I19" i="43"/>
  <c r="I68" i="42"/>
  <c r="I19" i="42"/>
  <c r="I20" i="42"/>
  <c r="I47" i="43"/>
  <c r="I35" i="43"/>
  <c r="I36" i="43"/>
  <c r="I52" i="42"/>
  <c r="I48" i="43"/>
  <c r="I51" i="42"/>
  <c r="I35" i="42"/>
  <c r="I36" i="42"/>
  <c r="I72" i="43"/>
  <c r="I71" i="43"/>
  <c r="I12" i="43"/>
  <c r="I11" i="43"/>
  <c r="I76" i="42"/>
  <c r="I75" i="42"/>
  <c r="I11" i="42"/>
  <c r="I12" i="42"/>
  <c r="I55" i="43"/>
  <c r="I27" i="43"/>
  <c r="I28" i="43"/>
  <c r="I28" i="42"/>
  <c r="I56" i="43"/>
  <c r="I59" i="42"/>
  <c r="I27" i="42"/>
  <c r="I60" i="42"/>
  <c r="I57" i="43"/>
  <c r="I25" i="43"/>
  <c r="I58" i="43"/>
  <c r="I62" i="42"/>
  <c r="I26" i="43"/>
  <c r="I61" i="42"/>
  <c r="I25" i="42"/>
  <c r="I26" i="42"/>
  <c r="I53" i="43"/>
  <c r="I54" i="43"/>
  <c r="I57" i="42"/>
  <c r="I58" i="42"/>
  <c r="I67" i="43"/>
  <c r="I16" i="43"/>
  <c r="I68" i="43"/>
  <c r="I15" i="43"/>
  <c r="I72" i="42"/>
  <c r="I15" i="42"/>
  <c r="I71" i="42"/>
  <c r="I16" i="42"/>
  <c r="I43" i="43"/>
  <c r="I44" i="43"/>
  <c r="I39" i="42"/>
  <c r="I48" i="42"/>
  <c r="I40" i="42"/>
  <c r="I47" i="42"/>
  <c r="I33" i="43"/>
  <c r="I34" i="42"/>
  <c r="I34" i="43"/>
  <c r="I33" i="42"/>
  <c r="K88" i="43"/>
  <c r="K94" i="42"/>
  <c r="K80" i="43"/>
  <c r="K86" i="42"/>
  <c r="K84" i="43"/>
  <c r="K90" i="42"/>
  <c r="K87" i="43"/>
  <c r="K93" i="42"/>
  <c r="K85" i="43"/>
  <c r="K91" i="42"/>
  <c r="K79" i="43"/>
  <c r="K85" i="42"/>
  <c r="K78" i="43"/>
  <c r="K84" i="42"/>
  <c r="K83" i="43"/>
  <c r="K89" i="42"/>
  <c r="K86" i="43"/>
  <c r="K92" i="42"/>
  <c r="K82" i="43"/>
  <c r="K88" i="42"/>
  <c r="K81" i="43"/>
  <c r="K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K52" i="45"/>
  <c r="K22" i="45"/>
  <c r="K33" i="45"/>
  <c r="K27" i="45"/>
  <c r="K30" i="45"/>
  <c r="K46" i="45"/>
  <c r="K48" i="46"/>
  <c r="K58" i="45"/>
  <c r="K16" i="45"/>
  <c r="K64" i="45"/>
  <c r="K10" i="45"/>
  <c r="K12" i="45"/>
  <c r="K61" i="45"/>
  <c r="K60" i="45"/>
  <c r="K14" i="45"/>
  <c r="K56" i="45"/>
  <c r="K18" i="45"/>
  <c r="K42" i="45"/>
  <c r="K32" i="45"/>
  <c r="K84" i="46"/>
  <c r="K54" i="45"/>
  <c r="K20" i="45"/>
  <c r="K44" i="45"/>
  <c r="K50" i="45"/>
  <c r="K24" i="45"/>
  <c r="K48" i="45"/>
  <c r="K26" i="45"/>
  <c r="K40" i="45"/>
  <c r="K38" i="45"/>
  <c r="K8" i="44"/>
  <c r="K20" i="44"/>
  <c r="K63" i="44"/>
  <c r="K33" i="44"/>
  <c r="K85" i="44"/>
  <c r="K31" i="44"/>
  <c r="K13" i="44"/>
  <c r="K35" i="44"/>
  <c r="K45" i="43"/>
  <c r="K29" i="42"/>
  <c r="K61" i="43"/>
  <c r="K65" i="43"/>
  <c r="K23" i="43"/>
  <c r="K48" i="43"/>
  <c r="K56" i="43"/>
  <c r="K67" i="43"/>
  <c r="K34" i="43"/>
  <c r="K41" i="42"/>
  <c r="K79" i="42"/>
  <c r="K14" i="42"/>
  <c r="K24" i="43"/>
  <c r="K35" i="43"/>
  <c r="K27" i="43"/>
  <c r="K54" i="43"/>
  <c r="K47" i="42"/>
  <c r="K74" i="44"/>
  <c r="K84" i="44"/>
  <c r="K62" i="44"/>
  <c r="K60" i="44"/>
  <c r="K9" i="44"/>
  <c r="K50" i="44"/>
  <c r="K14" i="44"/>
  <c r="K55" i="44"/>
  <c r="K46" i="43"/>
  <c r="K51" i="43"/>
  <c r="K22" i="43"/>
  <c r="K18" i="43"/>
  <c r="K23" i="42"/>
  <c r="K35" i="42"/>
  <c r="K27" i="42"/>
  <c r="K68" i="43"/>
  <c r="K37" i="43"/>
  <c r="K46" i="42"/>
  <c r="K62" i="43"/>
  <c r="K66" i="43"/>
  <c r="K60" i="43"/>
  <c r="K52" i="42"/>
  <c r="K28" i="42"/>
  <c r="K58" i="42"/>
  <c r="K34" i="42"/>
  <c r="K17" i="42"/>
  <c r="K24" i="42"/>
  <c r="K36" i="42"/>
  <c r="K60" i="42"/>
  <c r="K15" i="43"/>
  <c r="K10" i="42"/>
  <c r="K34" i="45"/>
  <c r="K73" i="44"/>
  <c r="K11" i="44"/>
  <c r="K61" i="44"/>
  <c r="K59" i="44"/>
  <c r="K10" i="44"/>
  <c r="K30" i="44"/>
  <c r="K68" i="44"/>
  <c r="K66" i="44"/>
  <c r="K37" i="42"/>
  <c r="K52" i="43"/>
  <c r="K66" i="42"/>
  <c r="K70" i="42"/>
  <c r="K63" i="43"/>
  <c r="K72" i="43"/>
  <c r="K57" i="43"/>
  <c r="K72" i="42"/>
  <c r="K38" i="42"/>
  <c r="K30" i="43"/>
  <c r="K21" i="43"/>
  <c r="K17" i="43"/>
  <c r="K64" i="42"/>
  <c r="K51" i="42"/>
  <c r="K59" i="42"/>
  <c r="K16" i="43"/>
  <c r="K33" i="42"/>
  <c r="K17" i="44"/>
  <c r="K79" i="44"/>
  <c r="K76" i="44"/>
  <c r="K70" i="44"/>
  <c r="K54" i="44"/>
  <c r="K29" i="44"/>
  <c r="K23" i="44"/>
  <c r="K65" i="44"/>
  <c r="K31" i="43"/>
  <c r="K49" i="43"/>
  <c r="K65" i="42"/>
  <c r="K69" i="42"/>
  <c r="K67" i="42"/>
  <c r="K12" i="43"/>
  <c r="K58" i="43"/>
  <c r="K71" i="42"/>
  <c r="K51" i="45"/>
  <c r="K21" i="45"/>
  <c r="K28" i="45"/>
  <c r="K65" i="45"/>
  <c r="K29" i="45"/>
  <c r="K45" i="45"/>
  <c r="K44" i="46"/>
  <c r="K57" i="45"/>
  <c r="K15" i="45"/>
  <c r="K63" i="45"/>
  <c r="K9" i="45"/>
  <c r="K62" i="45"/>
  <c r="K11" i="45"/>
  <c r="K59" i="45"/>
  <c r="K13" i="45"/>
  <c r="K55" i="45"/>
  <c r="K17" i="45"/>
  <c r="K41" i="45"/>
  <c r="K31" i="45"/>
  <c r="K8" i="46"/>
  <c r="K53" i="45"/>
  <c r="K19" i="45"/>
  <c r="K43" i="45"/>
  <c r="K49" i="45"/>
  <c r="K23" i="45"/>
  <c r="K47" i="45"/>
  <c r="K25" i="45"/>
  <c r="K39" i="45"/>
  <c r="K66" i="45"/>
  <c r="K46" i="44"/>
  <c r="K18" i="44"/>
  <c r="K12" i="44"/>
  <c r="K15" i="44"/>
  <c r="K69" i="44"/>
  <c r="K38" i="44"/>
  <c r="K58" i="44"/>
  <c r="K67" i="44"/>
  <c r="K25" i="44"/>
  <c r="K32" i="42"/>
  <c r="K53" i="42"/>
  <c r="K69" i="43"/>
  <c r="K10" i="43"/>
  <c r="K19" i="43"/>
  <c r="K76" i="42"/>
  <c r="K26" i="43"/>
  <c r="K43" i="43"/>
  <c r="K50" i="42"/>
  <c r="K56" i="42"/>
  <c r="K22" i="42"/>
  <c r="K18" i="42"/>
  <c r="K20" i="43"/>
  <c r="K71" i="43"/>
  <c r="K25" i="43"/>
  <c r="K15" i="42"/>
  <c r="K8" i="42"/>
  <c r="K72" i="44"/>
  <c r="K64" i="44"/>
  <c r="K75" i="44"/>
  <c r="K21" i="44"/>
  <c r="K53" i="44"/>
  <c r="K57" i="44"/>
  <c r="K24" i="44"/>
  <c r="K26" i="44"/>
  <c r="K38" i="43"/>
  <c r="K74" i="43"/>
  <c r="K14" i="43"/>
  <c r="K78" i="42"/>
  <c r="K19" i="42"/>
  <c r="K11" i="42"/>
  <c r="K25" i="42"/>
  <c r="K39" i="42"/>
  <c r="K32" i="43"/>
  <c r="K55" i="42"/>
  <c r="K70" i="43"/>
  <c r="K73" i="43"/>
  <c r="K64" i="43"/>
  <c r="K11" i="43"/>
  <c r="K62" i="42"/>
  <c r="K16" i="42"/>
  <c r="K9" i="42"/>
  <c r="K77" i="42"/>
  <c r="K20" i="42"/>
  <c r="K12" i="42"/>
  <c r="K26" i="42"/>
  <c r="K48" i="42"/>
  <c r="K8" i="45"/>
  <c r="K88" i="44"/>
  <c r="K19" i="44"/>
  <c r="K28" i="44"/>
  <c r="K16" i="44"/>
  <c r="K22" i="44"/>
  <c r="K37" i="44"/>
  <c r="K78" i="44"/>
  <c r="K56" i="44"/>
  <c r="K52" i="44"/>
  <c r="K42" i="42"/>
  <c r="K8" i="43"/>
  <c r="K13" i="43"/>
  <c r="K59" i="43"/>
  <c r="K47" i="43"/>
  <c r="K55" i="43"/>
  <c r="K53" i="43"/>
  <c r="K40" i="42"/>
  <c r="K31" i="42"/>
  <c r="K50" i="43"/>
  <c r="K73" i="42"/>
  <c r="K9" i="43"/>
  <c r="K68" i="42"/>
  <c r="K75" i="42"/>
  <c r="K61" i="42"/>
  <c r="K44" i="43"/>
  <c r="K87" i="44"/>
  <c r="K71" i="44"/>
  <c r="K27" i="44"/>
  <c r="K34" i="44"/>
  <c r="K86" i="44"/>
  <c r="K32" i="44"/>
  <c r="K77" i="44"/>
  <c r="K36" i="44"/>
  <c r="K51" i="44"/>
  <c r="K80" i="42"/>
  <c r="K63" i="42"/>
  <c r="K28" i="43"/>
  <c r="K33" i="43"/>
  <c r="K42" i="43"/>
  <c r="K54" i="42"/>
  <c r="K29" i="43"/>
  <c r="K13" i="42"/>
  <c r="K36" i="43"/>
  <c r="K57" i="42"/>
  <c r="K49" i="42"/>
  <c r="K30" i="42"/>
  <c r="K21" i="42"/>
  <c r="K74" i="42"/>
</calcChain>
</file>

<file path=xl/sharedStrings.xml><?xml version="1.0" encoding="utf-8"?>
<sst xmlns="http://schemas.openxmlformats.org/spreadsheetml/2006/main" count="1283" uniqueCount="376">
  <si>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</si>
  <si>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</si>
  <si>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</si>
  <si>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</si>
  <si>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</si>
  <si>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</si>
  <si>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</si>
  <si>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</si>
  <si>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</si>
  <si>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</si>
  <si>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</si>
  <si>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</si>
  <si>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</si>
  <si>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</si>
  <si>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</si>
  <si>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</si>
  <si>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</si>
  <si>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</si>
  <si>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</si>
  <si>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</si>
  <si>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</si>
  <si>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</si>
  <si>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</si>
  <si>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</si>
  <si>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</si>
  <si>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</si>
  <si>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</si>
  <si>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</si>
  <si>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</si>
  <si>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</si>
  <si>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</si>
  <si>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</si>
  <si>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</si>
  <si>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</si>
  <si>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</si>
  <si>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</si>
  <si>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</si>
  <si>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</si>
  <si>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</si>
  <si>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</si>
  <si>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</si>
  <si>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</si>
  <si>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</si>
  <si>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</si>
  <si>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</si>
  <si>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</si>
  <si>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</si>
  <si>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</si>
  <si>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</si>
  <si>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</si>
  <si>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</si>
  <si>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</si>
  <si>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</si>
  <si>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</si>
  <si>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</si>
  <si>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</si>
  <si>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</si>
  <si>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</si>
  <si>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</si>
  <si>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</si>
  <si>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</si>
  <si>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</si>
  <si>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</si>
  <si>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</si>
  <si>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</si>
  <si>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</si>
  <si>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</si>
  <si>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</si>
  <si>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</si>
  <si>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</si>
  <si>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</si>
  <si>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</si>
  <si>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</si>
  <si>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</si>
  <si>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</si>
  <si>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</si>
  <si>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</si>
  <si>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</si>
  <si>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</si>
  <si>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</si>
  <si>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</si>
  <si>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</si>
  <si>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</si>
  <si>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</si>
  <si>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</si>
  <si>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</si>
  <si>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</si>
  <si>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</si>
  <si>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</si>
  <si>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</si>
  <si>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</si>
  <si>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</si>
  <si>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</si>
  <si>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</si>
  <si>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</si>
  <si>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</si>
  <si>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</si>
  <si>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</si>
  <si>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</si>
  <si>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</si>
  <si>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</si>
  <si>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</si>
  <si>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</si>
  <si>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</si>
  <si>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</si>
  <si>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</si>
  <si>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</si>
  <si>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</si>
  <si>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</si>
  <si>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</si>
  <si>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</si>
  <si>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</si>
  <si>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</si>
  <si>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</si>
  <si>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</si>
  <si>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</si>
  <si>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</si>
  <si>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</si>
  <si>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</si>
  <si>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</si>
  <si>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</si>
  <si>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</si>
  <si>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</si>
  <si>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</si>
  <si>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</si>
  <si>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</si>
  <si>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</si>
  <si>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</si>
  <si>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</si>
  <si>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</si>
  <si>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</si>
  <si>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</si>
  <si>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</si>
  <si>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</si>
  <si>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</si>
  <si>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</si>
  <si>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</si>
  <si>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</si>
  <si>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</si>
  <si>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</si>
  <si>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</si>
  <si>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</si>
  <si>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</si>
  <si>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</si>
  <si>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</si>
  <si>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</si>
  <si>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</si>
  <si>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</si>
  <si>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</si>
  <si>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</si>
  <si>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</si>
  <si>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</si>
  <si>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</si>
  <si>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</si>
  <si>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</si>
  <si>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</si>
  <si>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</si>
  <si>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</si>
  <si>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</si>
  <si>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</si>
  <si>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</si>
  <si>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</si>
  <si>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</si>
  <si>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</si>
  <si>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</si>
  <si>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</si>
  <si>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</si>
  <si>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</si>
  <si>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</si>
  <si>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</si>
  <si>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</si>
  <si>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</si>
  <si>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</si>
  <si>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</si>
  <si>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</si>
  <si>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</si>
  <si>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</si>
  <si>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</si>
  <si>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</si>
  <si>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</si>
  <si>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</si>
  <si>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</si>
  <si>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</si>
  <si>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</si>
  <si>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</si>
  <si>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</si>
  <si>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</si>
  <si>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</si>
  <si>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</si>
  <si>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</si>
  <si>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</si>
  <si>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</si>
  <si>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</si>
  <si>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</si>
  <si>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</si>
  <si>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</si>
  <si>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</si>
  <si>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</si>
  <si>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</si>
  <si>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</si>
  <si>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</si>
  <si>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</si>
  <si>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</si>
  <si>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</si>
  <si>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</si>
  <si>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</si>
  <si>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</si>
  <si>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</si>
  <si>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</si>
  <si>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</si>
  <si>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</si>
  <si>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</si>
  <si>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</si>
  <si>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</si>
  <si>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</si>
  <si>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</si>
  <si>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</si>
  <si>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</si>
  <si>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</si>
  <si>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</si>
  <si>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</si>
  <si>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</si>
  <si>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</si>
  <si>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</si>
  <si>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</si>
  <si>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</si>
  <si>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</si>
  <si>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</si>
  <si>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</si>
  <si>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</si>
  <si>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</si>
  <si>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</si>
  <si>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</si>
  <si>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</si>
  <si>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</si>
  <si>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</si>
  <si>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</si>
  <si>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</si>
  <si>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</si>
  <si>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</si>
  <si>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</si>
  <si>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</si>
  <si>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</si>
  <si>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</si>
  <si>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</si>
  <si>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</si>
  <si>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</si>
  <si>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</si>
  <si>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</si>
  <si>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</si>
  <si>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</si>
  <si>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</si>
  <si>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</si>
  <si>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</si>
  <si>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</si>
  <si>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</si>
  <si>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</si>
  <si>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</si>
  <si>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</si>
  <si>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</si>
  <si>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</si>
  <si>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</si>
  <si>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</si>
  <si>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</si>
  <si>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</si>
  <si>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</si>
  <si>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</si>
  <si>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</si>
  <si>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</si>
  <si>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</si>
  <si>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</si>
  <si>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</si>
  <si>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</si>
  <si>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</si>
  <si>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</si>
  <si>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</si>
  <si>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</si>
  <si>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</si>
  <si>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</si>
  <si>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</si>
  <si>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</si>
  <si>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</si>
  <si>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</si>
  <si>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</si>
  <si>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</si>
  <si>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</si>
  <si>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</si>
  <si>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</si>
  <si>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</si>
  <si>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</si>
  <si>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</si>
  <si>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</si>
  <si>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</si>
  <si>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</si>
  <si>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</si>
  <si>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</si>
  <si>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</si>
  <si>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</si>
  <si>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</si>
  <si>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</si>
  <si>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</si>
  <si>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</si>
  <si>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</si>
  <si>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</si>
  <si>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</si>
  <si>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</si>
  <si>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</si>
  <si>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</si>
  <si>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</si>
  <si>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</si>
  <si>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</si>
  <si>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</si>
  <si>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</si>
  <si>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</si>
  <si>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</si>
  <si>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</si>
  <si>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</si>
  <si>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</si>
  <si>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</si>
  <si>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</si>
  <si>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</si>
  <si>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</si>
  <si>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</si>
  <si>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</si>
  <si>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</si>
  <si>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</si>
  <si>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</si>
  <si>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</si>
  <si>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</si>
  <si>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</si>
  <si>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</si>
  <si>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</si>
  <si>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</si>
  <si>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</si>
  <si>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</si>
  <si>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</si>
  <si>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</si>
  <si>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</si>
  <si>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</si>
  <si>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</si>
  <si>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</si>
  <si>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</si>
  <si>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</si>
  <si>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</si>
  <si>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</si>
  <si>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</si>
  <si>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</si>
  <si>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</si>
  <si>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</si>
  <si>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</si>
  <si>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</si>
  <si>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</si>
  <si>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</si>
  <si>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</si>
  <si>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След. остановка:</t>
  </si>
  <si>
    <t>ул.50летОктября</t>
  </si>
  <si>
    <t>инст-земледелия</t>
  </si>
  <si>
    <t>кладбище"Восточн</t>
  </si>
  <si>
    <t>судобовское клад</t>
  </si>
  <si>
    <t>ул.Автомобилисто</t>
  </si>
  <si>
    <t>войсковая-часть</t>
  </si>
  <si>
    <t>инст-звероводств</t>
  </si>
  <si>
    <t>ГородскаяБольниц</t>
  </si>
  <si>
    <t>к-тр Юность</t>
  </si>
  <si>
    <t>Ж.д. вокзал</t>
  </si>
  <si>
    <t>Торговый центр</t>
  </si>
  <si>
    <t>Городской Парк</t>
  </si>
  <si>
    <t/>
  </si>
  <si>
    <t>Свитанак</t>
  </si>
  <si>
    <t>пр-тЛенина</t>
  </si>
  <si>
    <t>Пр-т Скарины</t>
  </si>
  <si>
    <t>Белаз</t>
  </si>
  <si>
    <t>сш8</t>
  </si>
  <si>
    <t>8 Микрорайон</t>
  </si>
  <si>
    <t>Магазин"Рублёвск</t>
  </si>
  <si>
    <t>ул.Сыракваша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</si>
</sst>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  <xf numFmtId="0" fontId="5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103</v>
      </c>
      <c r="B3" t="s">
        <v>105</v>
      </c>
    </row>
    <row r="4" spans="1:2" x14ac:dyDescent="0.25">
      <c r="A4" t="s">
        <v>104</v>
      </c>
      <c r="B4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E2" sqref="E2:E12"/>
    </sheetView>
  </sheetViews>
  <sheetFormatPr defaultRowHeight="14.3" x14ac:dyDescent="0.25"/>
  <cols>
    <col min="1" max="1" width="17.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95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88</v>
      </c>
      <c r="B3">
        <v>923</v>
      </c>
      <c r="C3" t="s">
        <v>97</v>
      </c>
      <c r="E3" s="16" t="str">
        <f t="shared" si="0"/>
        <v>&lt;unit923&gt; "Гостиница" {v "\mp3_knst\gos.mp3", w 01}</v>
      </c>
    </row>
    <row r="4" spans="1:5" x14ac:dyDescent="0.25">
      <c r="A4" t="s">
        <v>345</v>
      </c>
      <c r="B4">
        <v>922</v>
      </c>
      <c r="C4" t="s">
        <v>96</v>
      </c>
      <c r="E4" s="16" t="str">
        <f t="shared" si="0"/>
        <v>&lt;unit922&gt; "Дисп. станция" {v "\mp3_knst\ds.mp3", w 01}</v>
      </c>
    </row>
    <row r="5" spans="1:5" x14ac:dyDescent="0.25">
      <c r="A5" t="s">
        <v>346</v>
      </c>
      <c r="B5">
        <v>903</v>
      </c>
      <c r="C5" t="s">
        <v>94</v>
      </c>
      <c r="E5" s="16" t="str">
        <f t="shared" si="0"/>
        <v>&lt;unit903&gt; "Канцавая" {v "\mp3_knst\kanc.mp3", w 01}</v>
      </c>
    </row>
    <row r="6" spans="1:5" x14ac:dyDescent="0.25">
      <c r="A6" t="s">
        <v>86</v>
      </c>
      <c r="B6">
        <v>924</v>
      </c>
      <c r="C6" t="s">
        <v>98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107</v>
      </c>
      <c r="E7" s="16" t="str">
        <f t="shared" si="0"/>
        <v>&lt;unit902&gt; "Остановка" {v "\mp3_knst\ost.mp3", w 01}</v>
      </c>
    </row>
    <row r="8" spans="1:5" x14ac:dyDescent="0.25">
      <c r="A8" t="s">
        <v>344</v>
      </c>
      <c r="B8">
        <v>900</v>
      </c>
      <c r="C8" t="s">
        <v>93</v>
      </c>
      <c r="E8" s="16" t="str">
        <f t="shared" si="0"/>
        <v>&lt;unit900&gt; "Дв. закр. След. ост." {v "\mp3_knst\ostor.mp3", w 01}</v>
      </c>
    </row>
    <row r="9" spans="1:5" x14ac:dyDescent="0.25">
      <c r="A9" t="s">
        <v>89</v>
      </c>
      <c r="B9">
        <v>925</v>
      </c>
      <c r="C9" t="s">
        <v>99</v>
      </c>
      <c r="E9" s="16" t="str">
        <f t="shared" si="0"/>
        <v>&lt;unit925&gt; "Площадь" {v "\mp3_knst\pl.mp3", w 01}</v>
      </c>
    </row>
    <row r="10" spans="1:5" x14ac:dyDescent="0.25">
      <c r="A10" t="s">
        <v>90</v>
      </c>
      <c r="B10">
        <v>926</v>
      </c>
      <c r="C10" t="s">
        <v>100</v>
      </c>
      <c r="E10" s="16" t="str">
        <f t="shared" si="0"/>
        <v>&lt;unit926&gt; "Проспект" {v "\mp3_knst\pr.mp3", w 01}</v>
      </c>
    </row>
    <row r="11" spans="1:5" x14ac:dyDescent="0.25">
      <c r="A11" t="s">
        <v>91</v>
      </c>
      <c r="B11">
        <v>927</v>
      </c>
      <c r="C11" t="s">
        <v>101</v>
      </c>
      <c r="E11" s="16" t="str">
        <f t="shared" si="0"/>
        <v>&lt;unit927&gt; "Станция метро" {v "\mp3_knst\sm.mp3", w 01}</v>
      </c>
    </row>
    <row r="12" spans="1:5" x14ac:dyDescent="0.25">
      <c r="A12" t="s">
        <v>92</v>
      </c>
      <c r="B12">
        <v>928</v>
      </c>
      <c r="C12" t="s">
        <v>102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3"/>
  <sheetViews>
    <sheetView workbookViewId="0">
      <selection activeCell="B8" sqref="B8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278</v>
      </c>
      <c r="B1" s="10" t="s">
        <v>167</v>
      </c>
      <c r="C1" s="1" t="s">
        <v>188</v>
      </c>
      <c r="D1" s="1" t="s">
        <v>191</v>
      </c>
      <c r="E1" s="7" t="s">
        <v>84</v>
      </c>
      <c r="F1" s="18"/>
      <c r="H1" s="4"/>
    </row>
    <row r="2" spans="1:8" x14ac:dyDescent="0.25">
      <c r="B2" t="s">
        <v>180</v>
      </c>
      <c r="C2" t="s">
        <v>194</v>
      </c>
      <c r="D2" t="s">
        <v>193</v>
      </c>
      <c r="E2" s="9" t="s">
        <v>110</v>
      </c>
      <c r="F2" s="19" t="str">
        <f t="shared" ref="F2:F34" si="0">IFERROR("c "&amp;VLOOKUP(A2,Punkti,2,FALSE),"")</f>
        <v/>
      </c>
      <c r="G2" t="str">
        <f t="shared" ref="G2:G34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184</v>
      </c>
      <c r="C3" t="s">
        <v>201</v>
      </c>
      <c r="D3" t="s">
        <v>192</v>
      </c>
      <c r="E3" s="9" t="s">
        <v>114</v>
      </c>
      <c r="F3" s="19" t="str">
        <f t="shared" si="0"/>
        <v/>
      </c>
      <c r="G3" t="str">
        <f t="shared" si="1"/>
        <v>v "\mp3_ost\avtostan.mp3"</v>
      </c>
      <c r="H3" t="str">
        <f t="shared" ref="H3:H63" si="2">СцепитьМного(F3:G3,", ")</f>
        <v>v "\mp3_ost\avtostan.mp3"</v>
      </c>
    </row>
    <row r="4" spans="1:8" x14ac:dyDescent="0.25">
      <c r="B4" t="s">
        <v>185</v>
      </c>
      <c r="C4" t="s">
        <v>185</v>
      </c>
      <c r="D4" t="s">
        <v>192</v>
      </c>
      <c r="E4" s="9" t="s">
        <v>115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187</v>
      </c>
      <c r="C5" t="s">
        <v>204</v>
      </c>
      <c r="D5" t="s">
        <v>192</v>
      </c>
      <c r="E5" s="9" t="s">
        <v>119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268</v>
      </c>
      <c r="C6" t="s">
        <v>269</v>
      </c>
      <c r="D6" t="s">
        <v>192</v>
      </c>
      <c r="E6" s="9" t="s">
        <v>164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220</v>
      </c>
      <c r="C7" t="s">
        <v>252</v>
      </c>
      <c r="D7" t="s">
        <v>192</v>
      </c>
      <c r="E7" s="9" t="s">
        <v>132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212</v>
      </c>
      <c r="C8" t="s">
        <v>211</v>
      </c>
      <c r="D8" t="s">
        <v>192</v>
      </c>
      <c r="E8" s="9" t="s">
        <v>124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170</v>
      </c>
      <c r="C9" t="s">
        <v>216</v>
      </c>
      <c r="D9" t="s">
        <v>192</v>
      </c>
      <c r="E9" s="9" t="s">
        <v>128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169</v>
      </c>
      <c r="C10" t="s">
        <v>217</v>
      </c>
      <c r="D10" t="s">
        <v>192</v>
      </c>
      <c r="E10" s="9" t="s">
        <v>129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275</v>
      </c>
      <c r="C11" t="s">
        <v>214</v>
      </c>
      <c r="D11" t="s">
        <v>192</v>
      </c>
      <c r="E11" s="9" t="s">
        <v>126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274</v>
      </c>
      <c r="C12" t="s">
        <v>213</v>
      </c>
      <c r="D12" t="s">
        <v>192</v>
      </c>
      <c r="E12" s="9" t="s">
        <v>125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168</v>
      </c>
      <c r="C13" t="s">
        <v>215</v>
      </c>
      <c r="D13" t="s">
        <v>192</v>
      </c>
      <c r="E13" s="9" t="s">
        <v>127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272</v>
      </c>
      <c r="C14" t="s">
        <v>273</v>
      </c>
      <c r="D14" t="s">
        <v>192</v>
      </c>
      <c r="E14" s="9" t="s">
        <v>166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221</v>
      </c>
      <c r="C15" t="s">
        <v>237</v>
      </c>
      <c r="D15" t="s">
        <v>192</v>
      </c>
      <c r="E15" s="9" t="s">
        <v>134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219</v>
      </c>
      <c r="C16" t="s">
        <v>235</v>
      </c>
      <c r="D16" t="s">
        <v>192</v>
      </c>
      <c r="E16" s="9" t="s">
        <v>131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226</v>
      </c>
      <c r="C17" t="s">
        <v>239</v>
      </c>
      <c r="D17" t="s">
        <v>192</v>
      </c>
      <c r="E17" s="9" t="s">
        <v>139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276</v>
      </c>
      <c r="C18" t="s">
        <v>227</v>
      </c>
      <c r="D18" t="s">
        <v>193</v>
      </c>
      <c r="E18" s="9" t="s">
        <v>140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182</v>
      </c>
      <c r="C19" t="s">
        <v>197</v>
      </c>
      <c r="D19" t="s">
        <v>199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183</v>
      </c>
      <c r="C20" t="s">
        <v>198</v>
      </c>
      <c r="D20" t="s">
        <v>199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243</v>
      </c>
      <c r="C21" t="s">
        <v>244</v>
      </c>
      <c r="D21" t="s">
        <v>192</v>
      </c>
      <c r="E21" s="9" t="s">
        <v>149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233</v>
      </c>
      <c r="C22" t="s">
        <v>234</v>
      </c>
      <c r="D22" t="s">
        <v>192</v>
      </c>
      <c r="E22" s="9" t="s">
        <v>146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241</v>
      </c>
      <c r="C23" t="s">
        <v>242</v>
      </c>
      <c r="D23" t="s">
        <v>192</v>
      </c>
      <c r="E23" s="9" t="s">
        <v>148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270</v>
      </c>
      <c r="C24" t="s">
        <v>271</v>
      </c>
      <c r="D24" t="s">
        <v>192</v>
      </c>
      <c r="E24" s="9" t="s">
        <v>165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222</v>
      </c>
      <c r="C25" t="s">
        <v>223</v>
      </c>
      <c r="D25" t="s">
        <v>192</v>
      </c>
      <c r="E25" s="9" t="s">
        <v>136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175</v>
      </c>
      <c r="C26" t="s">
        <v>229</v>
      </c>
      <c r="D26" t="s">
        <v>192</v>
      </c>
      <c r="E26" s="9" t="s">
        <v>142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250</v>
      </c>
      <c r="C27" t="s">
        <v>251</v>
      </c>
      <c r="D27" t="s">
        <v>192</v>
      </c>
      <c r="E27" s="9" t="s">
        <v>154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352</v>
      </c>
      <c r="E28" s="9" t="s">
        <v>353</v>
      </c>
      <c r="F28" s="19" t="str">
        <f t="shared" si="0"/>
        <v/>
      </c>
      <c r="G28" t="str">
        <f t="shared" si="1"/>
        <v>v "\mp3_ost\!_silent.mp3"</v>
      </c>
      <c r="H28" t="str">
        <f t="shared" si="2"/>
        <v>v "\mp3_ost\!_silent.mp3"</v>
      </c>
    </row>
    <row r="29" spans="2:8" x14ac:dyDescent="0.25">
      <c r="B29" t="s">
        <v>249</v>
      </c>
      <c r="C29" t="s">
        <v>249</v>
      </c>
      <c r="D29" t="s">
        <v>192</v>
      </c>
      <c r="E29" s="9" t="s">
        <v>153</v>
      </c>
      <c r="F29" s="19" t="str">
        <f t="shared" si="0"/>
        <v/>
      </c>
      <c r="G29" t="str">
        <f t="shared" si="1"/>
        <v>v "\mp3_ost\sberbank.mp3"</v>
      </c>
      <c r="H29" t="str">
        <f t="shared" si="2"/>
        <v>v "\mp3_ost\sberbank.mp3"</v>
      </c>
    </row>
    <row r="30" spans="2:8" x14ac:dyDescent="0.25">
      <c r="B30" t="s">
        <v>256</v>
      </c>
      <c r="C30" t="s">
        <v>257</v>
      </c>
      <c r="D30" t="s">
        <v>192</v>
      </c>
      <c r="E30" s="9" t="s">
        <v>157</v>
      </c>
      <c r="F30" s="19" t="str">
        <f t="shared" si="0"/>
        <v/>
      </c>
      <c r="G30" t="str">
        <f t="shared" si="1"/>
        <v>v "\mp3_ost\svitanak.mp3"</v>
      </c>
      <c r="H30" t="str">
        <f t="shared" si="2"/>
        <v>v "\mp3_ost\svitanak.mp3"</v>
      </c>
    </row>
    <row r="31" spans="2:8" x14ac:dyDescent="0.25">
      <c r="B31" t="s">
        <v>247</v>
      </c>
      <c r="C31" t="s">
        <v>248</v>
      </c>
      <c r="D31" t="s">
        <v>192</v>
      </c>
      <c r="E31" s="9" t="s">
        <v>152</v>
      </c>
      <c r="F31" s="19" t="str">
        <f t="shared" si="0"/>
        <v/>
      </c>
      <c r="G31" t="str">
        <f t="shared" si="1"/>
        <v>v "\mp3_ost\rwnok.mp3"</v>
      </c>
      <c r="H31" t="str">
        <f t="shared" si="2"/>
        <v>v "\mp3_ost\rwnok.mp3"</v>
      </c>
    </row>
    <row r="32" spans="2:8" x14ac:dyDescent="0.25">
      <c r="B32" t="s">
        <v>253</v>
      </c>
      <c r="C32" t="s">
        <v>254</v>
      </c>
      <c r="D32" t="s">
        <v>192</v>
      </c>
      <c r="E32" s="9" t="s">
        <v>155</v>
      </c>
      <c r="F32" s="19" t="str">
        <f t="shared" si="0"/>
        <v/>
      </c>
      <c r="G32" t="str">
        <f t="shared" si="1"/>
        <v>v "\mp3_ost\sudob-kl.mp3"</v>
      </c>
      <c r="H32" t="str">
        <f t="shared" si="2"/>
        <v>v "\mp3_ost\sudob-kl.mp3"</v>
      </c>
    </row>
    <row r="33" spans="1:8" x14ac:dyDescent="0.25">
      <c r="B33" t="s">
        <v>177</v>
      </c>
      <c r="C33" t="s">
        <v>189</v>
      </c>
      <c r="D33" t="s">
        <v>192</v>
      </c>
      <c r="E33" s="9" t="s">
        <v>108</v>
      </c>
      <c r="F33" s="19" t="str">
        <f t="shared" si="0"/>
        <v/>
      </c>
      <c r="G33" t="str">
        <f t="shared" si="1"/>
        <v>v "\mp3_ost\5ssh.mp3"</v>
      </c>
      <c r="H33" t="str">
        <f t="shared" si="2"/>
        <v>v "\mp3_ost\5ssh.mp3"</v>
      </c>
    </row>
    <row r="34" spans="1:8" x14ac:dyDescent="0.25">
      <c r="B34" t="s">
        <v>181</v>
      </c>
      <c r="C34" t="s">
        <v>195</v>
      </c>
      <c r="D34" t="s">
        <v>192</v>
      </c>
      <c r="E34" s="9" t="s">
        <v>111</v>
      </c>
      <c r="F34" s="19" t="str">
        <f t="shared" si="0"/>
        <v/>
      </c>
      <c r="G34" t="str">
        <f t="shared" si="1"/>
        <v>v "\mp3_ost\8ssh.mp3"</v>
      </c>
      <c r="H34" t="str">
        <f t="shared" si="2"/>
        <v>v "\mp3_ost\8ssh.mp3"</v>
      </c>
    </row>
    <row r="35" spans="1:8" x14ac:dyDescent="0.25">
      <c r="B35" t="s">
        <v>259</v>
      </c>
      <c r="C35" t="s">
        <v>260</v>
      </c>
      <c r="D35" t="s">
        <v>192</v>
      </c>
      <c r="E35" s="9" t="s">
        <v>159</v>
      </c>
      <c r="F35" s="19" t="str">
        <f t="shared" ref="F35:F63" si="3">IFERROR("c "&amp;VLOOKUP(A35,Punkti,2,FALSE),"")</f>
        <v/>
      </c>
      <c r="G35" t="str">
        <f t="shared" ref="G35:G63" si="4">"v ""\"&amp;mp3_ost&amp;"\"&amp;E35&amp;".mp3"""</f>
        <v>v "\mp3_ost\tamoj.mp3"</v>
      </c>
      <c r="H35" t="str">
        <f t="shared" si="2"/>
        <v>v "\mp3_ost\tamoj.mp3"</v>
      </c>
    </row>
    <row r="36" spans="1:8" x14ac:dyDescent="0.25">
      <c r="B36" t="s">
        <v>261</v>
      </c>
      <c r="C36" t="s">
        <v>262</v>
      </c>
      <c r="D36" t="s">
        <v>192</v>
      </c>
      <c r="E36" s="9" t="s">
        <v>160</v>
      </c>
      <c r="F36" s="19" t="str">
        <f t="shared" si="3"/>
        <v/>
      </c>
      <c r="G36" t="str">
        <f t="shared" si="4"/>
        <v>v "\mp3_ost\tc.mp3"</v>
      </c>
      <c r="H36" t="str">
        <f t="shared" si="2"/>
        <v>v "\mp3_ost\tc.mp3"</v>
      </c>
    </row>
    <row r="37" spans="1:8" x14ac:dyDescent="0.25">
      <c r="B37" t="s">
        <v>277</v>
      </c>
      <c r="C37" t="s">
        <v>202</v>
      </c>
      <c r="D37" t="s">
        <v>192</v>
      </c>
      <c r="E37" s="9" t="s">
        <v>117</v>
      </c>
      <c r="F37" s="19" t="str">
        <f t="shared" si="3"/>
        <v/>
      </c>
      <c r="G37" t="str">
        <f t="shared" si="4"/>
        <v>v "\mp3_ost\belaz.mp3"</v>
      </c>
      <c r="H37" t="str">
        <f t="shared" si="2"/>
        <v>v "\mp3_ost\belaz.mp3"</v>
      </c>
    </row>
    <row r="38" spans="1:8" x14ac:dyDescent="0.25">
      <c r="B38" t="s">
        <v>263</v>
      </c>
      <c r="C38" t="s">
        <v>264</v>
      </c>
      <c r="D38" t="s">
        <v>192</v>
      </c>
      <c r="E38" s="9" t="s">
        <v>161</v>
      </c>
      <c r="F38" s="19" t="str">
        <f t="shared" si="3"/>
        <v/>
      </c>
      <c r="G38" t="str">
        <f t="shared" si="4"/>
        <v>v "\mp3_ost\tec.mp3"</v>
      </c>
      <c r="H38" t="str">
        <f t="shared" si="2"/>
        <v>v "\mp3_ost\tec.mp3"</v>
      </c>
    </row>
    <row r="39" spans="1:8" x14ac:dyDescent="0.25">
      <c r="A39" t="s">
        <v>92</v>
      </c>
      <c r="B39" t="s">
        <v>279</v>
      </c>
      <c r="C39" t="s">
        <v>196</v>
      </c>
      <c r="D39" t="s">
        <v>192</v>
      </c>
      <c r="E39" s="9" t="s">
        <v>112</v>
      </c>
      <c r="F39" s="19" t="str">
        <f t="shared" si="3"/>
        <v>c 928</v>
      </c>
      <c r="G39" t="str">
        <f t="shared" si="4"/>
        <v>v "\mp3_ost\50letokt.mp3"</v>
      </c>
      <c r="H39" t="str">
        <f t="shared" si="2"/>
        <v>c 928, v "\mp3_ost\50letokt.mp3"</v>
      </c>
    </row>
    <row r="40" spans="1:8" x14ac:dyDescent="0.25">
      <c r="A40" t="s">
        <v>92</v>
      </c>
      <c r="B40" t="s">
        <v>280</v>
      </c>
      <c r="C40" t="s">
        <v>190</v>
      </c>
      <c r="D40" t="s">
        <v>192</v>
      </c>
      <c r="E40" s="9" t="s">
        <v>109</v>
      </c>
      <c r="F40" s="19" t="str">
        <f t="shared" si="3"/>
        <v>c 928</v>
      </c>
      <c r="G40" t="str">
        <f t="shared" si="4"/>
        <v>v "\mp3_ost\8marta.mp3"</v>
      </c>
      <c r="H40" t="str">
        <f t="shared" si="2"/>
        <v>c 928, v "\mp3_ost\8marta.mp3"</v>
      </c>
    </row>
    <row r="41" spans="1:8" x14ac:dyDescent="0.25">
      <c r="A41" t="s">
        <v>92</v>
      </c>
      <c r="B41" t="s">
        <v>281</v>
      </c>
      <c r="C41" t="s">
        <v>200</v>
      </c>
      <c r="D41" t="s">
        <v>192</v>
      </c>
      <c r="E41" s="9" t="s">
        <v>113</v>
      </c>
      <c r="F41" s="19" t="str">
        <f t="shared" si="3"/>
        <v>c 928</v>
      </c>
      <c r="G41" t="str">
        <f t="shared" si="4"/>
        <v>v "\mp3_ost\avtomobi.mp3"</v>
      </c>
      <c r="H41" t="str">
        <f t="shared" si="2"/>
        <v>c 928, v "\mp3_ost\avtomobi.mp3"</v>
      </c>
    </row>
    <row r="42" spans="1:8" x14ac:dyDescent="0.25">
      <c r="A42" t="s">
        <v>92</v>
      </c>
      <c r="B42" t="s">
        <v>179</v>
      </c>
      <c r="C42" t="s">
        <v>186</v>
      </c>
      <c r="D42" t="s">
        <v>192</v>
      </c>
      <c r="E42" s="9" t="s">
        <v>116</v>
      </c>
      <c r="F42" s="19" t="str">
        <f t="shared" si="3"/>
        <v>c 928</v>
      </c>
      <c r="G42" t="str">
        <f t="shared" si="4"/>
        <v>v "\mp3_ost\bajora.mp3"</v>
      </c>
      <c r="H42" t="str">
        <f t="shared" si="2"/>
        <v>c 928, v "\mp3_ost\bajora.mp3"</v>
      </c>
    </row>
    <row r="43" spans="1:8" x14ac:dyDescent="0.25">
      <c r="A43" t="s">
        <v>92</v>
      </c>
      <c r="B43" t="s">
        <v>282</v>
      </c>
      <c r="C43" t="s">
        <v>203</v>
      </c>
      <c r="D43" t="s">
        <v>192</v>
      </c>
      <c r="E43" s="9" t="s">
        <v>118</v>
      </c>
      <c r="F43" s="19" t="str">
        <f t="shared" si="3"/>
        <v>c 928</v>
      </c>
      <c r="G43" t="str">
        <f t="shared" si="4"/>
        <v>v "\mp3_ost\boguslav.mp3"</v>
      </c>
      <c r="H43" t="str">
        <f t="shared" si="2"/>
        <v>c 928, v "\mp3_ost\boguslav.mp3"</v>
      </c>
    </row>
    <row r="44" spans="1:8" x14ac:dyDescent="0.25">
      <c r="A44" t="s">
        <v>92</v>
      </c>
      <c r="B44" t="s">
        <v>176</v>
      </c>
      <c r="C44" t="s">
        <v>210</v>
      </c>
      <c r="D44" t="s">
        <v>192</v>
      </c>
      <c r="E44" s="9" t="s">
        <v>123</v>
      </c>
      <c r="F44" s="19" t="str">
        <f t="shared" si="3"/>
        <v>c 928</v>
      </c>
      <c r="G44" t="str">
        <f t="shared" si="4"/>
        <v>v "\mp3_ost\gagarina.mp3"</v>
      </c>
      <c r="H44" t="str">
        <f t="shared" si="2"/>
        <v>c 928, v "\mp3_ost\gagarina.mp3"</v>
      </c>
    </row>
    <row r="45" spans="1:8" x14ac:dyDescent="0.25">
      <c r="A45" t="s">
        <v>92</v>
      </c>
      <c r="B45" t="s">
        <v>283</v>
      </c>
      <c r="C45" t="s">
        <v>207</v>
      </c>
      <c r="D45" t="s">
        <v>192</v>
      </c>
      <c r="E45" s="9" t="s">
        <v>121</v>
      </c>
      <c r="F45" s="19" t="str">
        <f t="shared" si="3"/>
        <v>c 928</v>
      </c>
      <c r="G45" t="str">
        <f t="shared" si="4"/>
        <v>v "\mp3_ost\darojnay.mp3"</v>
      </c>
      <c r="H45" t="str">
        <f t="shared" si="2"/>
        <v>c 928, v "\mp3_ost\darojnay.mp3"</v>
      </c>
    </row>
    <row r="46" spans="1:8" x14ac:dyDescent="0.25">
      <c r="A46" t="s">
        <v>92</v>
      </c>
      <c r="B46" t="s">
        <v>171</v>
      </c>
      <c r="C46" t="s">
        <v>218</v>
      </c>
      <c r="D46" t="s">
        <v>192</v>
      </c>
      <c r="E46" s="9" t="s">
        <v>130</v>
      </c>
      <c r="F46" s="19" t="str">
        <f t="shared" si="3"/>
        <v>c 928</v>
      </c>
      <c r="G46" t="str">
        <f t="shared" si="4"/>
        <v>v "\mp3_ost\kalinina.mp3"</v>
      </c>
      <c r="H46" t="str">
        <f t="shared" si="2"/>
        <v>c 928, v "\mp3_ost\kalinina.mp3"</v>
      </c>
    </row>
    <row r="47" spans="1:8" x14ac:dyDescent="0.25">
      <c r="A47" t="s">
        <v>92</v>
      </c>
      <c r="B47" t="s">
        <v>284</v>
      </c>
      <c r="C47" t="s">
        <v>236</v>
      </c>
      <c r="D47" t="s">
        <v>192</v>
      </c>
      <c r="E47" s="9" t="s">
        <v>133</v>
      </c>
      <c r="F47" s="19" t="str">
        <f t="shared" si="3"/>
        <v>c 928</v>
      </c>
      <c r="G47" t="str">
        <f t="shared" si="4"/>
        <v>v "\mp3_ost\kupriyan.mp3"</v>
      </c>
      <c r="H47" t="str">
        <f t="shared" si="2"/>
        <v>c 928, v "\mp3_ost\kupriyan.mp3"</v>
      </c>
    </row>
    <row r="48" spans="1:8" x14ac:dyDescent="0.25">
      <c r="A48" t="s">
        <v>92</v>
      </c>
      <c r="B48" t="s">
        <v>285</v>
      </c>
      <c r="C48" t="s">
        <v>224</v>
      </c>
      <c r="D48" t="s">
        <v>193</v>
      </c>
      <c r="E48" s="9" t="s">
        <v>137</v>
      </c>
      <c r="F48" s="19" t="str">
        <f t="shared" si="3"/>
        <v>c 928</v>
      </c>
      <c r="G48" t="str">
        <f t="shared" si="4"/>
        <v>v "\mp3_ost\leninska.mp3"</v>
      </c>
      <c r="H48" t="str">
        <f t="shared" si="2"/>
        <v>c 928, v "\mp3_ost\leninska.mp3"</v>
      </c>
    </row>
    <row r="49" spans="1:8" x14ac:dyDescent="0.25">
      <c r="A49" t="s">
        <v>92</v>
      </c>
      <c r="B49" t="s">
        <v>286</v>
      </c>
      <c r="C49" t="s">
        <v>225</v>
      </c>
      <c r="D49" t="s">
        <v>192</v>
      </c>
      <c r="E49" s="9" t="s">
        <v>138</v>
      </c>
      <c r="F49" s="19" t="str">
        <f t="shared" si="3"/>
        <v>c 928</v>
      </c>
      <c r="G49" t="str">
        <f t="shared" si="4"/>
        <v>v "\mp3_ost\lesnaya.mp3"</v>
      </c>
      <c r="H49" t="str">
        <f t="shared" si="2"/>
        <v>c 928, v "\mp3_ost\lesnaya.mp3"</v>
      </c>
    </row>
    <row r="50" spans="1:8" x14ac:dyDescent="0.25">
      <c r="A50" t="s">
        <v>92</v>
      </c>
      <c r="B50" t="s">
        <v>287</v>
      </c>
      <c r="C50" t="s">
        <v>238</v>
      </c>
      <c r="D50" t="s">
        <v>193</v>
      </c>
      <c r="E50" s="9" t="s">
        <v>135</v>
      </c>
      <c r="F50" s="19" t="str">
        <f t="shared" si="3"/>
        <v>c 928</v>
      </c>
      <c r="G50" t="str">
        <f t="shared" si="4"/>
        <v>v "\mp3_ost\lag.mp3"</v>
      </c>
      <c r="H50" t="str">
        <f t="shared" si="2"/>
        <v>c 928, v "\mp3_ost\lag.mp3"</v>
      </c>
    </row>
    <row r="51" spans="1:8" x14ac:dyDescent="0.25">
      <c r="A51" t="s">
        <v>92</v>
      </c>
      <c r="B51" t="s">
        <v>288</v>
      </c>
      <c r="C51" t="s">
        <v>228</v>
      </c>
      <c r="D51" t="s">
        <v>192</v>
      </c>
      <c r="E51" s="9" t="s">
        <v>141</v>
      </c>
      <c r="F51" s="19" t="str">
        <f t="shared" si="3"/>
        <v>c 928</v>
      </c>
      <c r="G51" t="str">
        <f t="shared" si="4"/>
        <v>v "\mp3_ost\magistra.mp3"</v>
      </c>
      <c r="H51" t="str">
        <f t="shared" si="2"/>
        <v>c 928, v "\mp3_ost\magistra.mp3"</v>
      </c>
    </row>
    <row r="52" spans="1:8" x14ac:dyDescent="0.25">
      <c r="A52" t="s">
        <v>92</v>
      </c>
      <c r="B52" t="s">
        <v>172</v>
      </c>
      <c r="C52" t="s">
        <v>230</v>
      </c>
      <c r="D52" t="s">
        <v>192</v>
      </c>
      <c r="E52" s="9" t="s">
        <v>143</v>
      </c>
      <c r="F52" s="19" t="str">
        <f t="shared" si="3"/>
        <v>c 928</v>
      </c>
      <c r="G52" t="str">
        <f t="shared" si="4"/>
        <v>v "\mp3_ost\moskovsk.mp3"</v>
      </c>
      <c r="H52" t="str">
        <f t="shared" si="2"/>
        <v>c 928, v "\mp3_ost\moskovsk.mp3"</v>
      </c>
    </row>
    <row r="53" spans="1:8" x14ac:dyDescent="0.25">
      <c r="A53" t="s">
        <v>92</v>
      </c>
      <c r="B53" t="s">
        <v>289</v>
      </c>
      <c r="C53" t="s">
        <v>231</v>
      </c>
      <c r="D53" t="s">
        <v>192</v>
      </c>
      <c r="E53" s="9" t="s">
        <v>144</v>
      </c>
      <c r="F53" s="19" t="str">
        <f t="shared" si="3"/>
        <v>c 928</v>
      </c>
      <c r="G53" t="str">
        <f t="shared" si="4"/>
        <v>v "\mp3_ost\nagornay.mp3"</v>
      </c>
      <c r="H53" t="str">
        <f t="shared" si="2"/>
        <v>c 928, v "\mp3_ost\nagornay.mp3"</v>
      </c>
    </row>
    <row r="54" spans="1:8" x14ac:dyDescent="0.25">
      <c r="A54" t="s">
        <v>92</v>
      </c>
      <c r="B54" t="s">
        <v>351</v>
      </c>
      <c r="C54" t="s">
        <v>232</v>
      </c>
      <c r="D54" t="s">
        <v>192</v>
      </c>
      <c r="E54" s="9" t="s">
        <v>145</v>
      </c>
      <c r="F54" s="19" t="str">
        <f t="shared" si="3"/>
        <v>c 928</v>
      </c>
      <c r="G54" t="str">
        <f t="shared" si="4"/>
        <v>v "\mp3_ost\ostrovsk.mp3"</v>
      </c>
      <c r="H54" t="str">
        <f t="shared" si="2"/>
        <v>c 928, v "\mp3_ost\ostrovsk.mp3"</v>
      </c>
    </row>
    <row r="55" spans="1:8" x14ac:dyDescent="0.25">
      <c r="A55" t="s">
        <v>92</v>
      </c>
      <c r="B55" t="s">
        <v>173</v>
      </c>
      <c r="C55" t="s">
        <v>240</v>
      </c>
      <c r="D55" t="s">
        <v>192</v>
      </c>
      <c r="E55" s="9" t="s">
        <v>147</v>
      </c>
      <c r="F55" s="19" t="str">
        <f t="shared" si="3"/>
        <v>c 928</v>
      </c>
      <c r="G55" t="str">
        <f t="shared" si="4"/>
        <v>v "\mp3_ost\partizan.mp3"</v>
      </c>
      <c r="H55" t="str">
        <f t="shared" si="2"/>
        <v>c 928, v "\mp3_ost\partizan.mp3"</v>
      </c>
    </row>
    <row r="56" spans="1:8" x14ac:dyDescent="0.25">
      <c r="A56" t="s">
        <v>92</v>
      </c>
      <c r="B56" t="s">
        <v>290</v>
      </c>
      <c r="C56" t="s">
        <v>245</v>
      </c>
      <c r="D56" t="s">
        <v>192</v>
      </c>
      <c r="E56" s="9" t="s">
        <v>150</v>
      </c>
      <c r="F56" s="19" t="str">
        <f t="shared" si="3"/>
        <v>c 928</v>
      </c>
      <c r="G56" t="str">
        <f t="shared" si="4"/>
        <v>v "\mp3_ost\pyaschan.mp3"</v>
      </c>
      <c r="H56" t="str">
        <f t="shared" si="2"/>
        <v>c 928, v "\mp3_ost\pyaschan.mp3"</v>
      </c>
    </row>
    <row r="57" spans="1:8" x14ac:dyDescent="0.25">
      <c r="A57" t="s">
        <v>92</v>
      </c>
      <c r="B57" t="s">
        <v>178</v>
      </c>
      <c r="C57" t="s">
        <v>246</v>
      </c>
      <c r="D57" t="s">
        <v>192</v>
      </c>
      <c r="E57" s="9" t="s">
        <v>151</v>
      </c>
      <c r="F57" s="19" t="str">
        <f t="shared" si="3"/>
        <v>c 928</v>
      </c>
      <c r="G57" t="str">
        <f t="shared" si="4"/>
        <v>v "\mp3_ost\rokosovs.mp3"</v>
      </c>
      <c r="H57" t="str">
        <f t="shared" si="2"/>
        <v>c 928, v "\mp3_ost\rokosovs.mp3"</v>
      </c>
    </row>
    <row r="58" spans="1:8" x14ac:dyDescent="0.25">
      <c r="A58" t="s">
        <v>92</v>
      </c>
      <c r="B58" t="s">
        <v>291</v>
      </c>
      <c r="C58" t="s">
        <v>255</v>
      </c>
      <c r="D58" t="s">
        <v>192</v>
      </c>
      <c r="E58" s="9" t="s">
        <v>156</v>
      </c>
      <c r="F58" s="19" t="str">
        <f t="shared" si="3"/>
        <v>c 928</v>
      </c>
      <c r="G58" t="str">
        <f t="shared" si="4"/>
        <v>v "\mp3_ost\suhogrya.mp3"</v>
      </c>
      <c r="H58" t="str">
        <f t="shared" si="2"/>
        <v>c 928, v "\mp3_ost\suhogrya.mp3"</v>
      </c>
    </row>
    <row r="59" spans="1:8" x14ac:dyDescent="0.25">
      <c r="A59" t="s">
        <v>92</v>
      </c>
      <c r="B59" t="s">
        <v>174</v>
      </c>
      <c r="C59" t="s">
        <v>258</v>
      </c>
      <c r="D59" t="s">
        <v>192</v>
      </c>
      <c r="E59" s="9" t="s">
        <v>158</v>
      </c>
      <c r="F59" s="19" t="str">
        <f t="shared" si="3"/>
        <v>c 928</v>
      </c>
      <c r="G59" t="str">
        <f t="shared" si="4"/>
        <v>v "\mp3_ost\swrokvas.mp3"</v>
      </c>
      <c r="H59" t="str">
        <f t="shared" si="2"/>
        <v>c 928, v "\mp3_ost\swrokvas.mp3"</v>
      </c>
    </row>
    <row r="60" spans="1:8" x14ac:dyDescent="0.25">
      <c r="A60" t="s">
        <v>92</v>
      </c>
      <c r="B60" t="s">
        <v>292</v>
      </c>
      <c r="C60" t="s">
        <v>265</v>
      </c>
      <c r="D60" t="s">
        <v>192</v>
      </c>
      <c r="E60" s="9" t="s">
        <v>162</v>
      </c>
      <c r="F60" s="19" t="str">
        <f t="shared" si="3"/>
        <v>c 928</v>
      </c>
      <c r="G60" t="str">
        <f t="shared" si="4"/>
        <v>v "\mp3_ost\truda.mp3"</v>
      </c>
      <c r="H60" t="str">
        <f t="shared" si="2"/>
        <v>c 928, v "\mp3_ost\truda.mp3"</v>
      </c>
    </row>
    <row r="61" spans="1:8" x14ac:dyDescent="0.25">
      <c r="B61" t="s">
        <v>266</v>
      </c>
      <c r="C61" t="s">
        <v>267</v>
      </c>
      <c r="D61" t="s">
        <v>192</v>
      </c>
      <c r="E61" s="9" t="s">
        <v>163</v>
      </c>
      <c r="F61" s="19" t="str">
        <f t="shared" si="3"/>
        <v/>
      </c>
      <c r="G61" t="str">
        <f t="shared" si="4"/>
        <v>v "\mp3_ost\universa.mp3"</v>
      </c>
      <c r="H61" t="str">
        <f t="shared" si="2"/>
        <v>v "\mp3_ost\universa.mp3"</v>
      </c>
    </row>
    <row r="62" spans="1:8" x14ac:dyDescent="0.25">
      <c r="B62" t="s">
        <v>206</v>
      </c>
      <c r="C62" t="s">
        <v>205</v>
      </c>
      <c r="D62" t="s">
        <v>193</v>
      </c>
      <c r="E62" s="9" t="s">
        <v>120</v>
      </c>
      <c r="F62" s="19" t="str">
        <f t="shared" si="3"/>
        <v/>
      </c>
      <c r="G62" t="str">
        <f t="shared" si="4"/>
        <v>v "\mp3_ost\carkva.mp3"</v>
      </c>
      <c r="H62" t="str">
        <f t="shared" si="2"/>
        <v>v "\mp3_ost\carkva.mp3"</v>
      </c>
    </row>
    <row r="63" spans="1:8" x14ac:dyDescent="0.25">
      <c r="B63" t="s">
        <v>209</v>
      </c>
      <c r="C63" t="s">
        <v>208</v>
      </c>
      <c r="D63" t="s">
        <v>192</v>
      </c>
      <c r="E63" s="9" t="s">
        <v>122</v>
      </c>
      <c r="F63" s="19" t="str">
        <f t="shared" si="3"/>
        <v/>
      </c>
      <c r="G63" t="str">
        <f t="shared" si="4"/>
        <v>v "\mp3_ost\elseti.mp3"</v>
      </c>
      <c r="H63" t="str">
        <f t="shared" si="2"/>
        <v>v "\mp3_ost\elseti.mp3"</v>
      </c>
    </row>
  </sheetData>
  <dataValidations count="1">
    <dataValidation type="list" allowBlank="1" showInputMessage="1" showErrorMessage="1" sqref="A2:A63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341</v>
      </c>
      <c r="D1" s="23" t="s">
        <v>293</v>
      </c>
      <c r="E1" s="23" t="s">
        <v>294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295</v>
      </c>
      <c r="D2" s="21" t="s">
        <v>296</v>
      </c>
      <c r="E2" s="21" t="s">
        <v>221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297</v>
      </c>
      <c r="E3" s="21" t="s">
        <v>300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301</v>
      </c>
      <c r="E4" s="21" t="s">
        <v>302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298</v>
      </c>
      <c r="E5" s="21" t="s">
        <v>299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304</v>
      </c>
      <c r="E6" s="21" t="s">
        <v>305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298</v>
      </c>
      <c r="E7" s="21" t="s">
        <v>305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306</v>
      </c>
      <c r="D8" s="21" t="s">
        <v>298</v>
      </c>
      <c r="E8" s="21" t="s">
        <v>307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304</v>
      </c>
      <c r="E9" s="21" t="s">
        <v>308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303</v>
      </c>
      <c r="E10" s="21" t="s">
        <v>221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309</v>
      </c>
      <c r="D11" s="21" t="s">
        <v>303</v>
      </c>
      <c r="E11" s="21" t="s">
        <v>221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310</v>
      </c>
      <c r="E12" s="21" t="s">
        <v>311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297</v>
      </c>
      <c r="E13" s="21" t="s">
        <v>221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296</v>
      </c>
      <c r="E14" s="21" t="s">
        <v>312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295</v>
      </c>
      <c r="D16" s="21" t="s">
        <v>313</v>
      </c>
      <c r="E16" s="21" t="s">
        <v>314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315</v>
      </c>
      <c r="D18" s="21" t="s">
        <v>316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317</v>
      </c>
      <c r="D19" s="21" t="s">
        <v>316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318</v>
      </c>
      <c r="D20" s="21" t="s">
        <v>316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320</v>
      </c>
      <c r="D21" s="21" t="s">
        <v>316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323</v>
      </c>
      <c r="D22" s="21" t="s">
        <v>316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319</v>
      </c>
      <c r="D23" s="21" t="s">
        <v>316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322</v>
      </c>
      <c r="D24" s="21" t="s">
        <v>316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325</v>
      </c>
      <c r="D25" s="21" t="s">
        <v>316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321</v>
      </c>
      <c r="D26" s="21" t="s">
        <v>316</v>
      </c>
      <c r="E26" s="21" t="s">
        <v>324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326</v>
      </c>
      <c r="D27" s="21" t="s">
        <v>316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327</v>
      </c>
      <c r="D28" s="21" t="s">
        <v>316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328</v>
      </c>
      <c r="D30" s="21" t="s">
        <v>316</v>
      </c>
      <c r="E30" s="21" t="s">
        <v>333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329</v>
      </c>
      <c r="D31" s="21" t="s">
        <v>316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329</v>
      </c>
      <c r="D32" s="21" t="s">
        <v>316</v>
      </c>
      <c r="E32" s="21" t="s">
        <v>334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330</v>
      </c>
      <c r="D33" s="21" t="s">
        <v>316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331</v>
      </c>
      <c r="D34" s="21" t="s">
        <v>316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332</v>
      </c>
      <c r="D35" s="21" t="s">
        <v>316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335</v>
      </c>
      <c r="E41" s="21" t="s">
        <v>336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K102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B50</f>
        <v>50</v>
      </c>
      <c r="K4" s="15" t="str">
        <f>"&lt;unit"&amp;TEXT(B4,"000")&amp;"&gt; """&amp;E4&amp;""" {d 000, n "&amp;TEXT(G4,"000")&amp;"}"</f>
        <v>&lt;unit004&gt; "Обратный" {d 000, n 050}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5" si="0">B9</f>
        <v>9</v>
      </c>
      <c r="H8" s="24" t="str">
        <f t="shared" ref="H8:H46" si="1">IFERROR("c "&amp;VLOOKUP(C8,Punkti,2,FALSE),"")</f>
        <v>c 902</v>
      </c>
      <c r="I8" s="28" t="str">
        <f t="shared" ref="I8:I46" si="2">IFERROR(VLOOKUP(E8,Ostanovki,7,FALSE),"")</f>
        <v>c 928, v "\mp3_ost\truda.mp3"</v>
      </c>
      <c r="J8" s="24" t="str">
        <f t="shared" ref="J8:J46" si="3">IFERROR("c "&amp;VLOOKUP(F8,Punkti,2,FALSE),"")</f>
        <v/>
      </c>
      <c r="K8" s="15" t="str">
        <f t="shared" ref="K8:K46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6" si="5">ROW(B9)</f>
        <v>9</v>
      </c>
      <c r="C9" t="s">
        <v>344</v>
      </c>
      <c r="D9" t="str">
        <f>IF(H9="c 900","&gt;&gt;","")</f>
        <v>&gt;&gt;</v>
      </c>
      <c r="G9" s="24">
        <f t="shared" si="0"/>
        <v>10</v>
      </c>
      <c r="H9" s="24" t="str">
        <f t="shared" si="1"/>
        <v>c 900</v>
      </c>
      <c r="I9" s="28" t="str">
        <f t="shared" si="2"/>
        <v/>
      </c>
      <c r="J9" s="24" t="str">
        <f t="shared" si="3"/>
        <v/>
      </c>
      <c r="K9" s="15" t="str">
        <f t="shared" si="4"/>
        <v>&lt;unit009&gt; "&gt;&gt;" {c 900,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6" si="6">IF(H10="c 900","&gt;&gt;","")</f>
        <v/>
      </c>
      <c r="G10" s="24">
        <f t="shared" si="0"/>
        <v>11</v>
      </c>
      <c r="H10" s="24" t="str">
        <f t="shared" si="1"/>
        <v>c 902</v>
      </c>
      <c r="I10" s="28" t="str">
        <f t="shared" si="2"/>
        <v/>
      </c>
      <c r="J10" s="24" t="str">
        <f t="shared" si="3"/>
        <v/>
      </c>
      <c r="K10" s="15" t="str">
        <f t="shared" si="4"/>
        <v>&lt;unit010&gt; "" {c 902,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G11" s="24">
        <f t="shared" si="0"/>
        <v>12</v>
      </c>
      <c r="H11" s="24" t="str">
        <f t="shared" si="1"/>
        <v>c 900</v>
      </c>
      <c r="I11" s="28" t="str">
        <f t="shared" si="2"/>
        <v/>
      </c>
      <c r="J11" s="24" t="str">
        <f t="shared" si="3"/>
        <v/>
      </c>
      <c r="K11" s="15" t="str">
        <f t="shared" si="4"/>
        <v>&lt;unit011&gt; "&gt;&gt;" {c 900,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G12" s="24">
        <f t="shared" si="0"/>
        <v>13</v>
      </c>
      <c r="H12" s="24" t="str">
        <f t="shared" si="1"/>
        <v>c 902</v>
      </c>
      <c r="I12" s="28" t="str">
        <f t="shared" si="2"/>
        <v/>
      </c>
      <c r="J12" s="24" t="str">
        <f t="shared" si="3"/>
        <v/>
      </c>
      <c r="K12" s="15" t="str">
        <f t="shared" si="4"/>
        <v>&lt;unit012&gt; "" {c 902,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G13" s="24">
        <f t="shared" si="0"/>
        <v>14</v>
      </c>
      <c r="H13" s="24" t="str">
        <f t="shared" si="1"/>
        <v>c 900</v>
      </c>
      <c r="I13" s="28" t="str">
        <f t="shared" si="2"/>
        <v/>
      </c>
      <c r="J13" s="24" t="str">
        <f t="shared" si="3"/>
        <v/>
      </c>
      <c r="K13" s="15" t="str">
        <f t="shared" si="4"/>
        <v>&lt;unit013&gt; "&gt;&gt;" {c 900,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G14" s="24">
        <f t="shared" si="0"/>
        <v>15</v>
      </c>
      <c r="H14" s="24" t="str">
        <f t="shared" si="1"/>
        <v>c 902</v>
      </c>
      <c r="I14" s="28" t="str">
        <f t="shared" si="2"/>
        <v/>
      </c>
      <c r="J14" s="24" t="str">
        <f t="shared" si="3"/>
        <v/>
      </c>
      <c r="K14" s="15" t="str">
        <f t="shared" si="4"/>
        <v>&lt;unit014&gt; "" {c 902,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G15" s="24">
        <f t="shared" si="0"/>
        <v>16</v>
      </c>
      <c r="H15" s="24" t="str">
        <f t="shared" si="1"/>
        <v>c 900</v>
      </c>
      <c r="I15" s="28" t="str">
        <f t="shared" si="2"/>
        <v/>
      </c>
      <c r="J15" s="24" t="str">
        <f t="shared" si="3"/>
        <v/>
      </c>
      <c r="K15" s="15" t="str">
        <f t="shared" si="4"/>
        <v>&lt;unit015&gt; "&gt;&gt;" {c 900,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G16" s="24">
        <f t="shared" si="0"/>
        <v>17</v>
      </c>
      <c r="H16" s="24" t="str">
        <f t="shared" si="1"/>
        <v>c 902</v>
      </c>
      <c r="I16" s="28" t="str">
        <f t="shared" si="2"/>
        <v/>
      </c>
      <c r="J16" s="24" t="str">
        <f t="shared" si="3"/>
        <v/>
      </c>
      <c r="K16" s="15" t="str">
        <f t="shared" si="4"/>
        <v>&lt;unit016&gt; "" {c 902,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G17" s="24">
        <f t="shared" si="0"/>
        <v>18</v>
      </c>
      <c r="H17" s="24" t="str">
        <f t="shared" si="1"/>
        <v>c 900</v>
      </c>
      <c r="I17" s="28" t="str">
        <f t="shared" si="2"/>
        <v/>
      </c>
      <c r="J17" s="24" t="str">
        <f t="shared" si="3"/>
        <v/>
      </c>
      <c r="K17" s="15" t="str">
        <f t="shared" si="4"/>
        <v>&lt;unit017&gt; "&gt;&gt;" {c 900,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G18" s="24">
        <f t="shared" si="0"/>
        <v>19</v>
      </c>
      <c r="H18" s="24" t="str">
        <f t="shared" si="1"/>
        <v>c 902</v>
      </c>
      <c r="I18" s="28" t="str">
        <f t="shared" si="2"/>
        <v/>
      </c>
      <c r="J18" s="24" t="str">
        <f t="shared" si="3"/>
        <v/>
      </c>
      <c r="K18" s="15" t="str">
        <f t="shared" si="4"/>
        <v>&lt;unit018&gt; "" {c 902,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G19" s="24">
        <f t="shared" si="0"/>
        <v>20</v>
      </c>
      <c r="H19" s="24" t="str">
        <f t="shared" si="1"/>
        <v>c 900</v>
      </c>
      <c r="I19" s="28" t="str">
        <f t="shared" si="2"/>
        <v/>
      </c>
      <c r="J19" s="24" t="str">
        <f t="shared" si="3"/>
        <v/>
      </c>
      <c r="K19" s="15" t="str">
        <f t="shared" si="4"/>
        <v>&lt;unit019&gt; "&gt;&gt;" {c 900,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G20" s="24">
        <f t="shared" si="0"/>
        <v>21</v>
      </c>
      <c r="H20" s="24" t="str">
        <f t="shared" si="1"/>
        <v>c 902</v>
      </c>
      <c r="I20" s="28" t="str">
        <f t="shared" si="2"/>
        <v/>
      </c>
      <c r="J20" s="24" t="str">
        <f t="shared" si="3"/>
        <v/>
      </c>
      <c r="K20" s="15" t="str">
        <f t="shared" si="4"/>
        <v>&lt;unit020&gt; "" {c 902,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G21" s="24">
        <f t="shared" si="0"/>
        <v>22</v>
      </c>
      <c r="H21" s="24" t="str">
        <f t="shared" si="1"/>
        <v>c 900</v>
      </c>
      <c r="I21" s="28" t="str">
        <f t="shared" si="2"/>
        <v/>
      </c>
      <c r="J21" s="24" t="str">
        <f t="shared" si="3"/>
        <v/>
      </c>
      <c r="K21" s="15" t="str">
        <f t="shared" si="4"/>
        <v>&lt;unit021&gt; "&gt;&gt;" {c 900,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G22" s="24">
        <f t="shared" si="0"/>
        <v>23</v>
      </c>
      <c r="H22" s="24" t="str">
        <f t="shared" si="1"/>
        <v>c 902</v>
      </c>
      <c r="I22" s="28" t="str">
        <f t="shared" si="2"/>
        <v/>
      </c>
      <c r="J22" s="24" t="str">
        <f t="shared" si="3"/>
        <v/>
      </c>
      <c r="K22" s="15" t="str">
        <f t="shared" si="4"/>
        <v>&lt;unit022&gt; "" {c 902,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G23" s="24">
        <f t="shared" si="0"/>
        <v>24</v>
      </c>
      <c r="H23" s="24" t="str">
        <f t="shared" si="1"/>
        <v>c 900</v>
      </c>
      <c r="I23" s="28" t="str">
        <f t="shared" si="2"/>
        <v/>
      </c>
      <c r="J23" s="24" t="str">
        <f t="shared" si="3"/>
        <v/>
      </c>
      <c r="K23" s="15" t="str">
        <f t="shared" si="4"/>
        <v>&lt;unit023&gt; "&gt;&gt;" {c 900,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G24" s="24">
        <f t="shared" si="0"/>
        <v>25</v>
      </c>
      <c r="H24" s="24" t="str">
        <f t="shared" si="1"/>
        <v>c 902</v>
      </c>
      <c r="I24" s="28" t="str">
        <f t="shared" si="2"/>
        <v/>
      </c>
      <c r="J24" s="24" t="str">
        <f t="shared" si="3"/>
        <v/>
      </c>
      <c r="K24" s="15" t="str">
        <f t="shared" si="4"/>
        <v>&lt;unit024&gt; "" {c 902,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G25" s="24">
        <f t="shared" si="0"/>
        <v>26</v>
      </c>
      <c r="H25" s="24" t="str">
        <f t="shared" si="1"/>
        <v>c 900</v>
      </c>
      <c r="I25" s="28" t="str">
        <f t="shared" si="2"/>
        <v/>
      </c>
      <c r="J25" s="24" t="str">
        <f t="shared" si="3"/>
        <v/>
      </c>
      <c r="K25" s="15" t="str">
        <f t="shared" si="4"/>
        <v>&lt;unit025&gt; "&gt;&gt;" {c 900,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G26" s="24">
        <f t="shared" si="0"/>
        <v>27</v>
      </c>
      <c r="H26" s="24" t="str">
        <f t="shared" si="1"/>
        <v>c 902</v>
      </c>
      <c r="I26" s="28" t="str">
        <f t="shared" si="2"/>
        <v/>
      </c>
      <c r="J26" s="24" t="str">
        <f t="shared" si="3"/>
        <v/>
      </c>
      <c r="K26" s="15" t="str">
        <f t="shared" si="4"/>
        <v>&lt;unit026&gt; "" {c 902,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G27" s="24">
        <f t="shared" si="0"/>
        <v>28</v>
      </c>
      <c r="H27" s="24" t="str">
        <f t="shared" si="1"/>
        <v>c 900</v>
      </c>
      <c r="I27" s="28" t="str">
        <f t="shared" si="2"/>
        <v/>
      </c>
      <c r="J27" s="24" t="str">
        <f t="shared" si="3"/>
        <v/>
      </c>
      <c r="K27" s="15" t="str">
        <f t="shared" si="4"/>
        <v>&lt;unit027&gt; "&gt;&gt;" {c 900,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G28" s="24">
        <f t="shared" si="0"/>
        <v>29</v>
      </c>
      <c r="H28" s="24" t="str">
        <f t="shared" si="1"/>
        <v>c 902</v>
      </c>
      <c r="I28" s="28" t="str">
        <f t="shared" si="2"/>
        <v/>
      </c>
      <c r="J28" s="24" t="str">
        <f t="shared" si="3"/>
        <v/>
      </c>
      <c r="K28" s="15" t="str">
        <f t="shared" si="4"/>
        <v>&lt;unit028&gt; "" {c 902,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G29" s="24">
        <f t="shared" si="0"/>
        <v>30</v>
      </c>
      <c r="H29" s="24" t="str">
        <f t="shared" si="1"/>
        <v>c 900</v>
      </c>
      <c r="I29" s="28" t="str">
        <f t="shared" si="2"/>
        <v/>
      </c>
      <c r="J29" s="24" t="str">
        <f t="shared" si="3"/>
        <v/>
      </c>
      <c r="K29" s="15" t="str">
        <f t="shared" si="4"/>
        <v>&lt;unit029&gt; "&gt;&gt;" {c 900,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G30" s="24">
        <f t="shared" si="0"/>
        <v>31</v>
      </c>
      <c r="H30" s="24" t="str">
        <f t="shared" si="1"/>
        <v>c 902</v>
      </c>
      <c r="I30" s="28" t="str">
        <f t="shared" si="2"/>
        <v/>
      </c>
      <c r="J30" s="24" t="str">
        <f t="shared" si="3"/>
        <v/>
      </c>
      <c r="K30" s="15" t="str">
        <f t="shared" si="4"/>
        <v>&lt;unit030&gt; "" {c 902,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G31" s="24">
        <f t="shared" si="0"/>
        <v>32</v>
      </c>
      <c r="H31" s="24" t="str">
        <f t="shared" si="1"/>
        <v>c 900</v>
      </c>
      <c r="I31" s="28" t="str">
        <f t="shared" si="2"/>
        <v/>
      </c>
      <c r="J31" s="24" t="str">
        <f t="shared" si="3"/>
        <v/>
      </c>
      <c r="K31" s="15" t="str">
        <f t="shared" si="4"/>
        <v>&lt;unit031&gt; "&gt;&gt;" {c 900,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G32" s="24">
        <f t="shared" si="0"/>
        <v>33</v>
      </c>
      <c r="H32" s="24" t="str">
        <f t="shared" si="1"/>
        <v>c 902</v>
      </c>
      <c r="I32" s="28" t="str">
        <f t="shared" si="2"/>
        <v/>
      </c>
      <c r="J32" s="24" t="str">
        <f t="shared" si="3"/>
        <v/>
      </c>
      <c r="K32" s="15" t="str">
        <f t="shared" si="4"/>
        <v>&lt;unit032&gt; "" {c 902,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G33" s="24">
        <f t="shared" si="0"/>
        <v>34</v>
      </c>
      <c r="H33" s="24" t="str">
        <f t="shared" si="1"/>
        <v>c 900</v>
      </c>
      <c r="I33" s="28" t="str">
        <f t="shared" si="2"/>
        <v/>
      </c>
      <c r="J33" s="24" t="str">
        <f t="shared" si="3"/>
        <v/>
      </c>
      <c r="K33" s="15" t="str">
        <f t="shared" si="4"/>
        <v>&lt;unit033&gt; "&gt;&gt;" {c 900,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G34" s="24">
        <f t="shared" si="0"/>
        <v>35</v>
      </c>
      <c r="H34" s="24" t="str">
        <f t="shared" si="1"/>
        <v>c 902</v>
      </c>
      <c r="I34" s="28" t="str">
        <f t="shared" si="2"/>
        <v/>
      </c>
      <c r="J34" s="24" t="str">
        <f t="shared" si="3"/>
        <v/>
      </c>
      <c r="K34" s="15" t="str">
        <f t="shared" si="4"/>
        <v>&lt;unit034&gt; "" {c 902,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G35" s="24">
        <f t="shared" si="0"/>
        <v>36</v>
      </c>
      <c r="H35" s="24" t="str">
        <f t="shared" si="1"/>
        <v>c 900</v>
      </c>
      <c r="I35" s="28" t="str">
        <f t="shared" si="2"/>
        <v/>
      </c>
      <c r="J35" s="24" t="str">
        <f t="shared" si="3"/>
        <v/>
      </c>
      <c r="K35" s="15" t="str">
        <f t="shared" si="4"/>
        <v>&lt;unit035&gt; "&gt;&gt;" {c 900,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G36" s="24">
        <f t="shared" si="0"/>
        <v>37</v>
      </c>
      <c r="H36" s="24" t="str">
        <f t="shared" si="1"/>
        <v>c 902</v>
      </c>
      <c r="I36" s="28" t="str">
        <f t="shared" si="2"/>
        <v/>
      </c>
      <c r="J36" s="24" t="str">
        <f t="shared" si="3"/>
        <v/>
      </c>
      <c r="K36" s="15" t="str">
        <f t="shared" si="4"/>
        <v>&lt;unit036&gt; "" {c 902,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G37" s="24">
        <f t="shared" si="0"/>
        <v>38</v>
      </c>
      <c r="H37" s="24" t="str">
        <f t="shared" si="1"/>
        <v>c 900</v>
      </c>
      <c r="I37" s="28" t="str">
        <f t="shared" si="2"/>
        <v/>
      </c>
      <c r="J37" s="24" t="str">
        <f t="shared" si="3"/>
        <v/>
      </c>
      <c r="K37" s="15" t="str">
        <f t="shared" si="4"/>
        <v>&lt;unit037&gt; "&gt;&gt;" {c 900,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G38" s="24">
        <f t="shared" si="0"/>
        <v>39</v>
      </c>
      <c r="H38" s="24" t="str">
        <f t="shared" si="1"/>
        <v>c 902</v>
      </c>
      <c r="I38" s="28" t="str">
        <f t="shared" si="2"/>
        <v/>
      </c>
      <c r="J38" s="24" t="str">
        <f t="shared" si="3"/>
        <v/>
      </c>
      <c r="K38" s="15" t="str">
        <f t="shared" si="4"/>
        <v>&lt;unit038&gt; "" {c 902,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G39" s="24">
        <f t="shared" si="0"/>
        <v>40</v>
      </c>
      <c r="H39" s="24" t="str">
        <f t="shared" si="1"/>
        <v>c 900</v>
      </c>
      <c r="I39" s="28" t="str">
        <f t="shared" si="2"/>
        <v/>
      </c>
      <c r="K39" s="15" t="str">
        <f t="shared" si="4"/>
        <v>&lt;unit039&gt; "&gt;&gt;" {c 900,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G40" s="24">
        <f t="shared" si="0"/>
        <v>41</v>
      </c>
      <c r="H40" s="24" t="str">
        <f t="shared" si="1"/>
        <v>c 902</v>
      </c>
      <c r="I40" s="28" t="str">
        <f t="shared" si="2"/>
        <v/>
      </c>
      <c r="K40" s="15" t="str">
        <f t="shared" si="4"/>
        <v>&lt;unit040&gt; "" {c 902,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G41" s="24">
        <f t="shared" si="0"/>
        <v>42</v>
      </c>
      <c r="H41" s="24" t="str">
        <f t="shared" si="1"/>
        <v>c 900</v>
      </c>
      <c r="I41" s="28" t="str">
        <f t="shared" si="2"/>
        <v/>
      </c>
      <c r="K41" s="15" t="str">
        <f t="shared" si="4"/>
        <v>&lt;unit041&gt; "&gt;&gt;" {c 900,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G42" s="24">
        <f t="shared" si="0"/>
        <v>43</v>
      </c>
      <c r="H42" s="24" t="str">
        <f t="shared" si="1"/>
        <v>c 902</v>
      </c>
      <c r="I42" s="28" t="str">
        <f t="shared" si="2"/>
        <v/>
      </c>
      <c r="K42" s="15" t="str">
        <f t="shared" si="4"/>
        <v>&lt;unit042&gt; "" {c 902, d 000, n 043}</v>
      </c>
    </row>
    <row r="43" spans="2:11" x14ac:dyDescent="0.25">
      <c r="B43">
        <f t="shared" si="5"/>
        <v>43</v>
      </c>
      <c r="C43" t="s">
        <v>344</v>
      </c>
      <c r="D43" t="str">
        <f t="shared" si="6"/>
        <v>&gt;&gt;</v>
      </c>
      <c r="G43" s="24">
        <f t="shared" si="0"/>
        <v>44</v>
      </c>
      <c r="H43" s="24" t="str">
        <f t="shared" si="1"/>
        <v>c 900</v>
      </c>
      <c r="I43" s="28" t="str">
        <f t="shared" si="2"/>
        <v/>
      </c>
      <c r="J43" s="24" t="str">
        <f t="shared" si="3"/>
        <v/>
      </c>
      <c r="K43" s="15" t="str">
        <f t="shared" si="4"/>
        <v>&lt;unit043&gt; "&gt;&gt;" {c 900, d 000, n 044}</v>
      </c>
    </row>
    <row r="44" spans="2:11" x14ac:dyDescent="0.25">
      <c r="B44">
        <f t="shared" si="5"/>
        <v>44</v>
      </c>
      <c r="C44" t="s">
        <v>85</v>
      </c>
      <c r="D44" t="str">
        <f t="shared" si="6"/>
        <v/>
      </c>
      <c r="G44" s="24">
        <f t="shared" si="0"/>
        <v>45</v>
      </c>
      <c r="H44" s="24" t="str">
        <f t="shared" si="1"/>
        <v>c 902</v>
      </c>
      <c r="I44" s="28" t="str">
        <f t="shared" si="2"/>
        <v/>
      </c>
      <c r="J44" s="24" t="str">
        <f t="shared" si="3"/>
        <v/>
      </c>
      <c r="K44" s="15" t="str">
        <f t="shared" si="4"/>
        <v>&lt;unit044&gt; "" {c 902, d 000, n 045}</v>
      </c>
    </row>
    <row r="45" spans="2:11" x14ac:dyDescent="0.25">
      <c r="B45">
        <f t="shared" si="5"/>
        <v>45</v>
      </c>
      <c r="C45" t="s">
        <v>344</v>
      </c>
      <c r="D45" t="str">
        <f t="shared" si="6"/>
        <v>&gt;&gt;</v>
      </c>
      <c r="G45" s="24">
        <f t="shared" si="0"/>
        <v>46</v>
      </c>
      <c r="H45" s="24" t="str">
        <f t="shared" si="1"/>
        <v>c 900</v>
      </c>
      <c r="I45" s="28" t="str">
        <f t="shared" si="2"/>
        <v/>
      </c>
      <c r="J45" s="24" t="str">
        <f t="shared" si="3"/>
        <v/>
      </c>
      <c r="K45" s="15" t="str">
        <f t="shared" si="4"/>
        <v>&lt;unit045&gt; "&gt;&gt;" {c 900, d 000, n 046}</v>
      </c>
    </row>
    <row r="46" spans="2:11" x14ac:dyDescent="0.25">
      <c r="B46">
        <f t="shared" si="5"/>
        <v>46</v>
      </c>
      <c r="C46" t="s">
        <v>85</v>
      </c>
      <c r="D46" t="str">
        <f t="shared" si="6"/>
        <v/>
      </c>
      <c r="E46" t="s">
        <v>221</v>
      </c>
      <c r="F46" t="s">
        <v>346</v>
      </c>
      <c r="G46" s="24">
        <f>B48</f>
        <v>48</v>
      </c>
      <c r="H46" s="24" t="str">
        <f t="shared" si="1"/>
        <v>c 902</v>
      </c>
      <c r="I46" s="28" t="str">
        <f t="shared" si="2"/>
        <v>v "\mp3_ost\kztsh.mp3"</v>
      </c>
      <c r="J46" s="24" t="str">
        <f t="shared" si="3"/>
        <v>c 903</v>
      </c>
      <c r="K46" s="15" t="str">
        <f t="shared" si="4"/>
        <v>&lt;unit046&gt; "КЗТШ" {c 902, v "\mp3_ost\kztsh.mp3", c 903, d 000, n 048}</v>
      </c>
    </row>
    <row r="47" spans="2:11" x14ac:dyDescent="0.25">
      <c r="K47" s="15"/>
    </row>
    <row r="48" spans="2:11" x14ac:dyDescent="0.25">
      <c r="B48">
        <f t="shared" ref="B48:B90" si="7">ROW(B48)</f>
        <v>48</v>
      </c>
      <c r="E48" s="25" t="s">
        <v>342</v>
      </c>
      <c r="F48" s="25"/>
      <c r="G48" s="24">
        <f>B50</f>
        <v>50</v>
      </c>
      <c r="K48" s="15" t="str">
        <f>"&lt;unit"&amp;TEXT(B48,"000")&amp;"&gt; """&amp;E48&amp;""" {d 000, n "&amp;TEXT(G48,"000")&amp;"}"</f>
        <v>&lt;unit048&gt; "----- Обратный -----" {d 000, n 050}</v>
      </c>
    </row>
    <row r="49" spans="2:11" x14ac:dyDescent="0.25">
      <c r="K49" s="15"/>
    </row>
    <row r="50" spans="2:11" x14ac:dyDescent="0.25">
      <c r="B50">
        <f t="shared" si="7"/>
        <v>50</v>
      </c>
      <c r="C50" t="s">
        <v>85</v>
      </c>
      <c r="D50" t="str">
        <f t="shared" ref="D50:D88" si="8">IF(H50="c 900","&gt;&gt;","")</f>
        <v/>
      </c>
      <c r="E50" t="s">
        <v>221</v>
      </c>
      <c r="G50" s="24">
        <f>B51</f>
        <v>51</v>
      </c>
      <c r="H50" s="24" t="str">
        <f t="shared" ref="H50:H88" si="9">IFERROR("c "&amp;VLOOKUP(C50,Punkti,2,FALSE),"")</f>
        <v>c 902</v>
      </c>
      <c r="I50" s="28" t="str">
        <f t="shared" ref="I50:I88" si="10">IFERROR(VLOOKUP(E50,Ostanovki,7,FALSE),"")</f>
        <v>v "\mp3_ost\kztsh.mp3"</v>
      </c>
      <c r="J50" s="24" t="str">
        <f t="shared" ref="J50:J88" si="11">IFERROR("c "&amp;VLOOKUP(F50,Punkti,2,FALSE),"")</f>
        <v/>
      </c>
      <c r="K50" s="15" t="str">
        <f t="shared" ref="K50:K88" si="12">"&lt;unit"&amp;TEXT(B50,"000")&amp;"&gt; """&amp;СцепитьМного(D50:E50,"")&amp;""" {"&amp;СцепитьМного(H50:J50,", ")&amp;", d 000, n "&amp;TEXT(G50,"000")&amp;"}"</f>
        <v>&lt;unit050&gt; "КЗТШ" {c 902, v "\mp3_ost\kztsh.mp3",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G51" s="24">
        <f t="shared" ref="G51:G87" si="13">B52</f>
        <v>52</v>
      </c>
      <c r="H51" s="24" t="str">
        <f t="shared" si="9"/>
        <v>c 900</v>
      </c>
      <c r="I51" s="28" t="str">
        <f t="shared" si="10"/>
        <v/>
      </c>
      <c r="J51" s="24" t="str">
        <f t="shared" si="11"/>
        <v/>
      </c>
      <c r="K51" s="15" t="str">
        <f t="shared" si="12"/>
        <v>&lt;unit051&gt; "&gt;&gt;" {c 900,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G52" s="24">
        <f t="shared" si="13"/>
        <v>53</v>
      </c>
      <c r="H52" s="24" t="str">
        <f t="shared" si="9"/>
        <v>c 902</v>
      </c>
      <c r="I52" s="28" t="str">
        <f t="shared" si="10"/>
        <v/>
      </c>
      <c r="J52" s="24" t="str">
        <f t="shared" si="11"/>
        <v/>
      </c>
      <c r="K52" s="15" t="str">
        <f t="shared" si="12"/>
        <v>&lt;unit052&gt; "" {c 902,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G53" s="24">
        <f t="shared" si="13"/>
        <v>54</v>
      </c>
      <c r="H53" s="24" t="str">
        <f t="shared" si="9"/>
        <v>c 900</v>
      </c>
      <c r="I53" s="28" t="str">
        <f t="shared" si="10"/>
        <v/>
      </c>
      <c r="J53" s="24" t="str">
        <f t="shared" si="11"/>
        <v/>
      </c>
      <c r="K53" s="15" t="str">
        <f t="shared" si="12"/>
        <v>&lt;unit053&gt; "&gt;&gt;" {c 900,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G54" s="24">
        <f t="shared" si="13"/>
        <v>55</v>
      </c>
      <c r="H54" s="24" t="str">
        <f t="shared" si="9"/>
        <v>c 902</v>
      </c>
      <c r="I54" s="28" t="str">
        <f t="shared" si="10"/>
        <v/>
      </c>
      <c r="J54" s="24" t="str">
        <f t="shared" si="11"/>
        <v/>
      </c>
      <c r="K54" s="15" t="str">
        <f t="shared" si="12"/>
        <v>&lt;unit054&gt; "" {c 902,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G55" s="24">
        <f t="shared" si="13"/>
        <v>56</v>
      </c>
      <c r="H55" s="24" t="str">
        <f t="shared" si="9"/>
        <v>c 900</v>
      </c>
      <c r="I55" s="28" t="str">
        <f t="shared" si="10"/>
        <v/>
      </c>
      <c r="J55" s="24" t="str">
        <f t="shared" si="11"/>
        <v/>
      </c>
      <c r="K55" s="15" t="str">
        <f t="shared" si="12"/>
        <v>&lt;unit055&gt; "&gt;&gt;" {c 900,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G56" s="24">
        <f t="shared" si="13"/>
        <v>57</v>
      </c>
      <c r="H56" s="24" t="str">
        <f t="shared" si="9"/>
        <v>c 902</v>
      </c>
      <c r="I56" s="28" t="str">
        <f t="shared" si="10"/>
        <v/>
      </c>
      <c r="J56" s="24" t="str">
        <f t="shared" si="11"/>
        <v/>
      </c>
      <c r="K56" s="15" t="str">
        <f t="shared" si="12"/>
        <v>&lt;unit056&gt; "" {c 902,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G57" s="24">
        <f t="shared" si="13"/>
        <v>58</v>
      </c>
      <c r="H57" s="24" t="str">
        <f t="shared" si="9"/>
        <v>c 900</v>
      </c>
      <c r="I57" s="28" t="str">
        <f t="shared" si="10"/>
        <v/>
      </c>
      <c r="J57" s="24" t="str">
        <f t="shared" si="11"/>
        <v/>
      </c>
      <c r="K57" s="15" t="str">
        <f t="shared" si="12"/>
        <v>&lt;unit057&gt; "&gt;&gt;" {c 900,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G58" s="24">
        <f t="shared" si="13"/>
        <v>59</v>
      </c>
      <c r="H58" s="24" t="str">
        <f t="shared" si="9"/>
        <v>c 902</v>
      </c>
      <c r="I58" s="28" t="str">
        <f t="shared" si="10"/>
        <v/>
      </c>
      <c r="J58" s="24" t="str">
        <f t="shared" si="11"/>
        <v/>
      </c>
      <c r="K58" s="15" t="str">
        <f t="shared" si="12"/>
        <v>&lt;unit058&gt; "" {c 902,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G59" s="24">
        <f t="shared" si="13"/>
        <v>60</v>
      </c>
      <c r="H59" s="24" t="str">
        <f t="shared" si="9"/>
        <v>c 900</v>
      </c>
      <c r="I59" s="28" t="str">
        <f t="shared" si="10"/>
        <v/>
      </c>
      <c r="J59" s="24" t="str">
        <f t="shared" si="11"/>
        <v/>
      </c>
      <c r="K59" s="15" t="str">
        <f t="shared" si="12"/>
        <v>&lt;unit059&gt; "&gt;&gt;" {c 900,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G60" s="24">
        <f t="shared" si="13"/>
        <v>61</v>
      </c>
      <c r="H60" s="24" t="str">
        <f t="shared" si="9"/>
        <v>c 902</v>
      </c>
      <c r="I60" s="28" t="str">
        <f t="shared" si="10"/>
        <v/>
      </c>
      <c r="J60" s="24" t="str">
        <f t="shared" si="11"/>
        <v/>
      </c>
      <c r="K60" s="15" t="str">
        <f t="shared" si="12"/>
        <v>&lt;unit060&gt; "" {c 902,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G61" s="24">
        <f t="shared" si="13"/>
        <v>62</v>
      </c>
      <c r="H61" s="24" t="str">
        <f t="shared" si="9"/>
        <v>c 900</v>
      </c>
      <c r="I61" s="28" t="str">
        <f t="shared" si="10"/>
        <v/>
      </c>
      <c r="J61" s="24" t="str">
        <f t="shared" si="11"/>
        <v/>
      </c>
      <c r="K61" s="15" t="str">
        <f t="shared" si="12"/>
        <v>&lt;unit061&gt; "&gt;&gt;" {c 900,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G62" s="24">
        <f t="shared" si="13"/>
        <v>63</v>
      </c>
      <c r="H62" s="24" t="str">
        <f t="shared" si="9"/>
        <v>c 902</v>
      </c>
      <c r="I62" s="28" t="str">
        <f t="shared" si="10"/>
        <v/>
      </c>
      <c r="J62" s="24" t="str">
        <f t="shared" si="11"/>
        <v/>
      </c>
      <c r="K62" s="15" t="str">
        <f t="shared" si="12"/>
        <v>&lt;unit062&gt; "" {c 902,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G63" s="24">
        <f t="shared" si="13"/>
        <v>64</v>
      </c>
      <c r="H63" s="24" t="str">
        <f t="shared" si="9"/>
        <v>c 900</v>
      </c>
      <c r="I63" s="28" t="str">
        <f t="shared" si="10"/>
        <v/>
      </c>
      <c r="J63" s="24" t="str">
        <f t="shared" si="11"/>
        <v/>
      </c>
      <c r="K63" s="15" t="str">
        <f t="shared" si="12"/>
        <v>&lt;unit063&gt; "&gt;&gt;" {c 900,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G64" s="24">
        <f t="shared" si="13"/>
        <v>65</v>
      </c>
      <c r="H64" s="24" t="str">
        <f t="shared" si="9"/>
        <v>c 902</v>
      </c>
      <c r="I64" s="28" t="str">
        <f t="shared" si="10"/>
        <v/>
      </c>
      <c r="J64" s="24" t="str">
        <f t="shared" si="11"/>
        <v/>
      </c>
      <c r="K64" s="15" t="str">
        <f t="shared" si="12"/>
        <v>&lt;unit064&gt; "" {c 902,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G65" s="24">
        <f t="shared" si="13"/>
        <v>66</v>
      </c>
      <c r="H65" s="24" t="str">
        <f t="shared" si="9"/>
        <v>c 900</v>
      </c>
      <c r="I65" s="28" t="str">
        <f t="shared" si="10"/>
        <v/>
      </c>
      <c r="J65" s="24" t="str">
        <f t="shared" si="11"/>
        <v/>
      </c>
      <c r="K65" s="15" t="str">
        <f t="shared" si="12"/>
        <v>&lt;unit065&gt; "&gt;&gt;" {c 900,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G66" s="24">
        <f t="shared" si="13"/>
        <v>67</v>
      </c>
      <c r="H66" s="24" t="str">
        <f t="shared" si="9"/>
        <v>c 902</v>
      </c>
      <c r="I66" s="28" t="str">
        <f t="shared" si="10"/>
        <v/>
      </c>
      <c r="J66" s="24" t="str">
        <f t="shared" si="11"/>
        <v/>
      </c>
      <c r="K66" s="15" t="str">
        <f t="shared" si="12"/>
        <v>&lt;unit066&gt; "" {c 902,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G67" s="24">
        <f t="shared" si="13"/>
        <v>68</v>
      </c>
      <c r="H67" s="24" t="str">
        <f t="shared" si="9"/>
        <v>c 900</v>
      </c>
      <c r="I67" s="28" t="str">
        <f t="shared" si="10"/>
        <v/>
      </c>
      <c r="J67" s="24" t="str">
        <f t="shared" si="11"/>
        <v/>
      </c>
      <c r="K67" s="15" t="str">
        <f t="shared" si="12"/>
        <v>&lt;unit067&gt; "&gt;&gt;" {c 900,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G68" s="24">
        <f t="shared" si="13"/>
        <v>69</v>
      </c>
      <c r="H68" s="24" t="str">
        <f t="shared" si="9"/>
        <v>c 902</v>
      </c>
      <c r="I68" s="28" t="str">
        <f t="shared" si="10"/>
        <v/>
      </c>
      <c r="J68" s="24" t="str">
        <f t="shared" si="11"/>
        <v/>
      </c>
      <c r="K68" s="15" t="str">
        <f t="shared" si="12"/>
        <v>&lt;unit068&gt; "" {c 902,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G69" s="24">
        <f t="shared" si="13"/>
        <v>70</v>
      </c>
      <c r="H69" s="24" t="str">
        <f t="shared" si="9"/>
        <v>c 900</v>
      </c>
      <c r="I69" s="28" t="str">
        <f t="shared" si="10"/>
        <v/>
      </c>
      <c r="J69" s="24" t="str">
        <f t="shared" si="11"/>
        <v/>
      </c>
      <c r="K69" s="15" t="str">
        <f t="shared" si="12"/>
        <v>&lt;unit069&gt; "&gt;&gt;" {c 900,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G70" s="24">
        <f t="shared" si="13"/>
        <v>71</v>
      </c>
      <c r="H70" s="24" t="str">
        <f t="shared" si="9"/>
        <v>c 902</v>
      </c>
      <c r="I70" s="28" t="str">
        <f t="shared" si="10"/>
        <v/>
      </c>
      <c r="J70" s="24" t="str">
        <f t="shared" si="11"/>
        <v/>
      </c>
      <c r="K70" s="15" t="str">
        <f t="shared" si="12"/>
        <v>&lt;unit070&gt; "" {c 902,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G71" s="24">
        <f t="shared" si="13"/>
        <v>72</v>
      </c>
      <c r="H71" s="24" t="str">
        <f t="shared" si="9"/>
        <v>c 900</v>
      </c>
      <c r="I71" s="28" t="str">
        <f t="shared" si="10"/>
        <v/>
      </c>
      <c r="J71" s="24" t="str">
        <f t="shared" si="11"/>
        <v/>
      </c>
      <c r="K71" s="15" t="str">
        <f t="shared" si="12"/>
        <v>&lt;unit071&gt; "&gt;&gt;" {c 900,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G72" s="24">
        <f t="shared" si="13"/>
        <v>73</v>
      </c>
      <c r="H72" s="24" t="str">
        <f t="shared" si="9"/>
        <v>c 902</v>
      </c>
      <c r="I72" s="28" t="str">
        <f t="shared" si="10"/>
        <v/>
      </c>
      <c r="J72" s="24" t="str">
        <f t="shared" si="11"/>
        <v/>
      </c>
      <c r="K72" s="15" t="str">
        <f t="shared" si="12"/>
        <v>&lt;unit072&gt; "" {c 902,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G73" s="24">
        <f t="shared" si="13"/>
        <v>74</v>
      </c>
      <c r="H73" s="24" t="str">
        <f t="shared" si="9"/>
        <v>c 900</v>
      </c>
      <c r="I73" s="28" t="str">
        <f t="shared" si="10"/>
        <v/>
      </c>
      <c r="J73" s="24" t="str">
        <f t="shared" si="11"/>
        <v/>
      </c>
      <c r="K73" s="15" t="str">
        <f t="shared" si="12"/>
        <v>&lt;unit073&gt; "&gt;&gt;" {c 900,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G74" s="24">
        <f t="shared" si="13"/>
        <v>75</v>
      </c>
      <c r="H74" s="24" t="str">
        <f t="shared" si="9"/>
        <v>c 902</v>
      </c>
      <c r="I74" s="28" t="str">
        <f t="shared" si="10"/>
        <v/>
      </c>
      <c r="J74" s="24" t="str">
        <f t="shared" si="11"/>
        <v/>
      </c>
      <c r="K74" s="15" t="str">
        <f t="shared" si="12"/>
        <v>&lt;unit074&gt; "" {c 902,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G75" s="24">
        <f t="shared" si="13"/>
        <v>76</v>
      </c>
      <c r="H75" s="24" t="str">
        <f t="shared" si="9"/>
        <v>c 900</v>
      </c>
      <c r="I75" s="28" t="str">
        <f t="shared" si="10"/>
        <v/>
      </c>
      <c r="J75" s="24" t="str">
        <f t="shared" si="11"/>
        <v/>
      </c>
      <c r="K75" s="15" t="str">
        <f t="shared" si="12"/>
        <v>&lt;unit075&gt; "&gt;&gt;" {c 900,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G76" s="24">
        <f t="shared" si="13"/>
        <v>77</v>
      </c>
      <c r="H76" s="24" t="str">
        <f t="shared" si="9"/>
        <v>c 902</v>
      </c>
      <c r="I76" s="28" t="str">
        <f t="shared" si="10"/>
        <v/>
      </c>
      <c r="J76" s="24" t="str">
        <f t="shared" si="11"/>
        <v/>
      </c>
      <c r="K76" s="15" t="str">
        <f t="shared" si="12"/>
        <v>&lt;unit076&gt; "" {c 902,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G77" s="24">
        <f t="shared" si="13"/>
        <v>78</v>
      </c>
      <c r="H77" s="24" t="str">
        <f t="shared" si="9"/>
        <v>c 900</v>
      </c>
      <c r="I77" s="28" t="str">
        <f t="shared" si="10"/>
        <v/>
      </c>
      <c r="J77" s="24" t="str">
        <f t="shared" si="11"/>
        <v/>
      </c>
      <c r="K77" s="15" t="str">
        <f t="shared" si="12"/>
        <v>&lt;unit077&gt; "&gt;&gt;" {c 900,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G78" s="24">
        <f t="shared" si="13"/>
        <v>79</v>
      </c>
      <c r="H78" s="24" t="str">
        <f t="shared" si="9"/>
        <v>c 902</v>
      </c>
      <c r="I78" s="28" t="str">
        <f t="shared" si="10"/>
        <v/>
      </c>
      <c r="J78" s="24" t="str">
        <f t="shared" si="11"/>
        <v/>
      </c>
      <c r="K78" s="15" t="str">
        <f t="shared" si="12"/>
        <v>&lt;unit078&gt; "" {c 902,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G79" s="24">
        <f t="shared" si="13"/>
        <v>80</v>
      </c>
      <c r="H79" s="24" t="str">
        <f t="shared" si="9"/>
        <v>c 900</v>
      </c>
      <c r="I79" s="28" t="str">
        <f t="shared" si="10"/>
        <v/>
      </c>
      <c r="J79" s="24" t="str">
        <f t="shared" si="11"/>
        <v/>
      </c>
      <c r="K79" s="15" t="str">
        <f t="shared" si="12"/>
        <v>&lt;unit079&gt; "&gt;&gt;" {c 900, d 000, n 080}</v>
      </c>
    </row>
    <row r="80" spans="2:11" x14ac:dyDescent="0.25">
      <c r="B80">
        <f t="shared" si="7"/>
        <v>80</v>
      </c>
      <c r="C80" t="s">
        <v>85</v>
      </c>
      <c r="D80" t="str">
        <f t="shared" ref="D80:D83" si="14">IF(H80="c 900","&gt;&gt;","")</f>
        <v/>
      </c>
      <c r="G80" s="24">
        <f t="shared" si="13"/>
        <v>81</v>
      </c>
      <c r="H80" s="24" t="str">
        <f t="shared" ref="H80:H83" si="15">IFERROR("c "&amp;VLOOKUP(C80,Punkti,2,FALSE),"")</f>
        <v>c 902</v>
      </c>
      <c r="I80" s="28" t="str">
        <f t="shared" ref="I80:I83" si="16">IFERROR(VLOOKUP(E80,Ostanovki,7,FALSE),"")</f>
        <v/>
      </c>
      <c r="J80" s="24" t="str">
        <f t="shared" ref="J80:J83" si="17">IFERROR("c "&amp;VLOOKUP(F80,Punkti,2,FALSE),"")</f>
        <v/>
      </c>
      <c r="K80" s="15" t="str">
        <f t="shared" ref="K80:K83" si="18">"&lt;unit"&amp;TEXT(B80,"000")&amp;"&gt; """&amp;СцепитьМного(D80:E80,"")&amp;""" {"&amp;СцепитьМного(H80:J80,", ")&amp;", d 000, n "&amp;TEXT(G80,"000")&amp;"}"</f>
        <v>&lt;unit080&gt; "" {c 902, d 000, n 081}</v>
      </c>
    </row>
    <row r="81" spans="2:11" x14ac:dyDescent="0.25">
      <c r="B81">
        <f t="shared" si="7"/>
        <v>81</v>
      </c>
      <c r="C81" t="s">
        <v>344</v>
      </c>
      <c r="D81" t="str">
        <f t="shared" si="14"/>
        <v>&gt;&gt;</v>
      </c>
      <c r="G81" s="24">
        <f t="shared" si="13"/>
        <v>82</v>
      </c>
      <c r="H81" s="24" t="str">
        <f t="shared" si="15"/>
        <v>c 900</v>
      </c>
      <c r="I81" s="28" t="str">
        <f t="shared" si="16"/>
        <v/>
      </c>
      <c r="J81" s="24" t="str">
        <f t="shared" si="17"/>
        <v/>
      </c>
      <c r="K81" s="15" t="str">
        <f t="shared" si="18"/>
        <v>&lt;unit081&gt; "&gt;&gt;" {c 900, d 000, n 082}</v>
      </c>
    </row>
    <row r="82" spans="2:11" x14ac:dyDescent="0.25">
      <c r="B82">
        <f t="shared" si="7"/>
        <v>82</v>
      </c>
      <c r="C82" t="s">
        <v>85</v>
      </c>
      <c r="D82" t="str">
        <f t="shared" si="14"/>
        <v/>
      </c>
      <c r="G82" s="24">
        <f t="shared" si="13"/>
        <v>83</v>
      </c>
      <c r="H82" s="24" t="str">
        <f t="shared" si="15"/>
        <v>c 902</v>
      </c>
      <c r="I82" s="28" t="str">
        <f t="shared" si="16"/>
        <v/>
      </c>
      <c r="J82" s="24" t="str">
        <f t="shared" si="17"/>
        <v/>
      </c>
      <c r="K82" s="15" t="str">
        <f t="shared" si="18"/>
        <v>&lt;unit082&gt; "" {c 902, d 000, n 083}</v>
      </c>
    </row>
    <row r="83" spans="2:11" x14ac:dyDescent="0.25">
      <c r="B83">
        <f t="shared" si="7"/>
        <v>83</v>
      </c>
      <c r="C83" t="s">
        <v>344</v>
      </c>
      <c r="D83" t="str">
        <f t="shared" si="14"/>
        <v>&gt;&gt;</v>
      </c>
      <c r="G83" s="24">
        <f t="shared" si="13"/>
        <v>84</v>
      </c>
      <c r="H83" s="24" t="str">
        <f t="shared" si="15"/>
        <v>c 900</v>
      </c>
      <c r="I83" s="28" t="str">
        <f t="shared" si="16"/>
        <v/>
      </c>
      <c r="J83" s="24" t="str">
        <f t="shared" si="17"/>
        <v/>
      </c>
      <c r="K83" s="15" t="str">
        <f t="shared" si="18"/>
        <v>&lt;unit083&gt; "&gt;&gt;" {c 900, d 000, n 084}</v>
      </c>
    </row>
    <row r="84" spans="2:11" x14ac:dyDescent="0.25">
      <c r="B84">
        <f t="shared" si="7"/>
        <v>84</v>
      </c>
      <c r="C84" t="s">
        <v>85</v>
      </c>
      <c r="D84" t="str">
        <f t="shared" si="8"/>
        <v/>
      </c>
      <c r="G84" s="24">
        <f t="shared" si="13"/>
        <v>85</v>
      </c>
      <c r="H84" s="24" t="str">
        <f t="shared" si="9"/>
        <v>c 902</v>
      </c>
      <c r="I84" s="28" t="str">
        <f t="shared" si="10"/>
        <v/>
      </c>
      <c r="J84" s="24" t="str">
        <f t="shared" si="11"/>
        <v/>
      </c>
      <c r="K84" s="15" t="str">
        <f t="shared" si="12"/>
        <v>&lt;unit084&gt; "" {c 902, d 000, n 085}</v>
      </c>
    </row>
    <row r="85" spans="2:11" x14ac:dyDescent="0.25">
      <c r="B85">
        <f t="shared" si="7"/>
        <v>85</v>
      </c>
      <c r="C85" t="s">
        <v>344</v>
      </c>
      <c r="D85" t="str">
        <f t="shared" si="8"/>
        <v>&gt;&gt;</v>
      </c>
      <c r="G85" s="24">
        <f t="shared" si="13"/>
        <v>86</v>
      </c>
      <c r="H85" s="24" t="str">
        <f t="shared" si="9"/>
        <v>c 900</v>
      </c>
      <c r="I85" s="28" t="str">
        <f t="shared" si="10"/>
        <v/>
      </c>
      <c r="J85" s="24" t="str">
        <f t="shared" si="11"/>
        <v/>
      </c>
      <c r="K85" s="15" t="str">
        <f t="shared" si="12"/>
        <v>&lt;unit085&gt; "&gt;&gt;" {c 900, d 000, n 086}</v>
      </c>
    </row>
    <row r="86" spans="2:11" x14ac:dyDescent="0.25">
      <c r="B86">
        <f t="shared" si="7"/>
        <v>86</v>
      </c>
      <c r="C86" t="s">
        <v>85</v>
      </c>
      <c r="D86" t="str">
        <f t="shared" si="8"/>
        <v/>
      </c>
      <c r="G86" s="24">
        <f t="shared" si="13"/>
        <v>87</v>
      </c>
      <c r="H86" s="24" t="str">
        <f t="shared" si="9"/>
        <v>c 902</v>
      </c>
      <c r="I86" s="28" t="str">
        <f t="shared" si="10"/>
        <v/>
      </c>
      <c r="J86" s="24" t="str">
        <f t="shared" si="11"/>
        <v/>
      </c>
      <c r="K86" s="15" t="str">
        <f t="shared" si="12"/>
        <v>&lt;unit086&gt; "" {c 902, d 000, n 087}</v>
      </c>
    </row>
    <row r="87" spans="2:11" x14ac:dyDescent="0.25">
      <c r="B87">
        <f t="shared" si="7"/>
        <v>87</v>
      </c>
      <c r="C87" t="s">
        <v>344</v>
      </c>
      <c r="D87" t="str">
        <f t="shared" si="8"/>
        <v>&gt;&gt;</v>
      </c>
      <c r="G87" s="24">
        <f t="shared" si="13"/>
        <v>88</v>
      </c>
      <c r="H87" s="24" t="str">
        <f t="shared" si="9"/>
        <v>c 900</v>
      </c>
      <c r="I87" s="28" t="str">
        <f t="shared" si="10"/>
        <v/>
      </c>
      <c r="J87" s="24" t="str">
        <f t="shared" si="11"/>
        <v/>
      </c>
      <c r="K87" s="15" t="str">
        <f t="shared" si="12"/>
        <v>&lt;unit087&gt; "&gt;&gt;" {c 900, d 000, n 088}</v>
      </c>
    </row>
    <row r="88" spans="2:11" x14ac:dyDescent="0.25">
      <c r="B88">
        <f t="shared" si="7"/>
        <v>88</v>
      </c>
      <c r="C88" t="s">
        <v>85</v>
      </c>
      <c r="D88" t="str">
        <f t="shared" si="8"/>
        <v/>
      </c>
      <c r="E88" t="s">
        <v>292</v>
      </c>
      <c r="F88" t="s">
        <v>346</v>
      </c>
      <c r="G88" s="24">
        <f>B90</f>
        <v>90</v>
      </c>
      <c r="H88" s="24" t="str">
        <f t="shared" si="9"/>
        <v>c 902</v>
      </c>
      <c r="I88" s="28" t="str">
        <f t="shared" si="10"/>
        <v>c 928, v "\mp3_ost\truda.mp3"</v>
      </c>
      <c r="J88" s="24" t="str">
        <f t="shared" si="11"/>
        <v>c 903</v>
      </c>
      <c r="K88" s="15" t="str">
        <f t="shared" si="12"/>
        <v>&lt;unit088&gt; "ул.Труда" {c 902, c 928, v "\mp3_ost\truda.mp3", c 903, d 000, n 090}</v>
      </c>
    </row>
    <row r="89" spans="2:11" x14ac:dyDescent="0.25">
      <c r="K89" s="15"/>
    </row>
    <row r="90" spans="2:11" x14ac:dyDescent="0.25">
      <c r="B90">
        <f t="shared" si="7"/>
        <v>90</v>
      </c>
      <c r="E90" s="25" t="s">
        <v>343</v>
      </c>
      <c r="F90" s="25"/>
      <c r="G90" s="24">
        <f>B3</f>
        <v>3</v>
      </c>
      <c r="K90" s="15" t="str">
        <f>"&lt;unit"&amp;TEXT(B90,"000")&amp;"&gt; """&amp;E90&amp;""" {d 000, n "&amp;TEXT(G90,"000")&amp;"}"</f>
        <v>&lt;unit090&gt; "----- Конец -----" {d 000, n 003}</v>
      </c>
    </row>
    <row r="91" spans="2:11" x14ac:dyDescent="0.25">
      <c r="K91" s="15"/>
    </row>
    <row r="92" spans="2:11" x14ac:dyDescent="0.25">
      <c r="K92" s="15" t="str">
        <f>Константы!E2</f>
        <v>&lt;unit921&gt; "Автовокзал" {v "\mp3_knst\av.mp3", w 01}</v>
      </c>
    </row>
    <row r="93" spans="2:11" x14ac:dyDescent="0.25">
      <c r="K93" s="15" t="str">
        <f>Константы!E3</f>
        <v>&lt;unit923&gt; "Гостиница" {v "\mp3_knst\gos.mp3", w 01}</v>
      </c>
    </row>
    <row r="94" spans="2:11" x14ac:dyDescent="0.25">
      <c r="K94" s="15" t="str">
        <f>Константы!E4</f>
        <v>&lt;unit922&gt; "Дисп. станция" {v "\mp3_knst\ds.mp3", w 01}</v>
      </c>
    </row>
    <row r="95" spans="2:11" x14ac:dyDescent="0.25">
      <c r="K95" s="15" t="str">
        <f>Константы!E5</f>
        <v>&lt;unit903&gt; "Канцавая" {v "\mp3_knst\kanc.mp3", w 01}</v>
      </c>
    </row>
    <row r="96" spans="2:11" x14ac:dyDescent="0.25">
      <c r="K96" s="15" t="str">
        <f>Константы!E6</f>
        <v>&lt;unit924&gt; "Конечная" {v "\mp3_knst\ko.mp3", w 01}</v>
      </c>
    </row>
    <row r="97" spans="11:11" x14ac:dyDescent="0.25">
      <c r="K97" s="15" t="str">
        <f>Константы!E7</f>
        <v>&lt;unit902&gt; "Остановка" {v "\mp3_knst\ost.mp3", w 01}</v>
      </c>
    </row>
    <row r="98" spans="11:11" x14ac:dyDescent="0.25">
      <c r="K98" s="15" t="str">
        <f>Константы!E8</f>
        <v>&lt;unit900&gt; "Дв. закр. След. ост." {v "\mp3_knst\ostor.mp3", w 01}</v>
      </c>
    </row>
    <row r="99" spans="11:11" x14ac:dyDescent="0.25">
      <c r="K99" s="15" t="str">
        <f>Константы!E9</f>
        <v>&lt;unit925&gt; "Площадь" {v "\mp3_knst\pl.mp3", w 01}</v>
      </c>
    </row>
    <row r="100" spans="11:11" x14ac:dyDescent="0.25">
      <c r="K100" s="15" t="str">
        <f>Константы!E10</f>
        <v>&lt;unit926&gt; "Проспект" {v "\mp3_knst\pr.mp3", w 01}</v>
      </c>
    </row>
    <row r="101" spans="11:11" x14ac:dyDescent="0.25">
      <c r="K101" s="15" t="str">
        <f>Константы!E11</f>
        <v>&lt;unit927&gt; "Станция метро" {v "\mp3_knst\sm.mp3", w 01}</v>
      </c>
    </row>
    <row r="102" spans="11:11" x14ac:dyDescent="0.25">
      <c r="K102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46 C8:C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abSelected="1" workbookViewId="0">
      <selection activeCell="E12" sqref="E12"/>
    </sheetView>
  </sheetViews>
  <sheetFormatPr defaultRowHeight="14.3" x14ac:dyDescent="0.25"/>
  <cols>
    <col min="1" max="1" width="6.625" style="29" customWidth="1"/>
    <col min="2" max="2" width="21.5" style="29" bestFit="1" customWidth="1"/>
    <col min="3" max="3" width="24" style="29" bestFit="1" customWidth="1"/>
    <col min="5" max="5" width="10.875" bestFit="1" customWidth="1"/>
  </cols>
  <sheetData>
    <row r="1" spans="1:5" x14ac:dyDescent="0.25">
      <c r="A1" s="29">
        <f>ROW(A1)</f>
        <v>1</v>
      </c>
      <c r="B1" s="29" t="s">
        <v>354</v>
      </c>
      <c r="C1" s="29" t="str">
        <f>""""&amp;LEFT(B1&amp;"                ",16)&amp;""""</f>
        <v>"След. остановка:"</v>
      </c>
      <c r="E1" t="str">
        <f t="shared" ref="E1:E15" si="0">REPT("!",LEN(B1))</f>
        <v>!!!!!!!!!!!!!!!!</v>
      </c>
    </row>
    <row r="2" spans="1:5" x14ac:dyDescent="0.25">
      <c r="A2" s="29">
        <f>ROW(A2)</f>
        <v>2</v>
      </c>
      <c r="B2" s="29" t="s">
        <v>292</v>
      </c>
      <c r="C2" s="29" t="str">
        <f t="shared" ref="C2:C65" si="1">""""&amp;LEFT(B2&amp;"                ",16)&amp;""""</f>
        <v>"ул.Труда        "</v>
      </c>
      <c r="E2" t="str">
        <f t="shared" si="0"/>
        <v>!!!!!!!!</v>
      </c>
    </row>
    <row r="3" spans="1:5" x14ac:dyDescent="0.25">
      <c r="A3" s="29">
        <f t="shared" ref="A3:A66" si="2">ROW(A3)</f>
        <v>3</v>
      </c>
      <c r="B3" s="29" t="s">
        <v>209</v>
      </c>
      <c r="C3" s="29" t="str">
        <f t="shared" si="1"/>
        <v>"Электросети     "</v>
      </c>
      <c r="E3" t="str">
        <f t="shared" si="0"/>
        <v>!!!!!!!!!!!</v>
      </c>
    </row>
    <row r="4" spans="1:5" x14ac:dyDescent="0.25">
      <c r="A4" s="29">
        <f t="shared" si="2"/>
        <v>4</v>
      </c>
      <c r="B4" s="29" t="s">
        <v>284</v>
      </c>
      <c r="C4" s="29" t="str">
        <f t="shared" si="1"/>
        <v>"ул.Куприянова   "</v>
      </c>
      <c r="E4" t="str">
        <f t="shared" si="0"/>
        <v>!!!!!!!!!!!!!</v>
      </c>
    </row>
    <row r="5" spans="1:5" x14ac:dyDescent="0.25">
      <c r="A5" s="29">
        <f t="shared" si="2"/>
        <v>5</v>
      </c>
      <c r="B5" s="29" t="s">
        <v>263</v>
      </c>
      <c r="C5" s="29" t="str">
        <f t="shared" si="1"/>
        <v>"ТЭЦ             "</v>
      </c>
      <c r="E5" t="str">
        <f t="shared" si="0"/>
        <v>!!!</v>
      </c>
    </row>
    <row r="6" spans="1:5" x14ac:dyDescent="0.25">
      <c r="A6" s="29">
        <f t="shared" si="2"/>
        <v>6</v>
      </c>
      <c r="B6" s="29" t="s">
        <v>363</v>
      </c>
      <c r="C6" s="29" t="str">
        <f t="shared" si="1"/>
        <v>"к-тр Юность     "</v>
      </c>
      <c r="E6" t="str">
        <f t="shared" si="0"/>
        <v>!!!!!!!!!!!</v>
      </c>
    </row>
    <row r="7" spans="1:5" x14ac:dyDescent="0.25">
      <c r="A7" s="29">
        <f t="shared" si="2"/>
        <v>7</v>
      </c>
      <c r="B7" s="29" t="s">
        <v>364</v>
      </c>
      <c r="C7" s="29" t="str">
        <f t="shared" si="1"/>
        <v>"Ж.д. вокзал     "</v>
      </c>
      <c r="E7" t="str">
        <f t="shared" si="0"/>
        <v>!!!!!!!!!!!</v>
      </c>
    </row>
    <row r="8" spans="1:5" x14ac:dyDescent="0.25">
      <c r="A8" s="29">
        <f t="shared" si="2"/>
        <v>8</v>
      </c>
      <c r="B8" s="29" t="s">
        <v>173</v>
      </c>
      <c r="C8" s="29" t="str">
        <f t="shared" si="1"/>
        <v>"ул.Партизанская "</v>
      </c>
      <c r="E8" t="str">
        <f t="shared" si="0"/>
        <v>!!!!!!!!!!!!!!!</v>
      </c>
    </row>
    <row r="9" spans="1:5" x14ac:dyDescent="0.25">
      <c r="A9" s="29">
        <f t="shared" si="2"/>
        <v>9</v>
      </c>
      <c r="B9" s="29" t="s">
        <v>172</v>
      </c>
      <c r="C9" s="29" t="str">
        <f t="shared" si="1"/>
        <v>"ул.Московская   "</v>
      </c>
      <c r="E9" t="str">
        <f t="shared" si="0"/>
        <v>!!!!!!!!!!!!!</v>
      </c>
    </row>
    <row r="10" spans="1:5" x14ac:dyDescent="0.25">
      <c r="A10" s="29">
        <f t="shared" si="2"/>
        <v>10</v>
      </c>
      <c r="B10" s="29" t="s">
        <v>375</v>
      </c>
      <c r="C10" s="29" t="str">
        <f t="shared" si="1"/>
        <v>"ул.Сыракваша    "</v>
      </c>
      <c r="E10" t="str">
        <f t="shared" si="0"/>
        <v>!!!!!!!!!!!!</v>
      </c>
    </row>
    <row r="11" spans="1:5" x14ac:dyDescent="0.25">
      <c r="A11" s="29">
        <f t="shared" si="2"/>
        <v>11</v>
      </c>
      <c r="B11" s="29" t="s">
        <v>175</v>
      </c>
      <c r="C11" s="29" t="str">
        <f t="shared" si="1"/>
        <v>"пр-т Мира       "</v>
      </c>
      <c r="E11" t="str">
        <f t="shared" si="0"/>
        <v>!!!!!!!!!</v>
      </c>
    </row>
    <row r="12" spans="1:5" x14ac:dyDescent="0.25">
      <c r="A12" s="29">
        <f t="shared" si="2"/>
        <v>12</v>
      </c>
      <c r="B12" s="29" t="s">
        <v>355</v>
      </c>
      <c r="C12" s="29" t="str">
        <f t="shared" si="1"/>
        <v>"ул.50летОктября "</v>
      </c>
      <c r="E12" t="str">
        <f t="shared" si="0"/>
        <v>!!!!!!!!!!!!!!!</v>
      </c>
    </row>
    <row r="13" spans="1:5" x14ac:dyDescent="0.25">
      <c r="A13" s="29">
        <f t="shared" si="2"/>
        <v>13</v>
      </c>
      <c r="B13" s="29" t="s">
        <v>266</v>
      </c>
      <c r="C13" s="29" t="str">
        <f t="shared" si="1"/>
        <v>"Универсам       "</v>
      </c>
      <c r="E13" t="str">
        <f t="shared" si="0"/>
        <v>!!!!!!!!!</v>
      </c>
    </row>
    <row r="14" spans="1:5" x14ac:dyDescent="0.25">
      <c r="A14" s="29">
        <f t="shared" si="2"/>
        <v>14</v>
      </c>
      <c r="B14" s="29" t="s">
        <v>365</v>
      </c>
      <c r="C14" s="29" t="str">
        <f t="shared" si="1"/>
        <v>"Торговый центр  "</v>
      </c>
      <c r="E14" t="str">
        <f t="shared" si="0"/>
        <v>!!!!!!!!!!!!!!</v>
      </c>
    </row>
    <row r="15" spans="1:5" x14ac:dyDescent="0.25">
      <c r="A15" s="29">
        <f t="shared" si="2"/>
        <v>15</v>
      </c>
      <c r="B15" s="29" t="s">
        <v>184</v>
      </c>
      <c r="C15" s="29" t="str">
        <f t="shared" si="1"/>
        <v>"Автостанция     "</v>
      </c>
      <c r="E15" t="str">
        <f t="shared" si="0"/>
        <v>!!!!!!!!!!!</v>
      </c>
    </row>
    <row r="16" spans="1:5" x14ac:dyDescent="0.25">
      <c r="A16" s="29">
        <f t="shared" si="2"/>
        <v>16</v>
      </c>
      <c r="B16" s="29" t="s">
        <v>288</v>
      </c>
      <c r="C16" s="29" t="str">
        <f t="shared" si="1"/>
        <v>"ул.Магистральная"</v>
      </c>
      <c r="E16" t="str">
        <f>REPT("!",LEN(B16))</f>
        <v>!!!!!!!!!!!!!!!!</v>
      </c>
    </row>
    <row r="17" spans="1:5" x14ac:dyDescent="0.25">
      <c r="A17" s="29">
        <f t="shared" si="2"/>
        <v>17</v>
      </c>
      <c r="B17" s="29" t="s">
        <v>351</v>
      </c>
      <c r="C17" s="29" t="str">
        <f t="shared" si="1"/>
        <v>"ул.Островского  "</v>
      </c>
      <c r="E17" t="str">
        <f t="shared" ref="E17:E28" si="3">REPT("!",LEN(B17))</f>
        <v>!!!!!!!!!!!!!!</v>
      </c>
    </row>
    <row r="18" spans="1:5" x14ac:dyDescent="0.25">
      <c r="A18" s="29">
        <f t="shared" si="2"/>
        <v>18</v>
      </c>
      <c r="B18" s="29" t="s">
        <v>285</v>
      </c>
      <c r="C18" s="29" t="str">
        <f t="shared" si="1"/>
        <v>"ул.Ленинская    "</v>
      </c>
      <c r="E18" t="str">
        <f t="shared" si="3"/>
        <v>!!!!!!!!!!!!</v>
      </c>
    </row>
    <row r="19" spans="1:5" x14ac:dyDescent="0.25">
      <c r="A19" s="29">
        <f t="shared" si="2"/>
        <v>19</v>
      </c>
      <c r="B19" s="29" t="s">
        <v>221</v>
      </c>
      <c r="C19" s="29" t="str">
        <f t="shared" si="1"/>
        <v>"КЗТШ            "</v>
      </c>
      <c r="E19" t="str">
        <f t="shared" si="3"/>
        <v>!!!!</v>
      </c>
    </row>
    <row r="20" spans="1:5" x14ac:dyDescent="0.25">
      <c r="A20" s="29">
        <f t="shared" si="2"/>
        <v>20</v>
      </c>
      <c r="B20" s="29" t="s">
        <v>356</v>
      </c>
      <c r="C20" s="29" t="str">
        <f t="shared" si="1"/>
        <v>"инст-земледелия "</v>
      </c>
      <c r="E20" t="str">
        <f t="shared" si="3"/>
        <v>!!!!!!!!!!!!!!!</v>
      </c>
    </row>
    <row r="21" spans="1:5" x14ac:dyDescent="0.25">
      <c r="A21" s="29">
        <f t="shared" si="2"/>
        <v>21</v>
      </c>
      <c r="B21" s="29" t="s">
        <v>249</v>
      </c>
      <c r="C21" s="29" t="str">
        <f t="shared" si="1"/>
        <v>"Сбербанк        "</v>
      </c>
      <c r="E21" t="str">
        <f t="shared" si="3"/>
        <v>!!!!!!!!</v>
      </c>
    </row>
    <row r="22" spans="1:5" x14ac:dyDescent="0.25">
      <c r="A22" s="29">
        <f t="shared" si="2"/>
        <v>22</v>
      </c>
      <c r="B22" s="29" t="s">
        <v>233</v>
      </c>
      <c r="C22" s="29" t="str">
        <f t="shared" si="1"/>
        <v>"Поликлиника     "</v>
      </c>
      <c r="E22" t="str">
        <f t="shared" si="3"/>
        <v>!!!!!!!!!!!</v>
      </c>
    </row>
    <row r="23" spans="1:5" x14ac:dyDescent="0.25">
      <c r="A23" s="29">
        <f t="shared" si="2"/>
        <v>23</v>
      </c>
      <c r="B23" s="29" t="s">
        <v>366</v>
      </c>
      <c r="C23" s="29" t="str">
        <f t="shared" si="1"/>
        <v>"Городской Парк  "</v>
      </c>
      <c r="E23" t="str">
        <f t="shared" si="3"/>
        <v>!!!!!!!!!!!!!!</v>
      </c>
    </row>
    <row r="24" spans="1:5" x14ac:dyDescent="0.25">
      <c r="A24" s="29">
        <f t="shared" si="2"/>
        <v>24</v>
      </c>
      <c r="B24" s="29" t="s">
        <v>367</v>
      </c>
      <c r="C24" s="29" t="str">
        <f t="shared" si="1"/>
        <v>"                "</v>
      </c>
      <c r="E24" t="str">
        <f t="shared" si="3"/>
        <v/>
      </c>
    </row>
    <row r="25" spans="1:5" x14ac:dyDescent="0.25">
      <c r="A25" s="29">
        <f t="shared" si="2"/>
        <v>25</v>
      </c>
      <c r="B25" s="29" t="s">
        <v>357</v>
      </c>
      <c r="C25" s="29" t="str">
        <f t="shared" si="1"/>
        <v>"кладбище"Восточн"</v>
      </c>
      <c r="E25" t="str">
        <f t="shared" si="3"/>
        <v>!!!!!!!!!!!!!!!!</v>
      </c>
    </row>
    <row r="26" spans="1:5" x14ac:dyDescent="0.25">
      <c r="A26" s="29">
        <f t="shared" si="2"/>
        <v>26</v>
      </c>
      <c r="B26" s="29" t="s">
        <v>367</v>
      </c>
      <c r="C26" s="29" t="str">
        <f t="shared" si="1"/>
        <v>"                "</v>
      </c>
      <c r="E26" t="str">
        <f t="shared" si="3"/>
        <v/>
      </c>
    </row>
    <row r="27" spans="1:5" x14ac:dyDescent="0.25">
      <c r="A27" s="29">
        <f t="shared" si="2"/>
        <v>27</v>
      </c>
      <c r="B27" s="29" t="s">
        <v>358</v>
      </c>
      <c r="C27" s="29" t="str">
        <f t="shared" si="1"/>
        <v>"судобовское клад"</v>
      </c>
      <c r="E27" t="str">
        <f t="shared" si="3"/>
        <v>!!!!!!!!!!!!!!!!</v>
      </c>
    </row>
    <row r="28" spans="1:5" x14ac:dyDescent="0.25">
      <c r="A28" s="29">
        <f t="shared" si="2"/>
        <v>28</v>
      </c>
      <c r="B28" s="29" t="s">
        <v>367</v>
      </c>
      <c r="C28" s="29" t="str">
        <f t="shared" si="1"/>
        <v>"                "</v>
      </c>
      <c r="E28" t="str">
        <f t="shared" si="3"/>
        <v/>
      </c>
    </row>
    <row r="29" spans="1:5" x14ac:dyDescent="0.25">
      <c r="A29" s="29">
        <f t="shared" si="2"/>
        <v>29</v>
      </c>
      <c r="B29" s="29" t="s">
        <v>179</v>
      </c>
      <c r="C29" s="29" t="str">
        <f t="shared" si="1"/>
        <v>"ул.Бажора       "</v>
      </c>
      <c r="E29" t="str">
        <f t="shared" ref="E29:E31" si="4">REPT("!",LEN(B29))</f>
        <v>!!!!!!!!!</v>
      </c>
    </row>
    <row r="30" spans="1:5" x14ac:dyDescent="0.25">
      <c r="A30" s="29">
        <f t="shared" si="2"/>
        <v>30</v>
      </c>
      <c r="B30" s="29" t="s">
        <v>289</v>
      </c>
      <c r="C30" s="29" t="str">
        <f t="shared" si="1"/>
        <v>"ул.Нагорная     "</v>
      </c>
      <c r="E30" t="str">
        <f t="shared" si="4"/>
        <v>!!!!!!!!!!!</v>
      </c>
    </row>
    <row r="31" spans="1:5" x14ac:dyDescent="0.25">
      <c r="A31" s="29">
        <f t="shared" si="2"/>
        <v>31</v>
      </c>
      <c r="B31" s="29" t="s">
        <v>241</v>
      </c>
      <c r="C31" s="29" t="str">
        <f t="shared" si="1"/>
        <v>"Почта           "</v>
      </c>
      <c r="E31" t="str">
        <f t="shared" si="4"/>
        <v>!!!!!</v>
      </c>
    </row>
    <row r="32" spans="1:5" x14ac:dyDescent="0.25">
      <c r="A32" s="29">
        <f t="shared" si="2"/>
        <v>32</v>
      </c>
      <c r="B32" s="29" t="s">
        <v>290</v>
      </c>
      <c r="C32" s="29" t="str">
        <f t="shared" si="1"/>
        <v>"ул.Песчаная     "</v>
      </c>
      <c r="E32" t="str">
        <f>REPT("!",LEN(B32))</f>
        <v>!!!!!!!!!!!</v>
      </c>
    </row>
    <row r="33" spans="1:5" x14ac:dyDescent="0.25">
      <c r="A33" s="29">
        <f t="shared" si="2"/>
        <v>33</v>
      </c>
      <c r="B33" s="29" t="s">
        <v>283</v>
      </c>
      <c r="C33" s="29" t="str">
        <f t="shared" si="1"/>
        <v>"ул.Дорожная     "</v>
      </c>
      <c r="E33" t="str">
        <f t="shared" ref="E33:E70" si="5">REPT("!",LEN(B33))</f>
        <v>!!!!!!!!!!!</v>
      </c>
    </row>
    <row r="34" spans="1:5" x14ac:dyDescent="0.25">
      <c r="A34" s="29">
        <f t="shared" si="2"/>
        <v>34</v>
      </c>
      <c r="B34" s="29" t="s">
        <v>359</v>
      </c>
      <c r="C34" s="29" t="str">
        <f t="shared" si="1"/>
        <v>"ул.Автомобилисто"</v>
      </c>
      <c r="E34" t="str">
        <f t="shared" si="5"/>
        <v>!!!!!!!!!!!!!!!!</v>
      </c>
    </row>
    <row r="35" spans="1:5" x14ac:dyDescent="0.25">
      <c r="A35" s="29">
        <f t="shared" si="2"/>
        <v>35</v>
      </c>
      <c r="B35" s="29" t="s">
        <v>226</v>
      </c>
      <c r="C35" s="29" t="str">
        <f t="shared" si="1"/>
        <v>"Лесоцех         "</v>
      </c>
      <c r="E35" t="str">
        <f t="shared" si="5"/>
        <v>!!!!!!!</v>
      </c>
    </row>
    <row r="36" spans="1:5" x14ac:dyDescent="0.25">
      <c r="A36" s="29">
        <f t="shared" si="2"/>
        <v>36</v>
      </c>
      <c r="B36" s="29" t="s">
        <v>176</v>
      </c>
      <c r="C36" s="29" t="str">
        <f t="shared" si="1"/>
        <v>"ул.Гагарина     "</v>
      </c>
      <c r="E36" t="str">
        <f t="shared" si="5"/>
        <v>!!!!!!!!!!!</v>
      </c>
    </row>
    <row r="37" spans="1:5" x14ac:dyDescent="0.25">
      <c r="A37" s="29">
        <f t="shared" si="2"/>
        <v>37</v>
      </c>
      <c r="B37" s="29" t="s">
        <v>177</v>
      </c>
      <c r="C37" s="29" t="str">
        <f t="shared" si="1"/>
        <v>"СШ № 5          "</v>
      </c>
      <c r="E37" t="str">
        <f t="shared" si="5"/>
        <v>!!!!!!</v>
      </c>
    </row>
    <row r="38" spans="1:5" x14ac:dyDescent="0.25">
      <c r="A38" s="29">
        <f t="shared" si="2"/>
        <v>38</v>
      </c>
      <c r="B38" s="29" t="s">
        <v>291</v>
      </c>
      <c r="C38" s="29" t="str">
        <f t="shared" si="1"/>
        <v>"ул.Сухогрядская "</v>
      </c>
      <c r="E38" t="str">
        <f t="shared" si="5"/>
        <v>!!!!!!!!!!!!!!!</v>
      </c>
    </row>
    <row r="39" spans="1:5" x14ac:dyDescent="0.25">
      <c r="A39" s="29">
        <f t="shared" si="2"/>
        <v>39</v>
      </c>
      <c r="B39" s="29" t="s">
        <v>280</v>
      </c>
      <c r="C39" s="29" t="str">
        <f t="shared" si="1"/>
        <v>"ул.8 Марта      "</v>
      </c>
      <c r="E39" t="str">
        <f t="shared" si="5"/>
        <v>!!!!!!!!!!</v>
      </c>
    </row>
    <row r="40" spans="1:5" x14ac:dyDescent="0.25">
      <c r="A40" s="29">
        <f t="shared" si="2"/>
        <v>40</v>
      </c>
      <c r="B40" s="29" t="s">
        <v>368</v>
      </c>
      <c r="C40" s="29" t="str">
        <f t="shared" si="1"/>
        <v>"Свитанак        "</v>
      </c>
      <c r="E40" t="str">
        <f t="shared" si="5"/>
        <v>!!!!!!!!</v>
      </c>
    </row>
    <row r="41" spans="1:5" x14ac:dyDescent="0.25">
      <c r="A41" s="29">
        <f t="shared" si="2"/>
        <v>41</v>
      </c>
      <c r="B41" s="29" t="s">
        <v>300</v>
      </c>
      <c r="C41" s="29" t="str">
        <f t="shared" si="1"/>
        <v>"Пожарная часть  "</v>
      </c>
      <c r="E41" t="str">
        <f t="shared" si="5"/>
        <v>!!!!!!!!!!!!!!</v>
      </c>
    </row>
    <row r="42" spans="1:5" x14ac:dyDescent="0.25">
      <c r="A42" s="29">
        <f t="shared" si="2"/>
        <v>42</v>
      </c>
      <c r="B42" s="29" t="s">
        <v>352</v>
      </c>
      <c r="C42" s="29" t="str">
        <f t="shared" si="1"/>
        <v>"Рынок           "</v>
      </c>
      <c r="E42" t="str">
        <f t="shared" si="5"/>
        <v>!!!!!</v>
      </c>
    </row>
    <row r="43" spans="1:5" x14ac:dyDescent="0.25">
      <c r="A43" s="29">
        <f t="shared" si="2"/>
        <v>43</v>
      </c>
      <c r="B43" s="29" t="s">
        <v>178</v>
      </c>
      <c r="C43" s="29" t="str">
        <f t="shared" si="1"/>
        <v>"ул.Рокоссовского"</v>
      </c>
      <c r="E43" t="str">
        <f t="shared" si="5"/>
        <v>!!!!!!!!!!!!!!!!</v>
      </c>
    </row>
    <row r="44" spans="1:5" x14ac:dyDescent="0.25">
      <c r="A44" s="29">
        <f t="shared" si="2"/>
        <v>44</v>
      </c>
      <c r="B44" s="29" t="s">
        <v>367</v>
      </c>
      <c r="C44" s="29" t="str">
        <f t="shared" si="1"/>
        <v>"                "</v>
      </c>
      <c r="E44" t="str">
        <f t="shared" si="5"/>
        <v/>
      </c>
    </row>
    <row r="45" spans="1:5" x14ac:dyDescent="0.25">
      <c r="A45" s="29">
        <f t="shared" si="2"/>
        <v>45</v>
      </c>
      <c r="B45" s="29" t="s">
        <v>367</v>
      </c>
      <c r="C45" s="29" t="str">
        <f t="shared" si="1"/>
        <v>"                "</v>
      </c>
      <c r="E45" t="str">
        <f t="shared" si="5"/>
        <v/>
      </c>
    </row>
    <row r="46" spans="1:5" x14ac:dyDescent="0.25">
      <c r="A46" s="29">
        <f t="shared" si="2"/>
        <v>46</v>
      </c>
      <c r="B46" s="29" t="s">
        <v>367</v>
      </c>
      <c r="C46" s="29" t="str">
        <f t="shared" si="1"/>
        <v>"                "</v>
      </c>
      <c r="E46" t="str">
        <f t="shared" si="5"/>
        <v/>
      </c>
    </row>
    <row r="47" spans="1:5" x14ac:dyDescent="0.25">
      <c r="A47" s="29">
        <f t="shared" si="2"/>
        <v>47</v>
      </c>
      <c r="B47" s="29" t="s">
        <v>360</v>
      </c>
      <c r="C47" s="29" t="str">
        <f t="shared" si="1"/>
        <v>"войсковая-часть "</v>
      </c>
      <c r="E47" t="str">
        <f t="shared" si="5"/>
        <v>!!!!!!!!!!!!!!!</v>
      </c>
    </row>
    <row r="48" spans="1:5" x14ac:dyDescent="0.25">
      <c r="A48" s="29">
        <f t="shared" si="2"/>
        <v>48</v>
      </c>
      <c r="B48" s="29" t="s">
        <v>168</v>
      </c>
      <c r="C48" s="29" t="str">
        <f t="shared" si="1"/>
        <v>"ИТК-8           "</v>
      </c>
      <c r="E48" t="str">
        <f t="shared" si="5"/>
        <v>!!!!!</v>
      </c>
    </row>
    <row r="49" spans="1:5" x14ac:dyDescent="0.25">
      <c r="A49" s="29">
        <f t="shared" si="2"/>
        <v>49</v>
      </c>
      <c r="B49" s="29" t="s">
        <v>169</v>
      </c>
      <c r="C49" s="29" t="str">
        <f t="shared" si="1"/>
        <v>"Женская гимназия"</v>
      </c>
      <c r="E49" t="str">
        <f t="shared" si="5"/>
        <v>!!!!!!!!!!!!!!!!</v>
      </c>
    </row>
    <row r="50" spans="1:5" x14ac:dyDescent="0.25">
      <c r="A50" s="29">
        <f t="shared" si="2"/>
        <v>50</v>
      </c>
      <c r="B50" s="29" t="s">
        <v>361</v>
      </c>
      <c r="C50" s="29" t="str">
        <f t="shared" si="1"/>
        <v>"инст-звероводств"</v>
      </c>
      <c r="E50" t="str">
        <f t="shared" si="5"/>
        <v>!!!!!!!!!!!!!!!!</v>
      </c>
    </row>
    <row r="51" spans="1:5" x14ac:dyDescent="0.25">
      <c r="A51" s="29">
        <f t="shared" si="2"/>
        <v>51</v>
      </c>
      <c r="B51" s="29" t="s">
        <v>171</v>
      </c>
      <c r="C51" s="29" t="str">
        <f t="shared" si="1"/>
        <v>"ул.Калинина     "</v>
      </c>
      <c r="E51" t="str">
        <f t="shared" si="5"/>
        <v>!!!!!!!!!!!</v>
      </c>
    </row>
    <row r="52" spans="1:5" x14ac:dyDescent="0.25">
      <c r="A52" s="29">
        <f t="shared" si="2"/>
        <v>52</v>
      </c>
      <c r="B52" s="29" t="s">
        <v>369</v>
      </c>
      <c r="C52" s="29" t="str">
        <f t="shared" si="1"/>
        <v>"пр-тЛенина      "</v>
      </c>
      <c r="E52" t="str">
        <f t="shared" si="5"/>
        <v>!!!!!!!!!!</v>
      </c>
    </row>
    <row r="53" spans="1:5" x14ac:dyDescent="0.25">
      <c r="A53" s="29">
        <f t="shared" si="2"/>
        <v>53</v>
      </c>
      <c r="B53" s="29" t="s">
        <v>367</v>
      </c>
      <c r="C53" s="29" t="str">
        <f t="shared" si="1"/>
        <v>"                "</v>
      </c>
      <c r="E53" t="str">
        <f t="shared" si="5"/>
        <v/>
      </c>
    </row>
    <row r="54" spans="1:5" x14ac:dyDescent="0.25">
      <c r="A54" s="29">
        <f t="shared" si="2"/>
        <v>54</v>
      </c>
      <c r="B54" s="29" t="s">
        <v>367</v>
      </c>
      <c r="C54" s="29" t="str">
        <f t="shared" si="1"/>
        <v>"                "</v>
      </c>
      <c r="E54" t="str">
        <f t="shared" si="5"/>
        <v/>
      </c>
    </row>
    <row r="55" spans="1:5" x14ac:dyDescent="0.25">
      <c r="A55" s="29">
        <f t="shared" si="2"/>
        <v>55</v>
      </c>
      <c r="B55" s="29" t="s">
        <v>282</v>
      </c>
      <c r="C55" s="29" t="str">
        <f t="shared" si="1"/>
        <v>"ул.Богуслав Поле"</v>
      </c>
      <c r="E55" t="str">
        <f t="shared" si="5"/>
        <v>!!!!!!!!!!!!!!!!</v>
      </c>
    </row>
    <row r="56" spans="1:5" x14ac:dyDescent="0.25">
      <c r="A56" s="29">
        <f t="shared" si="2"/>
        <v>56</v>
      </c>
      <c r="B56" s="29" t="s">
        <v>370</v>
      </c>
      <c r="C56" s="29" t="str">
        <f t="shared" si="1"/>
        <v>"Пр-т Скарины    "</v>
      </c>
      <c r="E56" t="str">
        <f t="shared" si="5"/>
        <v>!!!!!!!!!!!!</v>
      </c>
    </row>
    <row r="57" spans="1:5" x14ac:dyDescent="0.25">
      <c r="A57" s="29">
        <f t="shared" si="2"/>
        <v>57</v>
      </c>
      <c r="B57" s="29" t="s">
        <v>259</v>
      </c>
      <c r="C57" s="29" t="str">
        <f t="shared" si="1"/>
        <v>"Таможня         "</v>
      </c>
      <c r="E57" t="str">
        <f t="shared" si="5"/>
        <v>!!!!!!!</v>
      </c>
    </row>
    <row r="58" spans="1:5" x14ac:dyDescent="0.25">
      <c r="A58" s="29">
        <f t="shared" si="2"/>
        <v>58</v>
      </c>
      <c r="B58" s="29" t="s">
        <v>371</v>
      </c>
      <c r="C58" s="29" t="str">
        <f t="shared" si="1"/>
        <v>"Белаз           "</v>
      </c>
      <c r="E58" t="str">
        <f t="shared" si="5"/>
        <v>!!!!!</v>
      </c>
    </row>
    <row r="59" spans="1:5" x14ac:dyDescent="0.25">
      <c r="A59" s="29">
        <f t="shared" si="2"/>
        <v>59</v>
      </c>
      <c r="B59" s="29" t="s">
        <v>367</v>
      </c>
      <c r="C59" s="29" t="str">
        <f t="shared" si="1"/>
        <v>"                "</v>
      </c>
      <c r="E59" t="str">
        <f t="shared" si="5"/>
        <v/>
      </c>
    </row>
    <row r="60" spans="1:5" x14ac:dyDescent="0.25">
      <c r="A60" s="29">
        <f t="shared" si="2"/>
        <v>60</v>
      </c>
      <c r="B60" s="29" t="s">
        <v>185</v>
      </c>
      <c r="C60" s="29" t="str">
        <f t="shared" si="1"/>
        <v>"АЗС             "</v>
      </c>
      <c r="E60" t="str">
        <f t="shared" si="5"/>
        <v>!!!</v>
      </c>
    </row>
    <row r="61" spans="1:5" x14ac:dyDescent="0.25">
      <c r="A61" s="29">
        <f t="shared" si="2"/>
        <v>61</v>
      </c>
      <c r="B61" s="29" t="s">
        <v>367</v>
      </c>
      <c r="C61" s="29" t="str">
        <f t="shared" si="1"/>
        <v>"                "</v>
      </c>
      <c r="E61" t="str">
        <f t="shared" si="5"/>
        <v/>
      </c>
    </row>
    <row r="62" spans="1:5" x14ac:dyDescent="0.25">
      <c r="A62" s="29">
        <f t="shared" si="2"/>
        <v>62</v>
      </c>
      <c r="B62" s="29" t="s">
        <v>270</v>
      </c>
      <c r="C62" s="29" t="str">
        <f t="shared" si="1"/>
        <v>"пр-т Венисье    "</v>
      </c>
      <c r="E62" t="str">
        <f t="shared" si="5"/>
        <v>!!!!!!!!!!!!</v>
      </c>
    </row>
    <row r="63" spans="1:5" x14ac:dyDescent="0.25">
      <c r="A63" s="29">
        <f t="shared" si="2"/>
        <v>63</v>
      </c>
      <c r="B63" s="29" t="s">
        <v>219</v>
      </c>
      <c r="C63" s="29" t="str">
        <f t="shared" si="1"/>
        <v>"Костел          "</v>
      </c>
      <c r="E63" t="str">
        <f t="shared" si="5"/>
        <v>!!!!!!</v>
      </c>
    </row>
    <row r="64" spans="1:5" x14ac:dyDescent="0.25">
      <c r="A64" s="29">
        <f t="shared" si="2"/>
        <v>64</v>
      </c>
      <c r="B64" s="29" t="s">
        <v>362</v>
      </c>
      <c r="C64" s="29" t="str">
        <f t="shared" si="1"/>
        <v>"ГородскаяБольниц"</v>
      </c>
      <c r="E64" t="str">
        <f t="shared" si="5"/>
        <v>!!!!!!!!!!!!!!!!</v>
      </c>
    </row>
    <row r="65" spans="1:5" x14ac:dyDescent="0.25">
      <c r="A65" s="29">
        <f t="shared" si="2"/>
        <v>65</v>
      </c>
      <c r="B65" s="29" t="s">
        <v>372</v>
      </c>
      <c r="C65" s="29" t="str">
        <f t="shared" si="1"/>
        <v>"сш8             "</v>
      </c>
      <c r="E65" t="str">
        <f t="shared" si="5"/>
        <v>!!!</v>
      </c>
    </row>
    <row r="66" spans="1:5" x14ac:dyDescent="0.25">
      <c r="A66" s="29">
        <f t="shared" si="2"/>
        <v>66</v>
      </c>
      <c r="B66" s="29" t="s">
        <v>286</v>
      </c>
      <c r="C66" s="29" t="str">
        <f t="shared" ref="C66:C70" si="6">""""&amp;LEFT(B66&amp;"                ",16)&amp;""""</f>
        <v>"ул.Лесная       "</v>
      </c>
      <c r="E66" t="str">
        <f t="shared" si="5"/>
        <v>!!!!!!!!!</v>
      </c>
    </row>
    <row r="67" spans="1:5" x14ac:dyDescent="0.25">
      <c r="A67" s="29">
        <f t="shared" ref="A67:A70" si="7">ROW(A67)</f>
        <v>67</v>
      </c>
      <c r="B67" s="29" t="s">
        <v>206</v>
      </c>
      <c r="C67" s="29" t="str">
        <f t="shared" si="6"/>
        <v>"Церковь         "</v>
      </c>
      <c r="E67" t="str">
        <f t="shared" si="5"/>
        <v>!!!!!!!</v>
      </c>
    </row>
    <row r="68" spans="1:5" x14ac:dyDescent="0.25">
      <c r="A68" s="29">
        <f t="shared" si="7"/>
        <v>68</v>
      </c>
      <c r="B68" s="29" t="s">
        <v>287</v>
      </c>
      <c r="C68" s="29" t="str">
        <f t="shared" si="6"/>
        <v>"ул.Логойская    "</v>
      </c>
      <c r="E68" t="str">
        <f t="shared" si="5"/>
        <v>!!!!!!!!!!!!</v>
      </c>
    </row>
    <row r="69" spans="1:5" x14ac:dyDescent="0.25">
      <c r="A69" s="29">
        <f t="shared" si="7"/>
        <v>69</v>
      </c>
      <c r="B69" s="29" t="s">
        <v>373</v>
      </c>
      <c r="C69" s="29" t="str">
        <f t="shared" si="6"/>
        <v>"8 Микрорайон    "</v>
      </c>
      <c r="E69" t="str">
        <f t="shared" si="5"/>
        <v>!!!!!!!!!!!!</v>
      </c>
    </row>
    <row r="70" spans="1:5" x14ac:dyDescent="0.25">
      <c r="A70" s="29">
        <f t="shared" si="7"/>
        <v>70</v>
      </c>
      <c r="B70" s="29" t="s">
        <v>374</v>
      </c>
      <c r="C70" s="29" t="str">
        <f t="shared" si="6"/>
        <v>"Магазин"Рублёвск"</v>
      </c>
      <c r="E70" t="str">
        <f t="shared" si="5"/>
        <v>!!!!!!!!!!!!!!!!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5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 t="shared" si="0"/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 t="shared" si="0"/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 t="shared" si="0"/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 t="shared" si="0"/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 t="shared" si="0"/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 t="shared" si="0"/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 t="shared" si="0"/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 t="shared" si="0"/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 t="shared" si="0"/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 t="shared" si="0"/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 t="shared" ref="E19:E29" si="1"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 t="shared" si="1"/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 t="shared" si="1"/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 t="shared" si="1"/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 t="shared" si="1"/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 t="shared" si="1"/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 t="shared" si="1"/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 t="shared" si="1"/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 t="shared" si="1"/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 t="shared" si="1"/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 t="shared" si="1"/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 t="shared" ref="E31:E36" si="2"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 t="shared" si="2"/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 t="shared" si="2"/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 t="shared" si="2"/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 t="shared" si="2"/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 t="shared" si="2"/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K94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B46</f>
        <v>46</v>
      </c>
      <c r="K4" s="15" t="str">
        <f>"&lt;unit"&amp;TEXT(B4,"000")&amp;"&gt; """&amp;E4&amp;""" {d 000, n "&amp;TEXT(G4,"000")&amp;"}"</f>
        <v>&lt;unit004&gt; "Обратный" {d 000, n 046}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1" si="0">B9</f>
        <v>9</v>
      </c>
      <c r="H8" s="24" t="str">
        <f t="shared" ref="H8:H42" si="1">IFERROR("c "&amp;VLOOKUP(C8,Punkti,2,FALSE),"")</f>
        <v>c 902</v>
      </c>
      <c r="I8" s="28" t="str">
        <f t="shared" ref="I8:I11" si="2">IFERROR(VLOOKUP(E8,Ostanovki,7,FALSE),"")</f>
        <v>c 928, v "\mp3_ost\truda.mp3"</v>
      </c>
      <c r="J8" s="24" t="str">
        <f t="shared" ref="J8:J42" si="3">IFERROR("c "&amp;VLOOKUP(F8,Punkti,2,FALSE),"")</f>
        <v/>
      </c>
      <c r="K8" s="15" t="str">
        <f t="shared" ref="K8:K42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2" si="5">ROW(B9)</f>
        <v>9</v>
      </c>
      <c r="C9" t="s">
        <v>344</v>
      </c>
      <c r="D9" t="str">
        <f>IF(H9="c 900","&gt;&gt;","")</f>
        <v>&gt;&gt;</v>
      </c>
      <c r="E9" t="s">
        <v>209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"\mp3_ost\elseti.mp3"</v>
      </c>
      <c r="J9" s="24" t="str">
        <f t="shared" si="3"/>
        <v/>
      </c>
      <c r="K9" s="15" t="str">
        <f t="shared" si="4"/>
        <v>&lt;unit009&gt; "&gt;&gt;Электросети" {c 900, v "\mp3_ost\elseti.mp3",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2" si="6">IF(H10="c 900","&gt;&gt;","")</f>
        <v/>
      </c>
      <c r="E10" t="s">
        <v>209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"\mp3_ost\elseti.mp3"</v>
      </c>
      <c r="J10" s="24" t="str">
        <f t="shared" si="3"/>
        <v/>
      </c>
      <c r="K10" s="15" t="str">
        <f t="shared" si="4"/>
        <v>&lt;unit010&gt; "Электросети" {c 902, v "\mp3_ost\elseti.mp3",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284</v>
      </c>
      <c r="G11" s="24">
        <f t="shared" si="0"/>
        <v>12</v>
      </c>
      <c r="H11" s="24" t="str">
        <f t="shared" si="1"/>
        <v>c 900</v>
      </c>
      <c r="I11" s="28" t="str">
        <f t="shared" si="2"/>
        <v>c 928, v "\mp3_ost\kupriyan.mp3"</v>
      </c>
      <c r="J11" s="24" t="str">
        <f t="shared" si="3"/>
        <v/>
      </c>
      <c r="K11" s="15" t="str">
        <f t="shared" si="4"/>
        <v>&lt;unit011&gt; "&gt;&gt;ул.Куприянова" {c 900, c 928, v "\mp3_ost\kupriyan.mp3",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284</v>
      </c>
      <c r="G12" s="24">
        <f t="shared" si="0"/>
        <v>13</v>
      </c>
      <c r="H12" s="24" t="str">
        <f t="shared" si="1"/>
        <v>c 902</v>
      </c>
      <c r="I12" s="28" t="str">
        <f t="shared" ref="I12:I42" si="7">IFERROR(VLOOKUP(E12,Ostanovki,7,FALSE),"")</f>
        <v>c 928, v "\mp3_ost\kupriyan.mp3"</v>
      </c>
      <c r="J12" s="24" t="str">
        <f t="shared" si="3"/>
        <v/>
      </c>
      <c r="K12" s="15" t="str">
        <f t="shared" si="4"/>
        <v>&lt;unit012&gt; "ул.Куприянова" {c 902, c 928, v "\mp3_ost\kupriyan.mp3",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263</v>
      </c>
      <c r="G13" s="24">
        <f t="shared" si="0"/>
        <v>14</v>
      </c>
      <c r="H13" s="24" t="str">
        <f t="shared" si="1"/>
        <v>c 900</v>
      </c>
      <c r="I13" s="28" t="str">
        <f t="shared" si="7"/>
        <v>v "\mp3_ost\tec.mp3"</v>
      </c>
      <c r="J13" s="24" t="str">
        <f t="shared" si="3"/>
        <v/>
      </c>
      <c r="K13" s="15" t="str">
        <f t="shared" si="4"/>
        <v>&lt;unit013&gt; "&gt;&gt;ТЭЦ" {c 900, v "\mp3_ost\tec.mp3",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263</v>
      </c>
      <c r="G14" s="24">
        <f t="shared" si="0"/>
        <v>15</v>
      </c>
      <c r="H14" s="24" t="str">
        <f t="shared" si="1"/>
        <v>c 902</v>
      </c>
      <c r="I14" s="28" t="str">
        <f t="shared" si="7"/>
        <v>v "\mp3_ost\tec.mp3"</v>
      </c>
      <c r="J14" s="24" t="str">
        <f t="shared" si="3"/>
        <v/>
      </c>
      <c r="K14" s="15" t="str">
        <f t="shared" si="4"/>
        <v>&lt;unit014&gt; "ТЭЦ" {c 902, v "\mp3_ost\tec.mp3",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272</v>
      </c>
      <c r="G15" s="24">
        <f t="shared" si="0"/>
        <v>16</v>
      </c>
      <c r="H15" s="24" t="str">
        <f t="shared" si="1"/>
        <v>c 900</v>
      </c>
      <c r="I15" s="28" t="str">
        <f t="shared" si="7"/>
        <v>v "\mp3_ost\yunost`.mp3"</v>
      </c>
      <c r="J15" s="24" t="str">
        <f t="shared" si="3"/>
        <v/>
      </c>
      <c r="K15" s="15" t="str">
        <f t="shared" si="4"/>
        <v>&lt;unit015&gt; "&gt;&gt;к/т Юность" {c 900, v "\mp3_ost\yunost`.mp3",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272</v>
      </c>
      <c r="G16" s="24">
        <f t="shared" si="0"/>
        <v>17</v>
      </c>
      <c r="H16" s="24" t="str">
        <f t="shared" si="1"/>
        <v>c 902</v>
      </c>
      <c r="I16" s="28" t="str">
        <f t="shared" si="7"/>
        <v>v "\mp3_ost\yunost`.mp3"</v>
      </c>
      <c r="J16" s="24" t="str">
        <f t="shared" si="3"/>
        <v/>
      </c>
      <c r="K16" s="15" t="str">
        <f t="shared" si="4"/>
        <v>&lt;unit016&gt; "к/т Юность" {c 902, v "\mp3_ost\yunost`.mp3",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7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7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7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7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7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7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7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7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7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7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 t="shared" si="7"/>
        <v>v "\mp3_ost\universa.mp3"</v>
      </c>
      <c r="J29" s="24" t="str">
        <f t="shared" si="3"/>
        <v/>
      </c>
      <c r="K29" s="15" t="str">
        <f t="shared" si="4"/>
        <v>&lt;unit029&gt; "&gt;&gt;Универсам" {c 900, v "\mp3_ost\universa.mp3",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 t="shared" si="7"/>
        <v>v "\mp3_ost\universa.mp3"</v>
      </c>
      <c r="J30" s="24" t="str">
        <f t="shared" si="3"/>
        <v/>
      </c>
      <c r="K30" s="15" t="str">
        <f t="shared" si="4"/>
        <v>&lt;unit030&gt; "Универсам" {c 902, v "\mp3_ost\universa.mp3",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"\mp3_ost\tc.mp3"</v>
      </c>
      <c r="J31" s="24" t="str">
        <f t="shared" si="3"/>
        <v/>
      </c>
      <c r="K31" s="15" t="str">
        <f t="shared" si="4"/>
        <v>&lt;unit031&gt; "&gt;&gt;Торг.центр" {c 900, v "\mp3_ost\tc.mp3",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"\mp3_ost\tc.mp3"</v>
      </c>
      <c r="J32" s="24" t="str">
        <f t="shared" si="3"/>
        <v/>
      </c>
      <c r="K32" s="15" t="str">
        <f t="shared" si="4"/>
        <v>&lt;unit032&gt; "Торг.центр" {c 902, v "\mp3_ost\tc.mp3",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184</v>
      </c>
      <c r="G33" s="24">
        <f t="shared" si="0"/>
        <v>34</v>
      </c>
      <c r="H33" s="24" t="str">
        <f t="shared" si="1"/>
        <v>c 900</v>
      </c>
      <c r="I33" s="28" t="str">
        <f t="shared" si="7"/>
        <v>v "\mp3_ost\avtostan.mp3"</v>
      </c>
      <c r="J33" s="24" t="str">
        <f t="shared" si="3"/>
        <v/>
      </c>
      <c r="K33" s="15" t="str">
        <f t="shared" si="4"/>
        <v>&lt;unit033&gt; "&gt;&gt;Автостанция" {c 900, v "\mp3_ost\avtostan.mp3",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184</v>
      </c>
      <c r="G34" s="24">
        <f t="shared" si="0"/>
        <v>35</v>
      </c>
      <c r="H34" s="24" t="str">
        <f t="shared" si="1"/>
        <v>c 902</v>
      </c>
      <c r="I34" s="28" t="str">
        <f t="shared" si="7"/>
        <v>v "\mp3_ost\avtostan.mp3"</v>
      </c>
      <c r="J34" s="24" t="str">
        <f t="shared" si="3"/>
        <v/>
      </c>
      <c r="K34" s="15" t="str">
        <f t="shared" si="4"/>
        <v>&lt;unit034&gt; "Автостанция" {c 902, v "\mp3_ost\avtostan.mp3",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288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"\mp3_ost\magistra.mp3"</v>
      </c>
      <c r="J35" s="24" t="str">
        <f t="shared" si="3"/>
        <v/>
      </c>
      <c r="K35" s="15" t="str">
        <f t="shared" si="4"/>
        <v>&lt;unit035&gt; "&gt;&gt;ул.Магистральная" {c 900, c 928, v "\mp3_ost\magistra.mp3",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288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"\mp3_ost\magistra.mp3"</v>
      </c>
      <c r="J36" s="24" t="str">
        <f t="shared" si="3"/>
        <v/>
      </c>
      <c r="K36" s="15" t="str">
        <f t="shared" si="4"/>
        <v>&lt;unit036&gt; "ул.Магистральная" {c 902, c 928, v "\mp3_ost\magistra.mp3",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351</v>
      </c>
      <c r="G37" s="24">
        <f t="shared" si="0"/>
        <v>38</v>
      </c>
      <c r="H37" s="24" t="str">
        <f t="shared" si="1"/>
        <v>c 900</v>
      </c>
      <c r="I37" s="28" t="str">
        <f t="shared" si="7"/>
        <v>c 928, v "\mp3_ost\ostrovsk.mp3"</v>
      </c>
      <c r="J37" s="24" t="str">
        <f t="shared" si="3"/>
        <v/>
      </c>
      <c r="K37" s="15" t="str">
        <f t="shared" si="4"/>
        <v>&lt;unit037&gt; "&gt;&gt;ул.Островского" {c 900, c 928, v "\mp3_ost\ostrovsk.mp3",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351</v>
      </c>
      <c r="G38" s="24">
        <f t="shared" si="0"/>
        <v>39</v>
      </c>
      <c r="H38" s="24" t="str">
        <f t="shared" si="1"/>
        <v>c 902</v>
      </c>
      <c r="I38" s="28" t="str">
        <f t="shared" si="7"/>
        <v>c 928, v "\mp3_ost\ostrovsk.mp3"</v>
      </c>
      <c r="J38" s="24" t="str">
        <f t="shared" si="3"/>
        <v/>
      </c>
      <c r="K38" s="15" t="str">
        <f t="shared" si="4"/>
        <v>&lt;unit038&gt; "ул.Островского" {c 902, c 928, v "\mp3_ost\ostrovsk.mp3",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285</v>
      </c>
      <c r="G39" s="24">
        <f t="shared" si="0"/>
        <v>40</v>
      </c>
      <c r="H39" s="24" t="str">
        <f t="shared" si="1"/>
        <v>c 900</v>
      </c>
      <c r="I39" s="28" t="str">
        <f t="shared" si="7"/>
        <v>c 928, v "\mp3_ost\leninska.mp3"</v>
      </c>
      <c r="J39" s="24" t="str">
        <f t="shared" si="3"/>
        <v/>
      </c>
      <c r="K39" s="15" t="str">
        <f t="shared" si="4"/>
        <v>&lt;unit039&gt; "&gt;&gt;ул.Ленинская" {c 900, c 928, v "\mp3_ost\leninska.mp3",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E40" t="s">
        <v>285</v>
      </c>
      <c r="G40" s="24">
        <f t="shared" si="0"/>
        <v>41</v>
      </c>
      <c r="H40" s="24" t="str">
        <f t="shared" si="1"/>
        <v>c 902</v>
      </c>
      <c r="I40" s="28" t="str">
        <f t="shared" si="7"/>
        <v>c 928, v "\mp3_ost\leninska.mp3"</v>
      </c>
      <c r="J40" s="24" t="str">
        <f t="shared" si="3"/>
        <v/>
      </c>
      <c r="K40" s="15" t="str">
        <f t="shared" si="4"/>
        <v>&lt;unit040&gt; "ул.Ленинская" {c 902, c 928, v "\mp3_ost\leninska.mp3",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221</v>
      </c>
      <c r="G41" s="24">
        <f t="shared" si="0"/>
        <v>42</v>
      </c>
      <c r="H41" s="24" t="str">
        <f t="shared" si="1"/>
        <v>c 900</v>
      </c>
      <c r="I41" s="28" t="str">
        <f t="shared" si="7"/>
        <v>v "\mp3_ost\kztsh.mp3"</v>
      </c>
      <c r="J41" s="24" t="str">
        <f t="shared" si="3"/>
        <v/>
      </c>
      <c r="K41" s="15" t="str">
        <f t="shared" si="4"/>
        <v>&lt;unit041&gt; "&gt;&gt;КЗТШ" {c 900, v "\mp3_ost\kztsh.mp3",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E42" t="s">
        <v>221</v>
      </c>
      <c r="F42" t="s">
        <v>346</v>
      </c>
      <c r="G42" s="24">
        <f>B44</f>
        <v>44</v>
      </c>
      <c r="H42" s="24" t="str">
        <f t="shared" si="1"/>
        <v>c 902</v>
      </c>
      <c r="I42" s="28" t="str">
        <f t="shared" si="7"/>
        <v>v "\mp3_ost\kztsh.mp3"</v>
      </c>
      <c r="J42" s="24" t="str">
        <f t="shared" si="3"/>
        <v>c 903</v>
      </c>
      <c r="K42" s="15" t="str">
        <f t="shared" si="4"/>
        <v>&lt;unit042&gt; "КЗТШ" {c 902, v "\mp3_ost\kztsh.mp3", c 903, d 000, n 044}</v>
      </c>
    </row>
    <row r="43" spans="2:11" x14ac:dyDescent="0.25">
      <c r="K43" s="15"/>
    </row>
    <row r="44" spans="2:11" x14ac:dyDescent="0.25">
      <c r="B44">
        <f t="shared" ref="B44:B82" si="8">ROW(B44)</f>
        <v>44</v>
      </c>
      <c r="E44" s="25" t="s">
        <v>342</v>
      </c>
      <c r="F44" s="25"/>
      <c r="G44" s="24">
        <f>B46</f>
        <v>46</v>
      </c>
      <c r="K44" s="15" t="str">
        <f>"&lt;unit"&amp;TEXT(B44,"000")&amp;"&gt; """&amp;E44&amp;""" {d 000, n "&amp;TEXT(G44,"000")&amp;"}"</f>
        <v>&lt;unit044&gt; "----- Обратный -----" {d 000, n 046}</v>
      </c>
    </row>
    <row r="45" spans="2:11" x14ac:dyDescent="0.25">
      <c r="K45" s="15"/>
    </row>
    <row r="46" spans="2:11" x14ac:dyDescent="0.25">
      <c r="B46">
        <f t="shared" si="8"/>
        <v>46</v>
      </c>
      <c r="C46" t="s">
        <v>85</v>
      </c>
      <c r="D46" t="str">
        <f t="shared" ref="D46:D80" si="9">IF(H46="c 900","&gt;&gt;","")</f>
        <v/>
      </c>
      <c r="E46" t="s">
        <v>221</v>
      </c>
      <c r="G46" s="24">
        <f>B47</f>
        <v>47</v>
      </c>
      <c r="H46" s="24" t="str">
        <f t="shared" ref="H46:H80" si="10">IFERROR("c "&amp;VLOOKUP(C46,Punkti,2,FALSE),"")</f>
        <v>c 902</v>
      </c>
      <c r="I46" s="28" t="str">
        <f t="shared" ref="I46:I80" si="11">IFERROR(VLOOKUP(E46,Ostanovki,7,FALSE),"")</f>
        <v>v "\mp3_ost\kztsh.mp3"</v>
      </c>
      <c r="J46" s="24" t="str">
        <f t="shared" ref="J46:J80" si="12">IFERROR("c "&amp;VLOOKUP(F46,Punkti,2,FALSE),"")</f>
        <v/>
      </c>
      <c r="K46" s="15" t="str">
        <f t="shared" ref="K46:K80" si="13">"&lt;unit"&amp;TEXT(B46,"000")&amp;"&gt; """&amp;СцепитьМного(D46:E46,"")&amp;""" {"&amp;СцепитьМного(H46:J46,", ")&amp;", d 000, n "&amp;TEXT(G46,"000")&amp;"}"</f>
        <v>&lt;unit046&gt; "КЗТШ" {c 902, v "\mp3_ost\kztsh.mp3",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285</v>
      </c>
      <c r="G47" s="24">
        <f t="shared" ref="G47:G78" si="14">B48</f>
        <v>48</v>
      </c>
      <c r="H47" s="24" t="str">
        <f t="shared" si="10"/>
        <v>c 900</v>
      </c>
      <c r="I47" s="28" t="str">
        <f t="shared" si="11"/>
        <v>c 928, v "\mp3_ost\leninska.mp3"</v>
      </c>
      <c r="J47" s="24" t="str">
        <f t="shared" si="12"/>
        <v/>
      </c>
      <c r="K47" s="15" t="str">
        <f t="shared" si="13"/>
        <v>&lt;unit047&gt; "&gt;&gt;ул.Ленинская" {c 900, c 928, v "\mp3_ost\leninska.mp3",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285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"\mp3_ost\leninska.mp3"</v>
      </c>
      <c r="J48" s="24" t="str">
        <f t="shared" si="12"/>
        <v/>
      </c>
      <c r="K48" s="15" t="str">
        <f t="shared" si="13"/>
        <v>&lt;unit048&gt; "ул.Ленинская" {c 902, c 928, v "\mp3_ost\leninska.mp3",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351</v>
      </c>
      <c r="G49" s="24">
        <f t="shared" si="14"/>
        <v>50</v>
      </c>
      <c r="H49" s="24" t="str">
        <f t="shared" si="10"/>
        <v>c 900</v>
      </c>
      <c r="I49" s="28" t="str">
        <f t="shared" si="11"/>
        <v>c 928, v "\mp3_ost\ostrovsk.mp3"</v>
      </c>
      <c r="J49" s="24" t="str">
        <f t="shared" si="12"/>
        <v/>
      </c>
      <c r="K49" s="15" t="str">
        <f t="shared" si="13"/>
        <v>&lt;unit049&gt; "&gt;&gt;ул.Островского" {c 900, c 928, v "\mp3_ost\ostrovsk.mp3",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351</v>
      </c>
      <c r="G50" s="24">
        <f t="shared" si="14"/>
        <v>51</v>
      </c>
      <c r="H50" s="24" t="str">
        <f t="shared" si="10"/>
        <v>c 902</v>
      </c>
      <c r="I50" s="28" t="str">
        <f t="shared" si="11"/>
        <v>c 928, v "\mp3_ost\ostrovsk.mp3"</v>
      </c>
      <c r="J50" s="24" t="str">
        <f t="shared" si="12"/>
        <v/>
      </c>
      <c r="K50" s="15" t="str">
        <f t="shared" si="13"/>
        <v>&lt;unit050&gt; "ул.Островского" {c 902, c 928, v "\mp3_ost\ostrovsk.mp3",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288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"\mp3_ost\magistra.mp3"</v>
      </c>
      <c r="J51" s="24" t="str">
        <f t="shared" si="12"/>
        <v/>
      </c>
      <c r="K51" s="15" t="str">
        <f t="shared" si="13"/>
        <v>&lt;unit051&gt; "&gt;&gt;ул.Магистральная" {c 900, c 928, v "\mp3_ost\magistra.mp3",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288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"\mp3_ost\magistra.mp3"</v>
      </c>
      <c r="J52" s="24" t="str">
        <f t="shared" si="12"/>
        <v/>
      </c>
      <c r="K52" s="15" t="str">
        <f t="shared" si="13"/>
        <v>&lt;unit052&gt; "ул.Магистральная" {c 902, c 928, v "\mp3_ost\magistra.mp3",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274</v>
      </c>
      <c r="G53" s="24">
        <f t="shared" si="14"/>
        <v>54</v>
      </c>
      <c r="H53" s="24" t="str">
        <f t="shared" si="10"/>
        <v>c 900</v>
      </c>
      <c r="I53" s="28" t="str">
        <f t="shared" si="11"/>
        <v>v "\mp3_ost\inst-zem.mp3"</v>
      </c>
      <c r="J53" s="24" t="str">
        <f t="shared" si="12"/>
        <v/>
      </c>
      <c r="K53" s="15" t="str">
        <f t="shared" si="13"/>
        <v>&lt;unit053&gt; "&gt;&gt;Инст. земледелия" {c 900, v "\mp3_ost\inst-zem.mp3",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274</v>
      </c>
      <c r="G54" s="24">
        <f t="shared" si="14"/>
        <v>55</v>
      </c>
      <c r="H54" s="24" t="str">
        <f t="shared" si="10"/>
        <v>c 902</v>
      </c>
      <c r="I54" s="28" t="str">
        <f t="shared" si="11"/>
        <v>v "\mp3_ost\inst-zem.mp3"</v>
      </c>
      <c r="J54" s="24" t="str">
        <f t="shared" si="12"/>
        <v/>
      </c>
      <c r="K54" s="15" t="str">
        <f t="shared" si="13"/>
        <v>&lt;unit054&gt; "Инст. земледелия" {c 902, v "\mp3_ost\inst-zem.mp3",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249</v>
      </c>
      <c r="G55" s="24">
        <f t="shared" si="14"/>
        <v>56</v>
      </c>
      <c r="H55" s="24" t="str">
        <f t="shared" si="10"/>
        <v>c 900</v>
      </c>
      <c r="I55" s="28" t="str">
        <f t="shared" si="11"/>
        <v>v "\mp3_ost\sberbank.mp3"</v>
      </c>
      <c r="J55" s="24" t="str">
        <f t="shared" si="12"/>
        <v/>
      </c>
      <c r="K55" s="15" t="str">
        <f t="shared" si="13"/>
        <v>&lt;unit055&gt; "&gt;&gt;Сбербанк" {c 900, v "\mp3_ost\sberbank.mp3",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249</v>
      </c>
      <c r="G56" s="24">
        <f t="shared" si="14"/>
        <v>57</v>
      </c>
      <c r="H56" s="24" t="str">
        <f t="shared" si="10"/>
        <v>c 902</v>
      </c>
      <c r="I56" s="28" t="str">
        <f t="shared" si="11"/>
        <v>v "\mp3_ost\sberbank.mp3"</v>
      </c>
      <c r="J56" s="24" t="str">
        <f t="shared" si="12"/>
        <v/>
      </c>
      <c r="K56" s="15" t="str">
        <f t="shared" si="13"/>
        <v>&lt;unit056&gt; "Сбербанк" {c 902, v "\mp3_ost\sberbank.mp3",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233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"\mp3_ost\paliklin.mp3"</v>
      </c>
      <c r="J57" s="24" t="str">
        <f t="shared" si="12"/>
        <v/>
      </c>
      <c r="K57" s="15" t="str">
        <f t="shared" si="13"/>
        <v>&lt;unit057&gt; "&gt;&gt;Поликлиника" {c 900, v "\mp3_ost\paliklin.mp3",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233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"\mp3_ost\paliklin.mp3"</v>
      </c>
      <c r="J58" s="24" t="str">
        <f t="shared" si="12"/>
        <v/>
      </c>
      <c r="K58" s="15" t="str">
        <f t="shared" si="13"/>
        <v>&lt;unit058&gt; "Поликлиника" {c 902, v "\mp3_ost\paliklin.mp3",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279</v>
      </c>
      <c r="G59" s="24">
        <f t="shared" si="14"/>
        <v>60</v>
      </c>
      <c r="H59" s="24" t="str">
        <f t="shared" si="10"/>
        <v>c 900</v>
      </c>
      <c r="I59" s="28" t="str">
        <f t="shared" si="11"/>
        <v>c 928, v "\mp3_ost\50letokt.mp3"</v>
      </c>
      <c r="J59" s="24" t="str">
        <f t="shared" si="12"/>
        <v/>
      </c>
      <c r="K59" s="15" t="str">
        <f t="shared" si="13"/>
        <v>&lt;unit059&gt; "&gt;&gt;ул.50 лет Октяб." {c 900, c 928, v "\mp3_ost\50letokt.mp3",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279</v>
      </c>
      <c r="G60" s="24">
        <f t="shared" si="14"/>
        <v>61</v>
      </c>
      <c r="H60" s="24" t="str">
        <f t="shared" si="10"/>
        <v>c 902</v>
      </c>
      <c r="I60" s="28" t="str">
        <f t="shared" si="11"/>
        <v>c 928, v "\mp3_ost\50letokt.mp3"</v>
      </c>
      <c r="J60" s="24" t="str">
        <f t="shared" si="12"/>
        <v/>
      </c>
      <c r="K60" s="15" t="str">
        <f t="shared" si="13"/>
        <v>&lt;unit060&gt; "ул.50 лет Октяб." {c 902, c 928, v "\mp3_ost\50letokt.mp3",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175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"\mp3_ost\mira.mp3"</v>
      </c>
      <c r="J61" s="24" t="str">
        <f t="shared" si="12"/>
        <v/>
      </c>
      <c r="K61" s="15" t="str">
        <f t="shared" si="13"/>
        <v>&lt;unit061&gt; "&gt;&gt;пр-т Мира" {c 900, v "\mp3_ost\mira.mp3",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175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"\mp3_ost\mira.mp3"</v>
      </c>
      <c r="J62" s="24" t="str">
        <f t="shared" si="12"/>
        <v/>
      </c>
      <c r="K62" s="15" t="str">
        <f t="shared" si="13"/>
        <v>&lt;unit062&gt; "пр-т Мира" {c 902, v "\mp3_ost\mira.mp3",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174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"\mp3_ost\swrokvas.mp3"</v>
      </c>
      <c r="J63" s="24" t="str">
        <f t="shared" si="12"/>
        <v/>
      </c>
      <c r="K63" s="15" t="str">
        <f t="shared" si="13"/>
        <v>&lt;unit063&gt; "&gt;&gt;ул.Сырокваша" {c 900, c 928, v "\mp3_ost\swrokvas.mp3",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174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"\mp3_ost\swrokvas.mp3"</v>
      </c>
      <c r="J64" s="24" t="str">
        <f t="shared" si="12"/>
        <v/>
      </c>
      <c r="K64" s="15" t="str">
        <f t="shared" si="13"/>
        <v>&lt;unit064&gt; "ул.Сырокваша" {c 902, c 928, v "\mp3_ost\swrokvas.mp3",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172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"\mp3_ost\moskovsk.mp3"</v>
      </c>
      <c r="J65" s="24" t="str">
        <f t="shared" si="12"/>
        <v/>
      </c>
      <c r="K65" s="15" t="str">
        <f t="shared" si="13"/>
        <v>&lt;unit065&gt; "&gt;&gt;ул.Московская" {c 900, c 928, v "\mp3_ost\moskovsk.mp3",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172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"\mp3_ost\moskovsk.mp3"</v>
      </c>
      <c r="J66" s="24" t="str">
        <f t="shared" si="12"/>
        <v/>
      </c>
      <c r="K66" s="15" t="str">
        <f t="shared" si="13"/>
        <v>&lt;unit066&gt; "ул.Московская" {c 902, c 928, v "\mp3_ost\moskovsk.mp3",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173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"\mp3_ost\partizan.mp3"</v>
      </c>
      <c r="J67" s="24" t="str">
        <f t="shared" si="12"/>
        <v/>
      </c>
      <c r="K67" s="15" t="str">
        <f t="shared" si="13"/>
        <v>&lt;unit067&gt; "&gt;&gt;ул.Партизанская" {c 900, c 928, v "\mp3_ost\partizan.mp3",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173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"\mp3_ost\partizan.mp3"</v>
      </c>
      <c r="J68" s="24" t="str">
        <f t="shared" si="12"/>
        <v/>
      </c>
      <c r="K68" s="15" t="str">
        <f t="shared" si="13"/>
        <v>&lt;unit068&gt; "ул.Партизанская" {c 902, c 928, v "\mp3_ost\partizan.mp3",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170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"\mp3_ost\jd.mp3"</v>
      </c>
      <c r="J69" s="24" t="str">
        <f t="shared" si="12"/>
        <v/>
      </c>
      <c r="K69" s="15" t="str">
        <f t="shared" si="13"/>
        <v>&lt;unit069&gt; "&gt;&gt;ЖД Вокзал" {c 900, v "\mp3_ost\jd.mp3",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170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"\mp3_ost\jd.mp3"</v>
      </c>
      <c r="J70" s="24" t="str">
        <f t="shared" si="12"/>
        <v/>
      </c>
      <c r="K70" s="15" t="str">
        <f t="shared" si="13"/>
        <v>&lt;unit070&gt; "ЖД Вокзал" {c 902, v "\mp3_ost\jd.mp3",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272</v>
      </c>
      <c r="G71" s="24">
        <f t="shared" si="14"/>
        <v>72</v>
      </c>
      <c r="H71" s="24" t="str">
        <f t="shared" si="10"/>
        <v>c 900</v>
      </c>
      <c r="I71" s="28" t="str">
        <f t="shared" si="11"/>
        <v>v "\mp3_ost\yunost`.mp3"</v>
      </c>
      <c r="J71" s="24" t="str">
        <f t="shared" si="12"/>
        <v/>
      </c>
      <c r="K71" s="15" t="str">
        <f t="shared" si="13"/>
        <v>&lt;unit071&gt; "&gt;&gt;к/т Юность" {c 900, v "\mp3_ost\yunost`.mp3",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272</v>
      </c>
      <c r="G72" s="24">
        <f t="shared" si="14"/>
        <v>73</v>
      </c>
      <c r="H72" s="24" t="str">
        <f t="shared" si="10"/>
        <v>c 902</v>
      </c>
      <c r="I72" s="28" t="str">
        <f t="shared" si="11"/>
        <v>v "\mp3_ost\yunost`.mp3"</v>
      </c>
      <c r="J72" s="24" t="str">
        <f t="shared" si="12"/>
        <v/>
      </c>
      <c r="K72" s="15" t="str">
        <f t="shared" si="13"/>
        <v>&lt;unit072&gt; "к/т Юность" {c 902, v "\mp3_ost\yunost`.mp3",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263</v>
      </c>
      <c r="G73" s="24">
        <f t="shared" si="14"/>
        <v>74</v>
      </c>
      <c r="H73" s="24" t="str">
        <f t="shared" si="10"/>
        <v>c 900</v>
      </c>
      <c r="I73" s="28" t="str">
        <f t="shared" si="11"/>
        <v>v "\mp3_ost\tec.mp3"</v>
      </c>
      <c r="J73" s="24" t="str">
        <f t="shared" si="12"/>
        <v/>
      </c>
      <c r="K73" s="15" t="str">
        <f t="shared" si="13"/>
        <v>&lt;unit073&gt; "&gt;&gt;ТЭЦ" {c 900, v "\mp3_ost\tec.mp3",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263</v>
      </c>
      <c r="G74" s="24">
        <f t="shared" si="14"/>
        <v>75</v>
      </c>
      <c r="H74" s="24" t="str">
        <f t="shared" si="10"/>
        <v>c 902</v>
      </c>
      <c r="I74" s="28" t="str">
        <f t="shared" si="11"/>
        <v>v "\mp3_ost\tec.mp3"</v>
      </c>
      <c r="J74" s="24" t="str">
        <f t="shared" si="12"/>
        <v/>
      </c>
      <c r="K74" s="15" t="str">
        <f t="shared" si="13"/>
        <v>&lt;unit074&gt; "ТЭЦ" {c 902, v "\mp3_ost\tec.mp3", d 000, n 075}</v>
      </c>
    </row>
    <row r="75" spans="2:11" x14ac:dyDescent="0.25">
      <c r="B75">
        <f t="shared" si="8"/>
        <v>75</v>
      </c>
      <c r="C75" t="s">
        <v>344</v>
      </c>
      <c r="D75" t="str">
        <f t="shared" si="9"/>
        <v>&gt;&gt;</v>
      </c>
      <c r="E75" t="s">
        <v>284</v>
      </c>
      <c r="G75" s="24">
        <f t="shared" si="14"/>
        <v>76</v>
      </c>
      <c r="H75" s="24" t="str">
        <f t="shared" si="10"/>
        <v>c 900</v>
      </c>
      <c r="I75" s="28" t="str">
        <f t="shared" si="11"/>
        <v>c 928, v "\mp3_ost\kupriyan.mp3"</v>
      </c>
      <c r="J75" s="24" t="str">
        <f t="shared" si="12"/>
        <v/>
      </c>
      <c r="K75" s="15" t="str">
        <f t="shared" si="13"/>
        <v>&lt;unit075&gt; "&gt;&gt;ул.Куприянова" {c 900, c 928, v "\mp3_ost\kupriyan.mp3", d 000, n 076}</v>
      </c>
    </row>
    <row r="76" spans="2:11" x14ac:dyDescent="0.25">
      <c r="B76">
        <f t="shared" si="8"/>
        <v>76</v>
      </c>
      <c r="C76" t="s">
        <v>85</v>
      </c>
      <c r="D76" t="str">
        <f t="shared" si="9"/>
        <v/>
      </c>
      <c r="E76" t="s">
        <v>284</v>
      </c>
      <c r="G76" s="24">
        <f t="shared" si="14"/>
        <v>77</v>
      </c>
      <c r="H76" s="24" t="str">
        <f t="shared" si="10"/>
        <v>c 902</v>
      </c>
      <c r="I76" s="28" t="str">
        <f t="shared" si="11"/>
        <v>c 928, v "\mp3_ost\kupriyan.mp3"</v>
      </c>
      <c r="J76" s="24" t="str">
        <f t="shared" si="12"/>
        <v/>
      </c>
      <c r="K76" s="15" t="str">
        <f t="shared" si="13"/>
        <v>&lt;unit076&gt; "ул.Куприянова" {c 902, c 928, v "\mp3_ost\kupriyan.mp3", d 000, n 077}</v>
      </c>
    </row>
    <row r="77" spans="2:11" x14ac:dyDescent="0.25">
      <c r="B77">
        <f t="shared" si="8"/>
        <v>77</v>
      </c>
      <c r="C77" t="s">
        <v>344</v>
      </c>
      <c r="D77" t="str">
        <f t="shared" si="9"/>
        <v>&gt;&gt;</v>
      </c>
      <c r="E77" t="s">
        <v>209</v>
      </c>
      <c r="G77" s="24">
        <f t="shared" si="14"/>
        <v>78</v>
      </c>
      <c r="H77" s="24" t="str">
        <f t="shared" si="10"/>
        <v>c 900</v>
      </c>
      <c r="I77" s="28" t="str">
        <f t="shared" si="11"/>
        <v>v "\mp3_ost\elseti.mp3"</v>
      </c>
      <c r="J77" s="24" t="str">
        <f t="shared" si="12"/>
        <v/>
      </c>
      <c r="K77" s="15" t="str">
        <f t="shared" si="13"/>
        <v>&lt;unit077&gt; "&gt;&gt;Электросети" {c 900, v "\mp3_ost\elseti.mp3", d 000, n 078}</v>
      </c>
    </row>
    <row r="78" spans="2:11" x14ac:dyDescent="0.25">
      <c r="B78">
        <f t="shared" si="8"/>
        <v>78</v>
      </c>
      <c r="C78" t="s">
        <v>85</v>
      </c>
      <c r="D78" t="str">
        <f t="shared" si="9"/>
        <v/>
      </c>
      <c r="E78" t="s">
        <v>209</v>
      </c>
      <c r="G78" s="24">
        <f t="shared" si="14"/>
        <v>79</v>
      </c>
      <c r="H78" s="24" t="str">
        <f t="shared" si="10"/>
        <v>c 902</v>
      </c>
      <c r="I78" s="28" t="str">
        <f t="shared" si="11"/>
        <v>v "\mp3_ost\elseti.mp3"</v>
      </c>
      <c r="J78" s="24" t="str">
        <f t="shared" si="12"/>
        <v/>
      </c>
      <c r="K78" s="15" t="str">
        <f t="shared" si="13"/>
        <v>&lt;unit078&gt; "Электросети" {c 902, v "\mp3_ost\elseti.mp3", d 000, n 079}</v>
      </c>
    </row>
    <row r="79" spans="2:11" x14ac:dyDescent="0.25">
      <c r="B79">
        <f t="shared" si="8"/>
        <v>79</v>
      </c>
      <c r="C79" t="s">
        <v>344</v>
      </c>
      <c r="D79" t="str">
        <f t="shared" si="9"/>
        <v>&gt;&gt;</v>
      </c>
      <c r="E79" t="s">
        <v>292</v>
      </c>
      <c r="G79" s="24">
        <f t="shared" ref="G79" si="15">B80</f>
        <v>80</v>
      </c>
      <c r="H79" s="24" t="str">
        <f t="shared" si="10"/>
        <v>c 900</v>
      </c>
      <c r="I79" s="28" t="str">
        <f t="shared" si="11"/>
        <v>c 928, v "\mp3_ost\truda.mp3"</v>
      </c>
      <c r="J79" s="24" t="str">
        <f t="shared" si="12"/>
        <v/>
      </c>
      <c r="K79" s="15" t="str">
        <f t="shared" si="13"/>
        <v>&lt;unit079&gt; "&gt;&gt;ул.Труда" {c 900, c 928, v "\mp3_ost\truda.mp3", d 000, n 080}</v>
      </c>
    </row>
    <row r="80" spans="2:11" x14ac:dyDescent="0.25">
      <c r="B80">
        <f t="shared" si="8"/>
        <v>80</v>
      </c>
      <c r="C80" t="s">
        <v>85</v>
      </c>
      <c r="D80" t="str">
        <f t="shared" si="9"/>
        <v/>
      </c>
      <c r="E80" t="s">
        <v>292</v>
      </c>
      <c r="F80" t="s">
        <v>346</v>
      </c>
      <c r="G80" s="24">
        <f>B82</f>
        <v>82</v>
      </c>
      <c r="H80" s="24" t="str">
        <f t="shared" si="10"/>
        <v>c 902</v>
      </c>
      <c r="I80" s="28" t="str">
        <f t="shared" si="11"/>
        <v>c 928, v "\mp3_ost\truda.mp3"</v>
      </c>
      <c r="J80" s="24" t="str">
        <f t="shared" si="12"/>
        <v>c 903</v>
      </c>
      <c r="K80" s="15" t="str">
        <f t="shared" si="13"/>
        <v>&lt;unit080&gt; "ул.Труда" {c 902, c 928, v "\mp3_ost\truda.mp3", c 903, d 000, n 082}</v>
      </c>
    </row>
    <row r="81" spans="2:11" x14ac:dyDescent="0.25">
      <c r="K81" s="15"/>
    </row>
    <row r="82" spans="2:11" x14ac:dyDescent="0.25">
      <c r="B82">
        <f t="shared" si="8"/>
        <v>82</v>
      </c>
      <c r="E82" s="25" t="s">
        <v>343</v>
      </c>
      <c r="F82" s="25"/>
      <c r="G82" s="24">
        <f>B3</f>
        <v>3</v>
      </c>
      <c r="K82" s="15" t="str">
        <f>"&lt;unit"&amp;TEXT(B82,"000")&amp;"&gt; """&amp;E82&amp;""" {d 000, n "&amp;TEXT(G82,"000")&amp;"}"</f>
        <v>&lt;unit082&gt; "----- Конец -----" {d 000, n 003}</v>
      </c>
    </row>
    <row r="83" spans="2:11" x14ac:dyDescent="0.25">
      <c r="K83" s="15"/>
    </row>
    <row r="84" spans="2:11" x14ac:dyDescent="0.25">
      <c r="K84" s="15" t="str">
        <f>Константы!E2</f>
        <v>&lt;unit921&gt; "Автовокзал" {v "\mp3_knst\av.mp3", w 01}</v>
      </c>
    </row>
    <row r="85" spans="2:11" x14ac:dyDescent="0.25">
      <c r="K85" s="15" t="str">
        <f>Константы!E3</f>
        <v>&lt;unit923&gt; "Гостиница" {v "\mp3_knst\gos.mp3", w 01}</v>
      </c>
    </row>
    <row r="86" spans="2:11" x14ac:dyDescent="0.25">
      <c r="K86" s="15" t="str">
        <f>Константы!E4</f>
        <v>&lt;unit922&gt; "Дисп. станция" {v "\mp3_knst\ds.mp3", w 01}</v>
      </c>
    </row>
    <row r="87" spans="2:11" x14ac:dyDescent="0.25">
      <c r="K87" s="15" t="str">
        <f>Константы!E5</f>
        <v>&lt;unit903&gt; "Канцавая" {v "\mp3_knst\kanc.mp3", w 01}</v>
      </c>
    </row>
    <row r="88" spans="2:11" x14ac:dyDescent="0.25">
      <c r="K88" s="15" t="str">
        <f>Константы!E6</f>
        <v>&lt;unit924&gt; "Конечная" {v "\mp3_knst\ko.mp3", w 01}</v>
      </c>
    </row>
    <row r="89" spans="2:11" x14ac:dyDescent="0.25">
      <c r="K89" s="15" t="str">
        <f>Константы!E7</f>
        <v>&lt;unit902&gt; "Остановка" {v "\mp3_knst\ost.mp3", w 01}</v>
      </c>
    </row>
    <row r="90" spans="2:11" x14ac:dyDescent="0.25">
      <c r="K90" s="15" t="str">
        <f>Константы!E8</f>
        <v>&lt;unit900&gt; "Дв. закр. След. ост." {v "\mp3_knst\ostor.mp3", w 01}</v>
      </c>
    </row>
    <row r="91" spans="2:11" x14ac:dyDescent="0.25">
      <c r="K91" s="15" t="str">
        <f>Константы!E9</f>
        <v>&lt;unit925&gt; "Площадь" {v "\mp3_knst\pl.mp3", w 01}</v>
      </c>
    </row>
    <row r="92" spans="2:11" x14ac:dyDescent="0.25">
      <c r="K92" s="15" t="str">
        <f>Константы!E10</f>
        <v>&lt;unit926&gt; "Проспект" {v "\mp3_knst\pr.mp3", w 01}</v>
      </c>
    </row>
    <row r="93" spans="2:11" x14ac:dyDescent="0.25">
      <c r="K93" s="15" t="str">
        <f>Константы!E11</f>
        <v>&lt;unit927&gt; "Станция метро" {v "\mp3_knst\sm.mp3", w 01}</v>
      </c>
    </row>
    <row r="94" spans="2:11" x14ac:dyDescent="0.25">
      <c r="K94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K88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4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2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1" x14ac:dyDescent="0.25">
      <c r="A3" s="15" t="str">
        <f ca="1">INDIRECT(ADDRESS($B$1,2,4,1,"route"))</f>
        <v>2 Бажора-Пож. часть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002</v>
      </c>
      <c r="B4">
        <f>ROW(B4)</f>
        <v>4</v>
      </c>
      <c r="E4" t="s">
        <v>338</v>
      </c>
      <c r="G4" s="24">
        <f>B42</f>
        <v>42</v>
      </c>
      <c r="K4" s="15" t="str">
        <f>"&lt;unit"&amp;TEXT(B4,"000")&amp;"&gt; """&amp;E4&amp;""" {d 000, n "&amp;TEXT(G4,"000")&amp;"}"</f>
        <v>&lt;unit004&gt; "Обратный" {d 000, n 042}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179</v>
      </c>
      <c r="G8" s="24">
        <f t="shared" ref="G8:G37" si="0">B9</f>
        <v>9</v>
      </c>
      <c r="H8" s="24" t="str">
        <f t="shared" ref="H8:H38" si="1">IFERROR("c "&amp;VLOOKUP(C8,Punkti,2,FALSE),"")</f>
        <v>c 902</v>
      </c>
      <c r="I8" s="28" t="str">
        <f t="shared" ref="I8:I11" si="2">IFERROR(VLOOKUP(E8,Ostanovki,7,FALSE),"")</f>
        <v>c 928, v "\mp3_ost\bajora.mp3"</v>
      </c>
      <c r="J8" s="24" t="str">
        <f t="shared" ref="J8:J38" si="3">IFERROR("c "&amp;VLOOKUP(F8,Punkti,2,FALSE),"")</f>
        <v/>
      </c>
      <c r="K8" s="15" t="str">
        <f t="shared" ref="K8:K38" si="4">"&lt;unit"&amp;TEXT(B8,"000")&amp;"&gt; """&amp;СцепитьМного(D8:E8,"")&amp;""" {"&amp;СцепитьМного(H8:J8,", ")&amp;", d 000, n "&amp;TEXT(G8,"000")&amp;"}"</f>
        <v>&lt;unit008&gt; "ул.Бажора" {c 902, c 928, v "\mp3_ost\bajora.mp3", d 000, n 009}</v>
      </c>
    </row>
    <row r="9" spans="1:11" x14ac:dyDescent="0.25">
      <c r="B9">
        <f t="shared" ref="B9:B38" si="5">ROW(B9)</f>
        <v>9</v>
      </c>
      <c r="C9" t="s">
        <v>344</v>
      </c>
      <c r="D9" t="str">
        <f>IF(H9="c 900","&gt;&gt;","")</f>
        <v>&gt;&gt;</v>
      </c>
      <c r="E9" t="s">
        <v>289</v>
      </c>
      <c r="G9" s="24">
        <f t="shared" si="0"/>
        <v>10</v>
      </c>
      <c r="H9" s="24" t="str">
        <f t="shared" si="1"/>
        <v>c 900</v>
      </c>
      <c r="I9" s="28" t="str">
        <f t="shared" si="2"/>
        <v>c 928, v "\mp3_ost\nagornay.mp3"</v>
      </c>
      <c r="J9" s="24" t="str">
        <f t="shared" si="3"/>
        <v/>
      </c>
      <c r="K9" s="15" t="str">
        <f t="shared" si="4"/>
        <v>&lt;unit009&gt; "&gt;&gt;ул.Нагорная" {c 900, c 928, v "\mp3_ost\nagornay.mp3",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8" si="6">IF(H10="c 900","&gt;&gt;","")</f>
        <v/>
      </c>
      <c r="E10" t="s">
        <v>289</v>
      </c>
      <c r="G10" s="24">
        <f t="shared" si="0"/>
        <v>11</v>
      </c>
      <c r="H10" s="24" t="str">
        <f t="shared" si="1"/>
        <v>c 902</v>
      </c>
      <c r="I10" s="28" t="str">
        <f t="shared" si="2"/>
        <v>c 928, v "\mp3_ost\nagornay.mp3"</v>
      </c>
      <c r="J10" s="24" t="str">
        <f t="shared" si="3"/>
        <v/>
      </c>
      <c r="K10" s="15" t="str">
        <f t="shared" si="4"/>
        <v>&lt;unit010&gt; "ул.Нагорная" {c 902, c 928, v "\mp3_ost\nagornay.mp3",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241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"\mp3_ost\pochta.mp3"</v>
      </c>
      <c r="J11" s="24" t="str">
        <f t="shared" si="3"/>
        <v/>
      </c>
      <c r="K11" s="15" t="str">
        <f t="shared" si="4"/>
        <v>&lt;unit011&gt; "&gt;&gt;Почта" {c 900, v "\mp3_ost\pochta.mp3",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241</v>
      </c>
      <c r="G12" s="24">
        <f t="shared" si="0"/>
        <v>13</v>
      </c>
      <c r="H12" s="24" t="str">
        <f t="shared" si="1"/>
        <v>c 902</v>
      </c>
      <c r="I12" s="28" t="str">
        <f t="shared" ref="I12:I38" si="7">IFERROR(VLOOKUP(E12,Ostanovki,7,FALSE),"")</f>
        <v>v "\mp3_ost\pochta.mp3"</v>
      </c>
      <c r="J12" s="24" t="str">
        <f t="shared" si="3"/>
        <v/>
      </c>
      <c r="K12" s="15" t="str">
        <f t="shared" si="4"/>
        <v>&lt;unit012&gt; "Почта" {c 902, v "\mp3_ost\pochta.mp3",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290</v>
      </c>
      <c r="G13" s="24">
        <f t="shared" si="0"/>
        <v>14</v>
      </c>
      <c r="H13" s="24" t="str">
        <f t="shared" si="1"/>
        <v>c 900</v>
      </c>
      <c r="I13" s="28" t="str">
        <f t="shared" si="7"/>
        <v>c 928, v "\mp3_ost\pyaschan.mp3"</v>
      </c>
      <c r="J13" s="24" t="str">
        <f t="shared" si="3"/>
        <v/>
      </c>
      <c r="K13" s="15" t="str">
        <f t="shared" si="4"/>
        <v>&lt;unit013&gt; "&gt;&gt;ул.Песчаная" {c 900, c 928, v "\mp3_ost\pyaschan.mp3",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290</v>
      </c>
      <c r="G14" s="24">
        <f t="shared" si="0"/>
        <v>15</v>
      </c>
      <c r="H14" s="24" t="str">
        <f t="shared" si="1"/>
        <v>c 902</v>
      </c>
      <c r="I14" s="28" t="str">
        <f t="shared" si="7"/>
        <v>c 928, v "\mp3_ost\pyaschan.mp3"</v>
      </c>
      <c r="J14" s="24" t="str">
        <f t="shared" si="3"/>
        <v/>
      </c>
      <c r="K14" s="15" t="str">
        <f t="shared" si="4"/>
        <v>&lt;unit014&gt; "ул.Песчаная" {c 902, c 928, v "\mp3_ost\pyaschan.mp3",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283</v>
      </c>
      <c r="G15" s="24">
        <f t="shared" si="0"/>
        <v>16</v>
      </c>
      <c r="H15" s="24" t="str">
        <f t="shared" si="1"/>
        <v>c 900</v>
      </c>
      <c r="I15" s="28" t="str">
        <f t="shared" si="7"/>
        <v>c 928, v "\mp3_ost\darojnay.mp3"</v>
      </c>
      <c r="J15" s="24" t="str">
        <f t="shared" si="3"/>
        <v/>
      </c>
      <c r="K15" s="15" t="str">
        <f t="shared" si="4"/>
        <v>&lt;unit015&gt; "&gt;&gt;ул.Дорожная" {c 900, c 928, v "\mp3_ost\darojnay.mp3",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283</v>
      </c>
      <c r="G16" s="24">
        <f t="shared" si="0"/>
        <v>17</v>
      </c>
      <c r="H16" s="24" t="str">
        <f t="shared" si="1"/>
        <v>c 902</v>
      </c>
      <c r="I16" s="28" t="str">
        <f t="shared" si="7"/>
        <v>c 928, v "\mp3_ost\darojnay.mp3"</v>
      </c>
      <c r="J16" s="24" t="str">
        <f t="shared" si="3"/>
        <v/>
      </c>
      <c r="K16" s="15" t="str">
        <f t="shared" si="4"/>
        <v>&lt;unit016&gt; "ул.Дорожная" {c 902, c 928, v "\mp3_ost\darojnay.mp3",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281</v>
      </c>
      <c r="G17" s="24">
        <f t="shared" si="0"/>
        <v>18</v>
      </c>
      <c r="H17" s="24" t="str">
        <f t="shared" si="1"/>
        <v>c 900</v>
      </c>
      <c r="I17" s="28" t="str">
        <f t="shared" si="7"/>
        <v>c 928, v "\mp3_ost\avtomobi.mp3"</v>
      </c>
      <c r="J17" s="24" t="str">
        <f t="shared" si="3"/>
        <v/>
      </c>
      <c r="K17" s="15" t="str">
        <f t="shared" si="4"/>
        <v>&lt;unit017&gt; "&gt;&gt;ул.Автомобилист." {c 900, c 928, v "\mp3_ost\avtomobi.mp3",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281</v>
      </c>
      <c r="G18" s="24">
        <f t="shared" si="0"/>
        <v>19</v>
      </c>
      <c r="H18" s="24" t="str">
        <f t="shared" si="1"/>
        <v>c 902</v>
      </c>
      <c r="I18" s="28" t="str">
        <f t="shared" si="7"/>
        <v>c 928, v "\mp3_ost\avtomobi.mp3"</v>
      </c>
      <c r="J18" s="24" t="str">
        <f t="shared" si="3"/>
        <v/>
      </c>
      <c r="K18" s="15" t="str">
        <f t="shared" si="4"/>
        <v>&lt;unit018&gt; "ул.Автомобилист." {c 902, c 928, v "\mp3_ost\avtomobi.mp3",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263</v>
      </c>
      <c r="G19" s="24">
        <f t="shared" si="0"/>
        <v>20</v>
      </c>
      <c r="H19" s="24" t="str">
        <f t="shared" si="1"/>
        <v>c 900</v>
      </c>
      <c r="I19" s="28" t="str">
        <f t="shared" si="7"/>
        <v>v "\mp3_ost\tec.mp3"</v>
      </c>
      <c r="J19" s="24" t="str">
        <f t="shared" si="3"/>
        <v/>
      </c>
      <c r="K19" s="15" t="str">
        <f t="shared" si="4"/>
        <v>&lt;unit019&gt; "&gt;&gt;ТЭЦ" {c 900, v "\mp3_ost\tec.mp3",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263</v>
      </c>
      <c r="G20" s="24">
        <f t="shared" si="0"/>
        <v>21</v>
      </c>
      <c r="H20" s="24" t="str">
        <f t="shared" si="1"/>
        <v>c 902</v>
      </c>
      <c r="I20" s="28" t="str">
        <f t="shared" si="7"/>
        <v>v "\mp3_ost\tec.mp3"</v>
      </c>
      <c r="J20" s="24" t="str">
        <f t="shared" si="3"/>
        <v/>
      </c>
      <c r="K20" s="15" t="str">
        <f t="shared" si="4"/>
        <v>&lt;unit020&gt; "ТЭЦ" {c 902, v "\mp3_ost\tec.mp3",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272</v>
      </c>
      <c r="G21" s="24">
        <f t="shared" si="0"/>
        <v>22</v>
      </c>
      <c r="H21" s="24" t="str">
        <f t="shared" si="1"/>
        <v>c 900</v>
      </c>
      <c r="I21" s="28" t="str">
        <f t="shared" si="7"/>
        <v>v "\mp3_ost\yunost`.mp3"</v>
      </c>
      <c r="J21" s="24" t="str">
        <f t="shared" si="3"/>
        <v/>
      </c>
      <c r="K21" s="15" t="str">
        <f t="shared" si="4"/>
        <v>&lt;unit021&gt; "&gt;&gt;к/т Юность" {c 900, v "\mp3_ost\yunost`.mp3",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272</v>
      </c>
      <c r="G22" s="24">
        <f t="shared" si="0"/>
        <v>23</v>
      </c>
      <c r="H22" s="24" t="str">
        <f t="shared" si="1"/>
        <v>c 902</v>
      </c>
      <c r="I22" s="28" t="str">
        <f t="shared" si="7"/>
        <v>v "\mp3_ost\yunost`.mp3"</v>
      </c>
      <c r="J22" s="24" t="str">
        <f t="shared" si="3"/>
        <v/>
      </c>
      <c r="K22" s="15" t="str">
        <f t="shared" si="4"/>
        <v>&lt;unit022&gt; "к/т Юность" {c 902, v "\mp3_ost\yunost`.mp3",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170</v>
      </c>
      <c r="G23" s="24">
        <f t="shared" si="0"/>
        <v>24</v>
      </c>
      <c r="H23" s="24" t="str">
        <f t="shared" si="1"/>
        <v>c 900</v>
      </c>
      <c r="I23" s="28" t="str">
        <f t="shared" si="7"/>
        <v>v "\mp3_ost\jd.mp3"</v>
      </c>
      <c r="J23" s="24" t="str">
        <f t="shared" si="3"/>
        <v/>
      </c>
      <c r="K23" s="15" t="str">
        <f t="shared" si="4"/>
        <v>&lt;unit023&gt; "&gt;&gt;ЖД Вокзал" {c 900, v "\mp3_ost\jd.mp3",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170</v>
      </c>
      <c r="G24" s="24">
        <f t="shared" si="0"/>
        <v>25</v>
      </c>
      <c r="H24" s="24" t="str">
        <f t="shared" si="1"/>
        <v>c 902</v>
      </c>
      <c r="I24" s="28" t="str">
        <f t="shared" si="7"/>
        <v>v "\mp3_ost\jd.mp3"</v>
      </c>
      <c r="J24" s="24" t="str">
        <f t="shared" si="3"/>
        <v/>
      </c>
      <c r="K24" s="15" t="str">
        <f t="shared" si="4"/>
        <v>&lt;unit024&gt; "ЖД Вокзал" {c 902, v "\mp3_ost\jd.mp3",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173</v>
      </c>
      <c r="G25" s="24">
        <f t="shared" si="0"/>
        <v>26</v>
      </c>
      <c r="H25" s="24" t="str">
        <f t="shared" si="1"/>
        <v>c 900</v>
      </c>
      <c r="I25" s="28" t="str">
        <f t="shared" si="7"/>
        <v>c 928, v "\mp3_ost\partizan.mp3"</v>
      </c>
      <c r="J25" s="24" t="str">
        <f t="shared" si="3"/>
        <v/>
      </c>
      <c r="K25" s="15" t="str">
        <f t="shared" si="4"/>
        <v>&lt;unit025&gt; "&gt;&gt;ул.Партизанская" {c 900, c 928, v "\mp3_ost\partizan.mp3",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173</v>
      </c>
      <c r="G26" s="24">
        <f t="shared" si="0"/>
        <v>27</v>
      </c>
      <c r="H26" s="24" t="str">
        <f t="shared" si="1"/>
        <v>c 902</v>
      </c>
      <c r="I26" s="28" t="str">
        <f t="shared" si="7"/>
        <v>c 928, v "\mp3_ost\partizan.mp3"</v>
      </c>
      <c r="J26" s="24" t="str">
        <f t="shared" si="3"/>
        <v/>
      </c>
      <c r="K26" s="15" t="str">
        <f t="shared" si="4"/>
        <v>&lt;unit026&gt; "ул.Партизанская" {c 902, c 928, v "\mp3_ost\partizan.mp3",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172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"\mp3_ost\moskovsk.mp3"</v>
      </c>
      <c r="J27" s="24" t="str">
        <f t="shared" si="3"/>
        <v/>
      </c>
      <c r="K27" s="15" t="str">
        <f t="shared" si="4"/>
        <v>&lt;unit027&gt; "&gt;&gt;ул.Московская" {c 900, c 928, v "\mp3_ost\moskovsk.mp3",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172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"\mp3_ost\moskovsk.mp3"</v>
      </c>
      <c r="J28" s="24" t="str">
        <f t="shared" si="3"/>
        <v/>
      </c>
      <c r="K28" s="15" t="str">
        <f t="shared" si="4"/>
        <v>&lt;unit028&gt; "ул.Московская" {c 902, c 928, v "\mp3_ost\moskovsk.mp3",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174</v>
      </c>
      <c r="G29" s="24">
        <f t="shared" si="0"/>
        <v>30</v>
      </c>
      <c r="H29" s="24" t="str">
        <f t="shared" si="1"/>
        <v>c 900</v>
      </c>
      <c r="I29" s="28" t="str">
        <f t="shared" si="7"/>
        <v>c 928, v "\mp3_ost\swrokvas.mp3"</v>
      </c>
      <c r="J29" s="24" t="str">
        <f t="shared" si="3"/>
        <v/>
      </c>
      <c r="K29" s="15" t="str">
        <f t="shared" si="4"/>
        <v>&lt;unit029&gt; "&gt;&gt;ул.Сырокваша" {c 900, c 928, v "\mp3_ost\swrokvas.mp3",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174</v>
      </c>
      <c r="G30" s="24">
        <f t="shared" si="0"/>
        <v>31</v>
      </c>
      <c r="H30" s="24" t="str">
        <f t="shared" si="1"/>
        <v>c 902</v>
      </c>
      <c r="I30" s="28" t="str">
        <f t="shared" si="7"/>
        <v>c 928, v "\mp3_ost\swrokvas.mp3"</v>
      </c>
      <c r="J30" s="24" t="str">
        <f t="shared" si="3"/>
        <v/>
      </c>
      <c r="K30" s="15" t="str">
        <f t="shared" si="4"/>
        <v>&lt;unit030&gt; "ул.Сырокваша" {c 902, c 928, v "\mp3_ost\swrokvas.mp3",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175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"\mp3_ost\mira.mp3"</v>
      </c>
      <c r="J31" s="24" t="str">
        <f t="shared" si="3"/>
        <v/>
      </c>
      <c r="K31" s="15" t="str">
        <f t="shared" si="4"/>
        <v>&lt;unit031&gt; "&gt;&gt;пр-т Мира" {c 900, v "\mp3_ost\mira.mp3",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175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"\mp3_ost\mira.mp3"</v>
      </c>
      <c r="J32" s="24" t="str">
        <f t="shared" si="3"/>
        <v/>
      </c>
      <c r="K32" s="15" t="str">
        <f t="shared" si="4"/>
        <v>&lt;unit032&gt; "пр-т Мира" {c 902, v "\mp3_ost\mira.mp3",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279</v>
      </c>
      <c r="G33" s="24">
        <f t="shared" si="0"/>
        <v>34</v>
      </c>
      <c r="H33" s="24" t="str">
        <f t="shared" si="1"/>
        <v>c 900</v>
      </c>
      <c r="I33" s="28" t="str">
        <f t="shared" si="7"/>
        <v>c 928, v "\mp3_ost\50letokt.mp3"</v>
      </c>
      <c r="J33" s="24" t="str">
        <f t="shared" si="3"/>
        <v/>
      </c>
      <c r="K33" s="15" t="str">
        <f t="shared" si="4"/>
        <v>&lt;unit033&gt; "&gt;&gt;ул.50 лет Октяб." {c 900, c 928, v "\mp3_ost\50letokt.mp3",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279</v>
      </c>
      <c r="G34" s="24">
        <f t="shared" si="0"/>
        <v>35</v>
      </c>
      <c r="H34" s="24" t="str">
        <f t="shared" si="1"/>
        <v>c 902</v>
      </c>
      <c r="I34" s="28" t="str">
        <f t="shared" si="7"/>
        <v>c 928, v "\mp3_ost\50letokt.mp3"</v>
      </c>
      <c r="J34" s="24" t="str">
        <f t="shared" si="3"/>
        <v/>
      </c>
      <c r="K34" s="15" t="str">
        <f t="shared" si="4"/>
        <v>&lt;unit034&gt; "ул.50 лет Октяб." {c 902, c 928, v "\mp3_ost\50letokt.mp3",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280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"\mp3_ost\8marta.mp3"</v>
      </c>
      <c r="J35" s="24" t="str">
        <f t="shared" si="3"/>
        <v/>
      </c>
      <c r="K35" s="15" t="str">
        <f t="shared" si="4"/>
        <v>&lt;unit035&gt; "&gt;&gt;ул.8 Марта" {c 900, c 928, v "\mp3_ost\8marta.mp3",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280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"\mp3_ost\8marta.mp3"</v>
      </c>
      <c r="J36" s="24" t="str">
        <f t="shared" si="3"/>
        <v/>
      </c>
      <c r="K36" s="15" t="str">
        <f t="shared" si="4"/>
        <v>&lt;unit036&gt; "ул.8 Марта" {c 902, c 928, v "\mp3_ost\8marta.mp3",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256</v>
      </c>
      <c r="G37" s="24">
        <f t="shared" si="0"/>
        <v>38</v>
      </c>
      <c r="H37" s="24" t="str">
        <f t="shared" si="1"/>
        <v>c 900</v>
      </c>
      <c r="I37" s="28" t="str">
        <f t="shared" si="7"/>
        <v>v "\mp3_ost\svitanak.mp3"</v>
      </c>
      <c r="J37" s="24" t="str">
        <f t="shared" si="3"/>
        <v/>
      </c>
      <c r="K37" s="15" t="str">
        <f t="shared" si="4"/>
        <v>&lt;unit037&gt; "&gt;&gt;Свитанок" {c 900, v "\mp3_ost\svitanak.mp3",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256</v>
      </c>
      <c r="F38" t="s">
        <v>346</v>
      </c>
      <c r="G38" s="24">
        <f>B40</f>
        <v>40</v>
      </c>
      <c r="H38" s="24" t="str">
        <f t="shared" si="1"/>
        <v>c 902</v>
      </c>
      <c r="I38" s="28" t="str">
        <f t="shared" si="7"/>
        <v>v "\mp3_ost\svitanak.mp3"</v>
      </c>
      <c r="J38" s="24" t="str">
        <f t="shared" si="3"/>
        <v>c 903</v>
      </c>
      <c r="K38" s="15" t="str">
        <f t="shared" si="4"/>
        <v>&lt;unit038&gt; "Свитанок" {c 902, v "\mp3_ost\svitanak.mp3", c 903, d 000, n 040}</v>
      </c>
    </row>
    <row r="39" spans="2:11" x14ac:dyDescent="0.25">
      <c r="K39" s="15"/>
    </row>
    <row r="40" spans="2:11" x14ac:dyDescent="0.25">
      <c r="B40">
        <f t="shared" ref="B40:B76" si="8">ROW(B40)</f>
        <v>40</v>
      </c>
      <c r="E40" s="25" t="s">
        <v>342</v>
      </c>
      <c r="F40" s="25"/>
      <c r="G40" s="24">
        <f>B42</f>
        <v>42</v>
      </c>
      <c r="K40" s="15" t="str">
        <f>"&lt;unit"&amp;TEXT(B40,"000")&amp;"&gt; """&amp;E40&amp;""" {d 000, n "&amp;TEXT(G40,"000")&amp;"}"</f>
        <v>&lt;unit040&gt; "----- Обратный -----" {d 000, n 042}</v>
      </c>
    </row>
    <row r="41" spans="2:11" x14ac:dyDescent="0.25">
      <c r="K41" s="15"/>
    </row>
    <row r="42" spans="2:11" x14ac:dyDescent="0.25">
      <c r="B42">
        <f t="shared" si="8"/>
        <v>42</v>
      </c>
      <c r="C42" t="s">
        <v>85</v>
      </c>
      <c r="D42" t="str">
        <f t="shared" ref="D42:D74" si="9">IF(H42="c 900","&gt;&gt;","")</f>
        <v/>
      </c>
      <c r="E42" t="s">
        <v>256</v>
      </c>
      <c r="G42" s="24">
        <f>B43</f>
        <v>43</v>
      </c>
      <c r="H42" s="24" t="str">
        <f t="shared" ref="H42:H74" si="10">IFERROR("c "&amp;VLOOKUP(C42,Punkti,2,FALSE),"")</f>
        <v>c 902</v>
      </c>
      <c r="I42" s="28" t="str">
        <f t="shared" ref="I42:I74" si="11">IFERROR(VLOOKUP(E42,Ostanovki,7,FALSE),"")</f>
        <v>v "\mp3_ost\svitanak.mp3"</v>
      </c>
      <c r="J42" s="24" t="str">
        <f t="shared" ref="J42:J74" si="12">IFERROR("c "&amp;VLOOKUP(F42,Punkti,2,FALSE),"")</f>
        <v/>
      </c>
      <c r="K42" s="15" t="str">
        <f t="shared" ref="K42:K74" si="13">"&lt;unit"&amp;TEXT(B42,"000")&amp;"&gt; """&amp;СцепитьМного(D42:E42,"")&amp;""" {"&amp;СцепитьМного(H42:J42,", ")&amp;", d 000, n "&amp;TEXT(G42,"000")&amp;"}"</f>
        <v>&lt;unit042&gt; "Свитанок" {c 902, v "\mp3_ost\svitanak.mp3", d 000, n 043}</v>
      </c>
    </row>
    <row r="43" spans="2:11" x14ac:dyDescent="0.25">
      <c r="B43">
        <f t="shared" si="8"/>
        <v>43</v>
      </c>
      <c r="C43" t="s">
        <v>344</v>
      </c>
      <c r="D43" t="str">
        <f t="shared" si="9"/>
        <v>&gt;&gt;</v>
      </c>
      <c r="E43" t="s">
        <v>243</v>
      </c>
      <c r="G43" s="24">
        <f t="shared" ref="G43:G73" si="14">B44</f>
        <v>44</v>
      </c>
      <c r="H43" s="24" t="str">
        <f t="shared" si="10"/>
        <v>c 900</v>
      </c>
      <c r="I43" s="28" t="str">
        <f t="shared" si="11"/>
        <v>v "\mp3_ost\pojarnay.mp3"</v>
      </c>
      <c r="J43" s="24" t="str">
        <f t="shared" si="12"/>
        <v/>
      </c>
      <c r="K43" s="15" t="str">
        <f t="shared" si="13"/>
        <v>&lt;unit043&gt; "&gt;&gt;Пожарная" {c 900, v "\mp3_ost\pojarnay.mp3", d 000, n 044}</v>
      </c>
    </row>
    <row r="44" spans="2:11" x14ac:dyDescent="0.25">
      <c r="B44">
        <f t="shared" si="8"/>
        <v>44</v>
      </c>
      <c r="C44" t="s">
        <v>85</v>
      </c>
      <c r="D44" t="str">
        <f t="shared" si="9"/>
        <v/>
      </c>
      <c r="E44" t="s">
        <v>243</v>
      </c>
      <c r="G44" s="24">
        <f t="shared" si="14"/>
        <v>45</v>
      </c>
      <c r="H44" s="24" t="str">
        <f t="shared" si="10"/>
        <v>c 902</v>
      </c>
      <c r="I44" s="28" t="str">
        <f t="shared" si="11"/>
        <v>v "\mp3_ost\pojarnay.mp3"</v>
      </c>
      <c r="J44" s="24" t="str">
        <f t="shared" si="12"/>
        <v/>
      </c>
      <c r="K44" s="15" t="str">
        <f t="shared" si="13"/>
        <v>&lt;unit044&gt; "Пожарная" {c 902, v "\mp3_ost\pojarnay.mp3", d 000, n 045}</v>
      </c>
    </row>
    <row r="45" spans="2:11" x14ac:dyDescent="0.25">
      <c r="B45">
        <f t="shared" si="8"/>
        <v>45</v>
      </c>
      <c r="C45" t="s">
        <v>344</v>
      </c>
      <c r="D45" t="str">
        <f t="shared" si="9"/>
        <v>&gt;&gt;</v>
      </c>
      <c r="E45" t="s">
        <v>352</v>
      </c>
      <c r="G45" s="24">
        <f t="shared" si="14"/>
        <v>46</v>
      </c>
      <c r="H45" s="24" t="str">
        <f t="shared" si="10"/>
        <v>c 900</v>
      </c>
      <c r="I45" s="28" t="str">
        <f t="shared" si="11"/>
        <v>v "\mp3_ost\!_silent.mp3"</v>
      </c>
      <c r="J45" s="24" t="str">
        <f t="shared" si="12"/>
        <v/>
      </c>
      <c r="K45" s="15" t="str">
        <f t="shared" si="13"/>
        <v>&lt;unit045&gt; "&gt;&gt;Рынок" {c 900, v "\mp3_ost\!_silent.mp3", d 000, n 046}</v>
      </c>
    </row>
    <row r="46" spans="2:11" x14ac:dyDescent="0.25">
      <c r="B46">
        <f t="shared" si="8"/>
        <v>46</v>
      </c>
      <c r="C46" t="s">
        <v>85</v>
      </c>
      <c r="D46" t="str">
        <f t="shared" si="9"/>
        <v/>
      </c>
      <c r="E46" t="s">
        <v>352</v>
      </c>
      <c r="G46" s="24">
        <f t="shared" si="14"/>
        <v>47</v>
      </c>
      <c r="H46" s="24" t="str">
        <f t="shared" si="10"/>
        <v>c 902</v>
      </c>
      <c r="I46" s="28" t="str">
        <f t="shared" si="11"/>
        <v>v "\mp3_ost\!_silent.mp3"</v>
      </c>
      <c r="J46" s="24" t="str">
        <f t="shared" si="12"/>
        <v/>
      </c>
      <c r="K46" s="15" t="str">
        <f t="shared" si="13"/>
        <v>&lt;unit046&gt; "Рынок" {c 902, v "\mp3_ost\!_silent.mp3",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279</v>
      </c>
      <c r="G47" s="24">
        <f t="shared" si="14"/>
        <v>48</v>
      </c>
      <c r="H47" s="24" t="str">
        <f t="shared" si="10"/>
        <v>c 900</v>
      </c>
      <c r="I47" s="28" t="str">
        <f t="shared" si="11"/>
        <v>c 928, v "\mp3_ost\50letokt.mp3"</v>
      </c>
      <c r="J47" s="24" t="str">
        <f t="shared" si="12"/>
        <v/>
      </c>
      <c r="K47" s="15" t="str">
        <f t="shared" si="13"/>
        <v>&lt;unit047&gt; "&gt;&gt;ул.50 лет Октяб." {c 900, c 928, v "\mp3_ost\50letokt.mp3",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279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"\mp3_ost\50letokt.mp3"</v>
      </c>
      <c r="J48" s="24" t="str">
        <f t="shared" si="12"/>
        <v/>
      </c>
      <c r="K48" s="15" t="str">
        <f t="shared" si="13"/>
        <v>&lt;unit048&gt; "ул.50 лет Октяб." {c 902, c 928, v "\mp3_ost\50letokt.mp3",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175</v>
      </c>
      <c r="G49" s="24">
        <f t="shared" si="14"/>
        <v>50</v>
      </c>
      <c r="H49" s="24" t="str">
        <f t="shared" si="10"/>
        <v>c 900</v>
      </c>
      <c r="I49" s="28" t="str">
        <f t="shared" si="11"/>
        <v>v "\mp3_ost\mira.mp3"</v>
      </c>
      <c r="J49" s="24" t="str">
        <f t="shared" si="12"/>
        <v/>
      </c>
      <c r="K49" s="15" t="str">
        <f t="shared" si="13"/>
        <v>&lt;unit049&gt; "&gt;&gt;пр-т Мира" {c 900, v "\mp3_ost\mira.mp3",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175</v>
      </c>
      <c r="G50" s="24">
        <f t="shared" si="14"/>
        <v>51</v>
      </c>
      <c r="H50" s="24" t="str">
        <f t="shared" si="10"/>
        <v>c 902</v>
      </c>
      <c r="I50" s="28" t="str">
        <f t="shared" si="11"/>
        <v>v "\mp3_ost\mira.mp3"</v>
      </c>
      <c r="J50" s="24" t="str">
        <f t="shared" si="12"/>
        <v/>
      </c>
      <c r="K50" s="15" t="str">
        <f t="shared" si="13"/>
        <v>&lt;unit050&gt; "пр-т Мира" {c 902, v "\mp3_ost\mira.mp3",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174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"\mp3_ost\swrokvas.mp3"</v>
      </c>
      <c r="J51" s="24" t="str">
        <f t="shared" si="12"/>
        <v/>
      </c>
      <c r="K51" s="15" t="str">
        <f t="shared" si="13"/>
        <v>&lt;unit051&gt; "&gt;&gt;ул.Сырокваша" {c 900, c 928, v "\mp3_ost\swrokvas.mp3",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174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"\mp3_ost\swrokvas.mp3"</v>
      </c>
      <c r="J52" s="24" t="str">
        <f t="shared" si="12"/>
        <v/>
      </c>
      <c r="K52" s="15" t="str">
        <f t="shared" si="13"/>
        <v>&lt;unit052&gt; "ул.Сырокваша" {c 902, c 928, v "\mp3_ost\swrokvas.mp3",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172</v>
      </c>
      <c r="G53" s="24">
        <f t="shared" si="14"/>
        <v>54</v>
      </c>
      <c r="H53" s="24" t="str">
        <f t="shared" si="10"/>
        <v>c 900</v>
      </c>
      <c r="I53" s="28" t="str">
        <f t="shared" si="11"/>
        <v>c 928, v "\mp3_ost\moskovsk.mp3"</v>
      </c>
      <c r="J53" s="24" t="str">
        <f t="shared" si="12"/>
        <v/>
      </c>
      <c r="K53" s="15" t="str">
        <f t="shared" si="13"/>
        <v>&lt;unit053&gt; "&gt;&gt;ул.Московская" {c 900, c 928, v "\mp3_ost\moskovsk.mp3",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172</v>
      </c>
      <c r="G54" s="24">
        <f t="shared" si="14"/>
        <v>55</v>
      </c>
      <c r="H54" s="24" t="str">
        <f t="shared" si="10"/>
        <v>c 902</v>
      </c>
      <c r="I54" s="28" t="str">
        <f t="shared" si="11"/>
        <v>c 928, v "\mp3_ost\moskovsk.mp3"</v>
      </c>
      <c r="J54" s="24" t="str">
        <f t="shared" si="12"/>
        <v/>
      </c>
      <c r="K54" s="15" t="str">
        <f t="shared" si="13"/>
        <v>&lt;unit054&gt; "ул.Московская" {c 902, c 928, v "\mp3_ost\moskovsk.mp3",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173</v>
      </c>
      <c r="G55" s="24">
        <f t="shared" si="14"/>
        <v>56</v>
      </c>
      <c r="H55" s="24" t="str">
        <f t="shared" si="10"/>
        <v>c 900</v>
      </c>
      <c r="I55" s="28" t="str">
        <f t="shared" si="11"/>
        <v>c 928, v "\mp3_ost\partizan.mp3"</v>
      </c>
      <c r="J55" s="24" t="str">
        <f t="shared" si="12"/>
        <v/>
      </c>
      <c r="K55" s="15" t="str">
        <f t="shared" si="13"/>
        <v>&lt;unit055&gt; "&gt;&gt;ул.Партизанская" {c 900, c 928, v "\mp3_ost\partizan.mp3",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173</v>
      </c>
      <c r="G56" s="24">
        <f t="shared" si="14"/>
        <v>57</v>
      </c>
      <c r="H56" s="24" t="str">
        <f t="shared" si="10"/>
        <v>c 902</v>
      </c>
      <c r="I56" s="28" t="str">
        <f t="shared" si="11"/>
        <v>c 928, v "\mp3_ost\partizan.mp3"</v>
      </c>
      <c r="J56" s="24" t="str">
        <f t="shared" si="12"/>
        <v/>
      </c>
      <c r="K56" s="15" t="str">
        <f t="shared" si="13"/>
        <v>&lt;unit056&gt; "ул.Партизанская" {c 902, c 928, v "\mp3_ost\partizan.mp3",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170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"\mp3_ost\jd.mp3"</v>
      </c>
      <c r="J57" s="24" t="str">
        <f t="shared" si="12"/>
        <v/>
      </c>
      <c r="K57" s="15" t="str">
        <f t="shared" si="13"/>
        <v>&lt;unit057&gt; "&gt;&gt;ЖД Вокзал" {c 900, v "\mp3_ost\jd.mp3",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170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"\mp3_ost\jd.mp3"</v>
      </c>
      <c r="J58" s="24" t="str">
        <f t="shared" si="12"/>
        <v/>
      </c>
      <c r="K58" s="15" t="str">
        <f t="shared" si="13"/>
        <v>&lt;unit058&gt; "ЖД Вокзал" {c 902, v "\mp3_ost\jd.mp3",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272</v>
      </c>
      <c r="G59" s="24">
        <f t="shared" si="14"/>
        <v>60</v>
      </c>
      <c r="H59" s="24" t="str">
        <f t="shared" si="10"/>
        <v>c 900</v>
      </c>
      <c r="I59" s="28" t="str">
        <f t="shared" si="11"/>
        <v>v "\mp3_ost\yunost`.mp3"</v>
      </c>
      <c r="J59" s="24" t="str">
        <f t="shared" si="12"/>
        <v/>
      </c>
      <c r="K59" s="15" t="str">
        <f t="shared" si="13"/>
        <v>&lt;unit059&gt; "&gt;&gt;к/т Юность" {c 900, v "\mp3_ost\yunost`.mp3",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272</v>
      </c>
      <c r="G60" s="24">
        <f t="shared" si="14"/>
        <v>61</v>
      </c>
      <c r="H60" s="24" t="str">
        <f t="shared" si="10"/>
        <v>c 902</v>
      </c>
      <c r="I60" s="28" t="str">
        <f t="shared" si="11"/>
        <v>v "\mp3_ost\yunost`.mp3"</v>
      </c>
      <c r="J60" s="24" t="str">
        <f t="shared" si="12"/>
        <v/>
      </c>
      <c r="K60" s="15" t="str">
        <f t="shared" si="13"/>
        <v>&lt;unit060&gt; "к/т Юность" {c 902, v "\mp3_ost\yunost`.mp3",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263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"\mp3_ost\tec.mp3"</v>
      </c>
      <c r="J61" s="24" t="str">
        <f t="shared" si="12"/>
        <v/>
      </c>
      <c r="K61" s="15" t="str">
        <f t="shared" si="13"/>
        <v>&lt;unit061&gt; "&gt;&gt;ТЭЦ" {c 900, v "\mp3_ost\tec.mp3",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263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"\mp3_ost\tec.mp3"</v>
      </c>
      <c r="J62" s="24" t="str">
        <f t="shared" si="12"/>
        <v/>
      </c>
      <c r="K62" s="15" t="str">
        <f t="shared" si="13"/>
        <v>&lt;unit062&gt; "ТЭЦ" {c 902, v "\mp3_ost\tec.mp3",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281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"\mp3_ost\avtomobi.mp3"</v>
      </c>
      <c r="J63" s="24" t="str">
        <f t="shared" si="12"/>
        <v/>
      </c>
      <c r="K63" s="15" t="str">
        <f t="shared" si="13"/>
        <v>&lt;unit063&gt; "&gt;&gt;ул.Автомобилист." {c 900, c 928, v "\mp3_ost\avtomobi.mp3",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281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"\mp3_ost\avtomobi.mp3"</v>
      </c>
      <c r="J64" s="24" t="str">
        <f t="shared" si="12"/>
        <v/>
      </c>
      <c r="K64" s="15" t="str">
        <f t="shared" si="13"/>
        <v>&lt;unit064&gt; "ул.Автомобилист." {c 902, c 928, v "\mp3_ost\avtomobi.mp3",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283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"\mp3_ost\darojnay.mp3"</v>
      </c>
      <c r="J65" s="24" t="str">
        <f t="shared" si="12"/>
        <v/>
      </c>
      <c r="K65" s="15" t="str">
        <f t="shared" si="13"/>
        <v>&lt;unit065&gt; "&gt;&gt;ул.Дорожная" {c 900, c 928, v "\mp3_ost\darojnay.mp3",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283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"\mp3_ost\darojnay.mp3"</v>
      </c>
      <c r="J66" s="24" t="str">
        <f t="shared" si="12"/>
        <v/>
      </c>
      <c r="K66" s="15" t="str">
        <f t="shared" si="13"/>
        <v>&lt;unit066&gt; "ул.Дорожная" {c 902, c 928, v "\mp3_ost\darojnay.mp3",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290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"\mp3_ost\pyaschan.mp3"</v>
      </c>
      <c r="J67" s="24" t="str">
        <f t="shared" si="12"/>
        <v/>
      </c>
      <c r="K67" s="15" t="str">
        <f t="shared" si="13"/>
        <v>&lt;unit067&gt; "&gt;&gt;ул.Песчаная" {c 900, c 928, v "\mp3_ost\pyaschan.mp3",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290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"\mp3_ost\pyaschan.mp3"</v>
      </c>
      <c r="J68" s="24" t="str">
        <f t="shared" si="12"/>
        <v/>
      </c>
      <c r="K68" s="15" t="str">
        <f t="shared" si="13"/>
        <v>&lt;unit068&gt; "ул.Песчаная" {c 902, c 928, v "\mp3_ost\pyaschan.mp3",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241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"\mp3_ost\pochta.mp3"</v>
      </c>
      <c r="J69" s="24" t="str">
        <f t="shared" si="12"/>
        <v/>
      </c>
      <c r="K69" s="15" t="str">
        <f t="shared" si="13"/>
        <v>&lt;unit069&gt; "&gt;&gt;Почта" {c 900, v "\mp3_ost\pochta.mp3",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241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"\mp3_ost\pochta.mp3"</v>
      </c>
      <c r="J70" s="24" t="str">
        <f t="shared" si="12"/>
        <v/>
      </c>
      <c r="K70" s="15" t="str">
        <f t="shared" si="13"/>
        <v>&lt;unit070&gt; "Почта" {c 902, v "\mp3_ost\pochta.mp3",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289</v>
      </c>
      <c r="G71" s="24">
        <f t="shared" si="14"/>
        <v>72</v>
      </c>
      <c r="H71" s="24" t="str">
        <f t="shared" si="10"/>
        <v>c 900</v>
      </c>
      <c r="I71" s="28" t="str">
        <f t="shared" si="11"/>
        <v>c 928, v "\mp3_ost\nagornay.mp3"</v>
      </c>
      <c r="J71" s="24" t="str">
        <f t="shared" si="12"/>
        <v/>
      </c>
      <c r="K71" s="15" t="str">
        <f t="shared" si="13"/>
        <v>&lt;unit071&gt; "&gt;&gt;ул.Нагорная" {c 900, c 928, v "\mp3_ost\nagornay.mp3",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289</v>
      </c>
      <c r="G72" s="24">
        <f t="shared" si="14"/>
        <v>73</v>
      </c>
      <c r="H72" s="24" t="str">
        <f t="shared" si="10"/>
        <v>c 902</v>
      </c>
      <c r="I72" s="28" t="str">
        <f t="shared" si="11"/>
        <v>c 928, v "\mp3_ost\nagornay.mp3"</v>
      </c>
      <c r="J72" s="24" t="str">
        <f t="shared" si="12"/>
        <v/>
      </c>
      <c r="K72" s="15" t="str">
        <f t="shared" si="13"/>
        <v>&lt;unit072&gt; "ул.Нагорная" {c 902, c 928, v "\mp3_ost\nagornay.mp3",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179</v>
      </c>
      <c r="G73" s="24">
        <f t="shared" si="14"/>
        <v>74</v>
      </c>
      <c r="H73" s="24" t="str">
        <f t="shared" si="10"/>
        <v>c 900</v>
      </c>
      <c r="I73" s="28" t="str">
        <f t="shared" si="11"/>
        <v>c 928, v "\mp3_ost\bajora.mp3"</v>
      </c>
      <c r="J73" s="24" t="str">
        <f t="shared" si="12"/>
        <v/>
      </c>
      <c r="K73" s="15" t="str">
        <f t="shared" si="13"/>
        <v>&lt;unit073&gt; "&gt;&gt;ул.Бажора" {c 900, c 928, v "\mp3_ost\bajora.mp3",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179</v>
      </c>
      <c r="F74" t="s">
        <v>346</v>
      </c>
      <c r="G74" s="24">
        <f>B76</f>
        <v>76</v>
      </c>
      <c r="H74" s="24" t="str">
        <f t="shared" si="10"/>
        <v>c 902</v>
      </c>
      <c r="I74" s="28" t="str">
        <f t="shared" si="11"/>
        <v>c 928, v "\mp3_ost\bajora.mp3"</v>
      </c>
      <c r="J74" s="24" t="str">
        <f t="shared" si="12"/>
        <v>c 903</v>
      </c>
      <c r="K74" s="15" t="str">
        <f t="shared" si="13"/>
        <v>&lt;unit074&gt; "ул.Бажора" {c 902, c 928, v "\mp3_ost\bajora.mp3", c 903, d 000, n 076}</v>
      </c>
    </row>
    <row r="75" spans="2:11" x14ac:dyDescent="0.25">
      <c r="K75" s="15"/>
    </row>
    <row r="76" spans="2:11" x14ac:dyDescent="0.25">
      <c r="B76">
        <f t="shared" si="8"/>
        <v>76</v>
      </c>
      <c r="E76" s="25" t="s">
        <v>343</v>
      </c>
      <c r="F76" s="25"/>
      <c r="G76" s="24">
        <f>B3</f>
        <v>3</v>
      </c>
      <c r="K76" s="15" t="str">
        <f>"&lt;unit"&amp;TEXT(B76,"000")&amp;"&gt; """&amp;E76&amp;""" {d 000, n "&amp;TEXT(G76,"000")&amp;"}"</f>
        <v>&lt;unit076&gt; "----- Конец -----" {d 000, n 003}</v>
      </c>
    </row>
    <row r="77" spans="2:11" x14ac:dyDescent="0.25">
      <c r="K77" s="15"/>
    </row>
    <row r="78" spans="2:11" x14ac:dyDescent="0.25">
      <c r="K78" s="15" t="str">
        <f>Константы!E2</f>
        <v>&lt;unit921&gt; "Автовокзал" {v "\mp3_knst\av.mp3", w 01}</v>
      </c>
    </row>
    <row r="79" spans="2:11" x14ac:dyDescent="0.25">
      <c r="K79" s="15" t="str">
        <f>Константы!E3</f>
        <v>&lt;unit923&gt; "Гостиница" {v "\mp3_knst\gos.mp3", w 01}</v>
      </c>
    </row>
    <row r="80" spans="2:11" x14ac:dyDescent="0.25">
      <c r="K80" s="15" t="str">
        <f>Константы!E4</f>
        <v>&lt;unit922&gt; "Дисп. станция" {v "\mp3_knst\ds.mp3", w 01}</v>
      </c>
    </row>
    <row r="81" spans="11:11" x14ac:dyDescent="0.25">
      <c r="K81" s="15" t="str">
        <f>Константы!E5</f>
        <v>&lt;unit903&gt; "Канцавая" {v "\mp3_knst\kanc.mp3", w 01}</v>
      </c>
    </row>
    <row r="82" spans="11:11" x14ac:dyDescent="0.25">
      <c r="K82" s="15" t="str">
        <f>Константы!E6</f>
        <v>&lt;unit924&gt; "Конечная" {v "\mp3_knst\ko.mp3", w 01}</v>
      </c>
    </row>
    <row r="83" spans="11:11" x14ac:dyDescent="0.25">
      <c r="K83" s="15" t="str">
        <f>Константы!E7</f>
        <v>&lt;unit902&gt; "Остановка" {v "\mp3_knst\ost.mp3", w 01}</v>
      </c>
    </row>
    <row r="84" spans="11:11" x14ac:dyDescent="0.25">
      <c r="K84" s="15" t="str">
        <f>Константы!E8</f>
        <v>&lt;unit900&gt; "Дв. закр. След. ост." {v "\mp3_knst\ostor.mp3", w 01}</v>
      </c>
    </row>
    <row r="85" spans="11:11" x14ac:dyDescent="0.25">
      <c r="K85" s="15" t="str">
        <f>Константы!E9</f>
        <v>&lt;unit925&gt; "Площадь" {v "\mp3_knst\pl.mp3", w 01}</v>
      </c>
    </row>
    <row r="86" spans="11:11" x14ac:dyDescent="0.25">
      <c r="K86" s="15" t="str">
        <f>Константы!E10</f>
        <v>&lt;unit926&gt; "Проспект" {v "\mp3_knst\pr.mp3", w 01}</v>
      </c>
    </row>
    <row r="87" spans="11:11" x14ac:dyDescent="0.25">
      <c r="K87" s="15" t="str">
        <f>Константы!E11</f>
        <v>&lt;unit927&gt; "Станция метро" {v "\mp3_knst\sm.mp3", w 01}</v>
      </c>
    </row>
    <row r="88" spans="11:11" x14ac:dyDescent="0.25">
      <c r="K8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38 C8:C38 F42:F74 C42:C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K80"/>
  <sheetViews>
    <sheetView topLeftCell="B37" workbookViewId="0">
      <selection activeCell="E47" sqref="E47:E66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7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5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"5 в/ч-Рокосовского" {i 0, t 002, l 005 005, d 000}</v>
      </c>
    </row>
    <row r="3" spans="1:11" x14ac:dyDescent="0.25">
      <c r="A3" s="15" t="str">
        <f ca="1">INDIRECT(ADDRESS($B$1,2,4,1,"route"))</f>
        <v>5 в/ч-Рокосовского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005</v>
      </c>
      <c r="B4">
        <f>ROW(B4)</f>
        <v>4</v>
      </c>
      <c r="E4" t="s">
        <v>338</v>
      </c>
      <c r="G4" s="24">
        <f>B38</f>
        <v>38</v>
      </c>
      <c r="K4" s="15" t="str">
        <f>"&lt;unit"&amp;TEXT(B4,"000")&amp;"&gt; """&amp;E4&amp;""" {d 000, n "&amp;TEXT(G4,"000")&amp;"}"</f>
        <v>&lt;unit004&gt; "Обратный" {d 000, n 038}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268</v>
      </c>
      <c r="G8" s="24">
        <f t="shared" ref="G8:G33" si="0">B9</f>
        <v>9</v>
      </c>
      <c r="H8" s="24" t="str">
        <f t="shared" ref="H8:H34" si="1">IFERROR("c "&amp;VLOOKUP(C8,Punkti,2,FALSE),"")</f>
        <v>c 902</v>
      </c>
      <c r="I8" s="28" t="str">
        <f t="shared" ref="I8:I34" si="2">IFERROR(VLOOKUP(E8,Ostanovki,7,FALSE),"")</f>
        <v>v "\mp3_ost\vch.mp3"</v>
      </c>
      <c r="J8" s="24" t="str">
        <f t="shared" ref="J8:J34" si="3">IFERROR("c "&amp;VLOOKUP(F8,Punkti,2,FALSE),"")</f>
        <v/>
      </c>
      <c r="K8" s="15" t="str">
        <f t="shared" ref="K8:K34" si="4">"&lt;unit"&amp;TEXT(B8,"000")&amp;"&gt; """&amp;СцепитьМного(D8:E8,"")&amp;""" {"&amp;СцепитьМного(H8:J8,", ")&amp;", d 000, n "&amp;TEXT(G8,"000")&amp;"}"</f>
        <v>&lt;unit008&gt; "Воинская часть" {c 902, v "\mp3_ost\vch.mp3", d 000, n 009}</v>
      </c>
    </row>
    <row r="9" spans="1:11" x14ac:dyDescent="0.25">
      <c r="B9">
        <f t="shared" ref="B9:B34" si="5">ROW(B9)</f>
        <v>9</v>
      </c>
      <c r="C9" t="s">
        <v>344</v>
      </c>
      <c r="D9" t="str">
        <f>IF(H9="c 900","&gt;&gt;","")</f>
        <v>&gt;&gt;</v>
      </c>
      <c r="E9" t="s">
        <v>168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"\mp3_ost\itk.mp3"</v>
      </c>
      <c r="J9" s="24" t="str">
        <f t="shared" si="3"/>
        <v/>
      </c>
      <c r="K9" s="15" t="str">
        <f t="shared" si="4"/>
        <v>&lt;unit009&gt; "&gt;&gt;ИТК-8" {c 900, v "\mp3_ost\itk.mp3",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4" si="6">IF(H10="c 900","&gt;&gt;","")</f>
        <v/>
      </c>
      <c r="E10" t="s">
        <v>168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"\mp3_ost\itk.mp3"</v>
      </c>
      <c r="J10" s="24" t="str">
        <f t="shared" si="3"/>
        <v/>
      </c>
      <c r="K10" s="15" t="str">
        <f t="shared" si="4"/>
        <v>&lt;unit010&gt; "ИТК-8" {c 902, v "\mp3_ost\itk.mp3",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169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"\mp3_ost\jen-gimn.mp3"</v>
      </c>
      <c r="J11" s="24" t="str">
        <f t="shared" si="3"/>
        <v/>
      </c>
      <c r="K11" s="15" t="str">
        <f t="shared" si="4"/>
        <v>&lt;unit011&gt; "&gt;&gt;Женская гимназия" {c 900, v "\mp3_ost\jen-gimn.mp3",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169</v>
      </c>
      <c r="G12" s="24">
        <f t="shared" si="0"/>
        <v>13</v>
      </c>
      <c r="H12" s="24" t="str">
        <f t="shared" si="1"/>
        <v>c 902</v>
      </c>
      <c r="I12" s="28" t="str">
        <f t="shared" si="2"/>
        <v>v "\mp3_ost\jen-gimn.mp3"</v>
      </c>
      <c r="J12" s="24" t="str">
        <f t="shared" si="3"/>
        <v/>
      </c>
      <c r="K12" s="15" t="str">
        <f t="shared" si="4"/>
        <v>&lt;unit012&gt; "Женская гимназия" {c 902, v "\mp3_ost\jen-gimn.mp3",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275</v>
      </c>
      <c r="G13" s="24">
        <f t="shared" si="0"/>
        <v>14</v>
      </c>
      <c r="H13" s="24" t="str">
        <f t="shared" si="1"/>
        <v>c 900</v>
      </c>
      <c r="I13" s="28" t="str">
        <f t="shared" si="2"/>
        <v>v "\mp3_ost\inst-zve.mp3"</v>
      </c>
      <c r="J13" s="24" t="str">
        <f t="shared" si="3"/>
        <v/>
      </c>
      <c r="K13" s="15" t="str">
        <f t="shared" si="4"/>
        <v>&lt;unit013&gt; "&gt;&gt;Инст. животновод." {c 900, v "\mp3_ost\inst-zve.mp3",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275</v>
      </c>
      <c r="G14" s="24">
        <f t="shared" si="0"/>
        <v>15</v>
      </c>
      <c r="H14" s="24" t="str">
        <f t="shared" si="1"/>
        <v>c 902</v>
      </c>
      <c r="I14" s="28" t="str">
        <f t="shared" si="2"/>
        <v>v "\mp3_ost\inst-zve.mp3"</v>
      </c>
      <c r="J14" s="24" t="str">
        <f t="shared" si="3"/>
        <v/>
      </c>
      <c r="K14" s="15" t="str">
        <f t="shared" si="4"/>
        <v>&lt;unit014&gt; "Инст. животновод." {c 902, v "\mp3_ost\inst-zve.mp3",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171</v>
      </c>
      <c r="G15" s="24">
        <f t="shared" si="0"/>
        <v>16</v>
      </c>
      <c r="H15" s="24" t="str">
        <f t="shared" si="1"/>
        <v>c 900</v>
      </c>
      <c r="I15" s="28" t="str">
        <f t="shared" si="2"/>
        <v>c 928, v "\mp3_ost\kalinina.mp3"</v>
      </c>
      <c r="J15" s="24" t="str">
        <f t="shared" si="3"/>
        <v/>
      </c>
      <c r="K15" s="15" t="str">
        <f t="shared" si="4"/>
        <v>&lt;unit015&gt; "&gt;&gt;ул.Калинина" {c 900, c 928, v "\mp3_ost\kalinina.mp3",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171</v>
      </c>
      <c r="G16" s="24">
        <f t="shared" si="0"/>
        <v>17</v>
      </c>
      <c r="H16" s="24" t="str">
        <f t="shared" si="1"/>
        <v>c 902</v>
      </c>
      <c r="I16" s="28" t="str">
        <f t="shared" si="2"/>
        <v>c 928, v "\mp3_ost\kalinina.mp3"</v>
      </c>
      <c r="J16" s="24" t="str">
        <f t="shared" si="3"/>
        <v/>
      </c>
      <c r="K16" s="15" t="str">
        <f t="shared" si="4"/>
        <v>&lt;unit016&gt; "ул.Калинина" {c 902, c 928, v "\mp3_ost\kalinina.mp3",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2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2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2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2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2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2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2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2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2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2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2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2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176</v>
      </c>
      <c r="G29" s="24">
        <f t="shared" si="0"/>
        <v>30</v>
      </c>
      <c r="H29" s="24" t="str">
        <f t="shared" si="1"/>
        <v>c 900</v>
      </c>
      <c r="I29" s="28" t="str">
        <f t="shared" si="2"/>
        <v>c 928, v "\mp3_ost\gagarina.mp3"</v>
      </c>
      <c r="J29" s="24" t="str">
        <f t="shared" si="3"/>
        <v/>
      </c>
      <c r="K29" s="15" t="str">
        <f t="shared" si="4"/>
        <v>&lt;unit029&gt; "&gt;&gt;ул.Гагарина" {c 900, c 928, v "\mp3_ost\gagarina.mp3",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176</v>
      </c>
      <c r="G30" s="24">
        <f t="shared" si="0"/>
        <v>31</v>
      </c>
      <c r="H30" s="24" t="str">
        <f t="shared" si="1"/>
        <v>c 902</v>
      </c>
      <c r="I30" s="28" t="str">
        <f t="shared" si="2"/>
        <v>c 928, v "\mp3_ost\gagarina.mp3"</v>
      </c>
      <c r="J30" s="24" t="str">
        <f t="shared" si="3"/>
        <v/>
      </c>
      <c r="K30" s="15" t="str">
        <f t="shared" si="4"/>
        <v>&lt;unit030&gt; "ул.Гагарина" {c 902, c 928, v "\mp3_ost\gagarina.mp3",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177</v>
      </c>
      <c r="G31" s="24">
        <f t="shared" si="0"/>
        <v>32</v>
      </c>
      <c r="H31" s="24" t="str">
        <f t="shared" si="1"/>
        <v>c 900</v>
      </c>
      <c r="I31" s="28" t="str">
        <f t="shared" si="2"/>
        <v>v "\mp3_ost\5ssh.mp3"</v>
      </c>
      <c r="J31" s="24" t="str">
        <f t="shared" si="3"/>
        <v/>
      </c>
      <c r="K31" s="15" t="str">
        <f t="shared" si="4"/>
        <v>&lt;unit031&gt; "&gt;&gt;СШ № 5" {c 900, v "\mp3_ost\5ssh.mp3",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177</v>
      </c>
      <c r="G32" s="24">
        <f t="shared" si="0"/>
        <v>33</v>
      </c>
      <c r="H32" s="24" t="str">
        <f t="shared" si="1"/>
        <v>c 902</v>
      </c>
      <c r="I32" s="28" t="str">
        <f t="shared" si="2"/>
        <v>v "\mp3_ost\5ssh.mp3"</v>
      </c>
      <c r="J32" s="24" t="str">
        <f t="shared" si="3"/>
        <v/>
      </c>
      <c r="K32" s="15" t="str">
        <f t="shared" si="4"/>
        <v>&lt;unit032&gt; "СШ № 5" {c 902, v "\mp3_ost\5ssh.mp3", d 000, n 033}</v>
      </c>
    </row>
    <row r="33" spans="2:11" x14ac:dyDescent="0.25">
      <c r="B33">
        <f t="shared" si="5"/>
        <v>33</v>
      </c>
      <c r="C33" t="s">
        <v>344</v>
      </c>
      <c r="D33" t="str">
        <f t="shared" si="6"/>
        <v>&gt;&gt;</v>
      </c>
      <c r="E33" t="s">
        <v>178</v>
      </c>
      <c r="G33" s="24">
        <f t="shared" si="0"/>
        <v>34</v>
      </c>
      <c r="H33" s="24" t="str">
        <f t="shared" si="1"/>
        <v>c 900</v>
      </c>
      <c r="I33" s="28" t="str">
        <f t="shared" si="2"/>
        <v>c 928, v "\mp3_ost\rokosovs.mp3"</v>
      </c>
      <c r="J33" s="24" t="str">
        <f t="shared" si="3"/>
        <v/>
      </c>
      <c r="K33" s="15" t="str">
        <f t="shared" si="4"/>
        <v>&lt;unit033&gt; "&gt;&gt;ул.Рокоссовского" {c 900, c 928, v "\mp3_ost\rokosovs.mp3",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178</v>
      </c>
      <c r="F34" t="s">
        <v>346</v>
      </c>
      <c r="G34" s="24">
        <f>B36</f>
        <v>36</v>
      </c>
      <c r="H34" s="24" t="str">
        <f t="shared" si="1"/>
        <v>c 902</v>
      </c>
      <c r="I34" s="28" t="str">
        <f t="shared" si="2"/>
        <v>c 928, v "\mp3_ost\rokosovs.mp3"</v>
      </c>
      <c r="J34" s="24" t="str">
        <f t="shared" si="3"/>
        <v>c 903</v>
      </c>
      <c r="K34" s="15" t="str">
        <f t="shared" si="4"/>
        <v>&lt;unit034&gt; "ул.Рокоссовского" {c 902, c 928, v "\mp3_ost\rokosovs.mp3", c 903, d 000, n 036}</v>
      </c>
    </row>
    <row r="35" spans="2:11" x14ac:dyDescent="0.25">
      <c r="K35" s="15"/>
    </row>
    <row r="36" spans="2:11" x14ac:dyDescent="0.25">
      <c r="B36">
        <f t="shared" ref="B36:B68" si="7">ROW(B36)</f>
        <v>36</v>
      </c>
      <c r="E36" s="25" t="s">
        <v>342</v>
      </c>
      <c r="F36" s="25"/>
      <c r="G36" s="24">
        <f>B38</f>
        <v>38</v>
      </c>
      <c r="K36" s="15" t="str">
        <f>"&lt;unit"&amp;TEXT(B36,"000")&amp;"&gt; """&amp;E36&amp;""" {d 000, n "&amp;TEXT(G36,"000")&amp;"}"</f>
        <v>&lt;unit036&gt; "----- Обратный -----" {d 000, n 038}</v>
      </c>
    </row>
    <row r="37" spans="2:11" x14ac:dyDescent="0.25">
      <c r="K37" s="15"/>
    </row>
    <row r="38" spans="2:11" x14ac:dyDescent="0.25">
      <c r="B38">
        <f t="shared" si="7"/>
        <v>38</v>
      </c>
      <c r="C38" t="s">
        <v>85</v>
      </c>
      <c r="D38" t="str">
        <f t="shared" ref="D38:D66" si="8">IF(H38="c 900","&gt;&gt;","")</f>
        <v/>
      </c>
      <c r="E38" t="s">
        <v>178</v>
      </c>
      <c r="G38" s="24">
        <f>B39</f>
        <v>39</v>
      </c>
      <c r="H38" s="24" t="str">
        <f t="shared" ref="H38:H66" si="9">IFERROR("c "&amp;VLOOKUP(C38,Punkti,2,FALSE),"")</f>
        <v>c 902</v>
      </c>
      <c r="I38" s="28" t="str">
        <f t="shared" ref="I38:I66" si="10">IFERROR(VLOOKUP(E38,Ostanovki,7,FALSE),"")</f>
        <v>c 928, v "\mp3_ost\rokosovs.mp3"</v>
      </c>
      <c r="J38" s="24" t="str">
        <f t="shared" ref="J38:J66" si="11">IFERROR("c "&amp;VLOOKUP(F38,Punkti,2,FALSE),"")</f>
        <v/>
      </c>
      <c r="K38" s="15" t="str">
        <f t="shared" ref="K38:K66" si="12">"&lt;unit"&amp;TEXT(B38,"000")&amp;"&gt; """&amp;СцепитьМного(D38:E38,"")&amp;""" {"&amp;СцепитьМного(H38:J38,", ")&amp;", d 000, n "&amp;TEXT(G38,"000")&amp;"}"</f>
        <v>&lt;unit038&gt; "ул.Рокоссовского" {c 902, c 928, v "\mp3_ost\rokosovs.mp3", d 000, n 039}</v>
      </c>
    </row>
    <row r="39" spans="2:11" x14ac:dyDescent="0.25">
      <c r="B39">
        <f t="shared" si="7"/>
        <v>39</v>
      </c>
      <c r="C39" t="s">
        <v>344</v>
      </c>
      <c r="D39" t="str">
        <f t="shared" si="8"/>
        <v>&gt;&gt;</v>
      </c>
      <c r="E39" t="s">
        <v>222</v>
      </c>
      <c r="G39" s="24">
        <f t="shared" ref="G39:G65" si="13">B40</f>
        <v>40</v>
      </c>
      <c r="H39" s="24" t="str">
        <f t="shared" si="9"/>
        <v>c 900</v>
      </c>
      <c r="I39" s="28" t="str">
        <f t="shared" si="10"/>
        <v>v "\mp3_ost\lenina.mp3"</v>
      </c>
      <c r="J39" s="24" t="str">
        <f t="shared" si="11"/>
        <v/>
      </c>
      <c r="K39" s="15" t="str">
        <f t="shared" si="12"/>
        <v>&lt;unit039&gt; "&gt;&gt;пр-т Ленина" {c 900, v "\mp3_ost\lenina.mp3", d 000, n 040}</v>
      </c>
    </row>
    <row r="40" spans="2:11" x14ac:dyDescent="0.25">
      <c r="B40">
        <f t="shared" si="7"/>
        <v>40</v>
      </c>
      <c r="C40" t="s">
        <v>85</v>
      </c>
      <c r="D40" t="str">
        <f t="shared" si="8"/>
        <v/>
      </c>
      <c r="E40" t="s">
        <v>222</v>
      </c>
      <c r="G40" s="24">
        <f t="shared" si="13"/>
        <v>41</v>
      </c>
      <c r="H40" s="24" t="str">
        <f t="shared" si="9"/>
        <v>c 902</v>
      </c>
      <c r="I40" s="28" t="str">
        <f t="shared" si="10"/>
        <v>v "\mp3_ost\lenina.mp3"</v>
      </c>
      <c r="J40" s="24" t="str">
        <f t="shared" si="11"/>
        <v/>
      </c>
      <c r="K40" s="15" t="str">
        <f t="shared" si="12"/>
        <v>&lt;unit040&gt; "пр-т Ленина" {c 902, v "\mp3_ost\lenina.mp3", d 000, n 041}</v>
      </c>
    </row>
    <row r="41" spans="2:11" x14ac:dyDescent="0.25">
      <c r="B41">
        <f t="shared" si="7"/>
        <v>41</v>
      </c>
      <c r="C41" t="s">
        <v>344</v>
      </c>
      <c r="D41" t="str">
        <f t="shared" si="8"/>
        <v>&gt;&gt;</v>
      </c>
      <c r="E41" t="s">
        <v>249</v>
      </c>
      <c r="G41" s="24">
        <f t="shared" si="13"/>
        <v>42</v>
      </c>
      <c r="H41" s="24" t="str">
        <f t="shared" si="9"/>
        <v>c 900</v>
      </c>
      <c r="I41" s="28" t="str">
        <f t="shared" si="10"/>
        <v>v "\mp3_ost\sberbank.mp3"</v>
      </c>
      <c r="J41" s="24" t="str">
        <f t="shared" si="11"/>
        <v/>
      </c>
      <c r="K41" s="15" t="str">
        <f t="shared" si="12"/>
        <v>&lt;unit041&gt; "&gt;&gt;Сбербанк" {c 900, v "\mp3_ost\sberbank.mp3", d 000, n 042}</v>
      </c>
    </row>
    <row r="42" spans="2:11" x14ac:dyDescent="0.25">
      <c r="B42">
        <f t="shared" si="7"/>
        <v>42</v>
      </c>
      <c r="C42" t="s">
        <v>85</v>
      </c>
      <c r="D42" t="str">
        <f t="shared" si="8"/>
        <v/>
      </c>
      <c r="E42" t="s">
        <v>249</v>
      </c>
      <c r="G42" s="24">
        <f t="shared" si="13"/>
        <v>43</v>
      </c>
      <c r="H42" s="24" t="str">
        <f t="shared" si="9"/>
        <v>c 902</v>
      </c>
      <c r="I42" s="28" t="str">
        <f t="shared" si="10"/>
        <v>v "\mp3_ost\sberbank.mp3"</v>
      </c>
      <c r="J42" s="24" t="str">
        <f t="shared" si="11"/>
        <v/>
      </c>
      <c r="K42" s="15" t="str">
        <f t="shared" si="12"/>
        <v>&lt;unit042&gt; "Сбербанк" {c 902, v "\mp3_ost\sberbank.mp3", d 000, n 043}</v>
      </c>
    </row>
    <row r="43" spans="2:11" x14ac:dyDescent="0.25">
      <c r="B43">
        <f t="shared" si="7"/>
        <v>43</v>
      </c>
      <c r="C43" t="s">
        <v>344</v>
      </c>
      <c r="D43" t="str">
        <f t="shared" si="8"/>
        <v>&gt;&gt;</v>
      </c>
      <c r="E43" t="s">
        <v>233</v>
      </c>
      <c r="G43" s="24">
        <f t="shared" si="13"/>
        <v>44</v>
      </c>
      <c r="H43" s="24" t="str">
        <f t="shared" si="9"/>
        <v>c 900</v>
      </c>
      <c r="I43" s="28" t="str">
        <f t="shared" si="10"/>
        <v>v "\mp3_ost\paliklin.mp3"</v>
      </c>
      <c r="J43" s="24" t="str">
        <f t="shared" si="11"/>
        <v/>
      </c>
      <c r="K43" s="15" t="str">
        <f t="shared" si="12"/>
        <v>&lt;unit043&gt; "&gt;&gt;Поликлиника" {c 900, v "\mp3_ost\paliklin.mp3", d 000, n 044}</v>
      </c>
    </row>
    <row r="44" spans="2:11" x14ac:dyDescent="0.25">
      <c r="B44">
        <f t="shared" si="7"/>
        <v>44</v>
      </c>
      <c r="C44" t="s">
        <v>85</v>
      </c>
      <c r="D44" t="str">
        <f t="shared" si="8"/>
        <v/>
      </c>
      <c r="E44" t="s">
        <v>233</v>
      </c>
      <c r="G44" s="24">
        <f t="shared" si="13"/>
        <v>45</v>
      </c>
      <c r="H44" s="24" t="str">
        <f t="shared" si="9"/>
        <v>c 902</v>
      </c>
      <c r="I44" s="28" t="str">
        <f t="shared" si="10"/>
        <v>v "\mp3_ost\paliklin.mp3"</v>
      </c>
      <c r="J44" s="24" t="str">
        <f t="shared" si="11"/>
        <v/>
      </c>
      <c r="K44" s="15" t="str">
        <f t="shared" si="12"/>
        <v>&lt;unit044&gt; "Поликлиника" {c 902, v "\mp3_ost\paliklin.mp3", d 000, n 045}</v>
      </c>
    </row>
    <row r="45" spans="2:11" x14ac:dyDescent="0.25">
      <c r="B45">
        <f t="shared" si="7"/>
        <v>45</v>
      </c>
      <c r="C45" t="s">
        <v>344</v>
      </c>
      <c r="D45" t="str">
        <f t="shared" si="8"/>
        <v>&gt;&gt;</v>
      </c>
      <c r="E45" t="s">
        <v>212</v>
      </c>
      <c r="G45" s="24">
        <f t="shared" si="13"/>
        <v>46</v>
      </c>
      <c r="H45" s="24" t="str">
        <f t="shared" si="9"/>
        <v>c 900</v>
      </c>
      <c r="I45" s="28" t="str">
        <f t="shared" si="10"/>
        <v>v "\mp3_ost\gdk.mp3"</v>
      </c>
      <c r="J45" s="24" t="str">
        <f t="shared" si="11"/>
        <v/>
      </c>
      <c r="K45" s="15" t="str">
        <f t="shared" si="12"/>
        <v>&lt;unit045&gt; "&gt;&gt;Дом культуры" {c 900, v "\mp3_ost\gdk.mp3", d 000, n 046}</v>
      </c>
    </row>
    <row r="46" spans="2:11" x14ac:dyDescent="0.25">
      <c r="B46">
        <f t="shared" si="7"/>
        <v>46</v>
      </c>
      <c r="C46" t="s">
        <v>85</v>
      </c>
      <c r="D46" t="str">
        <f t="shared" si="8"/>
        <v/>
      </c>
      <c r="E46" t="s">
        <v>212</v>
      </c>
      <c r="G46" s="24">
        <f t="shared" si="13"/>
        <v>47</v>
      </c>
      <c r="H46" s="24" t="str">
        <f t="shared" si="9"/>
        <v>c 902</v>
      </c>
      <c r="I46" s="28" t="str">
        <f t="shared" si="10"/>
        <v>v "\mp3_ost\gdk.mp3"</v>
      </c>
      <c r="J46" s="24" t="str">
        <f t="shared" si="11"/>
        <v/>
      </c>
      <c r="K46" s="15" t="str">
        <f t="shared" si="12"/>
        <v>&lt;unit046&gt; "Дом культуры" {c 902, v "\mp3_ost\gdk.mp3", d 000, n 047}</v>
      </c>
    </row>
    <row r="47" spans="2:11" x14ac:dyDescent="0.25">
      <c r="B47">
        <f t="shared" si="7"/>
        <v>47</v>
      </c>
      <c r="C47" t="s">
        <v>344</v>
      </c>
      <c r="D47" t="str">
        <f t="shared" si="8"/>
        <v>&gt;&gt;</v>
      </c>
      <c r="E47" t="s">
        <v>175</v>
      </c>
      <c r="G47" s="24">
        <f t="shared" si="13"/>
        <v>48</v>
      </c>
      <c r="H47" s="24" t="str">
        <f t="shared" si="9"/>
        <v>c 900</v>
      </c>
      <c r="I47" s="28" t="str">
        <f t="shared" si="10"/>
        <v>v "\mp3_ost\mira.mp3"</v>
      </c>
      <c r="J47" s="24" t="str">
        <f t="shared" si="11"/>
        <v/>
      </c>
      <c r="K47" s="15" t="str">
        <f t="shared" si="12"/>
        <v>&lt;unit047&gt; "&gt;&gt;пр-т Мира" {c 900, v "\mp3_ost\mira.mp3", d 000, n 048}</v>
      </c>
    </row>
    <row r="48" spans="2:11" x14ac:dyDescent="0.25">
      <c r="B48">
        <f t="shared" si="7"/>
        <v>48</v>
      </c>
      <c r="C48" t="s">
        <v>85</v>
      </c>
      <c r="D48" t="str">
        <f t="shared" si="8"/>
        <v/>
      </c>
      <c r="E48" t="s">
        <v>175</v>
      </c>
      <c r="G48" s="24">
        <f t="shared" si="13"/>
        <v>49</v>
      </c>
      <c r="H48" s="24" t="str">
        <f t="shared" si="9"/>
        <v>c 902</v>
      </c>
      <c r="I48" s="28" t="str">
        <f t="shared" si="10"/>
        <v>v "\mp3_ost\mira.mp3"</v>
      </c>
      <c r="J48" s="24" t="str">
        <f t="shared" si="11"/>
        <v/>
      </c>
      <c r="K48" s="15" t="str">
        <f t="shared" si="12"/>
        <v>&lt;unit048&gt; "пр-т Мира" {c 902, v "\mp3_ost\mira.mp3",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174</v>
      </c>
      <c r="G49" s="24">
        <f t="shared" si="13"/>
        <v>50</v>
      </c>
      <c r="H49" s="24" t="str">
        <f t="shared" si="9"/>
        <v>c 900</v>
      </c>
      <c r="I49" s="28" t="str">
        <f t="shared" si="10"/>
        <v>c 928, v "\mp3_ost\swrokvas.mp3"</v>
      </c>
      <c r="J49" s="24" t="str">
        <f t="shared" si="11"/>
        <v/>
      </c>
      <c r="K49" s="15" t="str">
        <f t="shared" si="12"/>
        <v>&lt;unit049&gt; "&gt;&gt;ул.Сырокваша" {c 900, c 928, v "\mp3_ost\swrokvas.mp3",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174</v>
      </c>
      <c r="G50" s="24">
        <f t="shared" si="13"/>
        <v>51</v>
      </c>
      <c r="H50" s="24" t="str">
        <f t="shared" si="9"/>
        <v>c 902</v>
      </c>
      <c r="I50" s="28" t="str">
        <f t="shared" si="10"/>
        <v>c 928, v "\mp3_ost\swrokvas.mp3"</v>
      </c>
      <c r="J50" s="24" t="str">
        <f t="shared" si="11"/>
        <v/>
      </c>
      <c r="K50" s="15" t="str">
        <f t="shared" si="12"/>
        <v>&lt;unit050&gt; "ул.Сырокваша" {c 902, c 928, v "\mp3_ost\swrokvas.mp3",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172</v>
      </c>
      <c r="G51" s="24">
        <f t="shared" si="13"/>
        <v>52</v>
      </c>
      <c r="H51" s="24" t="str">
        <f t="shared" si="9"/>
        <v>c 900</v>
      </c>
      <c r="I51" s="28" t="str">
        <f t="shared" si="10"/>
        <v>c 928, v "\mp3_ost\moskovsk.mp3"</v>
      </c>
      <c r="J51" s="24" t="str">
        <f t="shared" si="11"/>
        <v/>
      </c>
      <c r="K51" s="15" t="str">
        <f t="shared" si="12"/>
        <v>&lt;unit051&gt; "&gt;&gt;ул.Московская" {c 900, c 928, v "\mp3_ost\moskovsk.mp3",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172</v>
      </c>
      <c r="G52" s="24">
        <f t="shared" si="13"/>
        <v>53</v>
      </c>
      <c r="H52" s="24" t="str">
        <f t="shared" si="9"/>
        <v>c 902</v>
      </c>
      <c r="I52" s="28" t="str">
        <f t="shared" si="10"/>
        <v>c 928, v "\mp3_ost\moskovsk.mp3"</v>
      </c>
      <c r="J52" s="24" t="str">
        <f t="shared" si="11"/>
        <v/>
      </c>
      <c r="K52" s="15" t="str">
        <f t="shared" si="12"/>
        <v>&lt;unit052&gt; "ул.Московская" {c 902, c 928, v "\mp3_ost\moskovsk.mp3",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173</v>
      </c>
      <c r="G53" s="24">
        <f t="shared" si="13"/>
        <v>54</v>
      </c>
      <c r="H53" s="24" t="str">
        <f t="shared" si="9"/>
        <v>c 900</v>
      </c>
      <c r="I53" s="28" t="str">
        <f t="shared" si="10"/>
        <v>c 928, v "\mp3_ost\partizan.mp3"</v>
      </c>
      <c r="J53" s="24" t="str">
        <f t="shared" si="11"/>
        <v/>
      </c>
      <c r="K53" s="15" t="str">
        <f t="shared" si="12"/>
        <v>&lt;unit053&gt; "&gt;&gt;ул.Партизанская" {c 900, c 928, v "\mp3_ost\partizan.mp3",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173</v>
      </c>
      <c r="G54" s="24">
        <f t="shared" si="13"/>
        <v>55</v>
      </c>
      <c r="H54" s="24" t="str">
        <f t="shared" si="9"/>
        <v>c 902</v>
      </c>
      <c r="I54" s="28" t="str">
        <f t="shared" si="10"/>
        <v>c 928, v "\mp3_ost\partizan.mp3"</v>
      </c>
      <c r="J54" s="24" t="str">
        <f t="shared" si="11"/>
        <v/>
      </c>
      <c r="K54" s="15" t="str">
        <f t="shared" si="12"/>
        <v>&lt;unit054&gt; "ул.Партизанская" {c 902, c 928, v "\mp3_ost\partizan.mp3",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170</v>
      </c>
      <c r="G55" s="24">
        <f t="shared" si="13"/>
        <v>56</v>
      </c>
      <c r="H55" s="24" t="str">
        <f t="shared" si="9"/>
        <v>c 900</v>
      </c>
      <c r="I55" s="28" t="str">
        <f t="shared" si="10"/>
        <v>v "\mp3_ost\jd.mp3"</v>
      </c>
      <c r="J55" s="24" t="str">
        <f t="shared" si="11"/>
        <v/>
      </c>
      <c r="K55" s="15" t="str">
        <f t="shared" si="12"/>
        <v>&lt;unit055&gt; "&gt;&gt;ЖД Вокзал" {c 900, v "\mp3_ost\jd.mp3",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170</v>
      </c>
      <c r="G56" s="24">
        <f t="shared" si="13"/>
        <v>57</v>
      </c>
      <c r="H56" s="24" t="str">
        <f t="shared" si="9"/>
        <v>c 902</v>
      </c>
      <c r="I56" s="28" t="str">
        <f t="shared" si="10"/>
        <v>v "\mp3_ost\jd.mp3"</v>
      </c>
      <c r="J56" s="24" t="str">
        <f t="shared" si="11"/>
        <v/>
      </c>
      <c r="K56" s="15" t="str">
        <f t="shared" si="12"/>
        <v>&lt;unit056&gt; "ЖД Вокзал" {c 902, v "\mp3_ost\jd.mp3",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171</v>
      </c>
      <c r="G57" s="24">
        <f t="shared" si="13"/>
        <v>58</v>
      </c>
      <c r="H57" s="24" t="str">
        <f t="shared" si="9"/>
        <v>c 900</v>
      </c>
      <c r="I57" s="28" t="str">
        <f t="shared" si="10"/>
        <v>c 928, v "\mp3_ost\kalinina.mp3"</v>
      </c>
      <c r="J57" s="24" t="str">
        <f t="shared" si="11"/>
        <v/>
      </c>
      <c r="K57" s="15" t="str">
        <f t="shared" si="12"/>
        <v>&lt;unit057&gt; "&gt;&gt;ул.Калинина" {c 900, c 928, v "\mp3_ost\kalinina.mp3",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171</v>
      </c>
      <c r="G58" s="24">
        <f t="shared" si="13"/>
        <v>59</v>
      </c>
      <c r="H58" s="24" t="str">
        <f t="shared" si="9"/>
        <v>c 902</v>
      </c>
      <c r="I58" s="28" t="str">
        <f t="shared" si="10"/>
        <v>c 928, v "\mp3_ost\kalinina.mp3"</v>
      </c>
      <c r="J58" s="24" t="str">
        <f t="shared" si="11"/>
        <v/>
      </c>
      <c r="K58" s="15" t="str">
        <f t="shared" si="12"/>
        <v>&lt;unit058&gt; "ул.Калинина" {c 902, c 928, v "\mp3_ost\kalinina.mp3",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275</v>
      </c>
      <c r="G59" s="24">
        <f t="shared" si="13"/>
        <v>60</v>
      </c>
      <c r="H59" s="24" t="str">
        <f t="shared" si="9"/>
        <v>c 900</v>
      </c>
      <c r="I59" s="28" t="str">
        <f t="shared" si="10"/>
        <v>v "\mp3_ost\inst-zve.mp3"</v>
      </c>
      <c r="J59" s="24" t="str">
        <f t="shared" si="11"/>
        <v/>
      </c>
      <c r="K59" s="15" t="str">
        <f t="shared" si="12"/>
        <v>&lt;unit059&gt; "&gt;&gt;Инст. животновод." {c 900, v "\mp3_ost\inst-zve.mp3",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275</v>
      </c>
      <c r="G60" s="24">
        <f t="shared" si="13"/>
        <v>61</v>
      </c>
      <c r="H60" s="24" t="str">
        <f t="shared" si="9"/>
        <v>c 902</v>
      </c>
      <c r="I60" s="28" t="str">
        <f t="shared" si="10"/>
        <v>v "\mp3_ost\inst-zve.mp3"</v>
      </c>
      <c r="J60" s="24" t="str">
        <f t="shared" si="11"/>
        <v/>
      </c>
      <c r="K60" s="15" t="str">
        <f t="shared" si="12"/>
        <v>&lt;unit060&gt; "Инст. животновод." {c 902, v "\mp3_ost\inst-zve.mp3",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169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"\mp3_ost\jen-gimn.mp3"</v>
      </c>
      <c r="J61" s="24" t="str">
        <f t="shared" si="11"/>
        <v/>
      </c>
      <c r="K61" s="15" t="str">
        <f t="shared" si="12"/>
        <v>&lt;unit061&gt; "&gt;&gt;Женская гимназия" {c 900, v "\mp3_ost\jen-gimn.mp3",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169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"\mp3_ost\jen-gimn.mp3"</v>
      </c>
      <c r="J62" s="24" t="str">
        <f t="shared" si="11"/>
        <v/>
      </c>
      <c r="K62" s="15" t="str">
        <f t="shared" si="12"/>
        <v>&lt;unit062&gt; "Женская гимназия" {c 902, v "\mp3_ost\jen-gimn.mp3",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168</v>
      </c>
      <c r="G63" s="24">
        <f t="shared" si="13"/>
        <v>64</v>
      </c>
      <c r="H63" s="24" t="str">
        <f t="shared" si="9"/>
        <v>c 900</v>
      </c>
      <c r="I63" s="28" t="str">
        <f t="shared" si="10"/>
        <v>v "\mp3_ost\itk.mp3"</v>
      </c>
      <c r="J63" s="24" t="str">
        <f t="shared" si="11"/>
        <v/>
      </c>
      <c r="K63" s="15" t="str">
        <f t="shared" si="12"/>
        <v>&lt;unit063&gt; "&gt;&gt;ИТК-8" {c 900, v "\mp3_ost\itk.mp3",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168</v>
      </c>
      <c r="G64" s="24">
        <f t="shared" si="13"/>
        <v>65</v>
      </c>
      <c r="H64" s="24" t="str">
        <f t="shared" si="9"/>
        <v>c 902</v>
      </c>
      <c r="I64" s="28" t="str">
        <f t="shared" si="10"/>
        <v>v "\mp3_ost\itk.mp3"</v>
      </c>
      <c r="J64" s="24" t="str">
        <f t="shared" si="11"/>
        <v/>
      </c>
      <c r="K64" s="15" t="str">
        <f t="shared" si="12"/>
        <v>&lt;unit064&gt; "ИТК-8" {c 902, v "\mp3_ost\itk.mp3",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268</v>
      </c>
      <c r="G65" s="24">
        <f t="shared" si="13"/>
        <v>66</v>
      </c>
      <c r="H65" s="24" t="str">
        <f t="shared" si="9"/>
        <v>c 900</v>
      </c>
      <c r="I65" s="28" t="str">
        <f t="shared" si="10"/>
        <v>v "\mp3_ost\vch.mp3"</v>
      </c>
      <c r="J65" s="24" t="str">
        <f t="shared" si="11"/>
        <v/>
      </c>
      <c r="K65" s="15" t="str">
        <f t="shared" si="12"/>
        <v>&lt;unit065&gt; "&gt;&gt;Воинская часть" {c 900, v "\mp3_ost\vch.mp3",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268</v>
      </c>
      <c r="F66" t="s">
        <v>346</v>
      </c>
      <c r="G66" s="24">
        <f>B68</f>
        <v>68</v>
      </c>
      <c r="H66" s="24" t="str">
        <f t="shared" si="9"/>
        <v>c 902</v>
      </c>
      <c r="I66" s="28" t="str">
        <f t="shared" si="10"/>
        <v>v "\mp3_ost\vch.mp3"</v>
      </c>
      <c r="J66" s="24" t="str">
        <f t="shared" si="11"/>
        <v>c 903</v>
      </c>
      <c r="K66" s="15" t="str">
        <f t="shared" si="12"/>
        <v>&lt;unit066&gt; "Воинская часть" {c 902, v "\mp3_ost\vch.mp3", c 903, d 000, n 068}</v>
      </c>
    </row>
    <row r="67" spans="2:11" x14ac:dyDescent="0.25">
      <c r="K67" s="15"/>
    </row>
    <row r="68" spans="2:11" x14ac:dyDescent="0.25">
      <c r="B68">
        <f t="shared" si="7"/>
        <v>68</v>
      </c>
      <c r="E68" s="25" t="s">
        <v>343</v>
      </c>
      <c r="F68" s="25"/>
      <c r="G68" s="24">
        <f>B3</f>
        <v>3</v>
      </c>
      <c r="K68" s="15" t="str">
        <f>"&lt;unit"&amp;TEXT(B68,"000")&amp;"&gt; """&amp;E68&amp;""" {d 000, n "&amp;TEXT(G68,"000")&amp;"}"</f>
        <v>&lt;unit068&gt; "----- Конец -----" {d 000, n 003}</v>
      </c>
    </row>
    <row r="69" spans="2:11" x14ac:dyDescent="0.25">
      <c r="K69" s="15"/>
    </row>
    <row r="70" spans="2:11" x14ac:dyDescent="0.25">
      <c r="K70" s="15" t="str">
        <f>Константы!E2</f>
        <v>&lt;unit921&gt; "Автовокзал" {v "\mp3_knst\av.mp3", w 01}</v>
      </c>
    </row>
    <row r="71" spans="2:11" x14ac:dyDescent="0.25">
      <c r="K71" s="15" t="str">
        <f>Константы!E3</f>
        <v>&lt;unit923&gt; "Гостиница" {v "\mp3_knst\gos.mp3", w 01}</v>
      </c>
    </row>
    <row r="72" spans="2:11" x14ac:dyDescent="0.25">
      <c r="K72" s="15" t="str">
        <f>Константы!E4</f>
        <v>&lt;unit922&gt; "Дисп. станция" {v "\mp3_knst\ds.mp3", w 01}</v>
      </c>
    </row>
    <row r="73" spans="2:11" x14ac:dyDescent="0.25">
      <c r="K73" s="15" t="str">
        <f>Константы!E5</f>
        <v>&lt;unit903&gt; "Канцавая" {v "\mp3_knst\kanc.mp3", w 01}</v>
      </c>
    </row>
    <row r="74" spans="2:11" x14ac:dyDescent="0.25">
      <c r="K74" s="15" t="str">
        <f>Константы!E6</f>
        <v>&lt;unit924&gt; "Конечная" {v "\mp3_knst\ko.mp3", w 01}</v>
      </c>
    </row>
    <row r="75" spans="2:11" x14ac:dyDescent="0.25">
      <c r="K75" s="15" t="str">
        <f>Константы!E7</f>
        <v>&lt;unit902&gt; "Остановка" {v "\mp3_knst\ost.mp3", w 01}</v>
      </c>
    </row>
    <row r="76" spans="2:11" x14ac:dyDescent="0.25">
      <c r="K76" s="15" t="str">
        <f>Константы!E8</f>
        <v>&lt;unit900&gt; "Дв. закр. След. ост." {v "\mp3_knst\ostor.mp3", w 01}</v>
      </c>
    </row>
    <row r="77" spans="2:11" x14ac:dyDescent="0.25">
      <c r="K77" s="15" t="str">
        <f>Константы!E9</f>
        <v>&lt;unit925&gt; "Площадь" {v "\mp3_knst\pl.mp3", w 01}</v>
      </c>
    </row>
    <row r="78" spans="2:11" x14ac:dyDescent="0.25">
      <c r="K78" s="15" t="str">
        <f>Константы!E10</f>
        <v>&lt;unit926&gt; "Проспект" {v "\mp3_knst\pr.mp3", w 01}</v>
      </c>
    </row>
    <row r="79" spans="2:11" x14ac:dyDescent="0.25">
      <c r="K79" s="15" t="str">
        <f>Константы!E11</f>
        <v>&lt;unit927&gt; "Станция метро" {v "\mp3_knst\sm.mp3", w 01}</v>
      </c>
    </row>
    <row r="80" spans="2:11" x14ac:dyDescent="0.25">
      <c r="K80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34 E38:E66">
      <formula1>Zag_Ost</formula1>
    </dataValidation>
    <dataValidation type="list" allowBlank="1" showInputMessage="1" showErrorMessage="1" sqref="C8:C34 F8:F34 F38:F66 C38:C6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K98"/>
  <sheetViews>
    <sheetView topLeftCell="B1" workbookViewId="0">
      <selection activeCell="E63" sqref="E63:E64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10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7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"7 в/ч-Магистральная" {i 0, t 002, l 007 007, d 000}</v>
      </c>
    </row>
    <row r="3" spans="1:11" x14ac:dyDescent="0.25">
      <c r="A3" s="15" t="str">
        <f ca="1">INDIRECT(ADDRESS($B$1,2,4,1,"route"))</f>
        <v>7 в/ч-Магистральная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007</v>
      </c>
      <c r="B4">
        <f>ROW(B4)</f>
        <v>4</v>
      </c>
      <c r="E4" t="s">
        <v>338</v>
      </c>
      <c r="G4" s="24">
        <f>B48</f>
        <v>48</v>
      </c>
      <c r="K4" s="15" t="str">
        <f>"&lt;unit"&amp;TEXT(B4,"000")&amp;"&gt; """&amp;E4&amp;""" {d 000, n "&amp;TEXT(G4,"000")&amp;"}"</f>
        <v>&lt;unit004&gt; "Обратный" {d 000, n 048}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268</v>
      </c>
      <c r="G8" s="24">
        <f t="shared" ref="G8:G43" si="0">B9</f>
        <v>9</v>
      </c>
      <c r="H8" s="24" t="str">
        <f t="shared" ref="H8:H44" si="1">IFERROR("c "&amp;VLOOKUP(C8,Punkti,2,FALSE),"")</f>
        <v>c 902</v>
      </c>
      <c r="I8" s="28" t="str">
        <f t="shared" ref="I8:I44" si="2">IFERROR(VLOOKUP(E8,Ostanovki,7,FALSE),"")</f>
        <v>v "\mp3_ost\vch.mp3"</v>
      </c>
      <c r="J8" s="24" t="str">
        <f t="shared" ref="J8:J44" si="3">IFERROR("c "&amp;VLOOKUP(F8,Punkti,2,FALSE),"")</f>
        <v/>
      </c>
      <c r="K8" s="15" t="str">
        <f t="shared" ref="K8:K44" si="4">"&lt;unit"&amp;TEXT(B8,"000")&amp;"&gt; """&amp;СцепитьМного(D8:E8,"")&amp;""" {"&amp;СцепитьМного(H8:J8,", ")&amp;", d 000, n "&amp;TEXT(G8,"000")&amp;"}"</f>
        <v>&lt;unit008&gt; "Воинская часть" {c 902, v "\mp3_ost\vch.mp3", d 000, n 009}</v>
      </c>
    </row>
    <row r="9" spans="1:11" x14ac:dyDescent="0.25">
      <c r="B9">
        <f t="shared" ref="B9:B44" si="5">ROW(B9)</f>
        <v>9</v>
      </c>
      <c r="C9" t="s">
        <v>344</v>
      </c>
      <c r="D9" t="str">
        <f>IF(H9="c 900","&gt;&gt;","")</f>
        <v>&gt;&gt;</v>
      </c>
      <c r="E9" t="s">
        <v>168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"\mp3_ost\itk.mp3"</v>
      </c>
      <c r="J9" s="24" t="str">
        <f t="shared" si="3"/>
        <v/>
      </c>
      <c r="K9" s="15" t="str">
        <f t="shared" si="4"/>
        <v>&lt;unit009&gt; "&gt;&gt;ИТК-8" {c 900, v "\mp3_ost\itk.mp3",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4" si="6">IF(H10="c 900","&gt;&gt;","")</f>
        <v/>
      </c>
      <c r="E10" t="s">
        <v>168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"\mp3_ost\itk.mp3"</v>
      </c>
      <c r="J10" s="24" t="str">
        <f t="shared" si="3"/>
        <v/>
      </c>
      <c r="K10" s="15" t="str">
        <f t="shared" si="4"/>
        <v>&lt;unit010&gt; "ИТК-8" {c 902, v "\mp3_ost\itk.mp3",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169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"\mp3_ost\jen-gimn.mp3"</v>
      </c>
      <c r="J11" s="24" t="str">
        <f t="shared" si="3"/>
        <v/>
      </c>
      <c r="K11" s="15" t="str">
        <f t="shared" si="4"/>
        <v>&lt;unit011&gt; "&gt;&gt;Женская гимназия" {c 900, v "\mp3_ost\jen-gimn.mp3",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169</v>
      </c>
      <c r="G12" s="24">
        <f t="shared" si="0"/>
        <v>13</v>
      </c>
      <c r="H12" s="24" t="str">
        <f t="shared" si="1"/>
        <v>c 902</v>
      </c>
      <c r="I12" s="28" t="str">
        <f t="shared" si="2"/>
        <v>v "\mp3_ost\jen-gimn.mp3"</v>
      </c>
      <c r="J12" s="24" t="str">
        <f t="shared" si="3"/>
        <v/>
      </c>
      <c r="K12" s="15" t="str">
        <f t="shared" si="4"/>
        <v>&lt;unit012&gt; "Женская гимназия" {c 902, v "\mp3_ost\jen-gimn.mp3",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275</v>
      </c>
      <c r="G13" s="24">
        <f t="shared" si="0"/>
        <v>14</v>
      </c>
      <c r="H13" s="24" t="str">
        <f t="shared" si="1"/>
        <v>c 900</v>
      </c>
      <c r="I13" s="28" t="str">
        <f t="shared" si="2"/>
        <v>v "\mp3_ost\inst-zve.mp3"</v>
      </c>
      <c r="J13" s="24" t="str">
        <f t="shared" si="3"/>
        <v/>
      </c>
      <c r="K13" s="15" t="str">
        <f t="shared" si="4"/>
        <v>&lt;unit013&gt; "&gt;&gt;Инст. животновод." {c 900, v "\mp3_ost\inst-zve.mp3",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275</v>
      </c>
      <c r="G14" s="24">
        <f t="shared" si="0"/>
        <v>15</v>
      </c>
      <c r="H14" s="24" t="str">
        <f t="shared" si="1"/>
        <v>c 902</v>
      </c>
      <c r="I14" s="28" t="str">
        <f t="shared" si="2"/>
        <v>v "\mp3_ost\inst-zve.mp3"</v>
      </c>
      <c r="J14" s="24" t="str">
        <f t="shared" si="3"/>
        <v/>
      </c>
      <c r="K14" s="15" t="str">
        <f t="shared" si="4"/>
        <v>&lt;unit014&gt; "Инст. животновод." {c 902, v "\mp3_ost\inst-zve.mp3",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171</v>
      </c>
      <c r="G15" s="24">
        <f t="shared" si="0"/>
        <v>16</v>
      </c>
      <c r="H15" s="24" t="str">
        <f t="shared" si="1"/>
        <v>c 900</v>
      </c>
      <c r="I15" s="28" t="str">
        <f t="shared" si="2"/>
        <v>c 928, v "\mp3_ost\kalinina.mp3"</v>
      </c>
      <c r="J15" s="24" t="str">
        <f t="shared" si="3"/>
        <v/>
      </c>
      <c r="K15" s="15" t="str">
        <f t="shared" si="4"/>
        <v>&lt;unit015&gt; "&gt;&gt;ул.Калинина" {c 900, c 928, v "\mp3_ost\kalinina.mp3",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171</v>
      </c>
      <c r="G16" s="24">
        <f t="shared" si="0"/>
        <v>17</v>
      </c>
      <c r="H16" s="24" t="str">
        <f t="shared" si="1"/>
        <v>c 902</v>
      </c>
      <c r="I16" s="28" t="str">
        <f t="shared" si="2"/>
        <v>c 928, v "\mp3_ost\kalinina.mp3"</v>
      </c>
      <c r="J16" s="24" t="str">
        <f t="shared" si="3"/>
        <v/>
      </c>
      <c r="K16" s="15" t="str">
        <f t="shared" si="4"/>
        <v>&lt;unit016&gt; "ул.Калинина" {c 902, c 928, v "\mp3_ost\kalinina.mp3",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2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2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2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2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2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2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2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2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2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2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2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2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 t="shared" si="2"/>
        <v>v "\mp3_ost\universa.mp3"</v>
      </c>
      <c r="J29" s="24" t="str">
        <f t="shared" si="3"/>
        <v/>
      </c>
      <c r="K29" s="15" t="str">
        <f t="shared" si="4"/>
        <v>&lt;unit029&gt; "&gt;&gt;Универсам" {c 900, v "\mp3_ost\universa.mp3",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 t="shared" si="2"/>
        <v>v "\mp3_ost\universa.mp3"</v>
      </c>
      <c r="J30" s="24" t="str">
        <f t="shared" si="3"/>
        <v/>
      </c>
      <c r="K30" s="15" t="str">
        <f t="shared" si="4"/>
        <v>&lt;unit030&gt; "Универсам" {c 902, v "\mp3_ost\universa.mp3",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 t="shared" si="2"/>
        <v>v "\mp3_ost\tc.mp3"</v>
      </c>
      <c r="J31" s="24" t="str">
        <f t="shared" si="3"/>
        <v/>
      </c>
      <c r="K31" s="15" t="str">
        <f t="shared" si="4"/>
        <v>&lt;unit031&gt; "&gt;&gt;Торг.центр" {c 900, v "\mp3_ost\tc.mp3",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 t="shared" si="2"/>
        <v>v "\mp3_ost\tc.mp3"</v>
      </c>
      <c r="J32" s="24" t="str">
        <f t="shared" si="3"/>
        <v/>
      </c>
      <c r="K32" s="15" t="str">
        <f t="shared" si="4"/>
        <v>&lt;unit032&gt; "Торг.центр" {c 902, v "\mp3_ost\tc.mp3",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270</v>
      </c>
      <c r="G33" s="24">
        <f t="shared" si="0"/>
        <v>34</v>
      </c>
      <c r="H33" s="24" t="str">
        <f t="shared" si="1"/>
        <v>c 900</v>
      </c>
      <c r="I33" s="28" t="str">
        <f t="shared" si="2"/>
        <v>v "\mp3_ost\venis`e.mp3"</v>
      </c>
      <c r="J33" s="24" t="str">
        <f t="shared" si="3"/>
        <v/>
      </c>
      <c r="K33" s="15" t="str">
        <f t="shared" si="4"/>
        <v>&lt;unit033&gt; "&gt;&gt;пр-т Венисье" {c 900, v "\mp3_ost\venis`e.mp3",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270</v>
      </c>
      <c r="G34" s="24">
        <f t="shared" si="0"/>
        <v>35</v>
      </c>
      <c r="H34" s="24" t="str">
        <f t="shared" si="1"/>
        <v>c 902</v>
      </c>
      <c r="I34" s="28" t="str">
        <f t="shared" si="2"/>
        <v>v "\mp3_ost\venis`e.mp3"</v>
      </c>
      <c r="J34" s="24" t="str">
        <f t="shared" si="3"/>
        <v/>
      </c>
      <c r="K34" s="15" t="str">
        <f t="shared" si="4"/>
        <v>&lt;unit034&gt; "пр-т Венисье" {c 902, v "\mp3_ost\venis`e.mp3",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219</v>
      </c>
      <c r="G35" s="24">
        <f t="shared" si="0"/>
        <v>36</v>
      </c>
      <c r="H35" s="24" t="str">
        <f t="shared" si="1"/>
        <v>c 900</v>
      </c>
      <c r="I35" s="28" t="str">
        <f t="shared" si="2"/>
        <v>v "\mp3_ost\kastel.mp3"</v>
      </c>
      <c r="J35" s="24" t="str">
        <f t="shared" si="3"/>
        <v/>
      </c>
      <c r="K35" s="15" t="str">
        <f t="shared" si="4"/>
        <v>&lt;unit035&gt; "&gt;&gt;Костел" {c 900, v "\mp3_ost\kastel.mp3",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219</v>
      </c>
      <c r="G36" s="24">
        <f t="shared" si="0"/>
        <v>37</v>
      </c>
      <c r="H36" s="24" t="str">
        <f t="shared" si="1"/>
        <v>c 902</v>
      </c>
      <c r="I36" s="28" t="str">
        <f t="shared" si="2"/>
        <v>v "\mp3_ost\kastel.mp3"</v>
      </c>
      <c r="J36" s="24" t="str">
        <f t="shared" si="3"/>
        <v/>
      </c>
      <c r="K36" s="15" t="str">
        <f t="shared" si="4"/>
        <v>&lt;unit036&gt; "Костел" {c 902, v "\mp3_ost\kastel.mp3",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187</v>
      </c>
      <c r="G37" s="24">
        <f t="shared" si="0"/>
        <v>38</v>
      </c>
      <c r="H37" s="24" t="str">
        <f t="shared" si="1"/>
        <v>c 900</v>
      </c>
      <c r="I37" s="28" t="str">
        <f t="shared" si="2"/>
        <v>v "\mp3_ost\bol`nica.mp3"</v>
      </c>
      <c r="J37" s="24" t="str">
        <f t="shared" si="3"/>
        <v/>
      </c>
      <c r="K37" s="15" t="str">
        <f t="shared" si="4"/>
        <v>&lt;unit037&gt; "&gt;&gt;Больница" {c 900, v "\mp3_ost\bol`nica.mp3",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187</v>
      </c>
      <c r="G38" s="24">
        <f t="shared" si="0"/>
        <v>39</v>
      </c>
      <c r="H38" s="24" t="str">
        <f t="shared" si="1"/>
        <v>c 902</v>
      </c>
      <c r="I38" s="28" t="str">
        <f t="shared" si="2"/>
        <v>v "\mp3_ost\bol`nica.mp3"</v>
      </c>
      <c r="J38" s="24" t="str">
        <f t="shared" si="3"/>
        <v/>
      </c>
      <c r="K38" s="15" t="str">
        <f t="shared" si="4"/>
        <v>&lt;unit038&gt; "Больница" {c 902, v "\mp3_ost\bol`nica.mp3",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181</v>
      </c>
      <c r="G39" s="24">
        <f t="shared" si="0"/>
        <v>40</v>
      </c>
      <c r="H39" s="24" t="str">
        <f t="shared" si="1"/>
        <v>c 900</v>
      </c>
      <c r="I39" s="28" t="str">
        <f t="shared" si="2"/>
        <v>v "\mp3_ost\8ssh.mp3"</v>
      </c>
      <c r="K39" s="15" t="str">
        <f t="shared" si="4"/>
        <v>&lt;unit039&gt; "&gt;&gt;СШ № 8" {c 900, v "\mp3_ost\8ssh.mp3",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E40" t="s">
        <v>181</v>
      </c>
      <c r="G40" s="24">
        <f t="shared" si="0"/>
        <v>41</v>
      </c>
      <c r="H40" s="24" t="str">
        <f t="shared" si="1"/>
        <v>c 902</v>
      </c>
      <c r="I40" s="28" t="str">
        <f t="shared" si="2"/>
        <v>v "\mp3_ost\8ssh.mp3"</v>
      </c>
      <c r="K40" s="15" t="str">
        <f t="shared" si="4"/>
        <v>&lt;unit040&gt; "СШ № 8" {c 902, v "\mp3_ost\8ssh.mp3",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286</v>
      </c>
      <c r="G41" s="24">
        <f t="shared" si="0"/>
        <v>42</v>
      </c>
      <c r="H41" s="24" t="str">
        <f t="shared" si="1"/>
        <v>c 900</v>
      </c>
      <c r="I41" s="28" t="str">
        <f t="shared" si="2"/>
        <v>c 928, v "\mp3_ost\lesnaya.mp3"</v>
      </c>
      <c r="K41" s="15" t="str">
        <f t="shared" si="4"/>
        <v>&lt;unit041&gt; "&gt;&gt;ул.Лесная" {c 900, c 928, v "\mp3_ost\lesnaya.mp3",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E42" t="s">
        <v>286</v>
      </c>
      <c r="G42" s="24">
        <f t="shared" si="0"/>
        <v>43</v>
      </c>
      <c r="H42" s="24" t="str">
        <f t="shared" si="1"/>
        <v>c 902</v>
      </c>
      <c r="I42" s="28" t="str">
        <f t="shared" si="2"/>
        <v>c 928, v "\mp3_ost\lesnaya.mp3"</v>
      </c>
      <c r="K42" s="15" t="str">
        <f t="shared" si="4"/>
        <v>&lt;unit042&gt; "ул.Лесная" {c 902, c 928, v "\mp3_ost\lesnaya.mp3", d 000, n 043}</v>
      </c>
    </row>
    <row r="43" spans="2:11" x14ac:dyDescent="0.25">
      <c r="B43">
        <f t="shared" si="5"/>
        <v>43</v>
      </c>
      <c r="C43" t="s">
        <v>344</v>
      </c>
      <c r="D43" t="str">
        <f t="shared" si="6"/>
        <v>&gt;&gt;</v>
      </c>
      <c r="E43" t="s">
        <v>288</v>
      </c>
      <c r="G43" s="24">
        <f t="shared" si="0"/>
        <v>44</v>
      </c>
      <c r="H43" s="24" t="str">
        <f t="shared" si="1"/>
        <v>c 900</v>
      </c>
      <c r="I43" s="28" t="str">
        <f t="shared" si="2"/>
        <v>c 928, v "\mp3_ost\magistra.mp3"</v>
      </c>
      <c r="J43" s="24" t="str">
        <f t="shared" si="3"/>
        <v/>
      </c>
      <c r="K43" s="15" t="str">
        <f t="shared" si="4"/>
        <v>&lt;unit043&gt; "&gt;&gt;ул.Магистральная" {c 900, c 928, v "\mp3_ost\magistra.mp3", d 000, n 044}</v>
      </c>
    </row>
    <row r="44" spans="2:11" x14ac:dyDescent="0.25">
      <c r="B44">
        <f t="shared" si="5"/>
        <v>44</v>
      </c>
      <c r="C44" t="s">
        <v>85</v>
      </c>
      <c r="D44" t="str">
        <f t="shared" si="6"/>
        <v/>
      </c>
      <c r="E44" t="s">
        <v>288</v>
      </c>
      <c r="F44" t="s">
        <v>346</v>
      </c>
      <c r="G44" s="24">
        <f>B46</f>
        <v>46</v>
      </c>
      <c r="H44" s="24" t="str">
        <f t="shared" si="1"/>
        <v>c 902</v>
      </c>
      <c r="I44" s="28" t="str">
        <f t="shared" si="2"/>
        <v>c 928, v "\mp3_ost\magistra.mp3"</v>
      </c>
      <c r="J44" s="24" t="str">
        <f t="shared" si="3"/>
        <v>c 903</v>
      </c>
      <c r="K44" s="15" t="str">
        <f t="shared" si="4"/>
        <v>&lt;unit044&gt; "ул.Магистральная" {c 902, c 928, v "\mp3_ost\magistra.mp3", c 903, d 000, n 046}</v>
      </c>
    </row>
    <row r="45" spans="2:11" x14ac:dyDescent="0.25">
      <c r="K45" s="15"/>
    </row>
    <row r="46" spans="2:11" x14ac:dyDescent="0.25">
      <c r="B46">
        <f t="shared" ref="B46:B86" si="7">ROW(B46)</f>
        <v>46</v>
      </c>
      <c r="E46" s="25" t="s">
        <v>342</v>
      </c>
      <c r="F46" s="25"/>
      <c r="G46" s="24">
        <f>B48</f>
        <v>48</v>
      </c>
      <c r="K46" s="15" t="str">
        <f>"&lt;unit"&amp;TEXT(B46,"000")&amp;"&gt; """&amp;E46&amp;""" {d 000, n "&amp;TEXT(G46,"000")&amp;"}"</f>
        <v>&lt;unit046&gt; "----- Обратный -----" {d 000, n 048}</v>
      </c>
    </row>
    <row r="47" spans="2:11" x14ac:dyDescent="0.25">
      <c r="K47" s="15"/>
    </row>
    <row r="48" spans="2:11" x14ac:dyDescent="0.25">
      <c r="B48">
        <f t="shared" si="7"/>
        <v>48</v>
      </c>
      <c r="C48" t="s">
        <v>85</v>
      </c>
      <c r="D48" t="str">
        <f t="shared" ref="D48:D84" si="8">IF(H48="c 900","&gt;&gt;","")</f>
        <v/>
      </c>
      <c r="E48" t="s">
        <v>288</v>
      </c>
      <c r="G48" s="24">
        <f>B49</f>
        <v>49</v>
      </c>
      <c r="H48" s="24" t="str">
        <f t="shared" ref="H48:H84" si="9">IFERROR("c "&amp;VLOOKUP(C48,Punkti,2,FALSE),"")</f>
        <v>c 902</v>
      </c>
      <c r="I48" s="28" t="str">
        <f t="shared" ref="I48:I84" si="10">IFERROR(VLOOKUP(E48,Ostanovki,7,FALSE),"")</f>
        <v>c 928, v "\mp3_ost\magistra.mp3"</v>
      </c>
      <c r="J48" s="24" t="str">
        <f t="shared" ref="J48:J84" si="11">IFERROR("c "&amp;VLOOKUP(F48,Punkti,2,FALSE),"")</f>
        <v/>
      </c>
      <c r="K48" s="15" t="str">
        <f t="shared" ref="K48:K84" si="12">"&lt;unit"&amp;TEXT(B48,"000")&amp;"&gt; """&amp;СцепитьМного(D48:E48,"")&amp;""" {"&amp;СцепитьМного(H48:J48,", ")&amp;", d 000, n "&amp;TEXT(G48,"000")&amp;"}"</f>
        <v>&lt;unit048&gt; "ул.Магистральная" {c 902, c 928, v "\mp3_ost\magistra.mp3",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286</v>
      </c>
      <c r="G49" s="24">
        <f t="shared" ref="G49:G83" si="13">B50</f>
        <v>50</v>
      </c>
      <c r="H49" s="24" t="str">
        <f t="shared" si="9"/>
        <v>c 900</v>
      </c>
      <c r="I49" s="28" t="str">
        <f t="shared" si="10"/>
        <v>c 928, v "\mp3_ost\lesnaya.mp3"</v>
      </c>
      <c r="J49" s="24" t="str">
        <f t="shared" si="11"/>
        <v/>
      </c>
      <c r="K49" s="15" t="str">
        <f t="shared" si="12"/>
        <v>&lt;unit049&gt; "&gt;&gt;ул.Лесная" {c 900, c 928, v "\mp3_ost\lesnaya.mp3",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286</v>
      </c>
      <c r="G50" s="24">
        <f t="shared" si="13"/>
        <v>51</v>
      </c>
      <c r="H50" s="24" t="str">
        <f t="shared" si="9"/>
        <v>c 902</v>
      </c>
      <c r="I50" s="28" t="str">
        <f t="shared" si="10"/>
        <v>c 928, v "\mp3_ost\lesnaya.mp3"</v>
      </c>
      <c r="J50" s="24" t="str">
        <f t="shared" si="11"/>
        <v/>
      </c>
      <c r="K50" s="15" t="str">
        <f t="shared" si="12"/>
        <v>&lt;unit050&gt; "ул.Лесная" {c 902, c 928, v "\mp3_ost\lesnaya.mp3",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181</v>
      </c>
      <c r="G51" s="24">
        <f t="shared" si="13"/>
        <v>52</v>
      </c>
      <c r="H51" s="24" t="str">
        <f t="shared" si="9"/>
        <v>c 900</v>
      </c>
      <c r="I51" s="28" t="str">
        <f t="shared" si="10"/>
        <v>v "\mp3_ost\8ssh.mp3"</v>
      </c>
      <c r="J51" s="24" t="str">
        <f t="shared" si="11"/>
        <v/>
      </c>
      <c r="K51" s="15" t="str">
        <f t="shared" si="12"/>
        <v>&lt;unit051&gt; "&gt;&gt;СШ № 8" {c 900, v "\mp3_ost\8ssh.mp3",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181</v>
      </c>
      <c r="G52" s="24">
        <f t="shared" si="13"/>
        <v>53</v>
      </c>
      <c r="H52" s="24" t="str">
        <f t="shared" si="9"/>
        <v>c 902</v>
      </c>
      <c r="I52" s="28" t="str">
        <f t="shared" si="10"/>
        <v>v "\mp3_ost\8ssh.mp3"</v>
      </c>
      <c r="J52" s="24" t="str">
        <f t="shared" si="11"/>
        <v/>
      </c>
      <c r="K52" s="15" t="str">
        <f t="shared" si="12"/>
        <v>&lt;unit052&gt; "СШ № 8" {c 902, v "\mp3_ost\8ssh.mp3",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187</v>
      </c>
      <c r="G53" s="24">
        <f t="shared" si="13"/>
        <v>54</v>
      </c>
      <c r="H53" s="24" t="str">
        <f t="shared" si="9"/>
        <v>c 900</v>
      </c>
      <c r="I53" s="28" t="str">
        <f t="shared" si="10"/>
        <v>v "\mp3_ost\bol`nica.mp3"</v>
      </c>
      <c r="J53" s="24" t="str">
        <f t="shared" si="11"/>
        <v/>
      </c>
      <c r="K53" s="15" t="str">
        <f t="shared" si="12"/>
        <v>&lt;unit053&gt; "&gt;&gt;Больница" {c 900, v "\mp3_ost\bol`nica.mp3",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187</v>
      </c>
      <c r="G54" s="24">
        <f t="shared" si="13"/>
        <v>55</v>
      </c>
      <c r="H54" s="24" t="str">
        <f t="shared" si="9"/>
        <v>c 902</v>
      </c>
      <c r="I54" s="28" t="str">
        <f t="shared" si="10"/>
        <v>v "\mp3_ost\bol`nica.mp3"</v>
      </c>
      <c r="J54" s="24" t="str">
        <f t="shared" si="11"/>
        <v/>
      </c>
      <c r="K54" s="15" t="str">
        <f t="shared" si="12"/>
        <v>&lt;unit054&gt; "Больница" {c 902, v "\mp3_ost\bol`nica.mp3",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219</v>
      </c>
      <c r="G55" s="24">
        <f t="shared" si="13"/>
        <v>56</v>
      </c>
      <c r="H55" s="24" t="str">
        <f t="shared" si="9"/>
        <v>c 900</v>
      </c>
      <c r="I55" s="28" t="str">
        <f t="shared" si="10"/>
        <v>v "\mp3_ost\kastel.mp3"</v>
      </c>
      <c r="J55" s="24" t="str">
        <f t="shared" si="11"/>
        <v/>
      </c>
      <c r="K55" s="15" t="str">
        <f t="shared" si="12"/>
        <v>&lt;unit055&gt; "&gt;&gt;Костел" {c 900, v "\mp3_ost\kastel.mp3",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219</v>
      </c>
      <c r="G56" s="24">
        <f t="shared" si="13"/>
        <v>57</v>
      </c>
      <c r="H56" s="24" t="str">
        <f t="shared" si="9"/>
        <v>c 902</v>
      </c>
      <c r="I56" s="28" t="str">
        <f t="shared" si="10"/>
        <v>v "\mp3_ost\kastel.mp3"</v>
      </c>
      <c r="J56" s="24" t="str">
        <f t="shared" si="11"/>
        <v/>
      </c>
      <c r="K56" s="15" t="str">
        <f t="shared" si="12"/>
        <v>&lt;unit056&gt; "Костел" {c 902, v "\mp3_ost\kastel.mp3",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270</v>
      </c>
      <c r="G57" s="24">
        <f t="shared" si="13"/>
        <v>58</v>
      </c>
      <c r="H57" s="24" t="str">
        <f t="shared" si="9"/>
        <v>c 900</v>
      </c>
      <c r="I57" s="28" t="str">
        <f t="shared" si="10"/>
        <v>v "\mp3_ost\venis`e.mp3"</v>
      </c>
      <c r="J57" s="24" t="str">
        <f t="shared" si="11"/>
        <v/>
      </c>
      <c r="K57" s="15" t="str">
        <f t="shared" si="12"/>
        <v>&lt;unit057&gt; "&gt;&gt;пр-т Венисье" {c 900, v "\mp3_ost\venis`e.mp3",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270</v>
      </c>
      <c r="G58" s="24">
        <f t="shared" si="13"/>
        <v>59</v>
      </c>
      <c r="H58" s="24" t="str">
        <f t="shared" si="9"/>
        <v>c 902</v>
      </c>
      <c r="I58" s="28" t="str">
        <f t="shared" si="10"/>
        <v>v "\mp3_ost\venis`e.mp3"</v>
      </c>
      <c r="J58" s="24" t="str">
        <f t="shared" si="11"/>
        <v/>
      </c>
      <c r="K58" s="15" t="str">
        <f t="shared" si="12"/>
        <v>&lt;unit058&gt; "пр-т Венисье" {c 902, v "\mp3_ost\venis`e.mp3",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249</v>
      </c>
      <c r="G59" s="24">
        <f t="shared" si="13"/>
        <v>60</v>
      </c>
      <c r="H59" s="24" t="str">
        <f t="shared" si="9"/>
        <v>c 900</v>
      </c>
      <c r="I59" s="28" t="str">
        <f t="shared" si="10"/>
        <v>v "\mp3_ost\sberbank.mp3"</v>
      </c>
      <c r="J59" s="24" t="str">
        <f t="shared" si="11"/>
        <v/>
      </c>
      <c r="K59" s="15" t="str">
        <f t="shared" si="12"/>
        <v>&lt;unit059&gt; "&gt;&gt;Сбербанк" {c 900, v "\mp3_ost\sberbank.mp3",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249</v>
      </c>
      <c r="G60" s="24">
        <f t="shared" si="13"/>
        <v>61</v>
      </c>
      <c r="H60" s="24" t="str">
        <f t="shared" si="9"/>
        <v>c 902</v>
      </c>
      <c r="I60" s="28" t="str">
        <f t="shared" si="10"/>
        <v>v "\mp3_ost\sberbank.mp3"</v>
      </c>
      <c r="J60" s="24" t="str">
        <f t="shared" si="11"/>
        <v/>
      </c>
      <c r="K60" s="15" t="str">
        <f t="shared" si="12"/>
        <v>&lt;unit060&gt; "Сбербанк" {c 902, v "\mp3_ost\sberbank.mp3",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233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"\mp3_ost\paliklin.mp3"</v>
      </c>
      <c r="J61" s="24" t="str">
        <f t="shared" si="11"/>
        <v/>
      </c>
      <c r="K61" s="15" t="str">
        <f t="shared" si="12"/>
        <v>&lt;unit061&gt; "&gt;&gt;Поликлиника" {c 900, v "\mp3_ost\paliklin.mp3",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233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"\mp3_ost\paliklin.mp3"</v>
      </c>
      <c r="J62" s="24" t="str">
        <f t="shared" si="11"/>
        <v/>
      </c>
      <c r="K62" s="15" t="str">
        <f t="shared" si="12"/>
        <v>&lt;unit062&gt; "Поликлиника" {c 902, v "\mp3_ost\paliklin.mp3",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279</v>
      </c>
      <c r="G63" s="24">
        <f t="shared" si="13"/>
        <v>64</v>
      </c>
      <c r="H63" s="24" t="str">
        <f t="shared" si="9"/>
        <v>c 900</v>
      </c>
      <c r="I63" s="28" t="str">
        <f t="shared" si="10"/>
        <v>c 928, v "\mp3_ost\50letokt.mp3"</v>
      </c>
      <c r="J63" s="24" t="str">
        <f t="shared" si="11"/>
        <v/>
      </c>
      <c r="K63" s="15" t="str">
        <f t="shared" si="12"/>
        <v>&lt;unit063&gt; "&gt;&gt;ул.50 лет Октяб." {c 900, c 928, v "\mp3_ost\50letokt.mp3",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279</v>
      </c>
      <c r="G64" s="24">
        <f t="shared" si="13"/>
        <v>65</v>
      </c>
      <c r="H64" s="24" t="str">
        <f t="shared" si="9"/>
        <v>c 902</v>
      </c>
      <c r="I64" s="28" t="str">
        <f t="shared" si="10"/>
        <v>c 928, v "\mp3_ost\50letokt.mp3"</v>
      </c>
      <c r="J64" s="24" t="str">
        <f t="shared" si="11"/>
        <v/>
      </c>
      <c r="K64" s="15" t="str">
        <f t="shared" si="12"/>
        <v>&lt;unit064&gt; "ул.50 лет Октяб." {c 902, c 928, v "\mp3_ost\50letokt.mp3",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175</v>
      </c>
      <c r="G65" s="24">
        <f t="shared" si="13"/>
        <v>66</v>
      </c>
      <c r="H65" s="24" t="str">
        <f t="shared" si="9"/>
        <v>c 900</v>
      </c>
      <c r="I65" s="28" t="str">
        <f t="shared" si="10"/>
        <v>v "\mp3_ost\mira.mp3"</v>
      </c>
      <c r="J65" s="24" t="str">
        <f t="shared" si="11"/>
        <v/>
      </c>
      <c r="K65" s="15" t="str">
        <f t="shared" si="12"/>
        <v>&lt;unit065&gt; "&gt;&gt;пр-т Мира" {c 900, v "\mp3_ost\mira.mp3",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175</v>
      </c>
      <c r="G66" s="24">
        <f t="shared" si="13"/>
        <v>67</v>
      </c>
      <c r="H66" s="24" t="str">
        <f t="shared" si="9"/>
        <v>c 902</v>
      </c>
      <c r="I66" s="28" t="str">
        <f t="shared" si="10"/>
        <v>v "\mp3_ost\mira.mp3"</v>
      </c>
      <c r="J66" s="24" t="str">
        <f t="shared" si="11"/>
        <v/>
      </c>
      <c r="K66" s="15" t="str">
        <f t="shared" si="12"/>
        <v>&lt;unit066&gt; "пр-т Мира" {c 902, v "\mp3_ost\mira.mp3",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E67" t="s">
        <v>174</v>
      </c>
      <c r="G67" s="24">
        <f t="shared" si="13"/>
        <v>68</v>
      </c>
      <c r="H67" s="24" t="str">
        <f t="shared" si="9"/>
        <v>c 900</v>
      </c>
      <c r="I67" s="28" t="str">
        <f t="shared" si="10"/>
        <v>c 928, v "\mp3_ost\swrokvas.mp3"</v>
      </c>
      <c r="J67" s="24" t="str">
        <f t="shared" si="11"/>
        <v/>
      </c>
      <c r="K67" s="15" t="str">
        <f t="shared" si="12"/>
        <v>&lt;unit067&gt; "&gt;&gt;ул.Сырокваша" {c 900, c 928, v "\mp3_ost\swrokvas.mp3",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E68" t="s">
        <v>174</v>
      </c>
      <c r="G68" s="24">
        <f t="shared" si="13"/>
        <v>69</v>
      </c>
      <c r="H68" s="24" t="str">
        <f t="shared" si="9"/>
        <v>c 902</v>
      </c>
      <c r="I68" s="28" t="str">
        <f t="shared" si="10"/>
        <v>c 928, v "\mp3_ost\swrokvas.mp3"</v>
      </c>
      <c r="J68" s="24" t="str">
        <f t="shared" si="11"/>
        <v/>
      </c>
      <c r="K68" s="15" t="str">
        <f t="shared" si="12"/>
        <v>&lt;unit068&gt; "ул.Сырокваша" {c 902, c 928, v "\mp3_ost\swrokvas.mp3",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E69" t="s">
        <v>172</v>
      </c>
      <c r="G69" s="24">
        <f t="shared" si="13"/>
        <v>70</v>
      </c>
      <c r="H69" s="24" t="str">
        <f t="shared" si="9"/>
        <v>c 900</v>
      </c>
      <c r="I69" s="28" t="str">
        <f t="shared" si="10"/>
        <v>c 928, v "\mp3_ost\moskovsk.mp3"</v>
      </c>
      <c r="J69" s="24" t="str">
        <f t="shared" si="11"/>
        <v/>
      </c>
      <c r="K69" s="15" t="str">
        <f t="shared" si="12"/>
        <v>&lt;unit069&gt; "&gt;&gt;ул.Московская" {c 900, c 928, v "\mp3_ost\moskovsk.mp3",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E70" t="s">
        <v>172</v>
      </c>
      <c r="G70" s="24">
        <f t="shared" si="13"/>
        <v>71</v>
      </c>
      <c r="H70" s="24" t="str">
        <f t="shared" si="9"/>
        <v>c 902</v>
      </c>
      <c r="I70" s="28" t="str">
        <f t="shared" si="10"/>
        <v>c 928, v "\mp3_ost\moskovsk.mp3"</v>
      </c>
      <c r="J70" s="24" t="str">
        <f t="shared" si="11"/>
        <v/>
      </c>
      <c r="K70" s="15" t="str">
        <f t="shared" si="12"/>
        <v>&lt;unit070&gt; "ул.Московская" {c 902, c 928, v "\mp3_ost\moskovsk.mp3",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E71" t="s">
        <v>173</v>
      </c>
      <c r="G71" s="24">
        <f t="shared" si="13"/>
        <v>72</v>
      </c>
      <c r="H71" s="24" t="str">
        <f t="shared" si="9"/>
        <v>c 900</v>
      </c>
      <c r="I71" s="28" t="str">
        <f t="shared" si="10"/>
        <v>c 928, v "\mp3_ost\partizan.mp3"</v>
      </c>
      <c r="J71" s="24" t="str">
        <f t="shared" si="11"/>
        <v/>
      </c>
      <c r="K71" s="15" t="str">
        <f t="shared" si="12"/>
        <v>&lt;unit071&gt; "&gt;&gt;ул.Партизанская" {c 900, c 928, v "\mp3_ost\partizan.mp3",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E72" t="s">
        <v>173</v>
      </c>
      <c r="G72" s="24">
        <f t="shared" si="13"/>
        <v>73</v>
      </c>
      <c r="H72" s="24" t="str">
        <f t="shared" si="9"/>
        <v>c 902</v>
      </c>
      <c r="I72" s="28" t="str">
        <f t="shared" si="10"/>
        <v>c 928, v "\mp3_ost\partizan.mp3"</v>
      </c>
      <c r="J72" s="24" t="str">
        <f t="shared" si="11"/>
        <v/>
      </c>
      <c r="K72" s="15" t="str">
        <f t="shared" si="12"/>
        <v>&lt;unit072&gt; "ул.Партизанская" {c 902, c 928, v "\mp3_ost\partizan.mp3",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E73" t="s">
        <v>170</v>
      </c>
      <c r="G73" s="24">
        <f t="shared" si="13"/>
        <v>74</v>
      </c>
      <c r="H73" s="24" t="str">
        <f t="shared" si="9"/>
        <v>c 900</v>
      </c>
      <c r="I73" s="28" t="str">
        <f t="shared" si="10"/>
        <v>v "\mp3_ost\jd.mp3"</v>
      </c>
      <c r="J73" s="24" t="str">
        <f t="shared" si="11"/>
        <v/>
      </c>
      <c r="K73" s="15" t="str">
        <f t="shared" si="12"/>
        <v>&lt;unit073&gt; "&gt;&gt;ЖД Вокзал" {c 900, v "\mp3_ost\jd.mp3",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E74" t="s">
        <v>170</v>
      </c>
      <c r="G74" s="24">
        <f t="shared" si="13"/>
        <v>75</v>
      </c>
      <c r="H74" s="24" t="str">
        <f t="shared" si="9"/>
        <v>c 902</v>
      </c>
      <c r="I74" s="28" t="str">
        <f t="shared" si="10"/>
        <v>v "\mp3_ost\jd.mp3"</v>
      </c>
      <c r="J74" s="24" t="str">
        <f t="shared" si="11"/>
        <v/>
      </c>
      <c r="K74" s="15" t="str">
        <f t="shared" si="12"/>
        <v>&lt;unit074&gt; "ЖД Вокзал" {c 902, v "\mp3_ost\jd.mp3",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E75" t="s">
        <v>171</v>
      </c>
      <c r="G75" s="24">
        <f t="shared" si="13"/>
        <v>76</v>
      </c>
      <c r="H75" s="24" t="str">
        <f t="shared" si="9"/>
        <v>c 900</v>
      </c>
      <c r="I75" s="28" t="str">
        <f t="shared" si="10"/>
        <v>c 928, v "\mp3_ost\kalinina.mp3"</v>
      </c>
      <c r="J75" s="24" t="str">
        <f t="shared" si="11"/>
        <v/>
      </c>
      <c r="K75" s="15" t="str">
        <f t="shared" si="12"/>
        <v>&lt;unit075&gt; "&gt;&gt;ул.Калинина" {c 900, c 928, v "\mp3_ost\kalinina.mp3",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E76" t="s">
        <v>171</v>
      </c>
      <c r="G76" s="24">
        <f t="shared" si="13"/>
        <v>77</v>
      </c>
      <c r="H76" s="24" t="str">
        <f t="shared" si="9"/>
        <v>c 902</v>
      </c>
      <c r="I76" s="28" t="str">
        <f t="shared" si="10"/>
        <v>c 928, v "\mp3_ost\kalinina.mp3"</v>
      </c>
      <c r="J76" s="24" t="str">
        <f t="shared" si="11"/>
        <v/>
      </c>
      <c r="K76" s="15" t="str">
        <f t="shared" si="12"/>
        <v>&lt;unit076&gt; "ул.Калинина" {c 902, c 928, v "\mp3_ost\kalinina.mp3",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E77" t="s">
        <v>275</v>
      </c>
      <c r="G77" s="24">
        <f t="shared" si="13"/>
        <v>78</v>
      </c>
      <c r="H77" s="24" t="str">
        <f t="shared" si="9"/>
        <v>c 900</v>
      </c>
      <c r="I77" s="28" t="str">
        <f t="shared" si="10"/>
        <v>v "\mp3_ost\inst-zve.mp3"</v>
      </c>
      <c r="J77" s="24" t="str">
        <f t="shared" si="11"/>
        <v/>
      </c>
      <c r="K77" s="15" t="str">
        <f t="shared" si="12"/>
        <v>&lt;unit077&gt; "&gt;&gt;Инст. животновод." {c 900, v "\mp3_ost\inst-zve.mp3",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E78" t="s">
        <v>275</v>
      </c>
      <c r="G78" s="24">
        <f t="shared" si="13"/>
        <v>79</v>
      </c>
      <c r="H78" s="24" t="str">
        <f t="shared" si="9"/>
        <v>c 902</v>
      </c>
      <c r="I78" s="28" t="str">
        <f t="shared" si="10"/>
        <v>v "\mp3_ost\inst-zve.mp3"</v>
      </c>
      <c r="J78" s="24" t="str">
        <f t="shared" si="11"/>
        <v/>
      </c>
      <c r="K78" s="15" t="str">
        <f t="shared" si="12"/>
        <v>&lt;unit078&gt; "Инст. животновод." {c 902, v "\mp3_ost\inst-zve.mp3",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E79" t="s">
        <v>169</v>
      </c>
      <c r="G79" s="24">
        <f t="shared" si="13"/>
        <v>80</v>
      </c>
      <c r="H79" s="24" t="str">
        <f t="shared" si="9"/>
        <v>c 900</v>
      </c>
      <c r="I79" s="28" t="str">
        <f t="shared" si="10"/>
        <v>v "\mp3_ost\jen-gimn.mp3"</v>
      </c>
      <c r="J79" s="24" t="str">
        <f t="shared" si="11"/>
        <v/>
      </c>
      <c r="K79" s="15" t="str">
        <f t="shared" si="12"/>
        <v>&lt;unit079&gt; "&gt;&gt;Женская гимназия" {c 900, v "\mp3_ost\jen-gimn.mp3", d 000, n 080}</v>
      </c>
    </row>
    <row r="80" spans="2:11" x14ac:dyDescent="0.25">
      <c r="B80">
        <f t="shared" si="7"/>
        <v>80</v>
      </c>
      <c r="C80" t="s">
        <v>85</v>
      </c>
      <c r="D80" t="str">
        <f t="shared" si="8"/>
        <v/>
      </c>
      <c r="E80" t="s">
        <v>169</v>
      </c>
      <c r="G80" s="24">
        <f t="shared" si="13"/>
        <v>81</v>
      </c>
      <c r="H80" s="24" t="str">
        <f t="shared" si="9"/>
        <v>c 902</v>
      </c>
      <c r="I80" s="28" t="str">
        <f t="shared" si="10"/>
        <v>v "\mp3_ost\jen-gimn.mp3"</v>
      </c>
      <c r="J80" s="24" t="str">
        <f t="shared" si="11"/>
        <v/>
      </c>
      <c r="K80" s="15" t="str">
        <f t="shared" si="12"/>
        <v>&lt;unit080&gt; "Женская гимназия" {c 902, v "\mp3_ost\jen-gimn.mp3", d 000, n 081}</v>
      </c>
    </row>
    <row r="81" spans="2:11" x14ac:dyDescent="0.25">
      <c r="B81">
        <f t="shared" si="7"/>
        <v>81</v>
      </c>
      <c r="C81" t="s">
        <v>344</v>
      </c>
      <c r="D81" t="str">
        <f t="shared" si="8"/>
        <v>&gt;&gt;</v>
      </c>
      <c r="E81" t="s">
        <v>168</v>
      </c>
      <c r="G81" s="24">
        <f t="shared" si="13"/>
        <v>82</v>
      </c>
      <c r="H81" s="24" t="str">
        <f t="shared" si="9"/>
        <v>c 900</v>
      </c>
      <c r="I81" s="28" t="str">
        <f t="shared" si="10"/>
        <v>v "\mp3_ost\itk.mp3"</v>
      </c>
      <c r="J81" s="24" t="str">
        <f t="shared" si="11"/>
        <v/>
      </c>
      <c r="K81" s="15" t="str">
        <f t="shared" si="12"/>
        <v>&lt;unit081&gt; "&gt;&gt;ИТК-8" {c 900, v "\mp3_ost\itk.mp3", d 000, n 082}</v>
      </c>
    </row>
    <row r="82" spans="2:11" x14ac:dyDescent="0.25">
      <c r="B82">
        <f t="shared" si="7"/>
        <v>82</v>
      </c>
      <c r="C82" t="s">
        <v>85</v>
      </c>
      <c r="D82" t="str">
        <f t="shared" si="8"/>
        <v/>
      </c>
      <c r="E82" t="s">
        <v>168</v>
      </c>
      <c r="G82" s="24">
        <f t="shared" si="13"/>
        <v>83</v>
      </c>
      <c r="H82" s="24" t="str">
        <f t="shared" si="9"/>
        <v>c 902</v>
      </c>
      <c r="I82" s="28" t="str">
        <f t="shared" si="10"/>
        <v>v "\mp3_ost\itk.mp3"</v>
      </c>
      <c r="J82" s="24" t="str">
        <f t="shared" si="11"/>
        <v/>
      </c>
      <c r="K82" s="15" t="str">
        <f t="shared" si="12"/>
        <v>&lt;unit082&gt; "ИТК-8" {c 902, v "\mp3_ost\itk.mp3", d 000, n 083}</v>
      </c>
    </row>
    <row r="83" spans="2:11" x14ac:dyDescent="0.25">
      <c r="B83">
        <f t="shared" si="7"/>
        <v>83</v>
      </c>
      <c r="C83" t="s">
        <v>344</v>
      </c>
      <c r="D83" t="str">
        <f t="shared" si="8"/>
        <v>&gt;&gt;</v>
      </c>
      <c r="E83" t="s">
        <v>268</v>
      </c>
      <c r="G83" s="24">
        <f t="shared" si="13"/>
        <v>84</v>
      </c>
      <c r="H83" s="24" t="str">
        <f t="shared" si="9"/>
        <v>c 900</v>
      </c>
      <c r="I83" s="28" t="str">
        <f t="shared" si="10"/>
        <v>v "\mp3_ost\vch.mp3"</v>
      </c>
      <c r="J83" s="24" t="str">
        <f t="shared" si="11"/>
        <v/>
      </c>
      <c r="K83" s="15" t="str">
        <f t="shared" si="12"/>
        <v>&lt;unit083&gt; "&gt;&gt;Воинская часть" {c 900, v "\mp3_ost\vch.mp3", d 000, n 084}</v>
      </c>
    </row>
    <row r="84" spans="2:11" x14ac:dyDescent="0.25">
      <c r="B84">
        <f t="shared" si="7"/>
        <v>84</v>
      </c>
      <c r="C84" t="s">
        <v>85</v>
      </c>
      <c r="D84" t="str">
        <f t="shared" si="8"/>
        <v/>
      </c>
      <c r="E84" t="s">
        <v>268</v>
      </c>
      <c r="F84" t="s">
        <v>346</v>
      </c>
      <c r="G84" s="24">
        <f>B86</f>
        <v>86</v>
      </c>
      <c r="H84" s="24" t="str">
        <f t="shared" si="9"/>
        <v>c 902</v>
      </c>
      <c r="I84" s="28" t="str">
        <f t="shared" si="10"/>
        <v>v "\mp3_ost\vch.mp3"</v>
      </c>
      <c r="J84" s="24" t="str">
        <f t="shared" si="11"/>
        <v>c 903</v>
      </c>
      <c r="K84" s="15" t="str">
        <f t="shared" si="12"/>
        <v>&lt;unit084&gt; "Воинская часть" {c 902, v "\mp3_ost\vch.mp3", c 903, d 000, n 086}</v>
      </c>
    </row>
    <row r="85" spans="2:11" x14ac:dyDescent="0.25">
      <c r="K85" s="15"/>
    </row>
    <row r="86" spans="2:11" x14ac:dyDescent="0.25">
      <c r="B86">
        <f t="shared" si="7"/>
        <v>86</v>
      </c>
      <c r="E86" s="25" t="s">
        <v>343</v>
      </c>
      <c r="F86" s="25"/>
      <c r="G86" s="24">
        <f>B3</f>
        <v>3</v>
      </c>
      <c r="K86" s="15" t="str">
        <f>"&lt;unit"&amp;TEXT(B86,"000")&amp;"&gt; """&amp;E86&amp;""" {d 000, n "&amp;TEXT(G86,"000")&amp;"}"</f>
        <v>&lt;unit086&gt; "----- Конец -----" {d 000, n 003}</v>
      </c>
    </row>
    <row r="87" spans="2:11" x14ac:dyDescent="0.25">
      <c r="K87" s="15"/>
    </row>
    <row r="88" spans="2:11" x14ac:dyDescent="0.25">
      <c r="K88" s="15" t="str">
        <f>Константы!E2</f>
        <v>&lt;unit921&gt; "Автовокзал" {v "\mp3_knst\av.mp3", w 01}</v>
      </c>
    </row>
    <row r="89" spans="2:11" x14ac:dyDescent="0.25">
      <c r="K89" s="15" t="str">
        <f>Константы!E3</f>
        <v>&lt;unit923&gt; "Гостиница" {v "\mp3_knst\gos.mp3", w 01}</v>
      </c>
    </row>
    <row r="90" spans="2:11" x14ac:dyDescent="0.25">
      <c r="K90" s="15" t="str">
        <f>Константы!E4</f>
        <v>&lt;unit922&gt; "Дисп. станция" {v "\mp3_knst\ds.mp3", w 01}</v>
      </c>
    </row>
    <row r="91" spans="2:11" x14ac:dyDescent="0.25">
      <c r="K91" s="15" t="str">
        <f>Константы!E5</f>
        <v>&lt;unit903&gt; "Канцавая" {v "\mp3_knst\kanc.mp3", w 01}</v>
      </c>
    </row>
    <row r="92" spans="2:11" x14ac:dyDescent="0.25">
      <c r="K92" s="15" t="str">
        <f>Константы!E6</f>
        <v>&lt;unit924&gt; "Конечная" {v "\mp3_knst\ko.mp3", w 01}</v>
      </c>
    </row>
    <row r="93" spans="2:11" x14ac:dyDescent="0.25">
      <c r="K93" s="15" t="str">
        <f>Константы!E7</f>
        <v>&lt;unit902&gt; "Остановка" {v "\mp3_knst\ost.mp3", w 01}</v>
      </c>
    </row>
    <row r="94" spans="2:11" x14ac:dyDescent="0.25">
      <c r="K94" s="15" t="str">
        <f>Константы!E8</f>
        <v>&lt;unit900&gt; "Дв. закр. След. ост." {v "\mp3_knst\ostor.mp3", w 01}</v>
      </c>
    </row>
    <row r="95" spans="2:11" x14ac:dyDescent="0.25">
      <c r="K95" s="15" t="str">
        <f>Константы!E9</f>
        <v>&lt;unit925&gt; "Площадь" {v "\mp3_knst\pl.mp3", w 01}</v>
      </c>
    </row>
    <row r="96" spans="2:11" x14ac:dyDescent="0.25">
      <c r="K96" s="15" t="str">
        <f>Константы!E10</f>
        <v>&lt;unit926&gt; "Проспект" {v "\mp3_knst\pr.mp3", w 01}</v>
      </c>
    </row>
    <row r="97" spans="11:11" x14ac:dyDescent="0.25">
      <c r="K97" s="15" t="str">
        <f>Константы!E11</f>
        <v>&lt;unit927&gt; "Станция метро" {v "\mp3_knst\sm.mp3", w 01}</v>
      </c>
    </row>
    <row r="98" spans="11:11" x14ac:dyDescent="0.25">
      <c r="K9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44 E48:E84">
      <formula1>Zag_Ost</formula1>
    </dataValidation>
    <dataValidation type="list" allowBlank="1" showInputMessage="1" showErrorMessage="1" sqref="C8:C44 F8:F44 F48:F84 C48:C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9</vt:i4>
      </vt:variant>
    </vt:vector>
  </HeadingPairs>
  <TitlesOfParts>
    <vt:vector size="42" baseType="lpstr">
      <vt:lpstr>Настройки</vt:lpstr>
      <vt:lpstr>Константы</vt:lpstr>
      <vt:lpstr>Остановки</vt:lpstr>
      <vt:lpstr>Табло</vt:lpstr>
      <vt:lpstr>Шаблон маршрута</vt:lpstr>
      <vt:lpstr>route.txt</vt:lpstr>
      <vt:lpstr>route</vt:lpstr>
      <vt:lpstr>1</vt:lpstr>
      <vt:lpstr>2</vt:lpstr>
      <vt:lpstr>5</vt:lpstr>
      <vt:lpstr>7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2019-08-14T13:34:42Z</dcterms:modified>
</cp:coreProperties>
</file>