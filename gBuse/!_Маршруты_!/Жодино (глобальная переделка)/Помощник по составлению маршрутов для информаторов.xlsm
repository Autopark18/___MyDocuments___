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activeTab="1"/>
  </bookViews>
  <sheets>
    <sheet name="Настройки" sheetId="2" r:id="rId1"/>
    <sheet name="Константы" sheetId="37" r:id="rId2"/>
    <sheet name="Остановки" sheetId="38" r:id="rId3"/>
    <sheet name="Табло" sheetId="40" r:id="rId4"/>
    <sheet name="Шаблон маршрута" sheetId="48" r:id="rId5"/>
    <sheet name="route.txt" sheetId="47" r:id="rId6"/>
    <sheet name="route" sheetId="1" r:id="rId7"/>
    <sheet name="1" sheetId="42" r:id="rId8"/>
    <sheet name="barsuki" sheetId="3" r:id="rId9"/>
    <sheet name="budagovo" sheetId="16" r:id="rId10"/>
    <sheet name="zamlinie" sheetId="17" r:id="rId11"/>
    <sheet name="zel_bor" sheetId="18" r:id="rId12"/>
    <sheet name="logoisk" sheetId="19" r:id="rId13"/>
    <sheet name="ljutka" sheetId="20" r:id="rId14"/>
    <sheet name="napalki" sheetId="21" r:id="rId15"/>
    <sheet name="sutoki" sheetId="22" r:id="rId16"/>
    <sheet name="tochil" sheetId="23" r:id="rId17"/>
    <sheet name="uzefovo" sheetId="24" r:id="rId18"/>
    <sheet name="jalov" sheetId="25" r:id="rId19"/>
    <sheet name="automob" sheetId="26" r:id="rId20"/>
    <sheet name="zhurav" sheetId="27" r:id="rId21"/>
    <sheet name="pov_zur" sheetId="28" r:id="rId22"/>
    <sheet name="raduga" sheetId="29" r:id="rId23"/>
    <sheet name="rodnik" sheetId="30" r:id="rId24"/>
    <sheet name="stroit" sheetId="31" r:id="rId25"/>
    <sheet name="sluzhebn" sheetId="32" r:id="rId26"/>
    <sheet name="zakaz" sheetId="33" r:id="rId27"/>
    <sheet name="snekpro" sheetId="34" r:id="rId28"/>
    <sheet name="deti" sheetId="35" r:id="rId29"/>
    <sheet name="v_park" sheetId="36" r:id="rId30"/>
  </sheets>
  <functionGroups builtInGroupCount="18"/>
  <definedNames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Остановки!$B$2:$H$63</definedName>
    <definedName name="Pref_Punktov">Константы!$A$2:$A$12</definedName>
    <definedName name="Punkti">Константы!$A$2:$B$12</definedName>
    <definedName name="Tablo_Tab">'route.txt'!$A$1:$B$59</definedName>
    <definedName name="Tablo_Zag">'route.txt'!$A$1:$A$59</definedName>
    <definedName name="Zag_Ost">Остановки!$B$2:$B$63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0" i="47" l="1"/>
  <c r="B61" i="47"/>
  <c r="B62" i="47"/>
  <c r="A60" i="47"/>
  <c r="D60" i="47" s="1"/>
  <c r="A61" i="47"/>
  <c r="C61" i="47" s="1"/>
  <c r="A62" i="47"/>
  <c r="D62" i="47" s="1"/>
  <c r="A53" i="47"/>
  <c r="A54" i="47"/>
  <c r="A55" i="47"/>
  <c r="A56" i="47"/>
  <c r="A57" i="47"/>
  <c r="A58" i="47"/>
  <c r="A59" i="47"/>
  <c r="A45" i="47"/>
  <c r="A46" i="47"/>
  <c r="A47" i="47"/>
  <c r="A48" i="47"/>
  <c r="A49" i="47"/>
  <c r="A50" i="47"/>
  <c r="A51" i="47"/>
  <c r="A52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2" i="47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" i="47"/>
  <c r="G85" i="48"/>
  <c r="G86" i="48"/>
  <c r="G87" i="48"/>
  <c r="L87" i="48"/>
  <c r="K87" i="48"/>
  <c r="J87" i="48"/>
  <c r="D87" i="48" s="1"/>
  <c r="B87" i="48"/>
  <c r="L86" i="48"/>
  <c r="K86" i="48"/>
  <c r="J86" i="48"/>
  <c r="D86" i="48" s="1"/>
  <c r="B86" i="48"/>
  <c r="L85" i="48"/>
  <c r="K85" i="48"/>
  <c r="J85" i="48"/>
  <c r="D85" i="48" s="1"/>
  <c r="B85" i="48"/>
  <c r="G84" i="48" s="1"/>
  <c r="L84" i="48"/>
  <c r="K84" i="48"/>
  <c r="J84" i="48"/>
  <c r="D84" i="48" s="1"/>
  <c r="B84" i="48"/>
  <c r="G83" i="48" s="1"/>
  <c r="L45" i="48"/>
  <c r="K45" i="48"/>
  <c r="J45" i="48"/>
  <c r="D45" i="48" s="1"/>
  <c r="B45" i="48"/>
  <c r="G44" i="48" s="1"/>
  <c r="L44" i="48"/>
  <c r="K44" i="48"/>
  <c r="J44" i="48"/>
  <c r="D44" i="48" s="1"/>
  <c r="B44" i="48"/>
  <c r="G43" i="48" s="1"/>
  <c r="L43" i="48"/>
  <c r="K43" i="48"/>
  <c r="J43" i="48"/>
  <c r="D43" i="48" s="1"/>
  <c r="B43" i="48"/>
  <c r="G42" i="48" s="1"/>
  <c r="L42" i="48"/>
  <c r="K42" i="48"/>
  <c r="J42" i="48"/>
  <c r="D42" i="48" s="1"/>
  <c r="B42" i="48"/>
  <c r="G41" i="48" s="1"/>
  <c r="B90" i="48"/>
  <c r="L88" i="48"/>
  <c r="J88" i="48"/>
  <c r="D88" i="48" s="1"/>
  <c r="G88" i="48"/>
  <c r="B88" i="48"/>
  <c r="L83" i="48"/>
  <c r="J83" i="48"/>
  <c r="D83" i="48" s="1"/>
  <c r="B83" i="48"/>
  <c r="G82" i="48" s="1"/>
  <c r="L82" i="48"/>
  <c r="J82" i="48"/>
  <c r="D82" i="48" s="1"/>
  <c r="B82" i="48"/>
  <c r="G81" i="48" s="1"/>
  <c r="L81" i="48"/>
  <c r="J81" i="48"/>
  <c r="D81" i="48" s="1"/>
  <c r="B81" i="48"/>
  <c r="L80" i="48"/>
  <c r="J80" i="48"/>
  <c r="D80" i="48" s="1"/>
  <c r="G80" i="48"/>
  <c r="B80" i="48"/>
  <c r="L79" i="48"/>
  <c r="J79" i="48"/>
  <c r="D79" i="48" s="1"/>
  <c r="G79" i="48"/>
  <c r="B79" i="48"/>
  <c r="L78" i="48"/>
  <c r="J78" i="48"/>
  <c r="D78" i="48" s="1"/>
  <c r="G78" i="48"/>
  <c r="B78" i="48"/>
  <c r="L77" i="48"/>
  <c r="J77" i="48"/>
  <c r="D77" i="48" s="1"/>
  <c r="G77" i="48"/>
  <c r="B77" i="48"/>
  <c r="L76" i="48"/>
  <c r="J76" i="48"/>
  <c r="D76" i="48" s="1"/>
  <c r="G76" i="48"/>
  <c r="B76" i="48"/>
  <c r="L75" i="48"/>
  <c r="J75" i="48"/>
  <c r="D75" i="48" s="1"/>
  <c r="G75" i="48"/>
  <c r="B75" i="48"/>
  <c r="L74" i="48"/>
  <c r="J74" i="48"/>
  <c r="D74" i="48" s="1"/>
  <c r="G74" i="48"/>
  <c r="B74" i="48"/>
  <c r="L73" i="48"/>
  <c r="J73" i="48"/>
  <c r="D73" i="48" s="1"/>
  <c r="G73" i="48"/>
  <c r="B73" i="48"/>
  <c r="L72" i="48"/>
  <c r="J72" i="48"/>
  <c r="D72" i="48" s="1"/>
  <c r="G72" i="48"/>
  <c r="B72" i="48"/>
  <c r="L71" i="48"/>
  <c r="J71" i="48"/>
  <c r="D71" i="48" s="1"/>
  <c r="G71" i="48"/>
  <c r="B71" i="48"/>
  <c r="L70" i="48"/>
  <c r="J70" i="48"/>
  <c r="D70" i="48" s="1"/>
  <c r="G70" i="48"/>
  <c r="B70" i="48"/>
  <c r="L69" i="48"/>
  <c r="J69" i="48"/>
  <c r="D69" i="48" s="1"/>
  <c r="G69" i="48"/>
  <c r="B69" i="48"/>
  <c r="L68" i="48"/>
  <c r="J68" i="48"/>
  <c r="D68" i="48" s="1"/>
  <c r="G68" i="48"/>
  <c r="B68" i="48"/>
  <c r="L67" i="48"/>
  <c r="J67" i="48"/>
  <c r="D67" i="48" s="1"/>
  <c r="G67" i="48"/>
  <c r="B67" i="48"/>
  <c r="L66" i="48"/>
  <c r="J66" i="48"/>
  <c r="D66" i="48" s="1"/>
  <c r="G66" i="48"/>
  <c r="B66" i="48"/>
  <c r="L65" i="48"/>
  <c r="J65" i="48"/>
  <c r="D65" i="48" s="1"/>
  <c r="G65" i="48"/>
  <c r="B65" i="48"/>
  <c r="L64" i="48"/>
  <c r="J64" i="48"/>
  <c r="D64" i="48" s="1"/>
  <c r="G64" i="48"/>
  <c r="B64" i="48"/>
  <c r="L63" i="48"/>
  <c r="J63" i="48"/>
  <c r="D63" i="48" s="1"/>
  <c r="G63" i="48"/>
  <c r="B63" i="48"/>
  <c r="L62" i="48"/>
  <c r="J62" i="48"/>
  <c r="D62" i="48" s="1"/>
  <c r="G62" i="48"/>
  <c r="B62" i="48"/>
  <c r="L61" i="48"/>
  <c r="J61" i="48"/>
  <c r="D61" i="48" s="1"/>
  <c r="G61" i="48"/>
  <c r="B61" i="48"/>
  <c r="L60" i="48"/>
  <c r="J60" i="48"/>
  <c r="D60" i="48" s="1"/>
  <c r="G60" i="48"/>
  <c r="B60" i="48"/>
  <c r="L59" i="48"/>
  <c r="J59" i="48"/>
  <c r="D59" i="48" s="1"/>
  <c r="G59" i="48"/>
  <c r="B59" i="48"/>
  <c r="L58" i="48"/>
  <c r="J58" i="48"/>
  <c r="D58" i="48" s="1"/>
  <c r="G58" i="48"/>
  <c r="B58" i="48"/>
  <c r="L57" i="48"/>
  <c r="J57" i="48"/>
  <c r="D57" i="48" s="1"/>
  <c r="G57" i="48"/>
  <c r="B57" i="48"/>
  <c r="L56" i="48"/>
  <c r="J56" i="48"/>
  <c r="D56" i="48" s="1"/>
  <c r="G56" i="48"/>
  <c r="B56" i="48"/>
  <c r="L55" i="48"/>
  <c r="J55" i="48"/>
  <c r="D55" i="48" s="1"/>
  <c r="G55" i="48"/>
  <c r="B55" i="48"/>
  <c r="L54" i="48"/>
  <c r="J54" i="48"/>
  <c r="D54" i="48" s="1"/>
  <c r="G54" i="48"/>
  <c r="B54" i="48"/>
  <c r="L53" i="48"/>
  <c r="J53" i="48"/>
  <c r="D53" i="48" s="1"/>
  <c r="G53" i="48"/>
  <c r="B53" i="48"/>
  <c r="L52" i="48"/>
  <c r="J52" i="48"/>
  <c r="D52" i="48" s="1"/>
  <c r="G52" i="48"/>
  <c r="B52" i="48"/>
  <c r="L51" i="48"/>
  <c r="J51" i="48"/>
  <c r="D51" i="48" s="1"/>
  <c r="G51" i="48"/>
  <c r="B51" i="48"/>
  <c r="L50" i="48"/>
  <c r="J50" i="48"/>
  <c r="D50" i="48" s="1"/>
  <c r="G50" i="48"/>
  <c r="B50" i="48"/>
  <c r="G48" i="48" s="1"/>
  <c r="B48" i="48"/>
  <c r="L46" i="48"/>
  <c r="J46" i="48"/>
  <c r="D46" i="48" s="1"/>
  <c r="G46" i="48"/>
  <c r="B46" i="48"/>
  <c r="G45" i="48" s="1"/>
  <c r="L41" i="48"/>
  <c r="J41" i="48"/>
  <c r="D41" i="48" s="1"/>
  <c r="B41" i="48"/>
  <c r="G40" i="48" s="1"/>
  <c r="L40" i="48"/>
  <c r="J40" i="48"/>
  <c r="D40" i="48" s="1"/>
  <c r="B40" i="48"/>
  <c r="G39" i="48" s="1"/>
  <c r="L39" i="48"/>
  <c r="J39" i="48"/>
  <c r="D39" i="48" s="1"/>
  <c r="B39" i="48"/>
  <c r="L38" i="48"/>
  <c r="J38" i="48"/>
  <c r="D38" i="48" s="1"/>
  <c r="G38" i="48"/>
  <c r="B38" i="48"/>
  <c r="L37" i="48"/>
  <c r="J37" i="48"/>
  <c r="D37" i="48" s="1"/>
  <c r="G37" i="48"/>
  <c r="B37" i="48"/>
  <c r="L36" i="48"/>
  <c r="J36" i="48"/>
  <c r="D36" i="48" s="1"/>
  <c r="G36" i="48"/>
  <c r="B36" i="48"/>
  <c r="L35" i="48"/>
  <c r="J35" i="48"/>
  <c r="D35" i="48" s="1"/>
  <c r="G35" i="48"/>
  <c r="B35" i="48"/>
  <c r="L34" i="48"/>
  <c r="J34" i="48"/>
  <c r="D34" i="48" s="1"/>
  <c r="G34" i="48"/>
  <c r="B34" i="48"/>
  <c r="L33" i="48"/>
  <c r="J33" i="48"/>
  <c r="D33" i="48" s="1"/>
  <c r="G33" i="48"/>
  <c r="B33" i="48"/>
  <c r="L32" i="48"/>
  <c r="J32" i="48"/>
  <c r="D32" i="48" s="1"/>
  <c r="G32" i="48"/>
  <c r="B32" i="48"/>
  <c r="L31" i="48"/>
  <c r="J31" i="48"/>
  <c r="D31" i="48" s="1"/>
  <c r="G31" i="48"/>
  <c r="B31" i="48"/>
  <c r="L30" i="48"/>
  <c r="J30" i="48"/>
  <c r="D30" i="48" s="1"/>
  <c r="G30" i="48"/>
  <c r="B30" i="48"/>
  <c r="L29" i="48"/>
  <c r="J29" i="48"/>
  <c r="D29" i="48" s="1"/>
  <c r="G29" i="48"/>
  <c r="B29" i="48"/>
  <c r="L28" i="48"/>
  <c r="J28" i="48"/>
  <c r="D28" i="48" s="1"/>
  <c r="G28" i="48"/>
  <c r="B28" i="48"/>
  <c r="L27" i="48"/>
  <c r="J27" i="48"/>
  <c r="D27" i="48" s="1"/>
  <c r="G27" i="48"/>
  <c r="B27" i="48"/>
  <c r="L26" i="48"/>
  <c r="J26" i="48"/>
  <c r="D26" i="48" s="1"/>
  <c r="G26" i="48"/>
  <c r="B26" i="48"/>
  <c r="L25" i="48"/>
  <c r="J25" i="48"/>
  <c r="D25" i="48" s="1"/>
  <c r="G25" i="48"/>
  <c r="B25" i="48"/>
  <c r="L24" i="48"/>
  <c r="J24" i="48"/>
  <c r="D24" i="48" s="1"/>
  <c r="G24" i="48"/>
  <c r="B24" i="48"/>
  <c r="L23" i="48"/>
  <c r="J23" i="48"/>
  <c r="D23" i="48" s="1"/>
  <c r="G23" i="48"/>
  <c r="B23" i="48"/>
  <c r="L22" i="48"/>
  <c r="J22" i="48"/>
  <c r="D22" i="48" s="1"/>
  <c r="G22" i="48"/>
  <c r="B22" i="48"/>
  <c r="L21" i="48"/>
  <c r="J21" i="48"/>
  <c r="D21" i="48" s="1"/>
  <c r="G21" i="48"/>
  <c r="B21" i="48"/>
  <c r="L20" i="48"/>
  <c r="J20" i="48"/>
  <c r="D20" i="48" s="1"/>
  <c r="G20" i="48"/>
  <c r="B20" i="48"/>
  <c r="L19" i="48"/>
  <c r="J19" i="48"/>
  <c r="D19" i="48" s="1"/>
  <c r="G19" i="48"/>
  <c r="B19" i="48"/>
  <c r="L18" i="48"/>
  <c r="J18" i="48"/>
  <c r="D18" i="48" s="1"/>
  <c r="G18" i="48"/>
  <c r="B18" i="48"/>
  <c r="L17" i="48"/>
  <c r="J17" i="48"/>
  <c r="D17" i="48" s="1"/>
  <c r="G17" i="48"/>
  <c r="B17" i="48"/>
  <c r="G16" i="48" s="1"/>
  <c r="L16" i="48"/>
  <c r="J16" i="48"/>
  <c r="D16" i="48" s="1"/>
  <c r="B16" i="48"/>
  <c r="L15" i="48"/>
  <c r="J15" i="48"/>
  <c r="D15" i="48" s="1"/>
  <c r="G15" i="48"/>
  <c r="B15" i="48"/>
  <c r="L14" i="48"/>
  <c r="J14" i="48"/>
  <c r="D14" i="48" s="1"/>
  <c r="G14" i="48"/>
  <c r="B14" i="48"/>
  <c r="L13" i="48"/>
  <c r="J13" i="48"/>
  <c r="D13" i="48" s="1"/>
  <c r="G13" i="48"/>
  <c r="B13" i="48"/>
  <c r="L12" i="48"/>
  <c r="J12" i="48"/>
  <c r="D12" i="48" s="1"/>
  <c r="G12" i="48"/>
  <c r="B12" i="48"/>
  <c r="L11" i="48"/>
  <c r="J11" i="48"/>
  <c r="D11" i="48" s="1"/>
  <c r="G11" i="48"/>
  <c r="B11" i="48"/>
  <c r="L10" i="48"/>
  <c r="J10" i="48"/>
  <c r="D10" i="48" s="1"/>
  <c r="G10" i="48"/>
  <c r="B10" i="48"/>
  <c r="L9" i="48"/>
  <c r="J9" i="48"/>
  <c r="D9" i="48" s="1"/>
  <c r="G9" i="48"/>
  <c r="B9" i="48"/>
  <c r="L8" i="48"/>
  <c r="J8" i="48"/>
  <c r="D8" i="48" s="1"/>
  <c r="G8" i="48"/>
  <c r="B8" i="48"/>
  <c r="G6" i="48" s="1"/>
  <c r="B6" i="48"/>
  <c r="B4" i="48"/>
  <c r="B3" i="48"/>
  <c r="G90" i="48" s="1"/>
  <c r="A4" i="48"/>
  <c r="A2" i="48"/>
  <c r="A3" i="48"/>
  <c r="I36" i="48" l="1"/>
  <c r="C62" i="47"/>
  <c r="D61" i="47"/>
  <c r="C60" i="47"/>
  <c r="I65" i="48"/>
  <c r="I11" i="48"/>
  <c r="I20" i="48"/>
  <c r="I85" i="48"/>
  <c r="I28" i="48"/>
  <c r="I57" i="48"/>
  <c r="I73" i="48"/>
  <c r="I43" i="48"/>
  <c r="I15" i="48"/>
  <c r="I16" i="48"/>
  <c r="I24" i="48"/>
  <c r="I32" i="48"/>
  <c r="I53" i="48"/>
  <c r="I61" i="48"/>
  <c r="I69" i="48"/>
  <c r="I77" i="48"/>
  <c r="I87" i="48"/>
  <c r="I9" i="48"/>
  <c r="I13" i="48"/>
  <c r="I18" i="48"/>
  <c r="I22" i="48"/>
  <c r="I26" i="48"/>
  <c r="I30" i="48"/>
  <c r="I34" i="48"/>
  <c r="I38" i="48"/>
  <c r="I39" i="48"/>
  <c r="I40" i="48"/>
  <c r="I41" i="48"/>
  <c r="I51" i="48"/>
  <c r="I55" i="48"/>
  <c r="I59" i="48"/>
  <c r="I63" i="48"/>
  <c r="I67" i="48"/>
  <c r="I71" i="48"/>
  <c r="I75" i="48"/>
  <c r="I79" i="48"/>
  <c r="I88" i="48"/>
  <c r="I45" i="48"/>
  <c r="I86" i="48"/>
  <c r="I10" i="48"/>
  <c r="I12" i="48"/>
  <c r="I14" i="48"/>
  <c r="I17" i="48"/>
  <c r="I19" i="48"/>
  <c r="I21" i="48"/>
  <c r="I23" i="48"/>
  <c r="I25" i="48"/>
  <c r="I27" i="48"/>
  <c r="I29" i="48"/>
  <c r="I31" i="48"/>
  <c r="I33" i="48"/>
  <c r="I35" i="48"/>
  <c r="I37" i="48"/>
  <c r="I46" i="48"/>
  <c r="I50" i="48"/>
  <c r="I52" i="48"/>
  <c r="I54" i="48"/>
  <c r="I56" i="48"/>
  <c r="I58" i="48"/>
  <c r="I60" i="48"/>
  <c r="I62" i="48"/>
  <c r="I64" i="48"/>
  <c r="I66" i="48"/>
  <c r="I68" i="48"/>
  <c r="I70" i="48"/>
  <c r="I72" i="48"/>
  <c r="I74" i="48"/>
  <c r="I76" i="48"/>
  <c r="I78" i="48"/>
  <c r="I80" i="48"/>
  <c r="I81" i="48"/>
  <c r="I82" i="48"/>
  <c r="I83" i="48"/>
  <c r="I42" i="48"/>
  <c r="I44" i="48"/>
  <c r="I84" i="48"/>
  <c r="G4" i="48"/>
  <c r="G3" i="48"/>
  <c r="M3" i="48" s="1"/>
  <c r="M4" i="48"/>
  <c r="M6" i="48"/>
  <c r="M48" i="48"/>
  <c r="M2" i="48"/>
  <c r="M90" i="48"/>
  <c r="I47" i="42"/>
  <c r="I48" i="42"/>
  <c r="I49" i="42"/>
  <c r="I50" i="42"/>
  <c r="I51" i="42"/>
  <c r="I52" i="42"/>
  <c r="I53" i="42"/>
  <c r="I54" i="42"/>
  <c r="I55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46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C44" i="47"/>
  <c r="C45" i="47"/>
  <c r="C46" i="47"/>
  <c r="C47" i="47"/>
  <c r="C48" i="47"/>
  <c r="C49" i="47"/>
  <c r="C50" i="47"/>
  <c r="C51" i="47"/>
  <c r="C52" i="47"/>
  <c r="C53" i="47"/>
  <c r="C54" i="47"/>
  <c r="C55" i="47"/>
  <c r="C56" i="47"/>
  <c r="C57" i="47"/>
  <c r="C58" i="47"/>
  <c r="C59" i="47"/>
  <c r="C2" i="47"/>
  <c r="C3" i="47"/>
  <c r="C4" i="47"/>
  <c r="C5" i="47"/>
  <c r="C6" i="47"/>
  <c r="C7" i="47"/>
  <c r="C8" i="47"/>
  <c r="C9" i="47"/>
  <c r="C10" i="47"/>
  <c r="C11" i="47"/>
  <c r="C12" i="47"/>
  <c r="C13" i="47"/>
  <c r="C14" i="47"/>
  <c r="C1" i="47"/>
  <c r="B47" i="47"/>
  <c r="D47" i="47" s="1"/>
  <c r="B50" i="47"/>
  <c r="D50" i="47" s="1"/>
  <c r="B44" i="47"/>
  <c r="D44" i="47" s="1"/>
  <c r="B14" i="47"/>
  <c r="D14" i="47" s="1"/>
  <c r="B6" i="47"/>
  <c r="D6" i="47" s="1"/>
  <c r="B28" i="47"/>
  <c r="D28" i="47" s="1"/>
  <c r="B21" i="47"/>
  <c r="D21" i="47" s="1"/>
  <c r="B9" i="47"/>
  <c r="D9" i="47" s="1"/>
  <c r="B15" i="47"/>
  <c r="D15" i="47" s="1"/>
  <c r="B16" i="47"/>
  <c r="D16" i="47" s="1"/>
  <c r="B38" i="47"/>
  <c r="D38" i="47" s="1"/>
  <c r="B49" i="47"/>
  <c r="D49" i="47" s="1"/>
  <c r="B22" i="47"/>
  <c r="D22" i="47" s="1"/>
  <c r="B52" i="47"/>
  <c r="D52" i="47" s="1"/>
  <c r="B41" i="47"/>
  <c r="D41" i="47" s="1"/>
  <c r="B37" i="47"/>
  <c r="D37" i="47" s="1"/>
  <c r="B18" i="47"/>
  <c r="D18" i="47" s="1"/>
  <c r="B40" i="47"/>
  <c r="D40" i="47" s="1"/>
  <c r="B30" i="47"/>
  <c r="D30" i="47" s="1"/>
  <c r="B54" i="47"/>
  <c r="D54" i="47" s="1"/>
  <c r="B36" i="47"/>
  <c r="D36" i="47" s="1"/>
  <c r="B29" i="47"/>
  <c r="D29" i="47" s="1"/>
  <c r="B20" i="47"/>
  <c r="D20" i="47" s="1"/>
  <c r="B27" i="47"/>
  <c r="D27" i="47" s="1"/>
  <c r="B53" i="47"/>
  <c r="D53" i="47" s="1"/>
  <c r="B8" i="47"/>
  <c r="D8" i="47" s="1"/>
  <c r="B12" i="47"/>
  <c r="D12" i="47" s="1"/>
  <c r="B11" i="47"/>
  <c r="D11" i="47" s="1"/>
  <c r="B5" i="47"/>
  <c r="D5" i="47" s="1"/>
  <c r="B42" i="47"/>
  <c r="D42" i="47" s="1"/>
  <c r="B24" i="47"/>
  <c r="D24" i="47" s="1"/>
  <c r="B39" i="47"/>
  <c r="D39" i="47" s="1"/>
  <c r="B26" i="47"/>
  <c r="D26" i="47" s="1"/>
  <c r="B32" i="47"/>
  <c r="D32" i="47" s="1"/>
  <c r="B4" i="47"/>
  <c r="D4" i="47" s="1"/>
  <c r="B3" i="47"/>
  <c r="D3" i="47" s="1"/>
  <c r="B23" i="47"/>
  <c r="D23" i="47" s="1"/>
  <c r="B17" i="47"/>
  <c r="D17" i="47" s="1"/>
  <c r="B7" i="47"/>
  <c r="D7" i="47" s="1"/>
  <c r="B31" i="47"/>
  <c r="D31" i="47" s="1"/>
  <c r="B45" i="47"/>
  <c r="D45" i="47" s="1"/>
  <c r="B58" i="47"/>
  <c r="D58" i="47" s="1"/>
  <c r="B46" i="47"/>
  <c r="D46" i="47" s="1"/>
  <c r="B1" i="47"/>
  <c r="D1" i="47" s="1"/>
  <c r="B19" i="47"/>
  <c r="D19" i="47" s="1"/>
  <c r="B56" i="47"/>
  <c r="B59" i="47"/>
  <c r="I9" i="42" s="1"/>
  <c r="B43" i="47"/>
  <c r="B34" i="47"/>
  <c r="I13" i="42" s="1"/>
  <c r="B13" i="47"/>
  <c r="D13" i="47" s="1"/>
  <c r="B10" i="47"/>
  <c r="D10" i="47" s="1"/>
  <c r="B51" i="47"/>
  <c r="D51" i="47" s="1"/>
  <c r="B48" i="47"/>
  <c r="D48" i="47" s="1"/>
  <c r="B55" i="47"/>
  <c r="D55" i="47" s="1"/>
  <c r="B25" i="47"/>
  <c r="D25" i="47" s="1"/>
  <c r="B35" i="47"/>
  <c r="D35" i="47" s="1"/>
  <c r="B57" i="47"/>
  <c r="D57" i="47" s="1"/>
  <c r="B33" i="47"/>
  <c r="D33" i="47" s="1"/>
  <c r="B2" i="47"/>
  <c r="D2" i="47" s="1"/>
  <c r="M85" i="48"/>
  <c r="M43" i="48"/>
  <c r="M87" i="48"/>
  <c r="M86" i="48"/>
  <c r="M42" i="48"/>
  <c r="M84" i="48"/>
  <c r="M44" i="48"/>
  <c r="M45" i="48"/>
  <c r="I11" i="42" l="1"/>
  <c r="I8" i="48"/>
  <c r="D56" i="47"/>
  <c r="D34" i="47"/>
  <c r="I14" i="42"/>
  <c r="I12" i="42"/>
  <c r="I10" i="42"/>
  <c r="D59" i="47"/>
  <c r="D43" i="47"/>
  <c r="I8" i="42"/>
  <c r="F29" i="38"/>
  <c r="G29" i="38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J61" i="42"/>
  <c r="D61" i="42" s="1"/>
  <c r="J62" i="42"/>
  <c r="D62" i="42" s="1"/>
  <c r="J63" i="42"/>
  <c r="D63" i="42" s="1"/>
  <c r="J64" i="42"/>
  <c r="D64" i="42" s="1"/>
  <c r="J65" i="42"/>
  <c r="D65" i="42" s="1"/>
  <c r="J66" i="42"/>
  <c r="D66" i="42" s="1"/>
  <c r="J67" i="42"/>
  <c r="D67" i="42" s="1"/>
  <c r="J68" i="42"/>
  <c r="D68" i="42" s="1"/>
  <c r="J69" i="42"/>
  <c r="D69" i="42" s="1"/>
  <c r="J70" i="42"/>
  <c r="D70" i="42" s="1"/>
  <c r="J71" i="42"/>
  <c r="D71" i="42" s="1"/>
  <c r="J72" i="42"/>
  <c r="D72" i="42" s="1"/>
  <c r="J73" i="42"/>
  <c r="D73" i="42" s="1"/>
  <c r="J74" i="42"/>
  <c r="D74" i="42" s="1"/>
  <c r="J75" i="42"/>
  <c r="D75" i="42" s="1"/>
  <c r="J76" i="42"/>
  <c r="D76" i="42" s="1"/>
  <c r="J77" i="42"/>
  <c r="D77" i="42" s="1"/>
  <c r="J47" i="42"/>
  <c r="J48" i="42"/>
  <c r="D48" i="42" s="1"/>
  <c r="J49" i="42"/>
  <c r="D49" i="42" s="1"/>
  <c r="J50" i="42"/>
  <c r="D50" i="42" s="1"/>
  <c r="J51" i="42"/>
  <c r="D51" i="42" s="1"/>
  <c r="J52" i="42"/>
  <c r="D52" i="42" s="1"/>
  <c r="J53" i="42"/>
  <c r="D53" i="42" s="1"/>
  <c r="J54" i="42"/>
  <c r="D54" i="42" s="1"/>
  <c r="J55" i="42"/>
  <c r="D55" i="42" s="1"/>
  <c r="J56" i="42"/>
  <c r="D56" i="42" s="1"/>
  <c r="J57" i="42"/>
  <c r="D57" i="42" s="1"/>
  <c r="J58" i="42"/>
  <c r="D58" i="42" s="1"/>
  <c r="J59" i="42"/>
  <c r="D59" i="42" s="1"/>
  <c r="J60" i="42"/>
  <c r="D60" i="42" s="1"/>
  <c r="B73" i="42"/>
  <c r="G72" i="42" s="1"/>
  <c r="B74" i="42"/>
  <c r="G73" i="42" s="1"/>
  <c r="B75" i="42"/>
  <c r="G74" i="42" s="1"/>
  <c r="B76" i="42"/>
  <c r="G75" i="42" s="1"/>
  <c r="B77" i="42"/>
  <c r="G76" i="42" s="1"/>
  <c r="B78" i="42"/>
  <c r="G77" i="42" s="1"/>
  <c r="B79" i="42"/>
  <c r="G78" i="42" s="1"/>
  <c r="B80" i="42"/>
  <c r="B62" i="42"/>
  <c r="G61" i="42" s="1"/>
  <c r="B63" i="42"/>
  <c r="G62" i="42" s="1"/>
  <c r="B64" i="42"/>
  <c r="G63" i="42" s="1"/>
  <c r="B65" i="42"/>
  <c r="G64" i="42" s="1"/>
  <c r="B66" i="42"/>
  <c r="G65" i="42" s="1"/>
  <c r="B67" i="42"/>
  <c r="G66" i="42" s="1"/>
  <c r="B68" i="42"/>
  <c r="G67" i="42" s="1"/>
  <c r="B69" i="42"/>
  <c r="G68" i="42" s="1"/>
  <c r="B70" i="42"/>
  <c r="G69" i="42" s="1"/>
  <c r="B71" i="42"/>
  <c r="G70" i="42" s="1"/>
  <c r="B72" i="42"/>
  <c r="G71" i="42" s="1"/>
  <c r="B47" i="42"/>
  <c r="B48" i="42"/>
  <c r="G47" i="42" s="1"/>
  <c r="B49" i="42"/>
  <c r="G48" i="42" s="1"/>
  <c r="B50" i="42"/>
  <c r="G49" i="42" s="1"/>
  <c r="B51" i="42"/>
  <c r="G50" i="42" s="1"/>
  <c r="B52" i="42"/>
  <c r="G51" i="42" s="1"/>
  <c r="B53" i="42"/>
  <c r="G52" i="42" s="1"/>
  <c r="B54" i="42"/>
  <c r="G53" i="42" s="1"/>
  <c r="B55" i="42"/>
  <c r="G54" i="42" s="1"/>
  <c r="B56" i="42"/>
  <c r="G55" i="42" s="1"/>
  <c r="B57" i="42"/>
  <c r="G56" i="42" s="1"/>
  <c r="B58" i="42"/>
  <c r="G57" i="42" s="1"/>
  <c r="B59" i="42"/>
  <c r="G58" i="42" s="1"/>
  <c r="B60" i="42"/>
  <c r="G59" i="42" s="1"/>
  <c r="B61" i="42"/>
  <c r="G60" i="42" s="1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J31" i="42"/>
  <c r="D31" i="42" s="1"/>
  <c r="J32" i="42"/>
  <c r="D32" i="42" s="1"/>
  <c r="J33" i="42"/>
  <c r="D33" i="42" s="1"/>
  <c r="J34" i="42"/>
  <c r="D34" i="42" s="1"/>
  <c r="J35" i="42"/>
  <c r="D35" i="42" s="1"/>
  <c r="J36" i="42"/>
  <c r="D36" i="42" s="1"/>
  <c r="J37" i="42"/>
  <c r="D37" i="42" s="1"/>
  <c r="J38" i="42"/>
  <c r="D38" i="42" s="1"/>
  <c r="J39" i="42"/>
  <c r="D39" i="42" s="1"/>
  <c r="J40" i="42"/>
  <c r="D40" i="42" s="1"/>
  <c r="J41" i="42"/>
  <c r="D41" i="42" s="1"/>
  <c r="J22" i="42"/>
  <c r="D22" i="42" s="1"/>
  <c r="J23" i="42"/>
  <c r="D23" i="42" s="1"/>
  <c r="J24" i="42"/>
  <c r="D24" i="42" s="1"/>
  <c r="J25" i="42"/>
  <c r="D25" i="42" s="1"/>
  <c r="J26" i="42"/>
  <c r="D26" i="42" s="1"/>
  <c r="J27" i="42"/>
  <c r="D27" i="42" s="1"/>
  <c r="J28" i="42"/>
  <c r="D28" i="42" s="1"/>
  <c r="J29" i="42"/>
  <c r="D29" i="42" s="1"/>
  <c r="J30" i="42"/>
  <c r="D30" i="42" s="1"/>
  <c r="J13" i="42"/>
  <c r="D13" i="42" s="1"/>
  <c r="J14" i="42"/>
  <c r="D14" i="42" s="1"/>
  <c r="J15" i="42"/>
  <c r="D15" i="42" s="1"/>
  <c r="J16" i="42"/>
  <c r="D16" i="42" s="1"/>
  <c r="J17" i="42"/>
  <c r="D17" i="42" s="1"/>
  <c r="J18" i="42"/>
  <c r="D18" i="42" s="1"/>
  <c r="J19" i="42"/>
  <c r="D19" i="42" s="1"/>
  <c r="J20" i="42"/>
  <c r="D20" i="42" s="1"/>
  <c r="J21" i="42"/>
  <c r="D21" i="42" s="1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G39" i="42" s="1"/>
  <c r="B41" i="42"/>
  <c r="G40" i="42" s="1"/>
  <c r="B42" i="42"/>
  <c r="B18" i="42"/>
  <c r="G17" i="42" s="1"/>
  <c r="B19" i="42"/>
  <c r="G18" i="42" s="1"/>
  <c r="B20" i="42"/>
  <c r="G19" i="42" s="1"/>
  <c r="B21" i="42"/>
  <c r="G20" i="42" s="1"/>
  <c r="B22" i="42"/>
  <c r="G21" i="42" s="1"/>
  <c r="B23" i="42"/>
  <c r="G22" i="42" s="1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G28" i="42" s="1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9" i="38"/>
  <c r="D47" i="42" l="1"/>
  <c r="J78" i="42"/>
  <c r="D78" i="42" s="1"/>
  <c r="J79" i="42"/>
  <c r="D79" i="42" s="1"/>
  <c r="J80" i="42"/>
  <c r="D80" i="42" s="1"/>
  <c r="L80" i="42"/>
  <c r="J46" i="42"/>
  <c r="D46" i="42" s="1"/>
  <c r="G79" i="42"/>
  <c r="J9" i="42"/>
  <c r="D9" i="42" s="1"/>
  <c r="J10" i="42"/>
  <c r="D10" i="42" s="1"/>
  <c r="J11" i="42"/>
  <c r="D11" i="42" s="1"/>
  <c r="J12" i="42"/>
  <c r="D12" i="42" s="1"/>
  <c r="J42" i="42"/>
  <c r="D42" i="42" s="1"/>
  <c r="J8" i="42"/>
  <c r="D8" i="42" s="1"/>
  <c r="L42" i="42"/>
  <c r="G41" i="42"/>
  <c r="B82" i="42"/>
  <c r="G80" i="42" s="1"/>
  <c r="B46" i="42"/>
  <c r="G44" i="42" s="1"/>
  <c r="B44" i="42"/>
  <c r="G42" i="42" s="1"/>
  <c r="G8" i="42"/>
  <c r="B8" i="42"/>
  <c r="B6" i="42"/>
  <c r="B4" i="42"/>
  <c r="B3" i="42"/>
  <c r="G82" i="42" s="1"/>
  <c r="G6" i="42" l="1"/>
  <c r="G3" i="42"/>
  <c r="G4" i="42"/>
  <c r="M82" i="42"/>
  <c r="M4" i="42"/>
  <c r="M3" i="42"/>
  <c r="M6" i="42"/>
  <c r="G46" i="42"/>
  <c r="M44" i="42"/>
  <c r="A38" i="40"/>
  <c r="A39" i="40"/>
  <c r="A40" i="40"/>
  <c r="A41" i="40"/>
  <c r="A37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3" i="42"/>
  <c r="A4" i="42"/>
  <c r="A2" i="42"/>
  <c r="M2" i="42" l="1"/>
  <c r="F3" i="38"/>
  <c r="F4" i="38"/>
  <c r="F7" i="38"/>
  <c r="F8" i="38"/>
  <c r="F15" i="38"/>
  <c r="F9" i="38"/>
  <c r="F10" i="38"/>
  <c r="F11" i="38"/>
  <c r="F5" i="38"/>
  <c r="F6" i="38"/>
  <c r="F12" i="38"/>
  <c r="F13" i="38"/>
  <c r="F14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30" i="38"/>
  <c r="F31" i="38"/>
  <c r="F32" i="38"/>
  <c r="F16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63" i="38"/>
  <c r="F2" i="38"/>
  <c r="G40" i="38"/>
  <c r="G2" i="38"/>
  <c r="G34" i="38"/>
  <c r="G39" i="38"/>
  <c r="G20" i="38"/>
  <c r="G21" i="38"/>
  <c r="G41" i="38"/>
  <c r="G3" i="38"/>
  <c r="G4" i="38"/>
  <c r="G42" i="38"/>
  <c r="G37" i="38"/>
  <c r="G43" i="38"/>
  <c r="G7" i="38"/>
  <c r="G62" i="38"/>
  <c r="G45" i="38"/>
  <c r="G63" i="38"/>
  <c r="G44" i="38"/>
  <c r="G9" i="38"/>
  <c r="G6" i="38"/>
  <c r="G5" i="38"/>
  <c r="G12" i="38"/>
  <c r="G10" i="38"/>
  <c r="G11" i="38"/>
  <c r="G46" i="38"/>
  <c r="G17" i="38"/>
  <c r="G15" i="38"/>
  <c r="G47" i="38"/>
  <c r="G14" i="38"/>
  <c r="G50" i="38"/>
  <c r="G26" i="38"/>
  <c r="G48" i="38"/>
  <c r="G49" i="38"/>
  <c r="G18" i="38"/>
  <c r="G19" i="38"/>
  <c r="G51" i="38"/>
  <c r="G27" i="38"/>
  <c r="G52" i="38"/>
  <c r="G53" i="38"/>
  <c r="G54" i="38"/>
  <c r="G23" i="38"/>
  <c r="G55" i="38"/>
  <c r="G24" i="38"/>
  <c r="G22" i="38"/>
  <c r="G56" i="38"/>
  <c r="G57" i="38"/>
  <c r="G32" i="38"/>
  <c r="G30" i="38"/>
  <c r="G28" i="38"/>
  <c r="G16" i="38"/>
  <c r="G58" i="38"/>
  <c r="G31" i="38"/>
  <c r="G59" i="38"/>
  <c r="G35" i="38"/>
  <c r="G36" i="38"/>
  <c r="G38" i="38"/>
  <c r="G60" i="38"/>
  <c r="G61" i="38"/>
  <c r="G8" i="38"/>
  <c r="G25" i="38"/>
  <c r="G13" i="38"/>
  <c r="G33" i="38"/>
  <c r="D7" i="37"/>
  <c r="M97" i="48" s="1"/>
  <c r="D5" i="37"/>
  <c r="M95" i="48" s="1"/>
  <c r="D2" i="37"/>
  <c r="M92" i="48" s="1"/>
  <c r="D4" i="37"/>
  <c r="M94" i="48" s="1"/>
  <c r="D3" i="37"/>
  <c r="M93" i="48" s="1"/>
  <c r="D6" i="37"/>
  <c r="M96" i="48" s="1"/>
  <c r="D9" i="37"/>
  <c r="M99" i="48" s="1"/>
  <c r="D10" i="37"/>
  <c r="M100" i="48" s="1"/>
  <c r="D11" i="37"/>
  <c r="M101" i="48" s="1"/>
  <c r="D12" i="37"/>
  <c r="M102" i="48" s="1"/>
  <c r="D8" i="37"/>
  <c r="M98" i="48" s="1"/>
  <c r="H53" i="38"/>
  <c r="H32" i="38"/>
  <c r="H25" i="38"/>
  <c r="H50" i="38"/>
  <c r="H36" i="38"/>
  <c r="H45" i="38"/>
  <c r="H27" i="38"/>
  <c r="H62" i="38"/>
  <c r="H44" i="38"/>
  <c r="H48" i="38"/>
  <c r="H40" i="38"/>
  <c r="H2" i="38"/>
  <c r="H55" i="38"/>
  <c r="H10" i="38"/>
  <c r="H26" i="38"/>
  <c r="H8" i="38"/>
  <c r="H37" i="38"/>
  <c r="H60" i="38"/>
  <c r="H12" i="38"/>
  <c r="H17" i="38"/>
  <c r="H34" i="38"/>
  <c r="H54" i="38"/>
  <c r="H51" i="38"/>
  <c r="H24" i="38"/>
  <c r="H5" i="38"/>
  <c r="H9" i="38"/>
  <c r="H6" i="38"/>
  <c r="H49" i="38"/>
  <c r="H20" i="38"/>
  <c r="H11" i="38"/>
  <c r="H22" i="38"/>
  <c r="H33" i="38"/>
  <c r="H43" i="38"/>
  <c r="H57" i="38"/>
  <c r="H42" i="38"/>
  <c r="H28" i="38"/>
  <c r="H58" i="38"/>
  <c r="H21" i="38"/>
  <c r="H47" i="38"/>
  <c r="H3" i="38"/>
  <c r="H4" i="38"/>
  <c r="H35" i="38"/>
  <c r="H31" i="38"/>
  <c r="H19" i="38"/>
  <c r="H18" i="38"/>
  <c r="H56" i="38"/>
  <c r="H59" i="38"/>
  <c r="H16" i="38"/>
  <c r="H30" i="38"/>
  <c r="H15" i="38"/>
  <c r="H46" i="38"/>
  <c r="H39" i="38"/>
  <c r="H13" i="38"/>
  <c r="H23" i="38"/>
  <c r="H61" i="38"/>
  <c r="H63" i="38"/>
  <c r="H41" i="38"/>
  <c r="H7" i="38"/>
  <c r="H14" i="38"/>
  <c r="H52" i="38"/>
  <c r="H38" i="38"/>
  <c r="A3" i="29"/>
  <c r="A3" i="24"/>
  <c r="A2" i="18"/>
  <c r="A3" i="16"/>
  <c r="A2" i="19"/>
  <c r="A2" i="25"/>
  <c r="A4" i="33"/>
  <c r="A4" i="26"/>
  <c r="A3" i="36"/>
  <c r="A4" i="25"/>
  <c r="A2" i="16"/>
  <c r="A2" i="29"/>
  <c r="A4" i="19"/>
  <c r="A2" i="36"/>
  <c r="A3" i="3"/>
  <c r="A4" i="28"/>
  <c r="A4" i="20"/>
  <c r="A3" i="20"/>
  <c r="A3" i="26"/>
  <c r="A3" i="28"/>
  <c r="A4" i="16"/>
  <c r="A2" i="20"/>
  <c r="A3" i="17"/>
  <c r="A4" i="32"/>
  <c r="A4" i="22"/>
  <c r="A4" i="21"/>
  <c r="A2" i="28"/>
  <c r="A3" i="33"/>
  <c r="A3" i="27"/>
  <c r="A4" i="31"/>
  <c r="A2" i="27"/>
  <c r="A3" i="21"/>
  <c r="A2" i="22"/>
  <c r="A3" i="32"/>
  <c r="A2" i="3"/>
  <c r="A3" i="18"/>
  <c r="A2" i="23"/>
  <c r="A3" i="35"/>
  <c r="A2" i="30"/>
  <c r="A4" i="18"/>
  <c r="A4" i="17"/>
  <c r="A2" i="31"/>
  <c r="A4" i="30"/>
  <c r="A4" i="34"/>
  <c r="A2" i="17"/>
  <c r="A3" i="19"/>
  <c r="A2" i="24"/>
  <c r="A4" i="24"/>
  <c r="A2" i="33"/>
  <c r="A4" i="36"/>
  <c r="A4" i="27"/>
  <c r="A3" i="25"/>
  <c r="A2" i="21"/>
  <c r="A4" i="29"/>
  <c r="A2" i="35"/>
  <c r="A2" i="26"/>
  <c r="A4" i="35"/>
  <c r="A3" i="30"/>
  <c r="A2" i="32"/>
  <c r="A3" i="22"/>
  <c r="A4" i="23"/>
  <c r="A3" i="31"/>
  <c r="A3" i="23"/>
  <c r="A2" i="34"/>
  <c r="A3" i="34"/>
  <c r="A4" i="3"/>
  <c r="K78" i="48" l="1"/>
  <c r="K77" i="48"/>
  <c r="K14" i="48"/>
  <c r="K13" i="48"/>
  <c r="K70" i="48"/>
  <c r="K69" i="48"/>
  <c r="K22" i="48"/>
  <c r="K21" i="48"/>
  <c r="K46" i="48"/>
  <c r="K41" i="48"/>
  <c r="K50" i="48"/>
  <c r="K82" i="48"/>
  <c r="K81" i="48"/>
  <c r="K10" i="48"/>
  <c r="K9" i="48"/>
  <c r="K30" i="48"/>
  <c r="K29" i="48"/>
  <c r="K62" i="48"/>
  <c r="K61" i="48"/>
  <c r="K76" i="48"/>
  <c r="K75" i="48"/>
  <c r="K15" i="48"/>
  <c r="K16" i="48"/>
  <c r="K58" i="48"/>
  <c r="K57" i="48"/>
  <c r="K64" i="48"/>
  <c r="K63" i="48"/>
  <c r="K28" i="48"/>
  <c r="K27" i="48"/>
  <c r="K60" i="48"/>
  <c r="K59" i="48"/>
  <c r="K36" i="48"/>
  <c r="K35" i="48"/>
  <c r="K56" i="48"/>
  <c r="K55" i="48"/>
  <c r="K38" i="48"/>
  <c r="K37" i="48"/>
  <c r="K54" i="48"/>
  <c r="K53" i="48"/>
  <c r="K68" i="48"/>
  <c r="K67" i="48"/>
  <c r="K24" i="48"/>
  <c r="K23" i="48"/>
  <c r="K88" i="48"/>
  <c r="K83" i="48"/>
  <c r="K8" i="48"/>
  <c r="K34" i="48"/>
  <c r="K33" i="48"/>
  <c r="K74" i="48"/>
  <c r="K73" i="48"/>
  <c r="K18" i="48"/>
  <c r="K17" i="48"/>
  <c r="K80" i="48"/>
  <c r="K79" i="48"/>
  <c r="K12" i="48"/>
  <c r="K11" i="48"/>
  <c r="K72" i="48"/>
  <c r="K71" i="48"/>
  <c r="K20" i="48"/>
  <c r="K19" i="48"/>
  <c r="K40" i="48"/>
  <c r="K39" i="48"/>
  <c r="K52" i="48"/>
  <c r="K51" i="48"/>
  <c r="K32" i="48"/>
  <c r="K31" i="48"/>
  <c r="K66" i="48"/>
  <c r="K65" i="48"/>
  <c r="K26" i="48"/>
  <c r="K25" i="48"/>
  <c r="K38" i="42"/>
  <c r="K49" i="42"/>
  <c r="K37" i="42"/>
  <c r="K50" i="42"/>
  <c r="K32" i="42"/>
  <c r="K31" i="42"/>
  <c r="K41" i="42"/>
  <c r="K42" i="42"/>
  <c r="K46" i="42"/>
  <c r="K29" i="42"/>
  <c r="K30" i="42"/>
  <c r="K56" i="42"/>
  <c r="K55" i="42"/>
  <c r="K53" i="42"/>
  <c r="K54" i="42"/>
  <c r="K79" i="42"/>
  <c r="K80" i="42"/>
  <c r="K8" i="42"/>
  <c r="K66" i="42"/>
  <c r="K21" i="42"/>
  <c r="K65" i="42"/>
  <c r="K22" i="42"/>
  <c r="K73" i="42"/>
  <c r="K74" i="42"/>
  <c r="K13" i="42"/>
  <c r="K14" i="42"/>
  <c r="K70" i="42"/>
  <c r="K17" i="42"/>
  <c r="K69" i="42"/>
  <c r="K18" i="42"/>
  <c r="K78" i="42"/>
  <c r="K77" i="42"/>
  <c r="K9" i="42"/>
  <c r="K10" i="42"/>
  <c r="K63" i="42"/>
  <c r="K64" i="42"/>
  <c r="K23" i="42"/>
  <c r="K24" i="42"/>
  <c r="K67" i="42"/>
  <c r="K68" i="42"/>
  <c r="K19" i="42"/>
  <c r="K20" i="42"/>
  <c r="K52" i="42"/>
  <c r="K51" i="42"/>
  <c r="K35" i="42"/>
  <c r="K36" i="42"/>
  <c r="K76" i="42"/>
  <c r="K75" i="42"/>
  <c r="K11" i="42"/>
  <c r="K12" i="42"/>
  <c r="K28" i="42"/>
  <c r="K59" i="42"/>
  <c r="K27" i="42"/>
  <c r="K60" i="42"/>
  <c r="K62" i="42"/>
  <c r="K61" i="42"/>
  <c r="K25" i="42"/>
  <c r="K26" i="42"/>
  <c r="K57" i="42"/>
  <c r="K58" i="42"/>
  <c r="K72" i="42"/>
  <c r="K15" i="42"/>
  <c r="K71" i="42"/>
  <c r="K16" i="42"/>
  <c r="K39" i="42"/>
  <c r="K48" i="42"/>
  <c r="K40" i="42"/>
  <c r="K47" i="42"/>
  <c r="K34" i="42"/>
  <c r="K33" i="42"/>
  <c r="M94" i="42"/>
  <c r="M86" i="42"/>
  <c r="M90" i="42"/>
  <c r="M93" i="42"/>
  <c r="M91" i="42"/>
  <c r="M85" i="42"/>
  <c r="M84" i="42"/>
  <c r="M89" i="42"/>
  <c r="M92" i="42"/>
  <c r="M88" i="42"/>
  <c r="M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M78" i="48"/>
  <c r="M14" i="48"/>
  <c r="M70" i="48"/>
  <c r="M22" i="48"/>
  <c r="M46" i="48"/>
  <c r="M50" i="48"/>
  <c r="M81" i="48"/>
  <c r="M9" i="48"/>
  <c r="M29" i="48"/>
  <c r="M61" i="48"/>
  <c r="M75" i="48"/>
  <c r="M16" i="48"/>
  <c r="M57" i="48"/>
  <c r="M63" i="48"/>
  <c r="M27" i="48"/>
  <c r="M59" i="48"/>
  <c r="M35" i="48"/>
  <c r="M55" i="48"/>
  <c r="M37" i="48"/>
  <c r="M53" i="48"/>
  <c r="M67" i="48"/>
  <c r="M23" i="48"/>
  <c r="M83" i="48"/>
  <c r="M34" i="48"/>
  <c r="M74" i="48"/>
  <c r="M18" i="48"/>
  <c r="M80" i="48"/>
  <c r="M12" i="48"/>
  <c r="M72" i="48"/>
  <c r="M20" i="48"/>
  <c r="M40" i="48"/>
  <c r="M52" i="48"/>
  <c r="M32" i="48"/>
  <c r="M66" i="48"/>
  <c r="M26" i="48"/>
  <c r="M77" i="48"/>
  <c r="M13" i="48"/>
  <c r="M69" i="48"/>
  <c r="M21" i="48"/>
  <c r="M41" i="48"/>
  <c r="M82" i="48"/>
  <c r="M10" i="48"/>
  <c r="M30" i="48"/>
  <c r="M62" i="48"/>
  <c r="M76" i="48"/>
  <c r="M15" i="48"/>
  <c r="M58" i="48"/>
  <c r="M64" i="48"/>
  <c r="M28" i="48"/>
  <c r="M60" i="48"/>
  <c r="M36" i="48"/>
  <c r="M56" i="48"/>
  <c r="M38" i="48"/>
  <c r="M54" i="48"/>
  <c r="M68" i="48"/>
  <c r="M24" i="48"/>
  <c r="M88" i="48"/>
  <c r="M8" i="48"/>
  <c r="M33" i="48"/>
  <c r="M73" i="48"/>
  <c r="M17" i="48"/>
  <c r="M79" i="48"/>
  <c r="M11" i="48"/>
  <c r="M71" i="48"/>
  <c r="M19" i="48"/>
  <c r="M39" i="48"/>
  <c r="M51" i="48"/>
  <c r="M31" i="48"/>
  <c r="M65" i="48"/>
  <c r="M25" i="48"/>
  <c r="M38" i="42"/>
  <c r="M37" i="42"/>
  <c r="M32" i="42"/>
  <c r="M41" i="42"/>
  <c r="M46" i="42"/>
  <c r="M30" i="42"/>
  <c r="M55" i="42"/>
  <c r="M54" i="42"/>
  <c r="M80" i="42"/>
  <c r="M66" i="42"/>
  <c r="M65" i="42"/>
  <c r="M73" i="42"/>
  <c r="M13" i="42"/>
  <c r="M70" i="42"/>
  <c r="M69" i="42"/>
  <c r="M78" i="42"/>
  <c r="M9" i="42"/>
  <c r="M63" i="42"/>
  <c r="M40" i="42"/>
  <c r="M49" i="42"/>
  <c r="M50" i="42"/>
  <c r="M31" i="42"/>
  <c r="M42" i="42"/>
  <c r="M29" i="42"/>
  <c r="M56" i="42"/>
  <c r="M53" i="42"/>
  <c r="M79" i="42"/>
  <c r="M8" i="42"/>
  <c r="M21" i="42"/>
  <c r="M22" i="42"/>
  <c r="M74" i="42"/>
  <c r="M14" i="42"/>
  <c r="M17" i="42"/>
  <c r="M18" i="42"/>
  <c r="M77" i="42"/>
  <c r="M10" i="42"/>
  <c r="M64" i="42"/>
  <c r="M24" i="42"/>
  <c r="M68" i="42"/>
  <c r="M20" i="42"/>
  <c r="M51" i="42"/>
  <c r="M36" i="42"/>
  <c r="M75" i="42"/>
  <c r="M12" i="42"/>
  <c r="M59" i="42"/>
  <c r="M60" i="42"/>
  <c r="M61" i="42"/>
  <c r="M26" i="42"/>
  <c r="M58" i="42"/>
  <c r="M15" i="42"/>
  <c r="M16" i="42"/>
  <c r="M48" i="42"/>
  <c r="M47" i="42"/>
  <c r="M33" i="42"/>
  <c r="M23" i="42"/>
  <c r="M67" i="42"/>
  <c r="M19" i="42"/>
  <c r="M52" i="42"/>
  <c r="M35" i="42"/>
  <c r="M76" i="42"/>
  <c r="M11" i="42"/>
  <c r="M28" i="42"/>
  <c r="M27" i="42"/>
  <c r="M62" i="42"/>
  <c r="M25" i="42"/>
  <c r="M57" i="42"/>
  <c r="M72" i="42"/>
  <c r="M71" i="42"/>
  <c r="M39" i="42"/>
  <c r="M34" i="42"/>
</calcChain>
</file>

<file path=xl/sharedStrings.xml><?xml version="1.0" encoding="utf-8"?>
<sst xmlns="http://schemas.openxmlformats.org/spreadsheetml/2006/main" count="791" uniqueCount="355">
  <si>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</si>
  <si>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</si>
  <si>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</si>
  <si>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</si>
  <si>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</si>
  <si>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</si>
  <si>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</si>
  <si>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</si>
  <si>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</si>
  <si>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</si>
  <si>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</si>
  <si>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</si>
  <si>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</si>
  <si>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</si>
  <si>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</si>
  <si>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</si>
  <si>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</si>
  <si>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</si>
  <si>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</si>
  <si>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</si>
  <si>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</si>
  <si>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</si>
  <si>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</si>
  <si>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</si>
  <si>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</si>
  <si>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</si>
  <si>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</si>
  <si>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</si>
  <si>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</si>
  <si>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</si>
  <si>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</si>
  <si>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</si>
  <si>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</si>
  <si>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</si>
  <si>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</si>
  <si>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</si>
  <si>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</si>
  <si>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</si>
  <si>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</si>
  <si>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</si>
  <si>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</si>
  <si>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</si>
  <si>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</si>
  <si>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</si>
  <si>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</si>
  <si>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</si>
  <si>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</si>
  <si>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</si>
  <si>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</si>
  <si>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</si>
  <si>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</si>
  <si>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</si>
  <si>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</si>
  <si>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</si>
  <si>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</si>
  <si>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</si>
  <si>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</si>
  <si>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</si>
  <si>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</si>
  <si>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</si>
  <si>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</si>
  <si>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</si>
  <si>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</si>
  <si>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</si>
  <si>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</si>
  <si>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</si>
  <si>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</si>
  <si>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</si>
  <si>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</si>
  <si>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</si>
  <si>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</si>
  <si>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</si>
  <si>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</si>
  <si>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</si>
  <si>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</si>
  <si>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</si>
  <si>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</si>
  <si>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</si>
  <si>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</si>
  <si>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</si>
  <si>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</si>
  <si>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</si>
  <si>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</si>
  <si>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</si>
  <si>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</si>
  <si>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</si>
  <si>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</si>
  <si>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</si>
  <si>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</si>
  <si>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</si>
  <si>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</si>
  <si>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</si>
  <si>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</si>
  <si>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</si>
  <si>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</si>
  <si>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</si>
  <si>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</si>
  <si>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</si>
  <si>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</si>
  <si>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</si>
  <si>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</si>
  <si>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</si>
  <si>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</si>
  <si>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</si>
  <si>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</si>
  <si>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</si>
  <si>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</si>
  <si>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</si>
  <si>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</si>
  <si>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</si>
  <si>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</si>
  <si>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</si>
  <si>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</si>
  <si>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</si>
  <si>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</si>
  <si>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</si>
  <si>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</si>
  <si>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</si>
  <si>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</si>
  <si>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</si>
  <si>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</si>
  <si>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</si>
  <si>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</si>
  <si>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</si>
  <si>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</si>
  <si>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</si>
  <si>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</si>
  <si>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</si>
  <si>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</si>
  <si>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</si>
  <si>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</si>
  <si>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</si>
  <si>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</si>
  <si>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</si>
  <si>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</si>
  <si>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</si>
  <si>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</si>
  <si>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</si>
  <si>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</si>
  <si>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</si>
  <si>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</si>
  <si>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</si>
  <si>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</si>
  <si>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</si>
  <si>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</si>
  <si>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</si>
  <si>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</si>
  <si>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</si>
  <si>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</si>
  <si>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</si>
  <si>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</si>
  <si>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</si>
  <si>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</si>
  <si>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</si>
  <si>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</si>
  <si>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</si>
  <si>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</si>
  <si>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</si>
  <si>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</si>
  <si>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</si>
  <si>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</si>
  <si>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</si>
  <si>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</si>
  <si>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</si>
  <si>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</si>
  <si>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</si>
  <si>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</si>
  <si>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</si>
  <si>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</si>
  <si>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</si>
  <si>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</si>
  <si>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</si>
  <si>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</si>
  <si>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</si>
  <si>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</si>
  <si>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</si>
  <si>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</si>
  <si>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</si>
  <si>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</si>
  <si>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</si>
  <si>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</si>
  <si>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</si>
  <si>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</si>
  <si>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</si>
  <si>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</si>
  <si>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</si>
  <si>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</si>
  <si>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</si>
  <si>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</si>
  <si>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</si>
  <si>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</si>
  <si>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</si>
  <si>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</si>
  <si>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</si>
  <si>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</si>
  <si>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</si>
  <si>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</si>
  <si>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</si>
  <si>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</si>
  <si>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</si>
  <si>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</si>
  <si>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</si>
  <si>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</si>
  <si>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</si>
  <si>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</si>
  <si>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</si>
  <si>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</si>
  <si>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</si>
  <si>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</si>
  <si>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</si>
  <si>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</si>
  <si>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</si>
  <si>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</si>
  <si>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</si>
  <si>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</si>
  <si>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</si>
  <si>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</si>
  <si>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</si>
  <si>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</si>
  <si>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</si>
  <si>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</si>
  <si>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</si>
  <si>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</si>
  <si>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</si>
  <si>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</si>
  <si>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</si>
  <si>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</si>
  <si>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</si>
  <si>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</si>
  <si>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</si>
  <si>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</si>
  <si>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</si>
  <si>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</si>
  <si>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</si>
  <si>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</si>
  <si>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</si>
  <si>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</si>
  <si>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</si>
  <si>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</si>
  <si>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</si>
  <si>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</si>
  <si>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</si>
  <si>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</si>
  <si>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</si>
  <si>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</si>
  <si>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</si>
  <si>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</si>
  <si>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</si>
  <si>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</si>
  <si>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</si>
  <si>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</si>
  <si>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</si>
  <si>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</si>
  <si>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</si>
  <si>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</si>
  <si>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</si>
  <si>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</si>
  <si>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</si>
  <si>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</si>
  <si>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</si>
  <si>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</si>
  <si>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</si>
  <si>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</si>
  <si>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</si>
  <si>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</si>
  <si>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</si>
  <si>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</si>
  <si>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</si>
  <si>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</si>
  <si>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</si>
  <si>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</si>
  <si>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</si>
  <si>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</si>
  <si>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</si>
  <si>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</si>
  <si>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</si>
  <si>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</si>
  <si>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</si>
  <si>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</si>
  <si>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</si>
  <si>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</si>
  <si>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</si>
  <si>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</si>
  <si>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</si>
  <si>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</si>
  <si>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</si>
  <si>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</si>
  <si>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</si>
  <si>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</si>
  <si>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</si>
  <si>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</si>
  <si>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</si>
  <si>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</si>
  <si>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</si>
  <si>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</si>
  <si>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</si>
  <si>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</si>
  <si>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</si>
  <si>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</si>
  <si>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</si>
  <si>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</si>
  <si>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</si>
  <si>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</si>
  <si>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</si>
  <si>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</si>
  <si>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</si>
  <si>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</si>
  <si>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</si>
  <si>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</si>
  <si>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</si>
  <si>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</si>
  <si>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</si>
  <si>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</si>
  <si>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</si>
  <si>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</si>
  <si>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</si>
  <si>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</si>
  <si>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</si>
  <si>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</si>
  <si>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</si>
  <si>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</si>
  <si>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</si>
  <si>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</si>
  <si>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</si>
  <si>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</si>
  <si>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</si>
  <si>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</si>
  <si>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</si>
  <si>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</si>
  <si>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</si>
  <si>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</si>
  <si>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</si>
  <si>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</si>
  <si>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</si>
  <si>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</si>
  <si>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</si>
  <si>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</si>
  <si>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</si>
  <si>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</si>
  <si>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</si>
  <si>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</si>
  <si>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</si>
  <si>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</si>
  <si>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</si>
  <si>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</si>
  <si>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</si>
  <si>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</si>
  <si>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</si>
  <si>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</si>
  <si>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</si>
  <si>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</si>
  <si>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</si>
  <si>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Табло</t>
  </si>
  <si>
    <t>&lt;- Номер строки на листе route</t>
  </si>
  <si>
    <t>Транс.прох.БелАЗ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</si>
</sst>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  <xf numFmtId="0" fontId="5" fillId="0" borderId="0" xfId="0" applyFont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75</v>
      </c>
      <c r="B1">
        <v>0</v>
      </c>
    </row>
    <row r="2" spans="1:2" x14ac:dyDescent="0.25">
      <c r="A2" t="s">
        <v>76</v>
      </c>
      <c r="B2">
        <v>100</v>
      </c>
    </row>
    <row r="3" spans="1:2" x14ac:dyDescent="0.25">
      <c r="A3" t="s">
        <v>101</v>
      </c>
      <c r="B3" t="s">
        <v>103</v>
      </c>
    </row>
    <row r="4" spans="1:2" x14ac:dyDescent="0.25">
      <c r="A4" t="s">
        <v>102</v>
      </c>
      <c r="B4" t="s"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81</v>
      </c>
      <c r="B1" s="10" t="s">
        <v>80</v>
      </c>
      <c r="C1" s="7" t="s">
        <v>82</v>
      </c>
      <c r="D1" s="4" t="s">
        <v>8</v>
      </c>
    </row>
    <row r="2" spans="1:4" x14ac:dyDescent="0.25">
      <c r="A2" t="s">
        <v>85</v>
      </c>
      <c r="B2">
        <v>921</v>
      </c>
      <c r="C2" t="s">
        <v>93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86</v>
      </c>
      <c r="B3">
        <v>923</v>
      </c>
      <c r="C3" t="s">
        <v>95</v>
      </c>
      <c r="D3" s="16" t="str">
        <f t="shared" si="0"/>
        <v>&lt;unit923&gt; "Гостиница" {v "\mp3_knst\gos.mp3", w 01}</v>
      </c>
    </row>
    <row r="4" spans="1:4" x14ac:dyDescent="0.25">
      <c r="A4" t="s">
        <v>339</v>
      </c>
      <c r="B4">
        <v>922</v>
      </c>
      <c r="C4" t="s">
        <v>94</v>
      </c>
      <c r="D4" s="16" t="str">
        <f t="shared" si="0"/>
        <v>&lt;unit922&gt; "Дисп. станция" {v "\mp3_knst\ds.mp3", w 01}</v>
      </c>
    </row>
    <row r="5" spans="1:4" x14ac:dyDescent="0.25">
      <c r="A5" t="s">
        <v>340</v>
      </c>
      <c r="B5">
        <v>903</v>
      </c>
      <c r="C5" t="s">
        <v>92</v>
      </c>
      <c r="D5" s="16" t="str">
        <f t="shared" si="0"/>
        <v>&lt;unit903&gt; "Канцавая" {v "\mp3_knst\kanc.mp3", w 01}</v>
      </c>
    </row>
    <row r="6" spans="1:4" x14ac:dyDescent="0.25">
      <c r="A6" t="s">
        <v>84</v>
      </c>
      <c r="B6">
        <v>924</v>
      </c>
      <c r="C6" t="s">
        <v>96</v>
      </c>
      <c r="D6" s="16" t="str">
        <f t="shared" si="0"/>
        <v>&lt;unit924&gt; "Конечная" {v "\mp3_knst\ko.mp3", w 01}</v>
      </c>
    </row>
    <row r="7" spans="1:4" x14ac:dyDescent="0.25">
      <c r="A7" t="s">
        <v>83</v>
      </c>
      <c r="B7">
        <v>902</v>
      </c>
      <c r="C7" t="s">
        <v>105</v>
      </c>
      <c r="D7" s="16" t="str">
        <f t="shared" si="0"/>
        <v>&lt;unit902&gt; "Остановка" {v "\mp3_knst\ost.mp3", w 01}</v>
      </c>
    </row>
    <row r="8" spans="1:4" x14ac:dyDescent="0.25">
      <c r="A8" t="s">
        <v>338</v>
      </c>
      <c r="B8">
        <v>900</v>
      </c>
      <c r="C8" t="s">
        <v>91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87</v>
      </c>
      <c r="B9">
        <v>925</v>
      </c>
      <c r="C9" t="s">
        <v>97</v>
      </c>
      <c r="D9" s="16" t="str">
        <f t="shared" si="0"/>
        <v>&lt;unit925&gt; "Площадь" {v "\mp3_knst\pl.mp3", w 01}</v>
      </c>
    </row>
    <row r="10" spans="1:4" x14ac:dyDescent="0.25">
      <c r="A10" t="s">
        <v>88</v>
      </c>
      <c r="B10">
        <v>926</v>
      </c>
      <c r="C10" t="s">
        <v>98</v>
      </c>
      <c r="D10" s="16" t="str">
        <f t="shared" si="0"/>
        <v>&lt;unit926&gt; "Проспект" {v "\mp3_knst\pr.mp3", w 01}</v>
      </c>
    </row>
    <row r="11" spans="1:4" x14ac:dyDescent="0.25">
      <c r="A11" t="s">
        <v>89</v>
      </c>
      <c r="B11">
        <v>927</v>
      </c>
      <c r="C11" t="s">
        <v>99</v>
      </c>
      <c r="D11" s="16" t="str">
        <f t="shared" si="0"/>
        <v>&lt;unit927&gt; "Станция метро" {v "\mp3_knst\sm.mp3", w 01}</v>
      </c>
    </row>
    <row r="12" spans="1:4" x14ac:dyDescent="0.25">
      <c r="A12" t="s">
        <v>90</v>
      </c>
      <c r="B12">
        <v>928</v>
      </c>
      <c r="C12" t="s">
        <v>100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3"/>
  <sheetViews>
    <sheetView workbookViewId="0">
      <pane ySplit="1" topLeftCell="A2" activePane="bottomLeft" state="frozen"/>
      <selection pane="bottomLeft" activeCell="H2" sqref="H2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5.875" style="17" hidden="1" customWidth="1"/>
    <col min="7" max="7" width="24.5" hidden="1" customWidth="1"/>
    <col min="8" max="8" width="29.75" style="15" bestFit="1" customWidth="1"/>
  </cols>
  <sheetData>
    <row r="1" spans="1:8" s="1" customFormat="1" ht="28.55" x14ac:dyDescent="0.25">
      <c r="A1" s="32" t="s">
        <v>272</v>
      </c>
      <c r="B1" s="33" t="s">
        <v>165</v>
      </c>
      <c r="C1" s="34" t="s">
        <v>186</v>
      </c>
      <c r="D1" s="34" t="s">
        <v>189</v>
      </c>
      <c r="E1" s="35" t="s">
        <v>82</v>
      </c>
      <c r="F1" s="36"/>
      <c r="G1" s="34"/>
      <c r="H1" s="37" t="s">
        <v>8</v>
      </c>
    </row>
    <row r="2" spans="1:8" x14ac:dyDescent="0.25">
      <c r="B2" t="s">
        <v>178</v>
      </c>
      <c r="C2" t="s">
        <v>192</v>
      </c>
      <c r="D2" t="s">
        <v>191</v>
      </c>
      <c r="E2" s="9" t="s">
        <v>108</v>
      </c>
      <c r="F2" s="17" t="str">
        <f>IFERROR("c "&amp;VLOOKUP(A2,Punkti,2,FALSE),"")</f>
        <v/>
      </c>
      <c r="G2" t="str">
        <f>"v ""\"&amp;mp3_ost&amp;"\"&amp;E2&amp;".mp3"""</f>
        <v>v "\mp3_ost\8mikra.mp3"</v>
      </c>
      <c r="H2" s="15" t="str">
        <f>СцепитьМного(F2:G2,", ")</f>
        <v>v "\mp3_ost\8mikra.mp3"</v>
      </c>
    </row>
    <row r="3" spans="1:8" x14ac:dyDescent="0.25">
      <c r="B3" t="s">
        <v>182</v>
      </c>
      <c r="C3" t="s">
        <v>199</v>
      </c>
      <c r="D3" t="s">
        <v>190</v>
      </c>
      <c r="E3" s="9" t="s">
        <v>112</v>
      </c>
      <c r="F3" s="17" t="str">
        <f>IFERROR("c "&amp;VLOOKUP(A3,Punkti,2,FALSE),"")</f>
        <v/>
      </c>
      <c r="G3" t="str">
        <f>"v ""\"&amp;mp3_ost&amp;"\"&amp;E3&amp;".mp3"""</f>
        <v>v "\mp3_ost\avtostan.mp3"</v>
      </c>
      <c r="H3" s="15" t="str">
        <f>СцепитьМного(F3:G3,", ")</f>
        <v>v "\mp3_ost\avtostan.mp3"</v>
      </c>
    </row>
    <row r="4" spans="1:8" x14ac:dyDescent="0.25">
      <c r="B4" t="s">
        <v>183</v>
      </c>
      <c r="C4" t="s">
        <v>183</v>
      </c>
      <c r="D4" t="s">
        <v>190</v>
      </c>
      <c r="E4" s="9" t="s">
        <v>113</v>
      </c>
      <c r="F4" s="17" t="str">
        <f>IFERROR("c "&amp;VLOOKUP(A4,Punkti,2,FALSE),"")</f>
        <v/>
      </c>
      <c r="G4" t="str">
        <f>"v ""\"&amp;mp3_ost&amp;"\"&amp;E4&amp;".mp3"""</f>
        <v>v "\mp3_ost\azs.mp3"</v>
      </c>
      <c r="H4" s="15" t="str">
        <f>СцепитьМного(F4:G4,", ")</f>
        <v>v "\mp3_ost\azs.mp3"</v>
      </c>
    </row>
    <row r="5" spans="1:8" x14ac:dyDescent="0.25">
      <c r="B5" t="s">
        <v>348</v>
      </c>
      <c r="C5" t="s">
        <v>212</v>
      </c>
      <c r="D5" t="s">
        <v>190</v>
      </c>
      <c r="E5" s="9" t="s">
        <v>124</v>
      </c>
      <c r="F5" s="17" t="str">
        <f>IFERROR("c "&amp;VLOOKUP(A5,Punkti,2,FALSE),"")</f>
        <v/>
      </c>
      <c r="G5" t="str">
        <f>"v ""\"&amp;mp3_ost&amp;"\"&amp;E5&amp;".mp3"""</f>
        <v>v "\mp3_ost\inst-zve.mp3"</v>
      </c>
      <c r="H5" s="15" t="str">
        <f>СцепитьМного(F5:G5,", ")</f>
        <v>v "\mp3_ost\inst-zve.mp3"</v>
      </c>
    </row>
    <row r="6" spans="1:8" x14ac:dyDescent="0.25">
      <c r="B6" t="s">
        <v>349</v>
      </c>
      <c r="C6" t="s">
        <v>211</v>
      </c>
      <c r="D6" t="s">
        <v>190</v>
      </c>
      <c r="E6" s="9" t="s">
        <v>123</v>
      </c>
      <c r="F6" s="17" t="str">
        <f>IFERROR("c "&amp;VLOOKUP(A6,Punkti,2,FALSE),"")</f>
        <v/>
      </c>
      <c r="G6" t="str">
        <f>"v ""\"&amp;mp3_ost&amp;"\"&amp;E6&amp;".mp3"""</f>
        <v>v "\mp3_ost\inst-zem.mp3"</v>
      </c>
      <c r="H6" s="15" t="str">
        <f>СцепитьМного(F6:G6,", ")</f>
        <v>v "\mp3_ost\inst-zem.mp3"</v>
      </c>
    </row>
    <row r="7" spans="1:8" x14ac:dyDescent="0.25">
      <c r="B7" t="s">
        <v>185</v>
      </c>
      <c r="C7" t="s">
        <v>202</v>
      </c>
      <c r="D7" t="s">
        <v>190</v>
      </c>
      <c r="E7" s="9" t="s">
        <v>117</v>
      </c>
      <c r="F7" s="17" t="str">
        <f>IFERROR("c "&amp;VLOOKUP(A7,Punkti,2,FALSE),"")</f>
        <v/>
      </c>
      <c r="G7" t="str">
        <f>"v ""\"&amp;mp3_ost&amp;"\"&amp;E7&amp;".mp3"""</f>
        <v>v "\mp3_ost\bol`nica.mp3"</v>
      </c>
      <c r="H7" s="15" t="str">
        <f>СцепитьМного(F7:G7,", ")</f>
        <v>v "\mp3_ost\bol`nica.mp3"</v>
      </c>
    </row>
    <row r="8" spans="1:8" x14ac:dyDescent="0.25">
      <c r="B8" t="s">
        <v>264</v>
      </c>
      <c r="C8" t="s">
        <v>265</v>
      </c>
      <c r="D8" t="s">
        <v>190</v>
      </c>
      <c r="E8" s="9" t="s">
        <v>162</v>
      </c>
      <c r="F8" s="17" t="str">
        <f>IFERROR("c "&amp;VLOOKUP(A8,Punkti,2,FALSE),"")</f>
        <v/>
      </c>
      <c r="G8" t="str">
        <f>"v ""\"&amp;mp3_ost&amp;"\"&amp;E8&amp;".mp3"""</f>
        <v>v "\mp3_ost\vch.mp3"</v>
      </c>
      <c r="H8" s="15" t="str">
        <f>СцепитьМного(F8:G8,", ")</f>
        <v>v "\mp3_ost\vch.mp3"</v>
      </c>
    </row>
    <row r="9" spans="1:8" x14ac:dyDescent="0.25">
      <c r="B9" t="s">
        <v>210</v>
      </c>
      <c r="C9" t="s">
        <v>209</v>
      </c>
      <c r="D9" t="s">
        <v>190</v>
      </c>
      <c r="E9" s="9" t="s">
        <v>122</v>
      </c>
      <c r="F9" s="17" t="str">
        <f>IFERROR("c "&amp;VLOOKUP(A9,Punkti,2,FALSE),"")</f>
        <v/>
      </c>
      <c r="G9" t="str">
        <f>"v ""\"&amp;mp3_ost&amp;"\"&amp;E9&amp;".mp3"""</f>
        <v>v "\mp3_ost\gdk.mp3"</v>
      </c>
      <c r="H9" s="15" t="str">
        <f>СцепитьМного(F9:G9,", ")</f>
        <v>v "\mp3_ost\gdk.mp3"</v>
      </c>
    </row>
    <row r="10" spans="1:8" x14ac:dyDescent="0.25">
      <c r="B10" t="s">
        <v>168</v>
      </c>
      <c r="C10" t="s">
        <v>214</v>
      </c>
      <c r="D10" t="s">
        <v>190</v>
      </c>
      <c r="E10" s="9" t="s">
        <v>126</v>
      </c>
      <c r="F10" s="17" t="str">
        <f>IFERROR("c "&amp;VLOOKUP(A10,Punkti,2,FALSE),"")</f>
        <v/>
      </c>
      <c r="G10" t="str">
        <f>"v ""\"&amp;mp3_ost&amp;"\"&amp;E10&amp;".mp3"""</f>
        <v>v "\mp3_ost\jd.mp3"</v>
      </c>
      <c r="H10" s="15" t="str">
        <f>СцепитьМного(F10:G10,", ")</f>
        <v>v "\mp3_ost\jd.mp3"</v>
      </c>
    </row>
    <row r="11" spans="1:8" x14ac:dyDescent="0.25">
      <c r="B11" t="s">
        <v>167</v>
      </c>
      <c r="C11" t="s">
        <v>215</v>
      </c>
      <c r="D11" t="s">
        <v>190</v>
      </c>
      <c r="E11" s="9" t="s">
        <v>127</v>
      </c>
      <c r="F11" s="17" t="str">
        <f>IFERROR("c "&amp;VLOOKUP(A11,Punkti,2,FALSE),"")</f>
        <v/>
      </c>
      <c r="G11" t="str">
        <f>"v ""\"&amp;mp3_ost&amp;"\"&amp;E11&amp;".mp3"""</f>
        <v>v "\mp3_ost\jen-gimn.mp3"</v>
      </c>
      <c r="H11" s="15" t="str">
        <f>СцепитьМного(F11:G11,", ")</f>
        <v>v "\mp3_ost\jen-gimn.mp3"</v>
      </c>
    </row>
    <row r="12" spans="1:8" x14ac:dyDescent="0.25">
      <c r="B12" t="s">
        <v>166</v>
      </c>
      <c r="C12" t="s">
        <v>213</v>
      </c>
      <c r="D12" t="s">
        <v>190</v>
      </c>
      <c r="E12" s="9" t="s">
        <v>125</v>
      </c>
      <c r="F12" s="17" t="str">
        <f>IFERROR("c "&amp;VLOOKUP(A12,Punkti,2,FALSE),"")</f>
        <v/>
      </c>
      <c r="G12" t="str">
        <f>"v ""\"&amp;mp3_ost&amp;"\"&amp;E12&amp;".mp3"""</f>
        <v>v "\mp3_ost\itk.mp3"</v>
      </c>
      <c r="H12" s="15" t="str">
        <f>СцепитьМного(F12:G12,", ")</f>
        <v>v "\mp3_ost\itk.mp3"</v>
      </c>
    </row>
    <row r="13" spans="1:8" x14ac:dyDescent="0.25">
      <c r="B13" t="s">
        <v>268</v>
      </c>
      <c r="C13" t="s">
        <v>269</v>
      </c>
      <c r="D13" t="s">
        <v>190</v>
      </c>
      <c r="E13" s="9" t="s">
        <v>164</v>
      </c>
      <c r="F13" s="17" t="str">
        <f>IFERROR("c "&amp;VLOOKUP(A13,Punkti,2,FALSE),"")</f>
        <v/>
      </c>
      <c r="G13" t="str">
        <f>"v ""\"&amp;mp3_ost&amp;"\"&amp;E13&amp;".mp3"""</f>
        <v>v "\mp3_ost\yunost`.mp3"</v>
      </c>
      <c r="H13" s="15" t="str">
        <f>СцепитьМного(F13:G13,", ")</f>
        <v>v "\mp3_ost\yunost`.mp3"</v>
      </c>
    </row>
    <row r="14" spans="1:8" x14ac:dyDescent="0.25">
      <c r="B14" t="s">
        <v>218</v>
      </c>
      <c r="C14" t="s">
        <v>234</v>
      </c>
      <c r="D14" t="s">
        <v>190</v>
      </c>
      <c r="E14" s="9" t="s">
        <v>132</v>
      </c>
      <c r="F14" s="17" t="str">
        <f>IFERROR("c "&amp;VLOOKUP(A14,Punkti,2,FALSE),"")</f>
        <v/>
      </c>
      <c r="G14" t="str">
        <f>"v ""\"&amp;mp3_ost&amp;"\"&amp;E14&amp;".mp3"""</f>
        <v>v "\mp3_ost\kztsh.mp3"</v>
      </c>
      <c r="H14" s="15" t="str">
        <f>СцепитьМного(F14:G14,", ")</f>
        <v>v "\mp3_ost\kztsh.mp3"</v>
      </c>
    </row>
    <row r="15" spans="1:8" x14ac:dyDescent="0.25">
      <c r="B15" t="s">
        <v>350</v>
      </c>
      <c r="C15" t="s">
        <v>249</v>
      </c>
      <c r="D15" t="s">
        <v>190</v>
      </c>
      <c r="E15" s="9" t="s">
        <v>130</v>
      </c>
      <c r="F15" s="17" t="str">
        <f>IFERROR("c "&amp;VLOOKUP(A15,Punkti,2,FALSE),"")</f>
        <v/>
      </c>
      <c r="G15" t="str">
        <f>"v ""\"&amp;mp3_ost&amp;"\"&amp;E15&amp;".mp3"""</f>
        <v>v "\mp3_ost\kladbvos.mp3"</v>
      </c>
      <c r="H15" s="15" t="str">
        <f>СцепитьМного(F15:G15,", ")</f>
        <v>v "\mp3_ost\kladbvos.mp3"</v>
      </c>
    </row>
    <row r="16" spans="1:8" x14ac:dyDescent="0.25">
      <c r="B16" t="s">
        <v>351</v>
      </c>
      <c r="C16" t="s">
        <v>250</v>
      </c>
      <c r="D16" t="s">
        <v>190</v>
      </c>
      <c r="E16" s="9" t="s">
        <v>153</v>
      </c>
      <c r="F16" s="17" t="str">
        <f>IFERROR("c "&amp;VLOOKUP(A16,Punkti,2,FALSE),"")</f>
        <v/>
      </c>
      <c r="G16" t="str">
        <f>"v ""\"&amp;mp3_ost&amp;"\"&amp;E16&amp;".mp3"""</f>
        <v>v "\mp3_ost\sudob-kl.mp3"</v>
      </c>
      <c r="H16" s="15" t="str">
        <f>СцепитьМного(F16:G16,", ")</f>
        <v>v "\mp3_ost\sudob-kl.mp3"</v>
      </c>
    </row>
    <row r="17" spans="2:8" x14ac:dyDescent="0.25">
      <c r="B17" t="s">
        <v>217</v>
      </c>
      <c r="C17" t="s">
        <v>232</v>
      </c>
      <c r="D17" t="s">
        <v>190</v>
      </c>
      <c r="E17" s="9" t="s">
        <v>129</v>
      </c>
      <c r="F17" s="17" t="str">
        <f>IFERROR("c "&amp;VLOOKUP(A17,Punkti,2,FALSE),"")</f>
        <v/>
      </c>
      <c r="G17" t="str">
        <f>"v ""\"&amp;mp3_ost&amp;"\"&amp;E17&amp;".mp3"""</f>
        <v>v "\mp3_ost\kastel.mp3"</v>
      </c>
      <c r="H17" s="15" t="str">
        <f>СцепитьМного(F17:G17,", ")</f>
        <v>v "\mp3_ost\kastel.mp3"</v>
      </c>
    </row>
    <row r="18" spans="2:8" x14ac:dyDescent="0.25">
      <c r="B18" t="s">
        <v>223</v>
      </c>
      <c r="C18" t="s">
        <v>236</v>
      </c>
      <c r="D18" t="s">
        <v>190</v>
      </c>
      <c r="E18" s="9" t="s">
        <v>137</v>
      </c>
      <c r="F18" s="17" t="str">
        <f>IFERROR("c "&amp;VLOOKUP(A18,Punkti,2,FALSE),"")</f>
        <v/>
      </c>
      <c r="G18" t="str">
        <f>"v ""\"&amp;mp3_ost&amp;"\"&amp;E18&amp;".mp3"""</f>
        <v>v "\mp3_ost\lesoceh.mp3"</v>
      </c>
      <c r="H18" s="15" t="str">
        <f>СцепитьМного(F18:G18,", ")</f>
        <v>v "\mp3_ost\lesoceh.mp3"</v>
      </c>
    </row>
    <row r="19" spans="2:8" x14ac:dyDescent="0.25">
      <c r="B19" t="s">
        <v>271</v>
      </c>
      <c r="C19" t="s">
        <v>224</v>
      </c>
      <c r="D19" t="s">
        <v>191</v>
      </c>
      <c r="E19" s="9" t="s">
        <v>138</v>
      </c>
      <c r="F19" s="17" t="str">
        <f>IFERROR("c "&amp;VLOOKUP(A19,Punkti,2,FALSE),"")</f>
        <v/>
      </c>
      <c r="G19" t="str">
        <f>"v ""\"&amp;mp3_ost&amp;"\"&amp;E19&amp;".mp3"""</f>
        <v>v "\mp3_ost\magazin.mp3"</v>
      </c>
      <c r="H19" s="15" t="str">
        <f>СцепитьМного(F19:G19,", ")</f>
        <v>v "\mp3_ost\magazin.mp3"</v>
      </c>
    </row>
    <row r="20" spans="2:8" x14ac:dyDescent="0.25">
      <c r="B20" t="s">
        <v>180</v>
      </c>
      <c r="C20" t="s">
        <v>195</v>
      </c>
      <c r="D20" t="s">
        <v>197</v>
      </c>
      <c r="E20" s="9">
        <v>308</v>
      </c>
      <c r="F20" s="17" t="str">
        <f>IFERROR("c "&amp;VLOOKUP(A20,Punkti,2,FALSE),"")</f>
        <v/>
      </c>
      <c r="G20" t="str">
        <f>"v ""\"&amp;mp3_ost&amp;"\"&amp;E20&amp;".mp3"""</f>
        <v>v "\mp3_ost\308.mp3"</v>
      </c>
      <c r="H20" s="15" t="str">
        <f>СцепитьМного(F20:G20,", ")</f>
        <v>v "\mp3_ost\308.mp3"</v>
      </c>
    </row>
    <row r="21" spans="2:8" x14ac:dyDescent="0.25">
      <c r="B21" t="s">
        <v>181</v>
      </c>
      <c r="C21" t="s">
        <v>196</v>
      </c>
      <c r="D21" t="s">
        <v>197</v>
      </c>
      <c r="E21" s="9">
        <v>936</v>
      </c>
      <c r="F21" s="17" t="str">
        <f>IFERROR("c "&amp;VLOOKUP(A21,Punkti,2,FALSE),"")</f>
        <v/>
      </c>
      <c r="G21" t="str">
        <f>"v ""\"&amp;mp3_ost&amp;"\"&amp;E21&amp;".mp3"""</f>
        <v>v "\mp3_ost\936.mp3"</v>
      </c>
      <c r="H21" s="15" t="str">
        <f>СцепитьМного(F21:G21,", ")</f>
        <v>v "\mp3_ost\936.mp3"</v>
      </c>
    </row>
    <row r="22" spans="2:8" x14ac:dyDescent="0.25">
      <c r="B22" t="s">
        <v>240</v>
      </c>
      <c r="C22" t="s">
        <v>241</v>
      </c>
      <c r="D22" t="s">
        <v>190</v>
      </c>
      <c r="E22" s="9" t="s">
        <v>147</v>
      </c>
      <c r="F22" s="17" t="str">
        <f>IFERROR("c "&amp;VLOOKUP(A22,Punkti,2,FALSE),"")</f>
        <v/>
      </c>
      <c r="G22" t="str">
        <f>"v ""\"&amp;mp3_ost&amp;"\"&amp;E22&amp;".mp3"""</f>
        <v>v "\mp3_ost\pojarnay.mp3"</v>
      </c>
      <c r="H22" s="15" t="str">
        <f>СцепитьМного(F22:G22,", ")</f>
        <v>v "\mp3_ost\pojarnay.mp3"</v>
      </c>
    </row>
    <row r="23" spans="2:8" x14ac:dyDescent="0.25">
      <c r="B23" t="s">
        <v>230</v>
      </c>
      <c r="C23" t="s">
        <v>231</v>
      </c>
      <c r="D23" t="s">
        <v>190</v>
      </c>
      <c r="E23" s="9" t="s">
        <v>144</v>
      </c>
      <c r="F23" s="17" t="str">
        <f>IFERROR("c "&amp;VLOOKUP(A23,Punkti,2,FALSE),"")</f>
        <v/>
      </c>
      <c r="G23" t="str">
        <f>"v ""\"&amp;mp3_ost&amp;"\"&amp;E23&amp;".mp3"""</f>
        <v>v "\mp3_ost\paliklin.mp3"</v>
      </c>
      <c r="H23" s="15" t="str">
        <f>СцепитьМного(F23:G23,", ")</f>
        <v>v "\mp3_ost\paliklin.mp3"</v>
      </c>
    </row>
    <row r="24" spans="2:8" x14ac:dyDescent="0.25">
      <c r="B24" t="s">
        <v>238</v>
      </c>
      <c r="C24" t="s">
        <v>239</v>
      </c>
      <c r="D24" t="s">
        <v>190</v>
      </c>
      <c r="E24" s="9" t="s">
        <v>146</v>
      </c>
      <c r="F24" s="17" t="str">
        <f>IFERROR("c "&amp;VLOOKUP(A24,Punkti,2,FALSE),"")</f>
        <v/>
      </c>
      <c r="G24" t="str">
        <f>"v ""\"&amp;mp3_ost&amp;"\"&amp;E24&amp;".mp3"""</f>
        <v>v "\mp3_ost\pochta.mp3"</v>
      </c>
      <c r="H24" s="15" t="str">
        <f>СцепитьМного(F24:G24,", ")</f>
        <v>v "\mp3_ost\pochta.mp3"</v>
      </c>
    </row>
    <row r="25" spans="2:8" x14ac:dyDescent="0.25">
      <c r="B25" t="s">
        <v>266</v>
      </c>
      <c r="C25" t="s">
        <v>267</v>
      </c>
      <c r="D25" t="s">
        <v>190</v>
      </c>
      <c r="E25" s="9" t="s">
        <v>163</v>
      </c>
      <c r="F25" s="17" t="str">
        <f>IFERROR("c "&amp;VLOOKUP(A25,Punkti,2,FALSE),"")</f>
        <v/>
      </c>
      <c r="G25" t="str">
        <f>"v ""\"&amp;mp3_ost&amp;"\"&amp;E25&amp;".mp3"""</f>
        <v>v "\mp3_ost\venis`e.mp3"</v>
      </c>
      <c r="H25" s="15" t="str">
        <f>СцепитьМного(F25:G25,", ")</f>
        <v>v "\mp3_ost\venis`e.mp3"</v>
      </c>
    </row>
    <row r="26" spans="2:8" x14ac:dyDescent="0.25">
      <c r="B26" t="s">
        <v>219</v>
      </c>
      <c r="C26" t="s">
        <v>220</v>
      </c>
      <c r="D26" t="s">
        <v>190</v>
      </c>
      <c r="E26" s="9" t="s">
        <v>134</v>
      </c>
      <c r="F26" s="17" t="str">
        <f>IFERROR("c "&amp;VLOOKUP(A26,Punkti,2,FALSE),"")</f>
        <v/>
      </c>
      <c r="G26" t="str">
        <f>"v ""\"&amp;mp3_ost&amp;"\"&amp;E26&amp;".mp3"""</f>
        <v>v "\mp3_ost\lenina.mp3"</v>
      </c>
      <c r="H26" s="15" t="str">
        <f>СцепитьМного(F26:G26,", ")</f>
        <v>v "\mp3_ost\lenina.mp3"</v>
      </c>
    </row>
    <row r="27" spans="2:8" x14ac:dyDescent="0.25">
      <c r="B27" t="s">
        <v>173</v>
      </c>
      <c r="C27" t="s">
        <v>226</v>
      </c>
      <c r="D27" t="s">
        <v>190</v>
      </c>
      <c r="E27" s="9" t="s">
        <v>140</v>
      </c>
      <c r="F27" s="17" t="str">
        <f>IFERROR("c "&amp;VLOOKUP(A27,Punkti,2,FALSE),"")</f>
        <v/>
      </c>
      <c r="G27" t="str">
        <f>"v ""\"&amp;mp3_ost&amp;"\"&amp;E27&amp;".mp3"""</f>
        <v>v "\mp3_ost\mira.mp3"</v>
      </c>
      <c r="H27" s="15" t="str">
        <f>СцепитьМного(F27:G27,", ")</f>
        <v>v "\mp3_ost\mira.mp3"</v>
      </c>
    </row>
    <row r="28" spans="2:8" x14ac:dyDescent="0.25">
      <c r="B28" t="s">
        <v>247</v>
      </c>
      <c r="C28" t="s">
        <v>248</v>
      </c>
      <c r="D28" t="s">
        <v>190</v>
      </c>
      <c r="E28" s="9" t="s">
        <v>152</v>
      </c>
      <c r="F28" s="17" t="str">
        <f>IFERROR("c "&amp;VLOOKUP(A28,Punkti,2,FALSE),"")</f>
        <v/>
      </c>
      <c r="G28" t="str">
        <f>"v ""\"&amp;mp3_ost&amp;"\"&amp;E28&amp;".mp3"""</f>
        <v>v "\mp3_ost\skarwnw.mp3"</v>
      </c>
      <c r="H28" s="15" t="str">
        <f>СцепитьМного(F28:G28,", ")</f>
        <v>v "\mp3_ost\skarwnw.mp3"</v>
      </c>
    </row>
    <row r="29" spans="2:8" x14ac:dyDescent="0.25">
      <c r="B29" t="s">
        <v>346</v>
      </c>
      <c r="E29" s="9" t="s">
        <v>347</v>
      </c>
      <c r="F29" s="17" t="str">
        <f>IFERROR("c "&amp;VLOOKUP(A29,Punkti,2,FALSE),"")</f>
        <v/>
      </c>
      <c r="G29" t="str">
        <f>"v ""\"&amp;mp3_ost&amp;"\"&amp;E29&amp;".mp3"""</f>
        <v>v "\mp3_ost\!_silent.mp3"</v>
      </c>
      <c r="H29" s="15" t="str">
        <f>СцепитьМного(F29:G29,", ")</f>
        <v>v "\mp3_ost\!_silent.mp3"</v>
      </c>
    </row>
    <row r="30" spans="2:8" x14ac:dyDescent="0.25">
      <c r="B30" t="s">
        <v>246</v>
      </c>
      <c r="C30" t="s">
        <v>246</v>
      </c>
      <c r="D30" t="s">
        <v>190</v>
      </c>
      <c r="E30" s="9" t="s">
        <v>151</v>
      </c>
      <c r="F30" s="17" t="str">
        <f>IFERROR("c "&amp;VLOOKUP(A30,Punkti,2,FALSE),"")</f>
        <v/>
      </c>
      <c r="G30" t="str">
        <f>"v ""\"&amp;mp3_ost&amp;"\"&amp;E30&amp;".mp3"""</f>
        <v>v "\mp3_ost\sberbank.mp3"</v>
      </c>
      <c r="H30" s="15" t="str">
        <f>СцепитьМного(F30:G30,", ")</f>
        <v>v "\mp3_ost\sberbank.mp3"</v>
      </c>
    </row>
    <row r="31" spans="2:8" x14ac:dyDescent="0.25">
      <c r="B31" t="s">
        <v>252</v>
      </c>
      <c r="C31" t="s">
        <v>253</v>
      </c>
      <c r="D31" t="s">
        <v>190</v>
      </c>
      <c r="E31" s="9" t="s">
        <v>155</v>
      </c>
      <c r="F31" s="17" t="str">
        <f>IFERROR("c "&amp;VLOOKUP(A31,Punkti,2,FALSE),"")</f>
        <v/>
      </c>
      <c r="G31" t="str">
        <f>"v ""\"&amp;mp3_ost&amp;"\"&amp;E31&amp;".mp3"""</f>
        <v>v "\mp3_ost\svitanak.mp3"</v>
      </c>
      <c r="H31" s="15" t="str">
        <f>СцепитьМного(F31:G31,", ")</f>
        <v>v "\mp3_ost\svitanak.mp3"</v>
      </c>
    </row>
    <row r="32" spans="2:8" x14ac:dyDescent="0.25">
      <c r="B32" t="s">
        <v>244</v>
      </c>
      <c r="C32" t="s">
        <v>245</v>
      </c>
      <c r="D32" t="s">
        <v>190</v>
      </c>
      <c r="E32" s="9" t="s">
        <v>150</v>
      </c>
      <c r="F32" s="17" t="str">
        <f>IFERROR("c "&amp;VLOOKUP(A32,Punkti,2,FALSE),"")</f>
        <v/>
      </c>
      <c r="G32" t="str">
        <f>"v ""\"&amp;mp3_ost&amp;"\"&amp;E32&amp;".mp3"""</f>
        <v>v "\mp3_ost\rwnok.mp3"</v>
      </c>
      <c r="H32" s="15" t="str">
        <f>СцепитьМного(F32:G32,", ")</f>
        <v>v "\mp3_ost\rwnok.mp3"</v>
      </c>
    </row>
    <row r="33" spans="1:8" x14ac:dyDescent="0.25">
      <c r="B33" t="s">
        <v>175</v>
      </c>
      <c r="C33" t="s">
        <v>187</v>
      </c>
      <c r="D33" t="s">
        <v>190</v>
      </c>
      <c r="E33" s="9" t="s">
        <v>106</v>
      </c>
      <c r="F33" s="17" t="str">
        <f>IFERROR("c "&amp;VLOOKUP(A33,Punkti,2,FALSE),"")</f>
        <v/>
      </c>
      <c r="G33" t="str">
        <f>"v ""\"&amp;mp3_ost&amp;"\"&amp;E33&amp;".mp3"""</f>
        <v>v "\mp3_ost\5ssh.mp3"</v>
      </c>
      <c r="H33" s="15" t="str">
        <f>СцепитьМного(F33:G33,", ")</f>
        <v>v "\mp3_ost\5ssh.mp3"</v>
      </c>
    </row>
    <row r="34" spans="1:8" x14ac:dyDescent="0.25">
      <c r="B34" t="s">
        <v>179</v>
      </c>
      <c r="C34" t="s">
        <v>193</v>
      </c>
      <c r="D34" t="s">
        <v>190</v>
      </c>
      <c r="E34" s="9" t="s">
        <v>109</v>
      </c>
      <c r="F34" s="17" t="str">
        <f>IFERROR("c "&amp;VLOOKUP(A34,Punkti,2,FALSE),"")</f>
        <v/>
      </c>
      <c r="G34" t="str">
        <f>"v ""\"&amp;mp3_ost&amp;"\"&amp;E34&amp;".mp3"""</f>
        <v>v "\mp3_ost\8ssh.mp3"</v>
      </c>
      <c r="H34" s="15" t="str">
        <f>СцепитьМного(F34:G34,", ")</f>
        <v>v "\mp3_ost\8ssh.mp3"</v>
      </c>
    </row>
    <row r="35" spans="1:8" x14ac:dyDescent="0.25">
      <c r="B35" t="s">
        <v>255</v>
      </c>
      <c r="C35" t="s">
        <v>256</v>
      </c>
      <c r="D35" t="s">
        <v>190</v>
      </c>
      <c r="E35" s="9" t="s">
        <v>157</v>
      </c>
      <c r="F35" s="17" t="str">
        <f>IFERROR("c "&amp;VLOOKUP(A35,Punkti,2,FALSE),"")</f>
        <v/>
      </c>
      <c r="G35" t="str">
        <f>"v ""\"&amp;mp3_ost&amp;"\"&amp;E35&amp;".mp3"""</f>
        <v>v "\mp3_ost\tamoj.mp3"</v>
      </c>
      <c r="H35" s="15" t="str">
        <f>СцепитьМного(F35:G35,", ")</f>
        <v>v "\mp3_ost\tamoj.mp3"</v>
      </c>
    </row>
    <row r="36" spans="1:8" x14ac:dyDescent="0.25">
      <c r="B36" t="s">
        <v>257</v>
      </c>
      <c r="C36" t="s">
        <v>258</v>
      </c>
      <c r="D36" t="s">
        <v>190</v>
      </c>
      <c r="E36" s="9" t="s">
        <v>158</v>
      </c>
      <c r="F36" s="17" t="str">
        <f>IFERROR("c "&amp;VLOOKUP(A36,Punkti,2,FALSE),"")</f>
        <v/>
      </c>
      <c r="G36" t="str">
        <f>"v ""\"&amp;mp3_ost&amp;"\"&amp;E36&amp;".mp3"""</f>
        <v>v "\mp3_ost\tc.mp3"</v>
      </c>
      <c r="H36" s="15" t="str">
        <f>СцепитьМного(F36:G36,", ")</f>
        <v>v "\mp3_ost\tc.mp3"</v>
      </c>
    </row>
    <row r="37" spans="1:8" x14ac:dyDescent="0.25">
      <c r="B37" t="s">
        <v>354</v>
      </c>
      <c r="C37" t="s">
        <v>200</v>
      </c>
      <c r="D37" t="s">
        <v>190</v>
      </c>
      <c r="E37" s="9" t="s">
        <v>115</v>
      </c>
      <c r="F37" s="17" t="str">
        <f>IFERROR("c "&amp;VLOOKUP(A37,Punkti,2,FALSE),"")</f>
        <v/>
      </c>
      <c r="G37" t="str">
        <f>"v ""\"&amp;mp3_ost&amp;"\"&amp;E37&amp;".mp3"""</f>
        <v>v "\mp3_ost\belaz.mp3"</v>
      </c>
      <c r="H37" s="15" t="str">
        <f>СцепитьМного(F37:G37,", ")</f>
        <v>v "\mp3_ost\belaz.mp3"</v>
      </c>
    </row>
    <row r="38" spans="1:8" x14ac:dyDescent="0.25">
      <c r="B38" t="s">
        <v>259</v>
      </c>
      <c r="C38" t="s">
        <v>260</v>
      </c>
      <c r="D38" t="s">
        <v>190</v>
      </c>
      <c r="E38" s="9" t="s">
        <v>159</v>
      </c>
      <c r="F38" s="17" t="str">
        <f>IFERROR("c "&amp;VLOOKUP(A38,Punkti,2,FALSE),"")</f>
        <v/>
      </c>
      <c r="G38" t="str">
        <f>"v ""\"&amp;mp3_ost&amp;"\"&amp;E38&amp;".mp3"""</f>
        <v>v "\mp3_ost\tec.mp3"</v>
      </c>
      <c r="H38" s="15" t="str">
        <f>СцепитьМного(F38:G38,", ")</f>
        <v>v "\mp3_ost\tec.mp3"</v>
      </c>
    </row>
    <row r="39" spans="1:8" x14ac:dyDescent="0.25">
      <c r="A39" t="s">
        <v>90</v>
      </c>
      <c r="B39" t="s">
        <v>273</v>
      </c>
      <c r="C39" t="s">
        <v>194</v>
      </c>
      <c r="D39" t="s">
        <v>190</v>
      </c>
      <c r="E39" s="9" t="s">
        <v>110</v>
      </c>
      <c r="F39" s="17" t="str">
        <f>IFERROR("c "&amp;VLOOKUP(A39,Punkti,2,FALSE),"")</f>
        <v>c 928</v>
      </c>
      <c r="G39" t="str">
        <f>"v ""\"&amp;mp3_ost&amp;"\"&amp;E39&amp;".mp3"""</f>
        <v>v "\mp3_ost\50letokt.mp3"</v>
      </c>
      <c r="H39" s="15" t="str">
        <f>СцепитьМного(F39:G39,", ")</f>
        <v>c 928, v "\mp3_ost\50letokt.mp3"</v>
      </c>
    </row>
    <row r="40" spans="1:8" x14ac:dyDescent="0.25">
      <c r="A40" t="s">
        <v>90</v>
      </c>
      <c r="B40" t="s">
        <v>274</v>
      </c>
      <c r="C40" t="s">
        <v>188</v>
      </c>
      <c r="D40" t="s">
        <v>190</v>
      </c>
      <c r="E40" s="9" t="s">
        <v>107</v>
      </c>
      <c r="F40" s="17" t="str">
        <f>IFERROR("c "&amp;VLOOKUP(A40,Punkti,2,FALSE),"")</f>
        <v>c 928</v>
      </c>
      <c r="G40" t="str">
        <f>"v ""\"&amp;mp3_ost&amp;"\"&amp;E40&amp;".mp3"""</f>
        <v>v "\mp3_ost\8marta.mp3"</v>
      </c>
      <c r="H40" s="15" t="str">
        <f>СцепитьМного(F40:G40,", ")</f>
        <v>c 928, v "\mp3_ost\8marta.mp3"</v>
      </c>
    </row>
    <row r="41" spans="1:8" x14ac:dyDescent="0.25">
      <c r="A41" t="s">
        <v>90</v>
      </c>
      <c r="B41" t="s">
        <v>275</v>
      </c>
      <c r="C41" t="s">
        <v>198</v>
      </c>
      <c r="D41" t="s">
        <v>190</v>
      </c>
      <c r="E41" s="9" t="s">
        <v>111</v>
      </c>
      <c r="F41" s="17" t="str">
        <f>IFERROR("c "&amp;VLOOKUP(A41,Punkti,2,FALSE),"")</f>
        <v>c 928</v>
      </c>
      <c r="G41" t="str">
        <f>"v ""\"&amp;mp3_ost&amp;"\"&amp;E41&amp;".mp3"""</f>
        <v>v "\mp3_ost\avtomobi.mp3"</v>
      </c>
      <c r="H41" s="15" t="str">
        <f>СцепитьМного(F41:G41,", ")</f>
        <v>c 928, v "\mp3_ost\avtomobi.mp3"</v>
      </c>
    </row>
    <row r="42" spans="1:8" x14ac:dyDescent="0.25">
      <c r="A42" t="s">
        <v>90</v>
      </c>
      <c r="B42" t="s">
        <v>177</v>
      </c>
      <c r="C42" t="s">
        <v>184</v>
      </c>
      <c r="D42" t="s">
        <v>190</v>
      </c>
      <c r="E42" s="9" t="s">
        <v>114</v>
      </c>
      <c r="F42" s="17" t="str">
        <f>IFERROR("c "&amp;VLOOKUP(A42,Punkti,2,FALSE),"")</f>
        <v>c 928</v>
      </c>
      <c r="G42" t="str">
        <f>"v ""\"&amp;mp3_ost&amp;"\"&amp;E42&amp;".mp3"""</f>
        <v>v "\mp3_ost\bajora.mp3"</v>
      </c>
      <c r="H42" s="15" t="str">
        <f>СцепитьМного(F42:G42,", ")</f>
        <v>c 928, v "\mp3_ost\bajora.mp3"</v>
      </c>
    </row>
    <row r="43" spans="1:8" x14ac:dyDescent="0.25">
      <c r="A43" t="s">
        <v>90</v>
      </c>
      <c r="B43" t="s">
        <v>276</v>
      </c>
      <c r="C43" t="s">
        <v>201</v>
      </c>
      <c r="D43" t="s">
        <v>190</v>
      </c>
      <c r="E43" s="9" t="s">
        <v>116</v>
      </c>
      <c r="F43" s="17" t="str">
        <f>IFERROR("c "&amp;VLOOKUP(A43,Punkti,2,FALSE),"")</f>
        <v>c 928</v>
      </c>
      <c r="G43" t="str">
        <f>"v ""\"&amp;mp3_ost&amp;"\"&amp;E43&amp;".mp3"""</f>
        <v>v "\mp3_ost\boguslav.mp3"</v>
      </c>
      <c r="H43" s="15" t="str">
        <f>СцепитьМного(F43:G43,", ")</f>
        <v>c 928, v "\mp3_ost\boguslav.mp3"</v>
      </c>
    </row>
    <row r="44" spans="1:8" x14ac:dyDescent="0.25">
      <c r="A44" t="s">
        <v>90</v>
      </c>
      <c r="B44" t="s">
        <v>174</v>
      </c>
      <c r="C44" t="s">
        <v>208</v>
      </c>
      <c r="D44" t="s">
        <v>190</v>
      </c>
      <c r="E44" s="9" t="s">
        <v>121</v>
      </c>
      <c r="F44" s="17" t="str">
        <f>IFERROR("c "&amp;VLOOKUP(A44,Punkti,2,FALSE),"")</f>
        <v>c 928</v>
      </c>
      <c r="G44" t="str">
        <f>"v ""\"&amp;mp3_ost&amp;"\"&amp;E44&amp;".mp3"""</f>
        <v>v "\mp3_ost\gagarina.mp3"</v>
      </c>
      <c r="H44" s="15" t="str">
        <f>СцепитьМного(F44:G44,", ")</f>
        <v>c 928, v "\mp3_ost\gagarina.mp3"</v>
      </c>
    </row>
    <row r="45" spans="1:8" x14ac:dyDescent="0.25">
      <c r="A45" t="s">
        <v>90</v>
      </c>
      <c r="B45" t="s">
        <v>277</v>
      </c>
      <c r="C45" t="s">
        <v>205</v>
      </c>
      <c r="D45" t="s">
        <v>190</v>
      </c>
      <c r="E45" s="9" t="s">
        <v>119</v>
      </c>
      <c r="F45" s="17" t="str">
        <f>IFERROR("c "&amp;VLOOKUP(A45,Punkti,2,FALSE),"")</f>
        <v>c 928</v>
      </c>
      <c r="G45" t="str">
        <f>"v ""\"&amp;mp3_ost&amp;"\"&amp;E45&amp;".mp3"""</f>
        <v>v "\mp3_ost\darojnay.mp3"</v>
      </c>
      <c r="H45" s="15" t="str">
        <f>СцепитьМного(F45:G45,", ")</f>
        <v>c 928, v "\mp3_ost\darojnay.mp3"</v>
      </c>
    </row>
    <row r="46" spans="1:8" x14ac:dyDescent="0.25">
      <c r="A46" t="s">
        <v>90</v>
      </c>
      <c r="B46" t="s">
        <v>169</v>
      </c>
      <c r="C46" t="s">
        <v>216</v>
      </c>
      <c r="D46" t="s">
        <v>190</v>
      </c>
      <c r="E46" s="9" t="s">
        <v>128</v>
      </c>
      <c r="F46" s="17" t="str">
        <f>IFERROR("c "&amp;VLOOKUP(A46,Punkti,2,FALSE),"")</f>
        <v>c 928</v>
      </c>
      <c r="G46" t="str">
        <f>"v ""\"&amp;mp3_ost&amp;"\"&amp;E46&amp;".mp3"""</f>
        <v>v "\mp3_ost\kalinina.mp3"</v>
      </c>
      <c r="H46" s="15" t="str">
        <f>СцепитьМного(F46:G46,", ")</f>
        <v>c 928, v "\mp3_ost\kalinina.mp3"</v>
      </c>
    </row>
    <row r="47" spans="1:8" x14ac:dyDescent="0.25">
      <c r="A47" t="s">
        <v>90</v>
      </c>
      <c r="B47" t="s">
        <v>278</v>
      </c>
      <c r="C47" t="s">
        <v>233</v>
      </c>
      <c r="D47" t="s">
        <v>190</v>
      </c>
      <c r="E47" s="9" t="s">
        <v>131</v>
      </c>
      <c r="F47" s="17" t="str">
        <f>IFERROR("c "&amp;VLOOKUP(A47,Punkti,2,FALSE),"")</f>
        <v>c 928</v>
      </c>
      <c r="G47" t="str">
        <f>"v ""\"&amp;mp3_ost&amp;"\"&amp;E47&amp;".mp3"""</f>
        <v>v "\mp3_ost\kupriyan.mp3"</v>
      </c>
      <c r="H47" s="15" t="str">
        <f>СцепитьМного(F47:G47,", ")</f>
        <v>c 928, v "\mp3_ost\kupriyan.mp3"</v>
      </c>
    </row>
    <row r="48" spans="1:8" x14ac:dyDescent="0.25">
      <c r="A48" t="s">
        <v>90</v>
      </c>
      <c r="B48" t="s">
        <v>279</v>
      </c>
      <c r="C48" t="s">
        <v>221</v>
      </c>
      <c r="D48" t="s">
        <v>191</v>
      </c>
      <c r="E48" s="9" t="s">
        <v>135</v>
      </c>
      <c r="F48" s="17" t="str">
        <f>IFERROR("c "&amp;VLOOKUP(A48,Punkti,2,FALSE),"")</f>
        <v>c 928</v>
      </c>
      <c r="G48" t="str">
        <f>"v ""\"&amp;mp3_ost&amp;"\"&amp;E48&amp;".mp3"""</f>
        <v>v "\mp3_ost\leninska.mp3"</v>
      </c>
      <c r="H48" s="15" t="str">
        <f>СцепитьМного(F48:G48,", ")</f>
        <v>c 928, v "\mp3_ost\leninska.mp3"</v>
      </c>
    </row>
    <row r="49" spans="1:8" x14ac:dyDescent="0.25">
      <c r="A49" t="s">
        <v>90</v>
      </c>
      <c r="B49" t="s">
        <v>280</v>
      </c>
      <c r="C49" t="s">
        <v>222</v>
      </c>
      <c r="D49" t="s">
        <v>190</v>
      </c>
      <c r="E49" s="9" t="s">
        <v>136</v>
      </c>
      <c r="F49" s="17" t="str">
        <f>IFERROR("c "&amp;VLOOKUP(A49,Punkti,2,FALSE),"")</f>
        <v>c 928</v>
      </c>
      <c r="G49" t="str">
        <f>"v ""\"&amp;mp3_ost&amp;"\"&amp;E49&amp;".mp3"""</f>
        <v>v "\mp3_ost\lesnaya.mp3"</v>
      </c>
      <c r="H49" s="15" t="str">
        <f>СцепитьМного(F49:G49,", ")</f>
        <v>c 928, v "\mp3_ost\lesnaya.mp3"</v>
      </c>
    </row>
    <row r="50" spans="1:8" x14ac:dyDescent="0.25">
      <c r="A50" t="s">
        <v>90</v>
      </c>
      <c r="B50" t="s">
        <v>281</v>
      </c>
      <c r="C50" t="s">
        <v>235</v>
      </c>
      <c r="D50" t="s">
        <v>191</v>
      </c>
      <c r="E50" s="9" t="s">
        <v>133</v>
      </c>
      <c r="F50" s="17" t="str">
        <f>IFERROR("c "&amp;VLOOKUP(A50,Punkti,2,FALSE),"")</f>
        <v>c 928</v>
      </c>
      <c r="G50" t="str">
        <f>"v ""\"&amp;mp3_ost&amp;"\"&amp;E50&amp;".mp3"""</f>
        <v>v "\mp3_ost\lag.mp3"</v>
      </c>
      <c r="H50" s="15" t="str">
        <f>СцепитьМного(F50:G50,", ")</f>
        <v>c 928, v "\mp3_ost\lag.mp3"</v>
      </c>
    </row>
    <row r="51" spans="1:8" x14ac:dyDescent="0.25">
      <c r="A51" t="s">
        <v>90</v>
      </c>
      <c r="B51" t="s">
        <v>282</v>
      </c>
      <c r="C51" t="s">
        <v>225</v>
      </c>
      <c r="D51" t="s">
        <v>190</v>
      </c>
      <c r="E51" s="9" t="s">
        <v>139</v>
      </c>
      <c r="F51" s="17" t="str">
        <f>IFERROR("c "&amp;VLOOKUP(A51,Punkti,2,FALSE),"")</f>
        <v>c 928</v>
      </c>
      <c r="G51" t="str">
        <f>"v ""\"&amp;mp3_ost&amp;"\"&amp;E51&amp;".mp3"""</f>
        <v>v "\mp3_ost\magistra.mp3"</v>
      </c>
      <c r="H51" s="15" t="str">
        <f>СцепитьМного(F51:G51,", ")</f>
        <v>c 928, v "\mp3_ost\magistra.mp3"</v>
      </c>
    </row>
    <row r="52" spans="1:8" x14ac:dyDescent="0.25">
      <c r="A52" t="s">
        <v>90</v>
      </c>
      <c r="B52" t="s">
        <v>170</v>
      </c>
      <c r="C52" t="s">
        <v>227</v>
      </c>
      <c r="D52" t="s">
        <v>190</v>
      </c>
      <c r="E52" s="9" t="s">
        <v>141</v>
      </c>
      <c r="F52" s="17" t="str">
        <f>IFERROR("c "&amp;VLOOKUP(A52,Punkti,2,FALSE),"")</f>
        <v>c 928</v>
      </c>
      <c r="G52" t="str">
        <f>"v ""\"&amp;mp3_ost&amp;"\"&amp;E52&amp;".mp3"""</f>
        <v>v "\mp3_ost\moskovsk.mp3"</v>
      </c>
      <c r="H52" s="15" t="str">
        <f>СцепитьМного(F52:G52,", ")</f>
        <v>c 928, v "\mp3_ost\moskovsk.mp3"</v>
      </c>
    </row>
    <row r="53" spans="1:8" x14ac:dyDescent="0.25">
      <c r="A53" t="s">
        <v>90</v>
      </c>
      <c r="B53" t="s">
        <v>283</v>
      </c>
      <c r="C53" t="s">
        <v>228</v>
      </c>
      <c r="D53" t="s">
        <v>190</v>
      </c>
      <c r="E53" s="9" t="s">
        <v>142</v>
      </c>
      <c r="F53" s="17" t="str">
        <f>IFERROR("c "&amp;VLOOKUP(A53,Punkti,2,FALSE),"")</f>
        <v>c 928</v>
      </c>
      <c r="G53" t="str">
        <f>"v ""\"&amp;mp3_ost&amp;"\"&amp;E53&amp;".mp3"""</f>
        <v>v "\mp3_ost\nagornay.mp3"</v>
      </c>
      <c r="H53" s="15" t="str">
        <f>СцепитьМного(F53:G53,", ")</f>
        <v>c 928, v "\mp3_ost\nagornay.mp3"</v>
      </c>
    </row>
    <row r="54" spans="1:8" x14ac:dyDescent="0.25">
      <c r="A54" t="s">
        <v>90</v>
      </c>
      <c r="B54" t="s">
        <v>345</v>
      </c>
      <c r="C54" t="s">
        <v>229</v>
      </c>
      <c r="D54" t="s">
        <v>190</v>
      </c>
      <c r="E54" s="9" t="s">
        <v>143</v>
      </c>
      <c r="F54" s="17" t="str">
        <f>IFERROR("c "&amp;VLOOKUP(A54,Punkti,2,FALSE),"")</f>
        <v>c 928</v>
      </c>
      <c r="G54" t="str">
        <f>"v ""\"&amp;mp3_ost&amp;"\"&amp;E54&amp;".mp3"""</f>
        <v>v "\mp3_ost\ostrovsk.mp3"</v>
      </c>
      <c r="H54" s="15" t="str">
        <f>СцепитьМного(F54:G54,", ")</f>
        <v>c 928, v "\mp3_ost\ostrovsk.mp3"</v>
      </c>
    </row>
    <row r="55" spans="1:8" x14ac:dyDescent="0.25">
      <c r="A55" t="s">
        <v>90</v>
      </c>
      <c r="B55" t="s">
        <v>171</v>
      </c>
      <c r="C55" t="s">
        <v>237</v>
      </c>
      <c r="D55" t="s">
        <v>190</v>
      </c>
      <c r="E55" s="9" t="s">
        <v>145</v>
      </c>
      <c r="F55" s="17" t="str">
        <f>IFERROR("c "&amp;VLOOKUP(A55,Punkti,2,FALSE),"")</f>
        <v>c 928</v>
      </c>
      <c r="G55" t="str">
        <f>"v ""\"&amp;mp3_ost&amp;"\"&amp;E55&amp;".mp3"""</f>
        <v>v "\mp3_ost\partizan.mp3"</v>
      </c>
      <c r="H55" s="15" t="str">
        <f>СцепитьМного(F55:G55,", ")</f>
        <v>c 928, v "\mp3_ost\partizan.mp3"</v>
      </c>
    </row>
    <row r="56" spans="1:8" x14ac:dyDescent="0.25">
      <c r="A56" t="s">
        <v>90</v>
      </c>
      <c r="B56" t="s">
        <v>284</v>
      </c>
      <c r="C56" t="s">
        <v>242</v>
      </c>
      <c r="D56" t="s">
        <v>190</v>
      </c>
      <c r="E56" s="9" t="s">
        <v>148</v>
      </c>
      <c r="F56" s="17" t="str">
        <f>IFERROR("c "&amp;VLOOKUP(A56,Punkti,2,FALSE),"")</f>
        <v>c 928</v>
      </c>
      <c r="G56" t="str">
        <f>"v ""\"&amp;mp3_ost&amp;"\"&amp;E56&amp;".mp3"""</f>
        <v>v "\mp3_ost\pyaschan.mp3"</v>
      </c>
      <c r="H56" s="15" t="str">
        <f>СцепитьМного(F56:G56,", ")</f>
        <v>c 928, v "\mp3_ost\pyaschan.mp3"</v>
      </c>
    </row>
    <row r="57" spans="1:8" x14ac:dyDescent="0.25">
      <c r="A57" t="s">
        <v>90</v>
      </c>
      <c r="B57" t="s">
        <v>176</v>
      </c>
      <c r="C57" t="s">
        <v>243</v>
      </c>
      <c r="D57" t="s">
        <v>190</v>
      </c>
      <c r="E57" s="9" t="s">
        <v>149</v>
      </c>
      <c r="F57" s="17" t="str">
        <f>IFERROR("c "&amp;VLOOKUP(A57,Punkti,2,FALSE),"")</f>
        <v>c 928</v>
      </c>
      <c r="G57" t="str">
        <f>"v ""\"&amp;mp3_ost&amp;"\"&amp;E57&amp;".mp3"""</f>
        <v>v "\mp3_ost\rokosovs.mp3"</v>
      </c>
      <c r="H57" s="15" t="str">
        <f>СцепитьМного(F57:G57,", ")</f>
        <v>c 928, v "\mp3_ost\rokosovs.mp3"</v>
      </c>
    </row>
    <row r="58" spans="1:8" x14ac:dyDescent="0.25">
      <c r="A58" t="s">
        <v>90</v>
      </c>
      <c r="B58" t="s">
        <v>285</v>
      </c>
      <c r="C58" t="s">
        <v>251</v>
      </c>
      <c r="D58" t="s">
        <v>190</v>
      </c>
      <c r="E58" s="9" t="s">
        <v>154</v>
      </c>
      <c r="F58" s="17" t="str">
        <f>IFERROR("c "&amp;VLOOKUP(A58,Punkti,2,FALSE),"")</f>
        <v>c 928</v>
      </c>
      <c r="G58" t="str">
        <f>"v ""\"&amp;mp3_ost&amp;"\"&amp;E58&amp;".mp3"""</f>
        <v>v "\mp3_ost\suhogrya.mp3"</v>
      </c>
      <c r="H58" s="15" t="str">
        <f>СцепитьМного(F58:G58,", ")</f>
        <v>c 928, v "\mp3_ost\suhogrya.mp3"</v>
      </c>
    </row>
    <row r="59" spans="1:8" x14ac:dyDescent="0.25">
      <c r="A59" t="s">
        <v>90</v>
      </c>
      <c r="B59" t="s">
        <v>172</v>
      </c>
      <c r="C59" t="s">
        <v>254</v>
      </c>
      <c r="D59" t="s">
        <v>190</v>
      </c>
      <c r="E59" s="9" t="s">
        <v>156</v>
      </c>
      <c r="F59" s="17" t="str">
        <f>IFERROR("c "&amp;VLOOKUP(A59,Punkti,2,FALSE),"")</f>
        <v>c 928</v>
      </c>
      <c r="G59" t="str">
        <f>"v ""\"&amp;mp3_ost&amp;"\"&amp;E59&amp;".mp3"""</f>
        <v>v "\mp3_ost\swrokvas.mp3"</v>
      </c>
      <c r="H59" s="15" t="str">
        <f>СцепитьМного(F59:G59,", ")</f>
        <v>c 928, v "\mp3_ost\swrokvas.mp3"</v>
      </c>
    </row>
    <row r="60" spans="1:8" x14ac:dyDescent="0.25">
      <c r="A60" t="s">
        <v>90</v>
      </c>
      <c r="B60" t="s">
        <v>286</v>
      </c>
      <c r="C60" t="s">
        <v>261</v>
      </c>
      <c r="D60" t="s">
        <v>190</v>
      </c>
      <c r="E60" s="9" t="s">
        <v>160</v>
      </c>
      <c r="F60" s="17" t="str">
        <f>IFERROR("c "&amp;VLOOKUP(A60,Punkti,2,FALSE),"")</f>
        <v>c 928</v>
      </c>
      <c r="G60" t="str">
        <f>"v ""\"&amp;mp3_ost&amp;"\"&amp;E60&amp;".mp3"""</f>
        <v>v "\mp3_ost\truda.mp3"</v>
      </c>
      <c r="H60" s="15" t="str">
        <f>СцепитьМного(F60:G60,", ")</f>
        <v>c 928, v "\mp3_ost\truda.mp3"</v>
      </c>
    </row>
    <row r="61" spans="1:8" x14ac:dyDescent="0.25">
      <c r="B61" t="s">
        <v>262</v>
      </c>
      <c r="C61" t="s">
        <v>263</v>
      </c>
      <c r="D61" t="s">
        <v>190</v>
      </c>
      <c r="E61" s="9" t="s">
        <v>161</v>
      </c>
      <c r="F61" s="17" t="str">
        <f>IFERROR("c "&amp;VLOOKUP(A61,Punkti,2,FALSE),"")</f>
        <v/>
      </c>
      <c r="G61" t="str">
        <f>"v ""\"&amp;mp3_ost&amp;"\"&amp;E61&amp;".mp3"""</f>
        <v>v "\mp3_ost\universa.mp3"</v>
      </c>
      <c r="H61" s="15" t="str">
        <f>СцепитьМного(F61:G61,", ")</f>
        <v>v "\mp3_ost\universa.mp3"</v>
      </c>
    </row>
    <row r="62" spans="1:8" x14ac:dyDescent="0.25">
      <c r="B62" t="s">
        <v>204</v>
      </c>
      <c r="C62" t="s">
        <v>203</v>
      </c>
      <c r="D62" t="s">
        <v>191</v>
      </c>
      <c r="E62" s="9" t="s">
        <v>118</v>
      </c>
      <c r="F62" s="17" t="str">
        <f>IFERROR("c "&amp;VLOOKUP(A62,Punkti,2,FALSE),"")</f>
        <v/>
      </c>
      <c r="G62" t="str">
        <f>"v ""\"&amp;mp3_ost&amp;"\"&amp;E62&amp;".mp3"""</f>
        <v>v "\mp3_ost\carkva.mp3"</v>
      </c>
      <c r="H62" s="15" t="str">
        <f>СцепитьМного(F62:G62,", ")</f>
        <v>v "\mp3_ost\carkva.mp3"</v>
      </c>
    </row>
    <row r="63" spans="1:8" x14ac:dyDescent="0.25">
      <c r="B63" t="s">
        <v>207</v>
      </c>
      <c r="C63" t="s">
        <v>206</v>
      </c>
      <c r="D63" t="s">
        <v>190</v>
      </c>
      <c r="E63" s="9" t="s">
        <v>120</v>
      </c>
      <c r="F63" s="17" t="str">
        <f>IFERROR("c "&amp;VLOOKUP(A63,Punkti,2,FALSE),"")</f>
        <v/>
      </c>
      <c r="G63" t="str">
        <f>"v ""\"&amp;mp3_ost&amp;"\"&amp;E63&amp;".mp3"""</f>
        <v>v "\mp3_ost\elseti.mp3"</v>
      </c>
      <c r="H63" s="15" t="str">
        <f>СцепитьМного(F63:G63,", ")</f>
        <v>v "\mp3_ost\elseti.mp3"</v>
      </c>
    </row>
  </sheetData>
  <sortState ref="A2:H63">
    <sortCondition ref="B2:B63"/>
  </sortState>
  <dataValidations count="1">
    <dataValidation type="list" allowBlank="1" showInputMessage="1" showErrorMessage="1" sqref="A2:A63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4"/>
      <c r="B1" s="24"/>
      <c r="C1" s="7" t="s">
        <v>335</v>
      </c>
      <c r="D1" s="21" t="s">
        <v>287</v>
      </c>
      <c r="E1" s="21" t="s">
        <v>288</v>
      </c>
    </row>
    <row r="2" spans="1:5" x14ac:dyDescent="0.25">
      <c r="A2" s="25">
        <f>route!A3</f>
        <v>1</v>
      </c>
      <c r="B2" s="15" t="str">
        <f>route!B3</f>
        <v>1 Труда - КЗТШ</v>
      </c>
      <c r="C2" s="18" t="s">
        <v>289</v>
      </c>
      <c r="D2" s="19" t="s">
        <v>290</v>
      </c>
      <c r="E2" s="19" t="s">
        <v>218</v>
      </c>
    </row>
    <row r="3" spans="1:5" x14ac:dyDescent="0.25">
      <c r="A3" s="25">
        <f>route!A4</f>
        <v>2</v>
      </c>
      <c r="B3" s="15" t="str">
        <f>route!B4</f>
        <v>2 Бажора-Пож. часть</v>
      </c>
      <c r="C3" s="18" t="s">
        <v>17</v>
      </c>
      <c r="D3" s="19" t="s">
        <v>291</v>
      </c>
      <c r="E3" s="19" t="s">
        <v>294</v>
      </c>
    </row>
    <row r="4" spans="1:5" x14ac:dyDescent="0.25">
      <c r="A4" s="25">
        <f>route!A5</f>
        <v>3</v>
      </c>
      <c r="B4" s="15" t="str">
        <f>route!B5</f>
        <v>3 Кузн.3-Новогрядск.</v>
      </c>
      <c r="C4" s="18" t="s">
        <v>25</v>
      </c>
      <c r="D4" s="19" t="s">
        <v>295</v>
      </c>
      <c r="E4" s="19" t="s">
        <v>296</v>
      </c>
    </row>
    <row r="5" spans="1:5" x14ac:dyDescent="0.25">
      <c r="A5" s="25">
        <f>route!A6</f>
        <v>4</v>
      </c>
      <c r="B5" s="15" t="str">
        <f>route!B6</f>
        <v>4 Советская-Косьё</v>
      </c>
      <c r="C5" s="18" t="s">
        <v>18</v>
      </c>
      <c r="D5" s="19" t="s">
        <v>292</v>
      </c>
      <c r="E5" s="19" t="s">
        <v>293</v>
      </c>
    </row>
    <row r="6" spans="1:5" x14ac:dyDescent="0.25">
      <c r="A6" s="25" t="e">
        <f>route!#REF!</f>
        <v>#REF!</v>
      </c>
      <c r="B6" s="15" t="e">
        <f>route!#REF!</f>
        <v>#REF!</v>
      </c>
      <c r="C6" s="18" t="s">
        <v>19</v>
      </c>
      <c r="D6" s="19" t="s">
        <v>298</v>
      </c>
      <c r="E6" s="19" t="s">
        <v>299</v>
      </c>
    </row>
    <row r="7" spans="1:5" x14ac:dyDescent="0.25">
      <c r="A7" s="25">
        <f>route!A7</f>
        <v>6</v>
      </c>
      <c r="B7" s="15" t="str">
        <f>route!B7</f>
        <v>6 Советск.-Пож.часть</v>
      </c>
      <c r="C7" s="18" t="s">
        <v>20</v>
      </c>
      <c r="D7" s="19" t="s">
        <v>292</v>
      </c>
      <c r="E7" s="19" t="s">
        <v>299</v>
      </c>
    </row>
    <row r="8" spans="1:5" x14ac:dyDescent="0.25">
      <c r="A8" s="25">
        <f>route!A8</f>
        <v>60</v>
      </c>
      <c r="B8" s="15" t="str">
        <f>route!B8</f>
        <v>6а Советск.-9 мр-н</v>
      </c>
      <c r="C8" s="18" t="s">
        <v>300</v>
      </c>
      <c r="D8" s="19" t="s">
        <v>292</v>
      </c>
      <c r="E8" s="19" t="s">
        <v>301</v>
      </c>
    </row>
    <row r="9" spans="1:5" x14ac:dyDescent="0.25">
      <c r="A9" s="25" t="e">
        <f>route!#REF!</f>
        <v>#REF!</v>
      </c>
      <c r="B9" s="15" t="e">
        <f>route!#REF!</f>
        <v>#REF!</v>
      </c>
      <c r="C9" s="18" t="s">
        <v>21</v>
      </c>
      <c r="D9" s="19" t="s">
        <v>298</v>
      </c>
      <c r="E9" s="19" t="s">
        <v>302</v>
      </c>
    </row>
    <row r="10" spans="1:5" x14ac:dyDescent="0.25">
      <c r="A10" s="25">
        <f>route!A9</f>
        <v>8</v>
      </c>
      <c r="B10" s="15" t="str">
        <f>route!B9</f>
        <v>8 АС Жодино-КЗТШ</v>
      </c>
      <c r="C10" s="18" t="s">
        <v>22</v>
      </c>
      <c r="D10" s="19" t="s">
        <v>297</v>
      </c>
      <c r="E10" s="19" t="s">
        <v>218</v>
      </c>
    </row>
    <row r="11" spans="1:5" x14ac:dyDescent="0.25">
      <c r="A11" s="25">
        <f>route!A10</f>
        <v>80</v>
      </c>
      <c r="B11" s="15" t="str">
        <f>route!B10</f>
        <v>8a АС Жодино-КЗТШ</v>
      </c>
      <c r="C11" s="18" t="s">
        <v>303</v>
      </c>
      <c r="D11" s="19" t="s">
        <v>297</v>
      </c>
      <c r="E11" s="19" t="s">
        <v>218</v>
      </c>
    </row>
    <row r="12" spans="1:5" x14ac:dyDescent="0.25">
      <c r="A12" s="25">
        <f>route!A11</f>
        <v>81</v>
      </c>
      <c r="B12" s="15" t="str">
        <f>route!B11</f>
        <v>8_ КЗТШ-АС Жодино</v>
      </c>
      <c r="C12" s="18" t="s">
        <v>22</v>
      </c>
      <c r="D12" s="19" t="s">
        <v>304</v>
      </c>
      <c r="E12" s="19" t="s">
        <v>305</v>
      </c>
    </row>
    <row r="13" spans="1:5" x14ac:dyDescent="0.25">
      <c r="A13" s="25">
        <f>route!A12</f>
        <v>9</v>
      </c>
      <c r="B13" s="15" t="str">
        <f>route!B12</f>
        <v>9 Бажора-КЗТШ</v>
      </c>
      <c r="C13" s="18" t="s">
        <v>23</v>
      </c>
      <c r="D13" s="19" t="s">
        <v>291</v>
      </c>
      <c r="E13" s="19" t="s">
        <v>218</v>
      </c>
    </row>
    <row r="14" spans="1:5" x14ac:dyDescent="0.25">
      <c r="A14" s="25">
        <f>route!A13</f>
        <v>11</v>
      </c>
      <c r="B14" s="15" t="str">
        <f>route!B13</f>
        <v>11 Труда-Вост.кладб.</v>
      </c>
      <c r="C14" s="18" t="s">
        <v>24</v>
      </c>
      <c r="D14" s="19" t="s">
        <v>290</v>
      </c>
      <c r="E14" s="19" t="s">
        <v>306</v>
      </c>
    </row>
    <row r="15" spans="1:5" x14ac:dyDescent="0.25">
      <c r="A15" s="25"/>
    </row>
    <row r="16" spans="1:5" x14ac:dyDescent="0.25">
      <c r="A16" s="25">
        <f>route!A15</f>
        <v>10</v>
      </c>
      <c r="B16" s="15" t="str">
        <f>route!B15</f>
        <v>Город 1 Смолевичи</v>
      </c>
      <c r="C16" s="18" t="s">
        <v>289</v>
      </c>
      <c r="D16" s="19" t="s">
        <v>307</v>
      </c>
      <c r="E16" s="19" t="s">
        <v>308</v>
      </c>
    </row>
    <row r="17" spans="1:5" x14ac:dyDescent="0.25">
      <c r="A17" s="25"/>
    </row>
    <row r="18" spans="1:5" x14ac:dyDescent="0.25">
      <c r="A18" s="25">
        <f>route!A17</f>
        <v>208</v>
      </c>
      <c r="B18" s="15" t="str">
        <f>route!B17</f>
        <v>Барсуки</v>
      </c>
      <c r="C18" s="18" t="s">
        <v>309</v>
      </c>
      <c r="D18" s="19" t="s">
        <v>310</v>
      </c>
      <c r="E18" s="19" t="s">
        <v>6</v>
      </c>
    </row>
    <row r="19" spans="1:5" x14ac:dyDescent="0.25">
      <c r="A19" s="25">
        <f>route!A18</f>
        <v>212</v>
      </c>
      <c r="B19" s="15" t="str">
        <f>route!B18</f>
        <v>Будагово</v>
      </c>
      <c r="C19" s="18" t="s">
        <v>311</v>
      </c>
      <c r="D19" s="19" t="s">
        <v>310</v>
      </c>
      <c r="E19" s="19" t="s">
        <v>60</v>
      </c>
    </row>
    <row r="20" spans="1:5" x14ac:dyDescent="0.25">
      <c r="A20" s="25">
        <f>route!A19</f>
        <v>219</v>
      </c>
      <c r="B20" s="15" t="str">
        <f>route!B19</f>
        <v>Замлынье</v>
      </c>
      <c r="C20" s="18" t="s">
        <v>312</v>
      </c>
      <c r="D20" s="19" t="s">
        <v>310</v>
      </c>
      <c r="E20" s="19" t="s">
        <v>7</v>
      </c>
    </row>
    <row r="21" spans="1:5" x14ac:dyDescent="0.25">
      <c r="A21" s="25">
        <f>route!A20</f>
        <v>211</v>
      </c>
      <c r="B21" s="15" t="str">
        <f>route!B20</f>
        <v>Зеленый Бор</v>
      </c>
      <c r="C21" s="18" t="s">
        <v>314</v>
      </c>
      <c r="D21" s="19" t="s">
        <v>310</v>
      </c>
      <c r="E21" s="19" t="s">
        <v>74</v>
      </c>
    </row>
    <row r="22" spans="1:5" x14ac:dyDescent="0.25">
      <c r="A22" s="25">
        <f>route!A21</f>
        <v>197</v>
      </c>
      <c r="B22" s="15" t="str">
        <f>route!B21</f>
        <v>Логойск</v>
      </c>
      <c r="C22" s="18" t="s">
        <v>317</v>
      </c>
      <c r="D22" s="19" t="s">
        <v>310</v>
      </c>
      <c r="E22" s="19" t="s">
        <v>64</v>
      </c>
    </row>
    <row r="23" spans="1:5" x14ac:dyDescent="0.25">
      <c r="A23" s="25">
        <f>route!A22</f>
        <v>204</v>
      </c>
      <c r="B23" s="15" t="str">
        <f>route!B22</f>
        <v>Лютка</v>
      </c>
      <c r="C23" s="18" t="s">
        <v>313</v>
      </c>
      <c r="D23" s="19" t="s">
        <v>310</v>
      </c>
      <c r="E23" s="19" t="s">
        <v>63</v>
      </c>
    </row>
    <row r="24" spans="1:5" x14ac:dyDescent="0.25">
      <c r="A24" s="25">
        <f>route!A23</f>
        <v>205</v>
      </c>
      <c r="B24" s="15" t="str">
        <f>route!B23</f>
        <v>Напалки</v>
      </c>
      <c r="C24" s="18" t="s">
        <v>316</v>
      </c>
      <c r="D24" s="19" t="s">
        <v>310</v>
      </c>
      <c r="E24" s="19" t="s">
        <v>65</v>
      </c>
    </row>
    <row r="25" spans="1:5" x14ac:dyDescent="0.25">
      <c r="A25" s="25">
        <f>route!A24</f>
        <v>216</v>
      </c>
      <c r="B25" s="15" t="str">
        <f>route!B24</f>
        <v>Сутоки</v>
      </c>
      <c r="C25" s="18" t="s">
        <v>319</v>
      </c>
      <c r="D25" s="19" t="s">
        <v>310</v>
      </c>
      <c r="E25" s="19" t="s">
        <v>69</v>
      </c>
    </row>
    <row r="26" spans="1:5" x14ac:dyDescent="0.25">
      <c r="A26" s="25">
        <f>route!A25</f>
        <v>209</v>
      </c>
      <c r="B26" s="15" t="str">
        <f>route!B25</f>
        <v>Точилище</v>
      </c>
      <c r="C26" s="18" t="s">
        <v>315</v>
      </c>
      <c r="D26" s="19" t="s">
        <v>310</v>
      </c>
      <c r="E26" s="19" t="s">
        <v>318</v>
      </c>
    </row>
    <row r="27" spans="1:5" x14ac:dyDescent="0.25">
      <c r="A27" s="25">
        <f>route!A26</f>
        <v>202</v>
      </c>
      <c r="B27" s="15" t="str">
        <f>route!B26</f>
        <v>Юзефово</v>
      </c>
      <c r="C27" s="18" t="s">
        <v>320</v>
      </c>
      <c r="D27" s="19" t="s">
        <v>310</v>
      </c>
      <c r="E27" s="19" t="s">
        <v>71</v>
      </c>
    </row>
    <row r="28" spans="1:5" x14ac:dyDescent="0.25">
      <c r="A28" s="25">
        <f>route!A27</f>
        <v>210</v>
      </c>
      <c r="B28" s="15" t="str">
        <f>route!B27</f>
        <v>Яловица</v>
      </c>
      <c r="C28" s="18" t="s">
        <v>321</v>
      </c>
      <c r="D28" s="19" t="s">
        <v>310</v>
      </c>
      <c r="E28" s="19" t="s">
        <v>62</v>
      </c>
    </row>
    <row r="29" spans="1:5" x14ac:dyDescent="0.25">
      <c r="A29" s="25"/>
    </row>
    <row r="30" spans="1:5" x14ac:dyDescent="0.25">
      <c r="A30" s="25">
        <f>route!A29</f>
        <v>207</v>
      </c>
      <c r="B30" s="15" t="str">
        <f>route!B29</f>
        <v>с/т Автомобилист</v>
      </c>
      <c r="C30" s="18" t="s">
        <v>322</v>
      </c>
      <c r="D30" s="19" t="s">
        <v>310</v>
      </c>
      <c r="E30" s="19" t="s">
        <v>327</v>
      </c>
    </row>
    <row r="31" spans="1:5" x14ac:dyDescent="0.25">
      <c r="A31" s="25">
        <f>route!A30</f>
        <v>214</v>
      </c>
      <c r="B31" s="15" t="str">
        <f>route!B30</f>
        <v>с/т Журавинка</v>
      </c>
      <c r="C31" s="18" t="s">
        <v>323</v>
      </c>
      <c r="D31" s="19" t="s">
        <v>310</v>
      </c>
      <c r="E31" s="19" t="s">
        <v>58</v>
      </c>
    </row>
    <row r="32" spans="1:5" x14ac:dyDescent="0.25">
      <c r="A32" s="25">
        <f>route!A31</f>
        <v>614</v>
      </c>
      <c r="B32" s="15" t="str">
        <f>route!B31</f>
        <v>пов. с/т Журавинка</v>
      </c>
      <c r="C32" s="18" t="s">
        <v>323</v>
      </c>
      <c r="D32" s="19" t="s">
        <v>310</v>
      </c>
      <c r="E32" s="19" t="s">
        <v>328</v>
      </c>
    </row>
    <row r="33" spans="1:5" x14ac:dyDescent="0.25">
      <c r="A33" s="25">
        <f>route!A32</f>
        <v>201</v>
      </c>
      <c r="B33" s="15" t="str">
        <f>route!B32</f>
        <v>с/т Радуга</v>
      </c>
      <c r="C33" s="18" t="s">
        <v>324</v>
      </c>
      <c r="D33" s="19" t="s">
        <v>310</v>
      </c>
      <c r="E33" s="19" t="s">
        <v>56</v>
      </c>
    </row>
    <row r="34" spans="1:5" x14ac:dyDescent="0.25">
      <c r="A34" s="25">
        <f>route!A33</f>
        <v>213</v>
      </c>
      <c r="B34" s="15" t="str">
        <f>route!B33</f>
        <v>с/т Родничок</v>
      </c>
      <c r="C34" s="18" t="s">
        <v>325</v>
      </c>
      <c r="D34" s="19" t="s">
        <v>310</v>
      </c>
      <c r="E34" s="19" t="s">
        <v>66</v>
      </c>
    </row>
    <row r="35" spans="1:5" x14ac:dyDescent="0.25">
      <c r="A35" s="25">
        <f>route!A34</f>
        <v>203</v>
      </c>
      <c r="B35" s="15" t="str">
        <f>route!B34</f>
        <v>с/т Строитель</v>
      </c>
      <c r="C35" s="18" t="s">
        <v>326</v>
      </c>
      <c r="D35" s="19" t="s">
        <v>310</v>
      </c>
      <c r="E35" s="19" t="s">
        <v>57</v>
      </c>
    </row>
    <row r="36" spans="1:5" x14ac:dyDescent="0.25">
      <c r="A36" s="25"/>
    </row>
    <row r="37" spans="1:5" x14ac:dyDescent="0.25">
      <c r="A37" s="25">
        <f>route!A36</f>
        <v>100</v>
      </c>
      <c r="B37" s="15" t="str">
        <f>route!B36</f>
        <v>СЛУЖЕБНЫЙ</v>
      </c>
      <c r="D37" s="19" t="s">
        <v>67</v>
      </c>
    </row>
    <row r="38" spans="1:5" x14ac:dyDescent="0.25">
      <c r="A38" s="25">
        <f>route!A37</f>
        <v>101</v>
      </c>
      <c r="B38" s="15" t="str">
        <f>route!B37</f>
        <v>ЗАКАЗНОЙ</v>
      </c>
      <c r="D38" s="19" t="s">
        <v>73</v>
      </c>
    </row>
    <row r="39" spans="1:5" x14ac:dyDescent="0.25">
      <c r="A39" s="25">
        <f>route!A38</f>
        <v>102</v>
      </c>
      <c r="B39" s="15" t="str">
        <f>route!B38</f>
        <v>СНЕКПРО</v>
      </c>
      <c r="D39" s="19" t="s">
        <v>68</v>
      </c>
    </row>
    <row r="40" spans="1:5" x14ac:dyDescent="0.25">
      <c r="A40" s="25">
        <f>route!A39</f>
        <v>103</v>
      </c>
      <c r="B40" s="15" t="str">
        <f>route!B39</f>
        <v>ДЕТИ</v>
      </c>
      <c r="D40" s="19" t="s">
        <v>61</v>
      </c>
    </row>
    <row r="41" spans="1:5" x14ac:dyDescent="0.25">
      <c r="A41" s="25">
        <f>route!A40</f>
        <v>104</v>
      </c>
      <c r="B41" s="15" t="str">
        <f>route!B40</f>
        <v>В ПАРК</v>
      </c>
      <c r="D41" s="19" t="s">
        <v>329</v>
      </c>
      <c r="E41" s="19" t="s">
        <v>330</v>
      </c>
    </row>
    <row r="42" spans="1:5" x14ac:dyDescent="0.25">
      <c r="A42" s="25"/>
    </row>
    <row r="43" spans="1:5" x14ac:dyDescent="0.25">
      <c r="A43" s="25"/>
    </row>
    <row r="44" spans="1:5" x14ac:dyDescent="0.25">
      <c r="A44" s="25"/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M102"/>
  <sheetViews>
    <sheetView topLeftCell="B1" workbookViewId="0">
      <pane ySplit="2" topLeftCell="A3" activePane="bottomLeft" state="frozen"/>
      <selection activeCell="B1" sqref="B1"/>
      <selection pane="bottomLeft" activeCell="C8" sqref="C8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2" bestFit="1" customWidth="1"/>
    <col min="8" max="8" width="15.5" style="26" customWidth="1"/>
    <col min="9" max="9" width="5.75" style="22" hidden="1" customWidth="1"/>
    <col min="10" max="10" width="5.25" style="22" hidden="1" customWidth="1"/>
    <col min="11" max="11" width="29.625" style="22" hidden="1" customWidth="1"/>
    <col min="12" max="12" width="6" style="22" hidden="1" customWidth="1"/>
    <col min="13" max="13" width="74.25" bestFit="1" customWidth="1"/>
  </cols>
  <sheetData>
    <row r="1" spans="1:13" s="1" customFormat="1" x14ac:dyDescent="0.25">
      <c r="A1" s="14" t="s">
        <v>79</v>
      </c>
      <c r="B1" s="31">
        <v>3</v>
      </c>
      <c r="C1" s="30" t="s">
        <v>353</v>
      </c>
      <c r="D1" s="2"/>
      <c r="E1" s="13"/>
      <c r="F1" s="13"/>
      <c r="G1" s="2"/>
      <c r="H1" s="29"/>
      <c r="I1" s="2"/>
      <c r="J1" s="2"/>
      <c r="K1" s="2"/>
      <c r="L1" s="2"/>
      <c r="M1" s="4" t="s">
        <v>8</v>
      </c>
    </row>
    <row r="2" spans="1:13" x14ac:dyDescent="0.25">
      <c r="A2" s="15">
        <f ca="1">INDIRECT(ADDRESS($B$1,3,4,1,"route"))</f>
        <v>1</v>
      </c>
      <c r="B2" s="1" t="s">
        <v>344</v>
      </c>
      <c r="C2" s="1" t="s">
        <v>342</v>
      </c>
      <c r="D2" s="1" t="s">
        <v>341</v>
      </c>
      <c r="E2" s="1" t="s">
        <v>83</v>
      </c>
      <c r="F2" s="1" t="s">
        <v>343</v>
      </c>
      <c r="G2" s="1" t="s">
        <v>333</v>
      </c>
      <c r="H2" s="1" t="s">
        <v>352</v>
      </c>
      <c r="I2" s="1" t="s">
        <v>80</v>
      </c>
      <c r="M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3" x14ac:dyDescent="0.25">
      <c r="A3" s="15" t="str">
        <f ca="1">INDIRECT(ADDRESS($B$1,2,4,1,"route"))</f>
        <v>1 Труда - КЗТШ</v>
      </c>
      <c r="B3">
        <f>ROW(B3)</f>
        <v>3</v>
      </c>
      <c r="E3" t="s">
        <v>331</v>
      </c>
      <c r="G3" s="22">
        <f>B8</f>
        <v>8</v>
      </c>
      <c r="M3" s="15" t="str">
        <f>"&lt;unit"&amp;TEXT(B3,"000")&amp;"&gt; """&amp;E3&amp;""" {d 000, n "&amp;TEXT(G3,"000")&amp;"}"</f>
        <v>&lt;unit003&gt; "Прямой" {d 000, n 008}</v>
      </c>
    </row>
    <row r="4" spans="1:13" x14ac:dyDescent="0.25">
      <c r="A4" s="15" t="str">
        <f ca="1">TEXT(INDIRECT(ADDRESS($B$1,1,4,1,"route")),"000")</f>
        <v>001</v>
      </c>
      <c r="B4">
        <f>ROW(B4)</f>
        <v>4</v>
      </c>
      <c r="E4" t="s">
        <v>332</v>
      </c>
      <c r="G4" s="22">
        <f>B50</f>
        <v>50</v>
      </c>
      <c r="M4" s="15" t="str">
        <f>"&lt;unit"&amp;TEXT(B4,"000")&amp;"&gt; """&amp;E4&amp;""" {d 000, n "&amp;TEXT(G4,"000")&amp;"}"</f>
        <v>&lt;unit004&gt; "Обратный" {d 000, n 050}</v>
      </c>
    </row>
    <row r="5" spans="1:13" x14ac:dyDescent="0.25">
      <c r="A5" s="15"/>
      <c r="M5" s="15"/>
    </row>
    <row r="6" spans="1:13" x14ac:dyDescent="0.25">
      <c r="B6">
        <f>ROW(B6)</f>
        <v>6</v>
      </c>
      <c r="E6" s="23" t="s">
        <v>334</v>
      </c>
      <c r="F6" s="23"/>
      <c r="G6" s="22">
        <f>B8</f>
        <v>8</v>
      </c>
      <c r="M6" s="15" t="str">
        <f>"&lt;unit"&amp;TEXT(B6,"000")&amp;"&gt; """&amp;E6&amp;""" {d 000, n "&amp;TEXT(G6,"000")&amp;"}"</f>
        <v>&lt;unit006&gt; "----- Прямой -----" {d 000, n 008}</v>
      </c>
    </row>
    <row r="7" spans="1:13" x14ac:dyDescent="0.25">
      <c r="M7" s="15"/>
    </row>
    <row r="8" spans="1:13" x14ac:dyDescent="0.25">
      <c r="B8">
        <f>ROW(B8)</f>
        <v>8</v>
      </c>
      <c r="C8" t="s">
        <v>83</v>
      </c>
      <c r="D8" t="str">
        <f>IF(J8="c 900","&gt;&gt;","")</f>
        <v/>
      </c>
      <c r="E8" t="s">
        <v>286</v>
      </c>
      <c r="G8" s="22">
        <f t="shared" ref="G8:G45" si="0">B9</f>
        <v>9</v>
      </c>
      <c r="H8" s="26" t="s">
        <v>286</v>
      </c>
      <c r="I8" s="22" t="str">
        <f>IFERROR("p "&amp;VLOOKUP(H8,Tablo_Tab,2,FALSE),"")</f>
        <v>p 059</v>
      </c>
      <c r="J8" s="22" t="str">
        <f>IFERROR("c "&amp;VLOOKUP(C8,Punkti,2,FALSE),"")</f>
        <v>c 902</v>
      </c>
      <c r="K8" s="26" t="str">
        <f>IFERROR(VLOOKUP(E8,Ostanovki,7,FALSE),"")</f>
        <v>c 928, v "\mp3_ost\truda.mp3"</v>
      </c>
      <c r="L8" s="22" t="str">
        <f>IFERROR("c "&amp;VLOOKUP(F8,Punkti,2,FALSE),"")</f>
        <v/>
      </c>
      <c r="M8" s="15" t="str">
        <f>"&lt;unit"&amp;TEXT(B8,"000")&amp;"&gt; """&amp;СцепитьМного(D8:E8,"")&amp;""" {"&amp;СцепитьМного(I8:L8,", ")&amp;", d 000, n "&amp;TEXT(G8,"000")&amp;"}"</f>
        <v>&lt;unit008&gt; "ул.Труда" {p 059, c 902, c 928, v "\mp3_ost\truda.mp3", d 000, n 009}</v>
      </c>
    </row>
    <row r="9" spans="1:13" x14ac:dyDescent="0.25">
      <c r="B9">
        <f t="shared" ref="B9:B46" si="1">ROW(B9)</f>
        <v>9</v>
      </c>
      <c r="C9" t="s">
        <v>338</v>
      </c>
      <c r="D9" t="str">
        <f>IF(J9="c 900","&gt;&gt;","")</f>
        <v>&gt;&gt;</v>
      </c>
      <c r="G9" s="22">
        <f t="shared" si="0"/>
        <v>10</v>
      </c>
      <c r="I9" s="22" t="str">
        <f>IFERROR("p "&amp;VLOOKUP(H9,Tablo_Tab,2,FALSE),"")</f>
        <v/>
      </c>
      <c r="J9" s="22" t="str">
        <f>IFERROR("c "&amp;VLOOKUP(C9,Punkti,2,FALSE),"")</f>
        <v>c 900</v>
      </c>
      <c r="K9" s="26" t="str">
        <f>IFERROR(VLOOKUP(E9,Ostanovki,7,FALSE),"")</f>
        <v/>
      </c>
      <c r="L9" s="22" t="str">
        <f>IFERROR("c "&amp;VLOOKUP(F9,Punkti,2,FALSE),"")</f>
        <v/>
      </c>
      <c r="M9" s="15" t="str">
        <f>"&lt;unit"&amp;TEXT(B9,"000")&amp;"&gt; """&amp;СцепитьМного(D9:E9,"")&amp;""" {"&amp;СцепитьМного(I9:L9,", ")&amp;", d 000, n "&amp;TEXT(G9,"000")&amp;"}"</f>
        <v>&lt;unit009&gt; "&gt;&gt;" {c 900, d 000, n 010}</v>
      </c>
    </row>
    <row r="10" spans="1:13" x14ac:dyDescent="0.25">
      <c r="B10">
        <f t="shared" si="1"/>
        <v>10</v>
      </c>
      <c r="C10" t="s">
        <v>83</v>
      </c>
      <c r="D10" t="str">
        <f t="shared" ref="D10:D46" si="2">IF(J10="c 900","&gt;&gt;","")</f>
        <v/>
      </c>
      <c r="G10" s="22">
        <f t="shared" si="0"/>
        <v>11</v>
      </c>
      <c r="I10" s="22" t="str">
        <f>IFERROR("p "&amp;VLOOKUP(H10,Tablo_Tab,2,FALSE),"")</f>
        <v/>
      </c>
      <c r="J10" s="22" t="str">
        <f>IFERROR("c "&amp;VLOOKUP(C10,Punkti,2,FALSE),"")</f>
        <v>c 902</v>
      </c>
      <c r="K10" s="26" t="str">
        <f>IFERROR(VLOOKUP(E10,Ostanovki,7,FALSE),"")</f>
        <v/>
      </c>
      <c r="L10" s="22" t="str">
        <f>IFERROR("c "&amp;VLOOKUP(F10,Punkti,2,FALSE),"")</f>
        <v/>
      </c>
      <c r="M10" s="15" t="str">
        <f>"&lt;unit"&amp;TEXT(B10,"000")&amp;"&gt; """&amp;СцепитьМного(D10:E10,"")&amp;""" {"&amp;СцепитьМного(I10:L10,", ")&amp;", d 000, n "&amp;TEXT(G10,"000")&amp;"}"</f>
        <v>&lt;unit010&gt; "" {c 902, d 000, n 011}</v>
      </c>
    </row>
    <row r="11" spans="1:13" x14ac:dyDescent="0.25">
      <c r="B11">
        <f t="shared" si="1"/>
        <v>11</v>
      </c>
      <c r="C11" t="s">
        <v>338</v>
      </c>
      <c r="D11" t="str">
        <f t="shared" si="2"/>
        <v>&gt;&gt;</v>
      </c>
      <c r="G11" s="22">
        <f t="shared" si="0"/>
        <v>12</v>
      </c>
      <c r="I11" s="22" t="str">
        <f>IFERROR("p "&amp;VLOOKUP(H11,Tablo_Tab,2,FALSE),"")</f>
        <v/>
      </c>
      <c r="J11" s="22" t="str">
        <f>IFERROR("c "&amp;VLOOKUP(C11,Punkti,2,FALSE),"")</f>
        <v>c 900</v>
      </c>
      <c r="K11" s="26" t="str">
        <f>IFERROR(VLOOKUP(E11,Ostanovki,7,FALSE),"")</f>
        <v/>
      </c>
      <c r="L11" s="22" t="str">
        <f>IFERROR("c "&amp;VLOOKUP(F11,Punkti,2,FALSE),"")</f>
        <v/>
      </c>
      <c r="M11" s="15" t="str">
        <f>"&lt;unit"&amp;TEXT(B11,"000")&amp;"&gt; """&amp;СцепитьМного(D11:E11,"")&amp;""" {"&amp;СцепитьМного(I11:L11,", ")&amp;", d 000, n "&amp;TEXT(G11,"000")&amp;"}"</f>
        <v>&lt;unit011&gt; "&gt;&gt;" {c 900, d 000, n 012}</v>
      </c>
    </row>
    <row r="12" spans="1:13" x14ac:dyDescent="0.25">
      <c r="B12">
        <f t="shared" si="1"/>
        <v>12</v>
      </c>
      <c r="C12" t="s">
        <v>83</v>
      </c>
      <c r="D12" t="str">
        <f t="shared" si="2"/>
        <v/>
      </c>
      <c r="G12" s="22">
        <f t="shared" si="0"/>
        <v>13</v>
      </c>
      <c r="I12" s="22" t="str">
        <f>IFERROR("p "&amp;VLOOKUP(H12,Tablo_Tab,2,FALSE),"")</f>
        <v/>
      </c>
      <c r="J12" s="22" t="str">
        <f>IFERROR("c "&amp;VLOOKUP(C12,Punkti,2,FALSE),"")</f>
        <v>c 902</v>
      </c>
      <c r="K12" s="26" t="str">
        <f>IFERROR(VLOOKUP(E12,Ostanovki,7,FALSE),"")</f>
        <v/>
      </c>
      <c r="L12" s="22" t="str">
        <f>IFERROR("c "&amp;VLOOKUP(F12,Punkti,2,FALSE),"")</f>
        <v/>
      </c>
      <c r="M12" s="15" t="str">
        <f>"&lt;unit"&amp;TEXT(B12,"000")&amp;"&gt; """&amp;СцепитьМного(D12:E12,"")&amp;""" {"&amp;СцепитьМного(I12:L12,", ")&amp;", d 000, n "&amp;TEXT(G12,"000")&amp;"}"</f>
        <v>&lt;unit012&gt; "" {c 902, d 000, n 013}</v>
      </c>
    </row>
    <row r="13" spans="1:13" x14ac:dyDescent="0.25">
      <c r="B13">
        <f t="shared" si="1"/>
        <v>13</v>
      </c>
      <c r="C13" t="s">
        <v>338</v>
      </c>
      <c r="D13" t="str">
        <f t="shared" si="2"/>
        <v>&gt;&gt;</v>
      </c>
      <c r="G13" s="22">
        <f t="shared" si="0"/>
        <v>14</v>
      </c>
      <c r="I13" s="22" t="str">
        <f>IFERROR("p "&amp;VLOOKUP(H13,Tablo_Tab,2,FALSE),"")</f>
        <v/>
      </c>
      <c r="J13" s="22" t="str">
        <f>IFERROR("c "&amp;VLOOKUP(C13,Punkti,2,FALSE),"")</f>
        <v>c 900</v>
      </c>
      <c r="K13" s="26" t="str">
        <f>IFERROR(VLOOKUP(E13,Ostanovki,7,FALSE),"")</f>
        <v/>
      </c>
      <c r="L13" s="22" t="str">
        <f>IFERROR("c "&amp;VLOOKUP(F13,Punkti,2,FALSE),"")</f>
        <v/>
      </c>
      <c r="M13" s="15" t="str">
        <f>"&lt;unit"&amp;TEXT(B13,"000")&amp;"&gt; """&amp;СцепитьМного(D13:E13,"")&amp;""" {"&amp;СцепитьМного(I13:L13,", ")&amp;", d 000, n "&amp;TEXT(G13,"000")&amp;"}"</f>
        <v>&lt;unit013&gt; "&gt;&gt;" {c 900, d 000, n 014}</v>
      </c>
    </row>
    <row r="14" spans="1:13" x14ac:dyDescent="0.25">
      <c r="B14">
        <f t="shared" si="1"/>
        <v>14</v>
      </c>
      <c r="C14" t="s">
        <v>83</v>
      </c>
      <c r="D14" t="str">
        <f t="shared" si="2"/>
        <v/>
      </c>
      <c r="G14" s="22">
        <f t="shared" si="0"/>
        <v>15</v>
      </c>
      <c r="I14" s="22" t="str">
        <f>IFERROR("p "&amp;VLOOKUP(H14,Tablo_Tab,2,FALSE),"")</f>
        <v/>
      </c>
      <c r="J14" s="22" t="str">
        <f>IFERROR("c "&amp;VLOOKUP(C14,Punkti,2,FALSE),"")</f>
        <v>c 902</v>
      </c>
      <c r="K14" s="26" t="str">
        <f>IFERROR(VLOOKUP(E14,Ostanovki,7,FALSE),"")</f>
        <v/>
      </c>
      <c r="L14" s="22" t="str">
        <f>IFERROR("c "&amp;VLOOKUP(F14,Punkti,2,FALSE),"")</f>
        <v/>
      </c>
      <c r="M14" s="15" t="str">
        <f>"&lt;unit"&amp;TEXT(B14,"000")&amp;"&gt; """&amp;СцепитьМного(D14:E14,"")&amp;""" {"&amp;СцепитьМного(I14:L14,", ")&amp;", d 000, n "&amp;TEXT(G14,"000")&amp;"}"</f>
        <v>&lt;unit014&gt; "" {c 902, d 000, n 015}</v>
      </c>
    </row>
    <row r="15" spans="1:13" x14ac:dyDescent="0.25">
      <c r="B15">
        <f t="shared" si="1"/>
        <v>15</v>
      </c>
      <c r="C15" t="s">
        <v>338</v>
      </c>
      <c r="D15" t="str">
        <f t="shared" si="2"/>
        <v>&gt;&gt;</v>
      </c>
      <c r="G15" s="22">
        <f t="shared" si="0"/>
        <v>16</v>
      </c>
      <c r="I15" s="22" t="str">
        <f>IFERROR("p "&amp;VLOOKUP(H15,Tablo_Tab,2,FALSE),"")</f>
        <v/>
      </c>
      <c r="J15" s="22" t="str">
        <f>IFERROR("c "&amp;VLOOKUP(C15,Punkti,2,FALSE),"")</f>
        <v>c 900</v>
      </c>
      <c r="K15" s="26" t="str">
        <f>IFERROR(VLOOKUP(E15,Ostanovki,7,FALSE),"")</f>
        <v/>
      </c>
      <c r="L15" s="22" t="str">
        <f>IFERROR("c "&amp;VLOOKUP(F15,Punkti,2,FALSE),"")</f>
        <v/>
      </c>
      <c r="M15" s="15" t="str">
        <f>"&lt;unit"&amp;TEXT(B15,"000")&amp;"&gt; """&amp;СцепитьМного(D15:E15,"")&amp;""" {"&amp;СцепитьМного(I15:L15,", ")&amp;", d 000, n "&amp;TEXT(G15,"000")&amp;"}"</f>
        <v>&lt;unit015&gt; "&gt;&gt;" {c 900, d 000, n 016}</v>
      </c>
    </row>
    <row r="16" spans="1:13" x14ac:dyDescent="0.25">
      <c r="B16">
        <f t="shared" si="1"/>
        <v>16</v>
      </c>
      <c r="C16" t="s">
        <v>83</v>
      </c>
      <c r="D16" t="str">
        <f t="shared" si="2"/>
        <v/>
      </c>
      <c r="G16" s="22">
        <f t="shared" si="0"/>
        <v>17</v>
      </c>
      <c r="I16" s="22" t="str">
        <f>IFERROR("p "&amp;VLOOKUP(H16,Tablo_Tab,2,FALSE),"")</f>
        <v/>
      </c>
      <c r="J16" s="22" t="str">
        <f>IFERROR("c "&amp;VLOOKUP(C16,Punkti,2,FALSE),"")</f>
        <v>c 902</v>
      </c>
      <c r="K16" s="26" t="str">
        <f>IFERROR(VLOOKUP(E16,Ostanovki,7,FALSE),"")</f>
        <v/>
      </c>
      <c r="L16" s="22" t="str">
        <f>IFERROR("c "&amp;VLOOKUP(F16,Punkti,2,FALSE),"")</f>
        <v/>
      </c>
      <c r="M16" s="15" t="str">
        <f>"&lt;unit"&amp;TEXT(B16,"000")&amp;"&gt; """&amp;СцепитьМного(D16:E16,"")&amp;""" {"&amp;СцепитьМного(I16:L16,", ")&amp;", d 000, n "&amp;TEXT(G16,"000")&amp;"}"</f>
        <v>&lt;unit016&gt; "" {c 902, d 000, n 017}</v>
      </c>
    </row>
    <row r="17" spans="2:13" x14ac:dyDescent="0.25">
      <c r="B17">
        <f t="shared" si="1"/>
        <v>17</v>
      </c>
      <c r="C17" t="s">
        <v>338</v>
      </c>
      <c r="D17" t="str">
        <f t="shared" si="2"/>
        <v>&gt;&gt;</v>
      </c>
      <c r="G17" s="22">
        <f t="shared" si="0"/>
        <v>18</v>
      </c>
      <c r="I17" s="22" t="str">
        <f>IFERROR("p "&amp;VLOOKUP(H17,Tablo_Tab,2,FALSE),"")</f>
        <v/>
      </c>
      <c r="J17" s="22" t="str">
        <f>IFERROR("c "&amp;VLOOKUP(C17,Punkti,2,FALSE),"")</f>
        <v>c 900</v>
      </c>
      <c r="K17" s="26" t="str">
        <f>IFERROR(VLOOKUP(E17,Ostanovki,7,FALSE),"")</f>
        <v/>
      </c>
      <c r="L17" s="22" t="str">
        <f>IFERROR("c "&amp;VLOOKUP(F17,Punkti,2,FALSE),"")</f>
        <v/>
      </c>
      <c r="M17" s="15" t="str">
        <f>"&lt;unit"&amp;TEXT(B17,"000")&amp;"&gt; """&amp;СцепитьМного(D17:E17,"")&amp;""" {"&amp;СцепитьМного(I17:L17,", ")&amp;", d 000, n "&amp;TEXT(G17,"000")&amp;"}"</f>
        <v>&lt;unit017&gt; "&gt;&gt;" {c 900, d 000, n 018}</v>
      </c>
    </row>
    <row r="18" spans="2:13" x14ac:dyDescent="0.25">
      <c r="B18">
        <f t="shared" si="1"/>
        <v>18</v>
      </c>
      <c r="C18" t="s">
        <v>83</v>
      </c>
      <c r="D18" t="str">
        <f t="shared" si="2"/>
        <v/>
      </c>
      <c r="G18" s="22">
        <f t="shared" si="0"/>
        <v>19</v>
      </c>
      <c r="I18" s="22" t="str">
        <f>IFERROR("p "&amp;VLOOKUP(H18,Tablo_Tab,2,FALSE),"")</f>
        <v/>
      </c>
      <c r="J18" s="22" t="str">
        <f>IFERROR("c "&amp;VLOOKUP(C18,Punkti,2,FALSE),"")</f>
        <v>c 902</v>
      </c>
      <c r="K18" s="26" t="str">
        <f>IFERROR(VLOOKUP(E18,Ostanovki,7,FALSE),"")</f>
        <v/>
      </c>
      <c r="L18" s="22" t="str">
        <f>IFERROR("c "&amp;VLOOKUP(F18,Punkti,2,FALSE),"")</f>
        <v/>
      </c>
      <c r="M18" s="15" t="str">
        <f>"&lt;unit"&amp;TEXT(B18,"000")&amp;"&gt; """&amp;СцепитьМного(D18:E18,"")&amp;""" {"&amp;СцепитьМного(I18:L18,", ")&amp;", d 000, n "&amp;TEXT(G18,"000")&amp;"}"</f>
        <v>&lt;unit018&gt; "" {c 902, d 000, n 019}</v>
      </c>
    </row>
    <row r="19" spans="2:13" x14ac:dyDescent="0.25">
      <c r="B19">
        <f t="shared" si="1"/>
        <v>19</v>
      </c>
      <c r="C19" t="s">
        <v>338</v>
      </c>
      <c r="D19" t="str">
        <f t="shared" si="2"/>
        <v>&gt;&gt;</v>
      </c>
      <c r="G19" s="22">
        <f t="shared" si="0"/>
        <v>20</v>
      </c>
      <c r="I19" s="22" t="str">
        <f>IFERROR("p "&amp;VLOOKUP(H19,Tablo_Tab,2,FALSE),"")</f>
        <v/>
      </c>
      <c r="J19" s="22" t="str">
        <f>IFERROR("c "&amp;VLOOKUP(C19,Punkti,2,FALSE),"")</f>
        <v>c 900</v>
      </c>
      <c r="K19" s="26" t="str">
        <f>IFERROR(VLOOKUP(E19,Ostanovki,7,FALSE),"")</f>
        <v/>
      </c>
      <c r="L19" s="22" t="str">
        <f>IFERROR("c "&amp;VLOOKUP(F19,Punkti,2,FALSE),"")</f>
        <v/>
      </c>
      <c r="M19" s="15" t="str">
        <f>"&lt;unit"&amp;TEXT(B19,"000")&amp;"&gt; """&amp;СцепитьМного(D19:E19,"")&amp;""" {"&amp;СцепитьМного(I19:L19,", ")&amp;", d 000, n "&amp;TEXT(G19,"000")&amp;"}"</f>
        <v>&lt;unit019&gt; "&gt;&gt;" {c 900, d 000, n 020}</v>
      </c>
    </row>
    <row r="20" spans="2:13" x14ac:dyDescent="0.25">
      <c r="B20">
        <f t="shared" si="1"/>
        <v>20</v>
      </c>
      <c r="C20" t="s">
        <v>83</v>
      </c>
      <c r="D20" t="str">
        <f t="shared" si="2"/>
        <v/>
      </c>
      <c r="G20" s="22">
        <f t="shared" si="0"/>
        <v>21</v>
      </c>
      <c r="I20" s="22" t="str">
        <f>IFERROR("p "&amp;VLOOKUP(H20,Tablo_Tab,2,FALSE),"")</f>
        <v/>
      </c>
      <c r="J20" s="22" t="str">
        <f>IFERROR("c "&amp;VLOOKUP(C20,Punkti,2,FALSE),"")</f>
        <v>c 902</v>
      </c>
      <c r="K20" s="26" t="str">
        <f>IFERROR(VLOOKUP(E20,Ostanovki,7,FALSE),"")</f>
        <v/>
      </c>
      <c r="L20" s="22" t="str">
        <f>IFERROR("c "&amp;VLOOKUP(F20,Punkti,2,FALSE),"")</f>
        <v/>
      </c>
      <c r="M20" s="15" t="str">
        <f>"&lt;unit"&amp;TEXT(B20,"000")&amp;"&gt; """&amp;СцепитьМного(D20:E20,"")&amp;""" {"&amp;СцепитьМного(I20:L20,", ")&amp;", d 000, n "&amp;TEXT(G20,"000")&amp;"}"</f>
        <v>&lt;unit020&gt; "" {c 902, d 000, n 021}</v>
      </c>
    </row>
    <row r="21" spans="2:13" x14ac:dyDescent="0.25">
      <c r="B21">
        <f t="shared" si="1"/>
        <v>21</v>
      </c>
      <c r="C21" t="s">
        <v>338</v>
      </c>
      <c r="D21" t="str">
        <f t="shared" si="2"/>
        <v>&gt;&gt;</v>
      </c>
      <c r="G21" s="22">
        <f t="shared" si="0"/>
        <v>22</v>
      </c>
      <c r="I21" s="22" t="str">
        <f>IFERROR("p "&amp;VLOOKUP(H21,Tablo_Tab,2,FALSE),"")</f>
        <v/>
      </c>
      <c r="J21" s="22" t="str">
        <f>IFERROR("c "&amp;VLOOKUP(C21,Punkti,2,FALSE),"")</f>
        <v>c 900</v>
      </c>
      <c r="K21" s="26" t="str">
        <f>IFERROR(VLOOKUP(E21,Ostanovki,7,FALSE),"")</f>
        <v/>
      </c>
      <c r="L21" s="22" t="str">
        <f>IFERROR("c "&amp;VLOOKUP(F21,Punkti,2,FALSE),"")</f>
        <v/>
      </c>
      <c r="M21" s="15" t="str">
        <f>"&lt;unit"&amp;TEXT(B21,"000")&amp;"&gt; """&amp;СцепитьМного(D21:E21,"")&amp;""" {"&amp;СцепитьМного(I21:L21,", ")&amp;", d 000, n "&amp;TEXT(G21,"000")&amp;"}"</f>
        <v>&lt;unit021&gt; "&gt;&gt;" {c 900, d 000, n 022}</v>
      </c>
    </row>
    <row r="22" spans="2:13" x14ac:dyDescent="0.25">
      <c r="B22">
        <f t="shared" si="1"/>
        <v>22</v>
      </c>
      <c r="C22" t="s">
        <v>83</v>
      </c>
      <c r="D22" t="str">
        <f t="shared" si="2"/>
        <v/>
      </c>
      <c r="G22" s="22">
        <f t="shared" si="0"/>
        <v>23</v>
      </c>
      <c r="I22" s="22" t="str">
        <f>IFERROR("p "&amp;VLOOKUP(H22,Tablo_Tab,2,FALSE),"")</f>
        <v/>
      </c>
      <c r="J22" s="22" t="str">
        <f>IFERROR("c "&amp;VLOOKUP(C22,Punkti,2,FALSE),"")</f>
        <v>c 902</v>
      </c>
      <c r="K22" s="26" t="str">
        <f>IFERROR(VLOOKUP(E22,Ostanovki,7,FALSE),"")</f>
        <v/>
      </c>
      <c r="L22" s="22" t="str">
        <f>IFERROR("c "&amp;VLOOKUP(F22,Punkti,2,FALSE),"")</f>
        <v/>
      </c>
      <c r="M22" s="15" t="str">
        <f>"&lt;unit"&amp;TEXT(B22,"000")&amp;"&gt; """&amp;СцепитьМного(D22:E22,"")&amp;""" {"&amp;СцепитьМного(I22:L22,", ")&amp;", d 000, n "&amp;TEXT(G22,"000")&amp;"}"</f>
        <v>&lt;unit022&gt; "" {c 902, d 000, n 023}</v>
      </c>
    </row>
    <row r="23" spans="2:13" x14ac:dyDescent="0.25">
      <c r="B23">
        <f t="shared" si="1"/>
        <v>23</v>
      </c>
      <c r="C23" t="s">
        <v>338</v>
      </c>
      <c r="D23" t="str">
        <f t="shared" si="2"/>
        <v>&gt;&gt;</v>
      </c>
      <c r="G23" s="22">
        <f t="shared" si="0"/>
        <v>24</v>
      </c>
      <c r="I23" s="22" t="str">
        <f>IFERROR("p "&amp;VLOOKUP(H23,Tablo_Tab,2,FALSE),"")</f>
        <v/>
      </c>
      <c r="J23" s="22" t="str">
        <f>IFERROR("c "&amp;VLOOKUP(C23,Punkti,2,FALSE),"")</f>
        <v>c 900</v>
      </c>
      <c r="K23" s="26" t="str">
        <f>IFERROR(VLOOKUP(E23,Ostanovki,7,FALSE),"")</f>
        <v/>
      </c>
      <c r="L23" s="22" t="str">
        <f>IFERROR("c "&amp;VLOOKUP(F23,Punkti,2,FALSE),"")</f>
        <v/>
      </c>
      <c r="M23" s="15" t="str">
        <f>"&lt;unit"&amp;TEXT(B23,"000")&amp;"&gt; """&amp;СцепитьМного(D23:E23,"")&amp;""" {"&amp;СцепитьМного(I23:L23,", ")&amp;", d 000, n "&amp;TEXT(G23,"000")&amp;"}"</f>
        <v>&lt;unit023&gt; "&gt;&gt;" {c 900, d 000, n 024}</v>
      </c>
    </row>
    <row r="24" spans="2:13" x14ac:dyDescent="0.25">
      <c r="B24">
        <f t="shared" si="1"/>
        <v>24</v>
      </c>
      <c r="C24" t="s">
        <v>83</v>
      </c>
      <c r="D24" t="str">
        <f t="shared" si="2"/>
        <v/>
      </c>
      <c r="G24" s="22">
        <f t="shared" si="0"/>
        <v>25</v>
      </c>
      <c r="I24" s="22" t="str">
        <f>IFERROR("p "&amp;VLOOKUP(H24,Tablo_Tab,2,FALSE),"")</f>
        <v/>
      </c>
      <c r="J24" s="22" t="str">
        <f>IFERROR("c "&amp;VLOOKUP(C24,Punkti,2,FALSE),"")</f>
        <v>c 902</v>
      </c>
      <c r="K24" s="26" t="str">
        <f>IFERROR(VLOOKUP(E24,Ostanovki,7,FALSE),"")</f>
        <v/>
      </c>
      <c r="L24" s="22" t="str">
        <f>IFERROR("c "&amp;VLOOKUP(F24,Punkti,2,FALSE),"")</f>
        <v/>
      </c>
      <c r="M24" s="15" t="str">
        <f>"&lt;unit"&amp;TEXT(B24,"000")&amp;"&gt; """&amp;СцепитьМного(D24:E24,"")&amp;""" {"&amp;СцепитьМного(I24:L24,", ")&amp;", d 000, n "&amp;TEXT(G24,"000")&amp;"}"</f>
        <v>&lt;unit024&gt; "" {c 902, d 000, n 025}</v>
      </c>
    </row>
    <row r="25" spans="2:13" x14ac:dyDescent="0.25">
      <c r="B25">
        <f t="shared" si="1"/>
        <v>25</v>
      </c>
      <c r="C25" t="s">
        <v>338</v>
      </c>
      <c r="D25" t="str">
        <f t="shared" si="2"/>
        <v>&gt;&gt;</v>
      </c>
      <c r="G25" s="22">
        <f t="shared" si="0"/>
        <v>26</v>
      </c>
      <c r="I25" s="22" t="str">
        <f>IFERROR("p "&amp;VLOOKUP(H25,Tablo_Tab,2,FALSE),"")</f>
        <v/>
      </c>
      <c r="J25" s="22" t="str">
        <f>IFERROR("c "&amp;VLOOKUP(C25,Punkti,2,FALSE),"")</f>
        <v>c 900</v>
      </c>
      <c r="K25" s="26" t="str">
        <f>IFERROR(VLOOKUP(E25,Ostanovki,7,FALSE),"")</f>
        <v/>
      </c>
      <c r="L25" s="22" t="str">
        <f>IFERROR("c "&amp;VLOOKUP(F25,Punkti,2,FALSE),"")</f>
        <v/>
      </c>
      <c r="M25" s="15" t="str">
        <f>"&lt;unit"&amp;TEXT(B25,"000")&amp;"&gt; """&amp;СцепитьМного(D25:E25,"")&amp;""" {"&amp;СцепитьМного(I25:L25,", ")&amp;", d 000, n "&amp;TEXT(G25,"000")&amp;"}"</f>
        <v>&lt;unit025&gt; "&gt;&gt;" {c 900, d 000, n 026}</v>
      </c>
    </row>
    <row r="26" spans="2:13" x14ac:dyDescent="0.25">
      <c r="B26">
        <f t="shared" si="1"/>
        <v>26</v>
      </c>
      <c r="C26" t="s">
        <v>83</v>
      </c>
      <c r="D26" t="str">
        <f t="shared" si="2"/>
        <v/>
      </c>
      <c r="G26" s="22">
        <f t="shared" si="0"/>
        <v>27</v>
      </c>
      <c r="I26" s="22" t="str">
        <f>IFERROR("p "&amp;VLOOKUP(H26,Tablo_Tab,2,FALSE),"")</f>
        <v/>
      </c>
      <c r="J26" s="22" t="str">
        <f>IFERROR("c "&amp;VLOOKUP(C26,Punkti,2,FALSE),"")</f>
        <v>c 902</v>
      </c>
      <c r="K26" s="26" t="str">
        <f>IFERROR(VLOOKUP(E26,Ostanovki,7,FALSE),"")</f>
        <v/>
      </c>
      <c r="L26" s="22" t="str">
        <f>IFERROR("c "&amp;VLOOKUP(F26,Punkti,2,FALSE),"")</f>
        <v/>
      </c>
      <c r="M26" s="15" t="str">
        <f>"&lt;unit"&amp;TEXT(B26,"000")&amp;"&gt; """&amp;СцепитьМного(D26:E26,"")&amp;""" {"&amp;СцепитьМного(I26:L26,", ")&amp;", d 000, n "&amp;TEXT(G26,"000")&amp;"}"</f>
        <v>&lt;unit026&gt; "" {c 902, d 000, n 027}</v>
      </c>
    </row>
    <row r="27" spans="2:13" x14ac:dyDescent="0.25">
      <c r="B27">
        <f t="shared" si="1"/>
        <v>27</v>
      </c>
      <c r="C27" t="s">
        <v>338</v>
      </c>
      <c r="D27" t="str">
        <f t="shared" si="2"/>
        <v>&gt;&gt;</v>
      </c>
      <c r="G27" s="22">
        <f t="shared" si="0"/>
        <v>28</v>
      </c>
      <c r="I27" s="22" t="str">
        <f>IFERROR("p "&amp;VLOOKUP(H27,Tablo_Tab,2,FALSE),"")</f>
        <v/>
      </c>
      <c r="J27" s="22" t="str">
        <f>IFERROR("c "&amp;VLOOKUP(C27,Punkti,2,FALSE),"")</f>
        <v>c 900</v>
      </c>
      <c r="K27" s="26" t="str">
        <f>IFERROR(VLOOKUP(E27,Ostanovki,7,FALSE),"")</f>
        <v/>
      </c>
      <c r="L27" s="22" t="str">
        <f>IFERROR("c "&amp;VLOOKUP(F27,Punkti,2,FALSE),"")</f>
        <v/>
      </c>
      <c r="M27" s="15" t="str">
        <f>"&lt;unit"&amp;TEXT(B27,"000")&amp;"&gt; """&amp;СцепитьМного(D27:E27,"")&amp;""" {"&amp;СцепитьМного(I27:L27,", ")&amp;", d 000, n "&amp;TEXT(G27,"000")&amp;"}"</f>
        <v>&lt;unit027&gt; "&gt;&gt;" {c 900, d 000, n 028}</v>
      </c>
    </row>
    <row r="28" spans="2:13" x14ac:dyDescent="0.25">
      <c r="B28">
        <f t="shared" si="1"/>
        <v>28</v>
      </c>
      <c r="C28" t="s">
        <v>83</v>
      </c>
      <c r="D28" t="str">
        <f t="shared" si="2"/>
        <v/>
      </c>
      <c r="G28" s="22">
        <f t="shared" si="0"/>
        <v>29</v>
      </c>
      <c r="I28" s="22" t="str">
        <f>IFERROR("p "&amp;VLOOKUP(H28,Tablo_Tab,2,FALSE),"")</f>
        <v/>
      </c>
      <c r="J28" s="22" t="str">
        <f>IFERROR("c "&amp;VLOOKUP(C28,Punkti,2,FALSE),"")</f>
        <v>c 902</v>
      </c>
      <c r="K28" s="26" t="str">
        <f>IFERROR(VLOOKUP(E28,Ostanovki,7,FALSE),"")</f>
        <v/>
      </c>
      <c r="L28" s="22" t="str">
        <f>IFERROR("c "&amp;VLOOKUP(F28,Punkti,2,FALSE),"")</f>
        <v/>
      </c>
      <c r="M28" s="15" t="str">
        <f>"&lt;unit"&amp;TEXT(B28,"000")&amp;"&gt; """&amp;СцепитьМного(D28:E28,"")&amp;""" {"&amp;СцепитьМного(I28:L28,", ")&amp;", d 000, n "&amp;TEXT(G28,"000")&amp;"}"</f>
        <v>&lt;unit028&gt; "" {c 902, d 000, n 029}</v>
      </c>
    </row>
    <row r="29" spans="2:13" x14ac:dyDescent="0.25">
      <c r="B29">
        <f t="shared" si="1"/>
        <v>29</v>
      </c>
      <c r="C29" t="s">
        <v>338</v>
      </c>
      <c r="D29" t="str">
        <f t="shared" si="2"/>
        <v>&gt;&gt;</v>
      </c>
      <c r="G29" s="22">
        <f t="shared" si="0"/>
        <v>30</v>
      </c>
      <c r="I29" s="22" t="str">
        <f>IFERROR("p "&amp;VLOOKUP(H29,Tablo_Tab,2,FALSE),"")</f>
        <v/>
      </c>
      <c r="J29" s="22" t="str">
        <f>IFERROR("c "&amp;VLOOKUP(C29,Punkti,2,FALSE),"")</f>
        <v>c 900</v>
      </c>
      <c r="K29" s="26" t="str">
        <f>IFERROR(VLOOKUP(E29,Ostanovki,7,FALSE),"")</f>
        <v/>
      </c>
      <c r="L29" s="22" t="str">
        <f>IFERROR("c "&amp;VLOOKUP(F29,Punkti,2,FALSE),"")</f>
        <v/>
      </c>
      <c r="M29" s="15" t="str">
        <f>"&lt;unit"&amp;TEXT(B29,"000")&amp;"&gt; """&amp;СцепитьМного(D29:E29,"")&amp;""" {"&amp;СцепитьМного(I29:L29,", ")&amp;", d 000, n "&amp;TEXT(G29,"000")&amp;"}"</f>
        <v>&lt;unit029&gt; "&gt;&gt;" {c 900, d 000, n 030}</v>
      </c>
    </row>
    <row r="30" spans="2:13" x14ac:dyDescent="0.25">
      <c r="B30">
        <f t="shared" si="1"/>
        <v>30</v>
      </c>
      <c r="C30" t="s">
        <v>83</v>
      </c>
      <c r="D30" t="str">
        <f t="shared" si="2"/>
        <v/>
      </c>
      <c r="G30" s="22">
        <f t="shared" si="0"/>
        <v>31</v>
      </c>
      <c r="I30" s="22" t="str">
        <f>IFERROR("p "&amp;VLOOKUP(H30,Tablo_Tab,2,FALSE),"")</f>
        <v/>
      </c>
      <c r="J30" s="22" t="str">
        <f>IFERROR("c "&amp;VLOOKUP(C30,Punkti,2,FALSE),"")</f>
        <v>c 902</v>
      </c>
      <c r="K30" s="26" t="str">
        <f>IFERROR(VLOOKUP(E30,Ostanovki,7,FALSE),"")</f>
        <v/>
      </c>
      <c r="L30" s="22" t="str">
        <f>IFERROR("c "&amp;VLOOKUP(F30,Punkti,2,FALSE),"")</f>
        <v/>
      </c>
      <c r="M30" s="15" t="str">
        <f>"&lt;unit"&amp;TEXT(B30,"000")&amp;"&gt; """&amp;СцепитьМного(D30:E30,"")&amp;""" {"&amp;СцепитьМного(I30:L30,", ")&amp;", d 000, n "&amp;TEXT(G30,"000")&amp;"}"</f>
        <v>&lt;unit030&gt; "" {c 902, d 000, n 031}</v>
      </c>
    </row>
    <row r="31" spans="2:13" x14ac:dyDescent="0.25">
      <c r="B31">
        <f t="shared" si="1"/>
        <v>31</v>
      </c>
      <c r="C31" t="s">
        <v>338</v>
      </c>
      <c r="D31" t="str">
        <f t="shared" si="2"/>
        <v>&gt;&gt;</v>
      </c>
      <c r="G31" s="22">
        <f t="shared" si="0"/>
        <v>32</v>
      </c>
      <c r="I31" s="22" t="str">
        <f>IFERROR("p "&amp;VLOOKUP(H31,Tablo_Tab,2,FALSE),"")</f>
        <v/>
      </c>
      <c r="J31" s="22" t="str">
        <f>IFERROR("c "&amp;VLOOKUP(C31,Punkti,2,FALSE),"")</f>
        <v>c 900</v>
      </c>
      <c r="K31" s="26" t="str">
        <f>IFERROR(VLOOKUP(E31,Ostanovki,7,FALSE),"")</f>
        <v/>
      </c>
      <c r="L31" s="22" t="str">
        <f>IFERROR("c "&amp;VLOOKUP(F31,Punkti,2,FALSE),"")</f>
        <v/>
      </c>
      <c r="M31" s="15" t="str">
        <f>"&lt;unit"&amp;TEXT(B31,"000")&amp;"&gt; """&amp;СцепитьМного(D31:E31,"")&amp;""" {"&amp;СцепитьМного(I31:L31,", ")&amp;", d 000, n "&amp;TEXT(G31,"000")&amp;"}"</f>
        <v>&lt;unit031&gt; "&gt;&gt;" {c 900, d 000, n 032}</v>
      </c>
    </row>
    <row r="32" spans="2:13" x14ac:dyDescent="0.25">
      <c r="B32">
        <f t="shared" si="1"/>
        <v>32</v>
      </c>
      <c r="C32" t="s">
        <v>83</v>
      </c>
      <c r="D32" t="str">
        <f t="shared" si="2"/>
        <v/>
      </c>
      <c r="G32" s="22">
        <f t="shared" si="0"/>
        <v>33</v>
      </c>
      <c r="I32" s="22" t="str">
        <f>IFERROR("p "&amp;VLOOKUP(H32,Tablo_Tab,2,FALSE),"")</f>
        <v/>
      </c>
      <c r="J32" s="22" t="str">
        <f>IFERROR("c "&amp;VLOOKUP(C32,Punkti,2,FALSE),"")</f>
        <v>c 902</v>
      </c>
      <c r="K32" s="26" t="str">
        <f>IFERROR(VLOOKUP(E32,Ostanovki,7,FALSE),"")</f>
        <v/>
      </c>
      <c r="L32" s="22" t="str">
        <f>IFERROR("c "&amp;VLOOKUP(F32,Punkti,2,FALSE),"")</f>
        <v/>
      </c>
      <c r="M32" s="15" t="str">
        <f>"&lt;unit"&amp;TEXT(B32,"000")&amp;"&gt; """&amp;СцепитьМного(D32:E32,"")&amp;""" {"&amp;СцепитьМного(I32:L32,", ")&amp;", d 000, n "&amp;TEXT(G32,"000")&amp;"}"</f>
        <v>&lt;unit032&gt; "" {c 902, d 000, n 033}</v>
      </c>
    </row>
    <row r="33" spans="2:13" x14ac:dyDescent="0.25">
      <c r="B33">
        <f>ROW(B33)</f>
        <v>33</v>
      </c>
      <c r="C33" t="s">
        <v>338</v>
      </c>
      <c r="D33" t="str">
        <f t="shared" si="2"/>
        <v>&gt;&gt;</v>
      </c>
      <c r="G33" s="22">
        <f t="shared" si="0"/>
        <v>34</v>
      </c>
      <c r="I33" s="22" t="str">
        <f>IFERROR("p "&amp;VLOOKUP(H33,Tablo_Tab,2,FALSE),"")</f>
        <v/>
      </c>
      <c r="J33" s="22" t="str">
        <f>IFERROR("c "&amp;VLOOKUP(C33,Punkti,2,FALSE),"")</f>
        <v>c 900</v>
      </c>
      <c r="K33" s="26" t="str">
        <f>IFERROR(VLOOKUP(E33,Ostanovki,7,FALSE),"")</f>
        <v/>
      </c>
      <c r="L33" s="22" t="str">
        <f>IFERROR("c "&amp;VLOOKUP(F33,Punkti,2,FALSE),"")</f>
        <v/>
      </c>
      <c r="M33" s="15" t="str">
        <f>"&lt;unit"&amp;TEXT(B33,"000")&amp;"&gt; """&amp;СцепитьМного(D33:E33,"")&amp;""" {"&amp;СцепитьМного(I33:L33,", ")&amp;", d 000, n "&amp;TEXT(G33,"000")&amp;"}"</f>
        <v>&lt;unit033&gt; "&gt;&gt;" {c 900, d 000, n 034}</v>
      </c>
    </row>
    <row r="34" spans="2:13" x14ac:dyDescent="0.25">
      <c r="B34">
        <f t="shared" si="1"/>
        <v>34</v>
      </c>
      <c r="C34" t="s">
        <v>83</v>
      </c>
      <c r="D34" t="str">
        <f t="shared" si="2"/>
        <v/>
      </c>
      <c r="G34" s="22">
        <f t="shared" si="0"/>
        <v>35</v>
      </c>
      <c r="I34" s="22" t="str">
        <f>IFERROR("p "&amp;VLOOKUP(H34,Tablo_Tab,2,FALSE),"")</f>
        <v/>
      </c>
      <c r="J34" s="22" t="str">
        <f>IFERROR("c "&amp;VLOOKUP(C34,Punkti,2,FALSE),"")</f>
        <v>c 902</v>
      </c>
      <c r="K34" s="26" t="str">
        <f>IFERROR(VLOOKUP(E34,Ostanovki,7,FALSE),"")</f>
        <v/>
      </c>
      <c r="L34" s="22" t="str">
        <f>IFERROR("c "&amp;VLOOKUP(F34,Punkti,2,FALSE),"")</f>
        <v/>
      </c>
      <c r="M34" s="15" t="str">
        <f>"&lt;unit"&amp;TEXT(B34,"000")&amp;"&gt; """&amp;СцепитьМного(D34:E34,"")&amp;""" {"&amp;СцепитьМного(I34:L34,", ")&amp;", d 000, n "&amp;TEXT(G34,"000")&amp;"}"</f>
        <v>&lt;unit034&gt; "" {c 902, d 000, n 035}</v>
      </c>
    </row>
    <row r="35" spans="2:13" x14ac:dyDescent="0.25">
      <c r="B35">
        <f t="shared" si="1"/>
        <v>35</v>
      </c>
      <c r="C35" t="s">
        <v>338</v>
      </c>
      <c r="D35" t="str">
        <f t="shared" si="2"/>
        <v>&gt;&gt;</v>
      </c>
      <c r="G35" s="22">
        <f t="shared" si="0"/>
        <v>36</v>
      </c>
      <c r="I35" s="22" t="str">
        <f>IFERROR("p "&amp;VLOOKUP(H35,Tablo_Tab,2,FALSE),"")</f>
        <v/>
      </c>
      <c r="J35" s="22" t="str">
        <f>IFERROR("c "&amp;VLOOKUP(C35,Punkti,2,FALSE),"")</f>
        <v>c 900</v>
      </c>
      <c r="K35" s="26" t="str">
        <f>IFERROR(VLOOKUP(E35,Ostanovki,7,FALSE),"")</f>
        <v/>
      </c>
      <c r="L35" s="22" t="str">
        <f>IFERROR("c "&amp;VLOOKUP(F35,Punkti,2,FALSE),"")</f>
        <v/>
      </c>
      <c r="M35" s="15" t="str">
        <f>"&lt;unit"&amp;TEXT(B35,"000")&amp;"&gt; """&amp;СцепитьМного(D35:E35,"")&amp;""" {"&amp;СцепитьМного(I35:L35,", ")&amp;", d 000, n "&amp;TEXT(G35,"000")&amp;"}"</f>
        <v>&lt;unit035&gt; "&gt;&gt;" {c 900, d 000, n 036}</v>
      </c>
    </row>
    <row r="36" spans="2:13" x14ac:dyDescent="0.25">
      <c r="B36">
        <f t="shared" si="1"/>
        <v>36</v>
      </c>
      <c r="C36" t="s">
        <v>83</v>
      </c>
      <c r="D36" t="str">
        <f t="shared" si="2"/>
        <v/>
      </c>
      <c r="G36" s="22">
        <f t="shared" si="0"/>
        <v>37</v>
      </c>
      <c r="I36" s="22" t="str">
        <f>IFERROR("p "&amp;VLOOKUP(H36,Tablo_Tab,2,FALSE),"")</f>
        <v/>
      </c>
      <c r="J36" s="22" t="str">
        <f>IFERROR("c "&amp;VLOOKUP(C36,Punkti,2,FALSE),"")</f>
        <v>c 902</v>
      </c>
      <c r="K36" s="26" t="str">
        <f>IFERROR(VLOOKUP(E36,Ostanovki,7,FALSE),"")</f>
        <v/>
      </c>
      <c r="L36" s="22" t="str">
        <f>IFERROR("c "&amp;VLOOKUP(F36,Punkti,2,FALSE),"")</f>
        <v/>
      </c>
      <c r="M36" s="15" t="str">
        <f>"&lt;unit"&amp;TEXT(B36,"000")&amp;"&gt; """&amp;СцепитьМного(D36:E36,"")&amp;""" {"&amp;СцепитьМного(I36:L36,", ")&amp;", d 000, n "&amp;TEXT(G36,"000")&amp;"}"</f>
        <v>&lt;unit036&gt; "" {c 902, d 000, n 037}</v>
      </c>
    </row>
    <row r="37" spans="2:13" x14ac:dyDescent="0.25">
      <c r="B37">
        <f t="shared" si="1"/>
        <v>37</v>
      </c>
      <c r="C37" t="s">
        <v>338</v>
      </c>
      <c r="D37" t="str">
        <f t="shared" si="2"/>
        <v>&gt;&gt;</v>
      </c>
      <c r="G37" s="22">
        <f t="shared" si="0"/>
        <v>38</v>
      </c>
      <c r="I37" s="22" t="str">
        <f>IFERROR("p "&amp;VLOOKUP(H37,Tablo_Tab,2,FALSE),"")</f>
        <v/>
      </c>
      <c r="J37" s="22" t="str">
        <f>IFERROR("c "&amp;VLOOKUP(C37,Punkti,2,FALSE),"")</f>
        <v>c 900</v>
      </c>
      <c r="K37" s="26" t="str">
        <f>IFERROR(VLOOKUP(E37,Ostanovki,7,FALSE),"")</f>
        <v/>
      </c>
      <c r="L37" s="22" t="str">
        <f>IFERROR("c "&amp;VLOOKUP(F37,Punkti,2,FALSE),"")</f>
        <v/>
      </c>
      <c r="M37" s="15" t="str">
        <f>"&lt;unit"&amp;TEXT(B37,"000")&amp;"&gt; """&amp;СцепитьМного(D37:E37,"")&amp;""" {"&amp;СцепитьМного(I37:L37,", ")&amp;", d 000, n "&amp;TEXT(G37,"000")&amp;"}"</f>
        <v>&lt;unit037&gt; "&gt;&gt;" {c 900, d 000, n 038}</v>
      </c>
    </row>
    <row r="38" spans="2:13" x14ac:dyDescent="0.25">
      <c r="B38">
        <f t="shared" si="1"/>
        <v>38</v>
      </c>
      <c r="C38" t="s">
        <v>83</v>
      </c>
      <c r="D38" t="str">
        <f t="shared" si="2"/>
        <v/>
      </c>
      <c r="G38" s="22">
        <f t="shared" si="0"/>
        <v>39</v>
      </c>
      <c r="I38" s="22" t="str">
        <f>IFERROR("p "&amp;VLOOKUP(H38,Tablo_Tab,2,FALSE),"")</f>
        <v/>
      </c>
      <c r="J38" s="22" t="str">
        <f>IFERROR("c "&amp;VLOOKUP(C38,Punkti,2,FALSE),"")</f>
        <v>c 902</v>
      </c>
      <c r="K38" s="26" t="str">
        <f>IFERROR(VLOOKUP(E38,Ostanovki,7,FALSE),"")</f>
        <v/>
      </c>
      <c r="L38" s="22" t="str">
        <f>IFERROR("c "&amp;VLOOKUP(F38,Punkti,2,FALSE),"")</f>
        <v/>
      </c>
      <c r="M38" s="15" t="str">
        <f>"&lt;unit"&amp;TEXT(B38,"000")&amp;"&gt; """&amp;СцепитьМного(D38:E38,"")&amp;""" {"&amp;СцепитьМного(I38:L38,", ")&amp;", d 000, n "&amp;TEXT(G38,"000")&amp;"}"</f>
        <v>&lt;unit038&gt; "" {c 902, d 000, n 039}</v>
      </c>
    </row>
    <row r="39" spans="2:13" x14ac:dyDescent="0.25">
      <c r="B39">
        <f t="shared" si="1"/>
        <v>39</v>
      </c>
      <c r="C39" t="s">
        <v>338</v>
      </c>
      <c r="D39" t="str">
        <f t="shared" si="2"/>
        <v>&gt;&gt;</v>
      </c>
      <c r="G39" s="22">
        <f t="shared" si="0"/>
        <v>40</v>
      </c>
      <c r="I39" s="22" t="str">
        <f>IFERROR("p "&amp;VLOOKUP(H39,Tablo_Tab,2,FALSE),"")</f>
        <v/>
      </c>
      <c r="J39" s="22" t="str">
        <f>IFERROR("c "&amp;VLOOKUP(C39,Punkti,2,FALSE),"")</f>
        <v>c 900</v>
      </c>
      <c r="K39" s="26" t="str">
        <f>IFERROR(VLOOKUP(E39,Ostanovki,7,FALSE),"")</f>
        <v/>
      </c>
      <c r="L39" s="22" t="str">
        <f>IFERROR("c "&amp;VLOOKUP(F39,Punkti,2,FALSE),"")</f>
        <v/>
      </c>
      <c r="M39" s="15" t="str">
        <f>"&lt;unit"&amp;TEXT(B39,"000")&amp;"&gt; """&amp;СцепитьМного(D39:E39,"")&amp;""" {"&amp;СцепитьМного(I39:L39,", ")&amp;", d 000, n "&amp;TEXT(G39,"000")&amp;"}"</f>
        <v>&lt;unit039&gt; "&gt;&gt;" {c 900, d 000, n 040}</v>
      </c>
    </row>
    <row r="40" spans="2:13" x14ac:dyDescent="0.25">
      <c r="B40">
        <f t="shared" si="1"/>
        <v>40</v>
      </c>
      <c r="C40" t="s">
        <v>83</v>
      </c>
      <c r="D40" t="str">
        <f t="shared" si="2"/>
        <v/>
      </c>
      <c r="G40" s="22">
        <f t="shared" si="0"/>
        <v>41</v>
      </c>
      <c r="I40" s="22" t="str">
        <f>IFERROR("p "&amp;VLOOKUP(H40,Tablo_Tab,2,FALSE),"")</f>
        <v/>
      </c>
      <c r="J40" s="22" t="str">
        <f>IFERROR("c "&amp;VLOOKUP(C40,Punkti,2,FALSE),"")</f>
        <v>c 902</v>
      </c>
      <c r="K40" s="26" t="str">
        <f>IFERROR(VLOOKUP(E40,Ostanovki,7,FALSE),"")</f>
        <v/>
      </c>
      <c r="L40" s="22" t="str">
        <f>IFERROR("c "&amp;VLOOKUP(F40,Punkti,2,FALSE),"")</f>
        <v/>
      </c>
      <c r="M40" s="15" t="str">
        <f>"&lt;unit"&amp;TEXT(B40,"000")&amp;"&gt; """&amp;СцепитьМного(D40:E40,"")&amp;""" {"&amp;СцепитьМного(I40:L40,", ")&amp;", d 000, n "&amp;TEXT(G40,"000")&amp;"}"</f>
        <v>&lt;unit040&gt; "" {c 902, d 000, n 041}</v>
      </c>
    </row>
    <row r="41" spans="2:13" x14ac:dyDescent="0.25">
      <c r="B41">
        <f t="shared" si="1"/>
        <v>41</v>
      </c>
      <c r="C41" t="s">
        <v>338</v>
      </c>
      <c r="D41" t="str">
        <f t="shared" si="2"/>
        <v>&gt;&gt;</v>
      </c>
      <c r="G41" s="22">
        <f t="shared" si="0"/>
        <v>42</v>
      </c>
      <c r="I41" s="22" t="str">
        <f>IFERROR("p "&amp;VLOOKUP(H41,Tablo_Tab,2,FALSE),"")</f>
        <v/>
      </c>
      <c r="J41" s="22" t="str">
        <f>IFERROR("c "&amp;VLOOKUP(C41,Punkti,2,FALSE),"")</f>
        <v>c 900</v>
      </c>
      <c r="K41" s="26" t="str">
        <f>IFERROR(VLOOKUP(E41,Ostanovki,7,FALSE),"")</f>
        <v/>
      </c>
      <c r="L41" s="22" t="str">
        <f>IFERROR("c "&amp;VLOOKUP(F41,Punkti,2,FALSE),"")</f>
        <v/>
      </c>
      <c r="M41" s="15" t="str">
        <f>"&lt;unit"&amp;TEXT(B41,"000")&amp;"&gt; """&amp;СцепитьМного(D41:E41,"")&amp;""" {"&amp;СцепитьМного(I41:L41,", ")&amp;", d 000, n "&amp;TEXT(G41,"000")&amp;"}"</f>
        <v>&lt;unit041&gt; "&gt;&gt;" {c 900, d 000, n 042}</v>
      </c>
    </row>
    <row r="42" spans="2:13" x14ac:dyDescent="0.25">
      <c r="B42">
        <f t="shared" si="1"/>
        <v>42</v>
      </c>
      <c r="C42" t="s">
        <v>83</v>
      </c>
      <c r="D42" t="str">
        <f t="shared" ref="D42:D43" si="3">IF(J42="c 900","&gt;&gt;","")</f>
        <v/>
      </c>
      <c r="G42" s="22">
        <f t="shared" si="0"/>
        <v>43</v>
      </c>
      <c r="I42" s="22" t="str">
        <f>IFERROR("p "&amp;VLOOKUP(H42,Tablo_Tab,2,FALSE),"")</f>
        <v/>
      </c>
      <c r="J42" s="22" t="str">
        <f>IFERROR("c "&amp;VLOOKUP(C42,Punkti,2,FALSE),"")</f>
        <v>c 902</v>
      </c>
      <c r="K42" s="26" t="str">
        <f>IFERROR(VLOOKUP(E42,Ostanovki,7,FALSE),"")</f>
        <v/>
      </c>
      <c r="L42" s="22" t="str">
        <f>IFERROR("c "&amp;VLOOKUP(F42,Punkti,2,FALSE),"")</f>
        <v/>
      </c>
      <c r="M42" s="15" t="str">
        <f>"&lt;unit"&amp;TEXT(B42,"000")&amp;"&gt; """&amp;СцепитьМного(D42:E42,"")&amp;""" {"&amp;СцепитьМного(I42:L42,", ")&amp;", d 000, n "&amp;TEXT(G42,"000")&amp;"}"</f>
        <v>&lt;unit042&gt; "" {c 902, d 000, n 043}</v>
      </c>
    </row>
    <row r="43" spans="2:13" x14ac:dyDescent="0.25">
      <c r="B43">
        <f t="shared" si="1"/>
        <v>43</v>
      </c>
      <c r="C43" t="s">
        <v>338</v>
      </c>
      <c r="D43" t="str">
        <f t="shared" si="3"/>
        <v>&gt;&gt;</v>
      </c>
      <c r="G43" s="22">
        <f t="shared" si="0"/>
        <v>44</v>
      </c>
      <c r="I43" s="22" t="str">
        <f>IFERROR("p "&amp;VLOOKUP(H43,Tablo_Tab,2,FALSE),"")</f>
        <v/>
      </c>
      <c r="J43" s="22" t="str">
        <f>IFERROR("c "&amp;VLOOKUP(C43,Punkti,2,FALSE),"")</f>
        <v>c 900</v>
      </c>
      <c r="K43" s="26" t="str">
        <f>IFERROR(VLOOKUP(E43,Ostanovki,7,FALSE),"")</f>
        <v/>
      </c>
      <c r="L43" s="22" t="str">
        <f>IFERROR("c "&amp;VLOOKUP(F43,Punkti,2,FALSE),"")</f>
        <v/>
      </c>
      <c r="M43" s="15" t="str">
        <f>"&lt;unit"&amp;TEXT(B43,"000")&amp;"&gt; """&amp;СцепитьМного(D43:E43,"")&amp;""" {"&amp;СцепитьМного(I43:L43,", ")&amp;", d 000, n "&amp;TEXT(G43,"000")&amp;"}"</f>
        <v>&lt;unit043&gt; "&gt;&gt;" {c 900, d 000, n 044}</v>
      </c>
    </row>
    <row r="44" spans="2:13" x14ac:dyDescent="0.25">
      <c r="B44">
        <f t="shared" si="1"/>
        <v>44</v>
      </c>
      <c r="C44" t="s">
        <v>83</v>
      </c>
      <c r="D44" t="str">
        <f t="shared" ref="D44:D45" si="4">IF(J44="c 900","&gt;&gt;","")</f>
        <v/>
      </c>
      <c r="G44" s="22">
        <f t="shared" si="0"/>
        <v>45</v>
      </c>
      <c r="I44" s="22" t="str">
        <f>IFERROR("p "&amp;VLOOKUP(H44,Tablo_Tab,2,FALSE),"")</f>
        <v/>
      </c>
      <c r="J44" s="22" t="str">
        <f>IFERROR("c "&amp;VLOOKUP(C44,Punkti,2,FALSE),"")</f>
        <v>c 902</v>
      </c>
      <c r="K44" s="26" t="str">
        <f>IFERROR(VLOOKUP(E44,Ostanovki,7,FALSE),"")</f>
        <v/>
      </c>
      <c r="L44" s="22" t="str">
        <f>IFERROR("c "&amp;VLOOKUP(F44,Punkti,2,FALSE),"")</f>
        <v/>
      </c>
      <c r="M44" s="15" t="str">
        <f>"&lt;unit"&amp;TEXT(B44,"000")&amp;"&gt; """&amp;СцепитьМного(D44:E44,"")&amp;""" {"&amp;СцепитьМного(I44:L44,", ")&amp;", d 000, n "&amp;TEXT(G44,"000")&amp;"}"</f>
        <v>&lt;unit044&gt; "" {c 902, d 000, n 045}</v>
      </c>
    </row>
    <row r="45" spans="2:13" x14ac:dyDescent="0.25">
      <c r="B45">
        <f t="shared" si="1"/>
        <v>45</v>
      </c>
      <c r="C45" t="s">
        <v>338</v>
      </c>
      <c r="D45" t="str">
        <f t="shared" si="4"/>
        <v>&gt;&gt;</v>
      </c>
      <c r="G45" s="22">
        <f t="shared" si="0"/>
        <v>46</v>
      </c>
      <c r="I45" s="22" t="str">
        <f>IFERROR("p "&amp;VLOOKUP(H45,Tablo_Tab,2,FALSE),"")</f>
        <v/>
      </c>
      <c r="J45" s="22" t="str">
        <f>IFERROR("c "&amp;VLOOKUP(C45,Punkti,2,FALSE),"")</f>
        <v>c 900</v>
      </c>
      <c r="K45" s="26" t="str">
        <f>IFERROR(VLOOKUP(E45,Ostanovki,7,FALSE),"")</f>
        <v/>
      </c>
      <c r="L45" s="22" t="str">
        <f>IFERROR("c "&amp;VLOOKUP(F45,Punkti,2,FALSE),"")</f>
        <v/>
      </c>
      <c r="M45" s="15" t="str">
        <f>"&lt;unit"&amp;TEXT(B45,"000")&amp;"&gt; """&amp;СцепитьМного(D45:E45,"")&amp;""" {"&amp;СцепитьМного(I45:L45,", ")&amp;", d 000, n "&amp;TEXT(G45,"000")&amp;"}"</f>
        <v>&lt;unit045&gt; "&gt;&gt;" {c 900, d 000, n 046}</v>
      </c>
    </row>
    <row r="46" spans="2:13" x14ac:dyDescent="0.25">
      <c r="B46">
        <f t="shared" si="1"/>
        <v>46</v>
      </c>
      <c r="C46" t="s">
        <v>83</v>
      </c>
      <c r="D46" t="str">
        <f t="shared" si="2"/>
        <v/>
      </c>
      <c r="E46" t="s">
        <v>218</v>
      </c>
      <c r="F46" t="s">
        <v>340</v>
      </c>
      <c r="G46" s="22">
        <f>B48</f>
        <v>48</v>
      </c>
      <c r="I46" s="22" t="str">
        <f>IFERROR("p "&amp;VLOOKUP(H46,Tablo_Tab,2,FALSE),"")</f>
        <v/>
      </c>
      <c r="J46" s="22" t="str">
        <f>IFERROR("c "&amp;VLOOKUP(C46,Punkti,2,FALSE),"")</f>
        <v>c 902</v>
      </c>
      <c r="K46" s="26" t="str">
        <f>IFERROR(VLOOKUP(E46,Ostanovki,7,FALSE),"")</f>
        <v>v "\mp3_ost\kztsh.mp3"</v>
      </c>
      <c r="L46" s="22" t="str">
        <f>IFERROR("c "&amp;VLOOKUP(F46,Punkti,2,FALSE),"")</f>
        <v>c 903</v>
      </c>
      <c r="M46" s="15" t="str">
        <f>"&lt;unit"&amp;TEXT(B46,"000")&amp;"&gt; """&amp;СцепитьМного(D46:E46,"")&amp;""" {"&amp;СцепитьМного(I46:L46,", ")&amp;", d 000, n "&amp;TEXT(G46,"000")&amp;"}"</f>
        <v>&lt;unit046&gt; "КЗТШ" {c 902, v "\mp3_ost\kztsh.mp3", c 903, d 000, n 048}</v>
      </c>
    </row>
    <row r="47" spans="2:13" x14ac:dyDescent="0.25">
      <c r="M47" s="15"/>
    </row>
    <row r="48" spans="2:13" x14ac:dyDescent="0.25">
      <c r="B48">
        <f t="shared" ref="B48:B90" si="5">ROW(B48)</f>
        <v>48</v>
      </c>
      <c r="E48" s="23" t="s">
        <v>336</v>
      </c>
      <c r="F48" s="23"/>
      <c r="G48" s="22">
        <f>B50</f>
        <v>50</v>
      </c>
      <c r="M48" s="15" t="str">
        <f>"&lt;unit"&amp;TEXT(B48,"000")&amp;"&gt; """&amp;E48&amp;""" {d 000, n "&amp;TEXT(G48,"000")&amp;"}"</f>
        <v>&lt;unit048&gt; "----- Обратный -----" {d 000, n 050}</v>
      </c>
    </row>
    <row r="49" spans="2:13" x14ac:dyDescent="0.25">
      <c r="M49" s="15"/>
    </row>
    <row r="50" spans="2:13" x14ac:dyDescent="0.25">
      <c r="B50">
        <f t="shared" si="5"/>
        <v>50</v>
      </c>
      <c r="C50" t="s">
        <v>83</v>
      </c>
      <c r="D50" t="str">
        <f t="shared" ref="D50:D88" si="6">IF(J50="c 900","&gt;&gt;","")</f>
        <v/>
      </c>
      <c r="E50" t="s">
        <v>218</v>
      </c>
      <c r="G50" s="22">
        <f>B51</f>
        <v>51</v>
      </c>
      <c r="I50" s="22" t="str">
        <f>IFERROR("p "&amp;VLOOKUP(H50,Tablo_Tab,2,FALSE),"")</f>
        <v/>
      </c>
      <c r="J50" s="22" t="str">
        <f>IFERROR("c "&amp;VLOOKUP(C50,Punkti,2,FALSE),"")</f>
        <v>c 902</v>
      </c>
      <c r="K50" s="26" t="str">
        <f>IFERROR(VLOOKUP(E50,Ostanovki,7,FALSE),"")</f>
        <v>v "\mp3_ost\kztsh.mp3"</v>
      </c>
      <c r="L50" s="22" t="str">
        <f>IFERROR("c "&amp;VLOOKUP(F50,Punkti,2,FALSE),"")</f>
        <v/>
      </c>
      <c r="M50" s="15" t="str">
        <f>"&lt;unit"&amp;TEXT(B50,"000")&amp;"&gt; """&amp;СцепитьМного(D50:E50,"")&amp;""" {"&amp;СцепитьМного(I50:L50,", ")&amp;", d 000, n "&amp;TEXT(G50,"000")&amp;"}"</f>
        <v>&lt;unit050&gt; "КЗТШ" {c 902, v "\mp3_ost\kztsh.mp3", d 000, n 051}</v>
      </c>
    </row>
    <row r="51" spans="2:13" x14ac:dyDescent="0.25">
      <c r="B51">
        <f t="shared" si="5"/>
        <v>51</v>
      </c>
      <c r="C51" t="s">
        <v>338</v>
      </c>
      <c r="D51" t="str">
        <f t="shared" si="6"/>
        <v>&gt;&gt;</v>
      </c>
      <c r="G51" s="22">
        <f t="shared" ref="G51:G87" si="7">B52</f>
        <v>52</v>
      </c>
      <c r="I51" s="22" t="str">
        <f>IFERROR("p "&amp;VLOOKUP(H51,Tablo_Tab,2,FALSE),"")</f>
        <v/>
      </c>
      <c r="J51" s="22" t="str">
        <f>IFERROR("c "&amp;VLOOKUP(C51,Punkti,2,FALSE),"")</f>
        <v>c 900</v>
      </c>
      <c r="K51" s="26" t="str">
        <f>IFERROR(VLOOKUP(E51,Ostanovki,7,FALSE),"")</f>
        <v/>
      </c>
      <c r="L51" s="22" t="str">
        <f>IFERROR("c "&amp;VLOOKUP(F51,Punkti,2,FALSE),"")</f>
        <v/>
      </c>
      <c r="M51" s="15" t="str">
        <f>"&lt;unit"&amp;TEXT(B51,"000")&amp;"&gt; """&amp;СцепитьМного(D51:E51,"")&amp;""" {"&amp;СцепитьМного(I51:L51,", ")&amp;", d 000, n "&amp;TEXT(G51,"000")&amp;"}"</f>
        <v>&lt;unit051&gt; "&gt;&gt;" {c 900, d 000, n 052}</v>
      </c>
    </row>
    <row r="52" spans="2:13" x14ac:dyDescent="0.25">
      <c r="B52">
        <f t="shared" si="5"/>
        <v>52</v>
      </c>
      <c r="C52" t="s">
        <v>83</v>
      </c>
      <c r="D52" t="str">
        <f t="shared" si="6"/>
        <v/>
      </c>
      <c r="G52" s="22">
        <f t="shared" si="7"/>
        <v>53</v>
      </c>
      <c r="I52" s="22" t="str">
        <f>IFERROR("p "&amp;VLOOKUP(H52,Tablo_Tab,2,FALSE),"")</f>
        <v/>
      </c>
      <c r="J52" s="22" t="str">
        <f>IFERROR("c "&amp;VLOOKUP(C52,Punkti,2,FALSE),"")</f>
        <v>c 902</v>
      </c>
      <c r="K52" s="26" t="str">
        <f>IFERROR(VLOOKUP(E52,Ostanovki,7,FALSE),"")</f>
        <v/>
      </c>
      <c r="L52" s="22" t="str">
        <f>IFERROR("c "&amp;VLOOKUP(F52,Punkti,2,FALSE),"")</f>
        <v/>
      </c>
      <c r="M52" s="15" t="str">
        <f>"&lt;unit"&amp;TEXT(B52,"000")&amp;"&gt; """&amp;СцепитьМного(D52:E52,"")&amp;""" {"&amp;СцепитьМного(I52:L52,", ")&amp;", d 000, n "&amp;TEXT(G52,"000")&amp;"}"</f>
        <v>&lt;unit052&gt; "" {c 902, d 000, n 053}</v>
      </c>
    </row>
    <row r="53" spans="2:13" x14ac:dyDescent="0.25">
      <c r="B53">
        <f t="shared" si="5"/>
        <v>53</v>
      </c>
      <c r="C53" t="s">
        <v>338</v>
      </c>
      <c r="D53" t="str">
        <f t="shared" si="6"/>
        <v>&gt;&gt;</v>
      </c>
      <c r="G53" s="22">
        <f t="shared" si="7"/>
        <v>54</v>
      </c>
      <c r="I53" s="22" t="str">
        <f>IFERROR("p "&amp;VLOOKUP(H53,Tablo_Tab,2,FALSE),"")</f>
        <v/>
      </c>
      <c r="J53" s="22" t="str">
        <f>IFERROR("c "&amp;VLOOKUP(C53,Punkti,2,FALSE),"")</f>
        <v>c 900</v>
      </c>
      <c r="K53" s="26" t="str">
        <f>IFERROR(VLOOKUP(E53,Ostanovki,7,FALSE),"")</f>
        <v/>
      </c>
      <c r="L53" s="22" t="str">
        <f>IFERROR("c "&amp;VLOOKUP(F53,Punkti,2,FALSE),"")</f>
        <v/>
      </c>
      <c r="M53" s="15" t="str">
        <f>"&lt;unit"&amp;TEXT(B53,"000")&amp;"&gt; """&amp;СцепитьМного(D53:E53,"")&amp;""" {"&amp;СцепитьМного(I53:L53,", ")&amp;", d 000, n "&amp;TEXT(G53,"000")&amp;"}"</f>
        <v>&lt;unit053&gt; "&gt;&gt;" {c 900, d 000, n 054}</v>
      </c>
    </row>
    <row r="54" spans="2:13" x14ac:dyDescent="0.25">
      <c r="B54">
        <f t="shared" si="5"/>
        <v>54</v>
      </c>
      <c r="C54" t="s">
        <v>83</v>
      </c>
      <c r="D54" t="str">
        <f t="shared" si="6"/>
        <v/>
      </c>
      <c r="G54" s="22">
        <f t="shared" si="7"/>
        <v>55</v>
      </c>
      <c r="I54" s="22" t="str">
        <f>IFERROR("p "&amp;VLOOKUP(H54,Tablo_Tab,2,FALSE),"")</f>
        <v/>
      </c>
      <c r="J54" s="22" t="str">
        <f>IFERROR("c "&amp;VLOOKUP(C54,Punkti,2,FALSE),"")</f>
        <v>c 902</v>
      </c>
      <c r="K54" s="26" t="str">
        <f>IFERROR(VLOOKUP(E54,Ostanovki,7,FALSE),"")</f>
        <v/>
      </c>
      <c r="L54" s="22" t="str">
        <f>IFERROR("c "&amp;VLOOKUP(F54,Punkti,2,FALSE),"")</f>
        <v/>
      </c>
      <c r="M54" s="15" t="str">
        <f>"&lt;unit"&amp;TEXT(B54,"000")&amp;"&gt; """&amp;СцепитьМного(D54:E54,"")&amp;""" {"&amp;СцепитьМного(I54:L54,", ")&amp;", d 000, n "&amp;TEXT(G54,"000")&amp;"}"</f>
        <v>&lt;unit054&gt; "" {c 902, d 000, n 055}</v>
      </c>
    </row>
    <row r="55" spans="2:13" x14ac:dyDescent="0.25">
      <c r="B55">
        <f t="shared" si="5"/>
        <v>55</v>
      </c>
      <c r="C55" t="s">
        <v>338</v>
      </c>
      <c r="D55" t="str">
        <f t="shared" si="6"/>
        <v>&gt;&gt;</v>
      </c>
      <c r="G55" s="22">
        <f t="shared" si="7"/>
        <v>56</v>
      </c>
      <c r="I55" s="22" t="str">
        <f>IFERROR("p "&amp;VLOOKUP(H55,Tablo_Tab,2,FALSE),"")</f>
        <v/>
      </c>
      <c r="J55" s="22" t="str">
        <f>IFERROR("c "&amp;VLOOKUP(C55,Punkti,2,FALSE),"")</f>
        <v>c 900</v>
      </c>
      <c r="K55" s="26" t="str">
        <f>IFERROR(VLOOKUP(E55,Ostanovki,7,FALSE),"")</f>
        <v/>
      </c>
      <c r="L55" s="22" t="str">
        <f>IFERROR("c "&amp;VLOOKUP(F55,Punkti,2,FALSE),"")</f>
        <v/>
      </c>
      <c r="M55" s="15" t="str">
        <f>"&lt;unit"&amp;TEXT(B55,"000")&amp;"&gt; """&amp;СцепитьМного(D55:E55,"")&amp;""" {"&amp;СцепитьМного(I55:L55,", ")&amp;", d 000, n "&amp;TEXT(G55,"000")&amp;"}"</f>
        <v>&lt;unit055&gt; "&gt;&gt;" {c 900, d 000, n 056}</v>
      </c>
    </row>
    <row r="56" spans="2:13" x14ac:dyDescent="0.25">
      <c r="B56">
        <f t="shared" si="5"/>
        <v>56</v>
      </c>
      <c r="C56" t="s">
        <v>83</v>
      </c>
      <c r="D56" t="str">
        <f t="shared" si="6"/>
        <v/>
      </c>
      <c r="G56" s="22">
        <f t="shared" si="7"/>
        <v>57</v>
      </c>
      <c r="I56" s="22" t="str">
        <f>IFERROR("p "&amp;VLOOKUP(H56,Tablo_Tab,2,FALSE),"")</f>
        <v/>
      </c>
      <c r="J56" s="22" t="str">
        <f>IFERROR("c "&amp;VLOOKUP(C56,Punkti,2,FALSE),"")</f>
        <v>c 902</v>
      </c>
      <c r="K56" s="26" t="str">
        <f>IFERROR(VLOOKUP(E56,Ostanovki,7,FALSE),"")</f>
        <v/>
      </c>
      <c r="L56" s="22" t="str">
        <f>IFERROR("c "&amp;VLOOKUP(F56,Punkti,2,FALSE),"")</f>
        <v/>
      </c>
      <c r="M56" s="15" t="str">
        <f>"&lt;unit"&amp;TEXT(B56,"000")&amp;"&gt; """&amp;СцепитьМного(D56:E56,"")&amp;""" {"&amp;СцепитьМного(I56:L56,", ")&amp;", d 000, n "&amp;TEXT(G56,"000")&amp;"}"</f>
        <v>&lt;unit056&gt; "" {c 902, d 000, n 057}</v>
      </c>
    </row>
    <row r="57" spans="2:13" x14ac:dyDescent="0.25">
      <c r="B57">
        <f t="shared" si="5"/>
        <v>57</v>
      </c>
      <c r="C57" t="s">
        <v>338</v>
      </c>
      <c r="D57" t="str">
        <f t="shared" si="6"/>
        <v>&gt;&gt;</v>
      </c>
      <c r="G57" s="22">
        <f t="shared" si="7"/>
        <v>58</v>
      </c>
      <c r="I57" s="22" t="str">
        <f>IFERROR("p "&amp;VLOOKUP(H57,Tablo_Tab,2,FALSE),"")</f>
        <v/>
      </c>
      <c r="J57" s="22" t="str">
        <f>IFERROR("c "&amp;VLOOKUP(C57,Punkti,2,FALSE),"")</f>
        <v>c 900</v>
      </c>
      <c r="K57" s="26" t="str">
        <f>IFERROR(VLOOKUP(E57,Ostanovki,7,FALSE),"")</f>
        <v/>
      </c>
      <c r="L57" s="22" t="str">
        <f>IFERROR("c "&amp;VLOOKUP(F57,Punkti,2,FALSE),"")</f>
        <v/>
      </c>
      <c r="M57" s="15" t="str">
        <f>"&lt;unit"&amp;TEXT(B57,"000")&amp;"&gt; """&amp;СцепитьМного(D57:E57,"")&amp;""" {"&amp;СцепитьМного(I57:L57,", ")&amp;", d 000, n "&amp;TEXT(G57,"000")&amp;"}"</f>
        <v>&lt;unit057&gt; "&gt;&gt;" {c 900, d 000, n 058}</v>
      </c>
    </row>
    <row r="58" spans="2:13" x14ac:dyDescent="0.25">
      <c r="B58">
        <f t="shared" si="5"/>
        <v>58</v>
      </c>
      <c r="C58" t="s">
        <v>83</v>
      </c>
      <c r="D58" t="str">
        <f t="shared" si="6"/>
        <v/>
      </c>
      <c r="G58" s="22">
        <f t="shared" si="7"/>
        <v>59</v>
      </c>
      <c r="I58" s="22" t="str">
        <f>IFERROR("p "&amp;VLOOKUP(H58,Tablo_Tab,2,FALSE),"")</f>
        <v/>
      </c>
      <c r="J58" s="22" t="str">
        <f>IFERROR("c "&amp;VLOOKUP(C58,Punkti,2,FALSE),"")</f>
        <v>c 902</v>
      </c>
      <c r="K58" s="26" t="str">
        <f>IFERROR(VLOOKUP(E58,Ostanovki,7,FALSE),"")</f>
        <v/>
      </c>
      <c r="L58" s="22" t="str">
        <f>IFERROR("c "&amp;VLOOKUP(F58,Punkti,2,FALSE),"")</f>
        <v/>
      </c>
      <c r="M58" s="15" t="str">
        <f>"&lt;unit"&amp;TEXT(B58,"000")&amp;"&gt; """&amp;СцепитьМного(D58:E58,"")&amp;""" {"&amp;СцепитьМного(I58:L58,", ")&amp;", d 000, n "&amp;TEXT(G58,"000")&amp;"}"</f>
        <v>&lt;unit058&gt; "" {c 902, d 000, n 059}</v>
      </c>
    </row>
    <row r="59" spans="2:13" x14ac:dyDescent="0.25">
      <c r="B59">
        <f t="shared" si="5"/>
        <v>59</v>
      </c>
      <c r="C59" t="s">
        <v>338</v>
      </c>
      <c r="D59" t="str">
        <f t="shared" si="6"/>
        <v>&gt;&gt;</v>
      </c>
      <c r="G59" s="22">
        <f t="shared" si="7"/>
        <v>60</v>
      </c>
      <c r="I59" s="22" t="str">
        <f>IFERROR("p "&amp;VLOOKUP(H59,Tablo_Tab,2,FALSE),"")</f>
        <v/>
      </c>
      <c r="J59" s="22" t="str">
        <f>IFERROR("c "&amp;VLOOKUP(C59,Punkti,2,FALSE),"")</f>
        <v>c 900</v>
      </c>
      <c r="K59" s="26" t="str">
        <f>IFERROR(VLOOKUP(E59,Ostanovki,7,FALSE),"")</f>
        <v/>
      </c>
      <c r="L59" s="22" t="str">
        <f>IFERROR("c "&amp;VLOOKUP(F59,Punkti,2,FALSE),"")</f>
        <v/>
      </c>
      <c r="M59" s="15" t="str">
        <f>"&lt;unit"&amp;TEXT(B59,"000")&amp;"&gt; """&amp;СцепитьМного(D59:E59,"")&amp;""" {"&amp;СцепитьМного(I59:L59,", ")&amp;", d 000, n "&amp;TEXT(G59,"000")&amp;"}"</f>
        <v>&lt;unit059&gt; "&gt;&gt;" {c 900, d 000, n 060}</v>
      </c>
    </row>
    <row r="60" spans="2:13" x14ac:dyDescent="0.25">
      <c r="B60">
        <f t="shared" si="5"/>
        <v>60</v>
      </c>
      <c r="C60" t="s">
        <v>83</v>
      </c>
      <c r="D60" t="str">
        <f t="shared" si="6"/>
        <v/>
      </c>
      <c r="G60" s="22">
        <f t="shared" si="7"/>
        <v>61</v>
      </c>
      <c r="I60" s="22" t="str">
        <f>IFERROR("p "&amp;VLOOKUP(H60,Tablo_Tab,2,FALSE),"")</f>
        <v/>
      </c>
      <c r="J60" s="22" t="str">
        <f>IFERROR("c "&amp;VLOOKUP(C60,Punkti,2,FALSE),"")</f>
        <v>c 902</v>
      </c>
      <c r="K60" s="26" t="str">
        <f>IFERROR(VLOOKUP(E60,Ostanovki,7,FALSE),"")</f>
        <v/>
      </c>
      <c r="L60" s="22" t="str">
        <f>IFERROR("c "&amp;VLOOKUP(F60,Punkti,2,FALSE),"")</f>
        <v/>
      </c>
      <c r="M60" s="15" t="str">
        <f>"&lt;unit"&amp;TEXT(B60,"000")&amp;"&gt; """&amp;СцепитьМного(D60:E60,"")&amp;""" {"&amp;СцепитьМного(I60:L60,", ")&amp;", d 000, n "&amp;TEXT(G60,"000")&amp;"}"</f>
        <v>&lt;unit060&gt; "" {c 902, d 000, n 061}</v>
      </c>
    </row>
    <row r="61" spans="2:13" x14ac:dyDescent="0.25">
      <c r="B61">
        <f t="shared" si="5"/>
        <v>61</v>
      </c>
      <c r="C61" t="s">
        <v>338</v>
      </c>
      <c r="D61" t="str">
        <f t="shared" si="6"/>
        <v>&gt;&gt;</v>
      </c>
      <c r="G61" s="22">
        <f t="shared" si="7"/>
        <v>62</v>
      </c>
      <c r="I61" s="22" t="str">
        <f>IFERROR("p "&amp;VLOOKUP(H61,Tablo_Tab,2,FALSE),"")</f>
        <v/>
      </c>
      <c r="J61" s="22" t="str">
        <f>IFERROR("c "&amp;VLOOKUP(C61,Punkti,2,FALSE),"")</f>
        <v>c 900</v>
      </c>
      <c r="K61" s="26" t="str">
        <f>IFERROR(VLOOKUP(E61,Ostanovki,7,FALSE),"")</f>
        <v/>
      </c>
      <c r="L61" s="22" t="str">
        <f>IFERROR("c "&amp;VLOOKUP(F61,Punkti,2,FALSE),"")</f>
        <v/>
      </c>
      <c r="M61" s="15" t="str">
        <f>"&lt;unit"&amp;TEXT(B61,"000")&amp;"&gt; """&amp;СцепитьМного(D61:E61,"")&amp;""" {"&amp;СцепитьМного(I61:L61,", ")&amp;", d 000, n "&amp;TEXT(G61,"000")&amp;"}"</f>
        <v>&lt;unit061&gt; "&gt;&gt;" {c 900, d 000, n 062}</v>
      </c>
    </row>
    <row r="62" spans="2:13" x14ac:dyDescent="0.25">
      <c r="B62">
        <f t="shared" si="5"/>
        <v>62</v>
      </c>
      <c r="C62" t="s">
        <v>83</v>
      </c>
      <c r="D62" t="str">
        <f t="shared" si="6"/>
        <v/>
      </c>
      <c r="G62" s="22">
        <f t="shared" si="7"/>
        <v>63</v>
      </c>
      <c r="I62" s="22" t="str">
        <f>IFERROR("p "&amp;VLOOKUP(H62,Tablo_Tab,2,FALSE),"")</f>
        <v/>
      </c>
      <c r="J62" s="22" t="str">
        <f>IFERROR("c "&amp;VLOOKUP(C62,Punkti,2,FALSE),"")</f>
        <v>c 902</v>
      </c>
      <c r="K62" s="26" t="str">
        <f>IFERROR(VLOOKUP(E62,Ostanovki,7,FALSE),"")</f>
        <v/>
      </c>
      <c r="L62" s="22" t="str">
        <f>IFERROR("c "&amp;VLOOKUP(F62,Punkti,2,FALSE),"")</f>
        <v/>
      </c>
      <c r="M62" s="15" t="str">
        <f>"&lt;unit"&amp;TEXT(B62,"000")&amp;"&gt; """&amp;СцепитьМного(D62:E62,"")&amp;""" {"&amp;СцепитьМного(I62:L62,", ")&amp;", d 000, n "&amp;TEXT(G62,"000")&amp;"}"</f>
        <v>&lt;unit062&gt; "" {c 902, d 000, n 063}</v>
      </c>
    </row>
    <row r="63" spans="2:13" x14ac:dyDescent="0.25">
      <c r="B63">
        <f t="shared" si="5"/>
        <v>63</v>
      </c>
      <c r="C63" t="s">
        <v>338</v>
      </c>
      <c r="D63" t="str">
        <f t="shared" si="6"/>
        <v>&gt;&gt;</v>
      </c>
      <c r="G63" s="22">
        <f t="shared" si="7"/>
        <v>64</v>
      </c>
      <c r="I63" s="22" t="str">
        <f>IFERROR("p "&amp;VLOOKUP(H63,Tablo_Tab,2,FALSE),"")</f>
        <v/>
      </c>
      <c r="J63" s="22" t="str">
        <f>IFERROR("c "&amp;VLOOKUP(C63,Punkti,2,FALSE),"")</f>
        <v>c 900</v>
      </c>
      <c r="K63" s="26" t="str">
        <f>IFERROR(VLOOKUP(E63,Ostanovki,7,FALSE),"")</f>
        <v/>
      </c>
      <c r="L63" s="22" t="str">
        <f>IFERROR("c "&amp;VLOOKUP(F63,Punkti,2,FALSE),"")</f>
        <v/>
      </c>
      <c r="M63" s="15" t="str">
        <f>"&lt;unit"&amp;TEXT(B63,"000")&amp;"&gt; """&amp;СцепитьМного(D63:E63,"")&amp;""" {"&amp;СцепитьМного(I63:L63,", ")&amp;", d 000, n "&amp;TEXT(G63,"000")&amp;"}"</f>
        <v>&lt;unit063&gt; "&gt;&gt;" {c 900, d 000, n 064}</v>
      </c>
    </row>
    <row r="64" spans="2:13" x14ac:dyDescent="0.25">
      <c r="B64">
        <f t="shared" si="5"/>
        <v>64</v>
      </c>
      <c r="C64" t="s">
        <v>83</v>
      </c>
      <c r="D64" t="str">
        <f t="shared" si="6"/>
        <v/>
      </c>
      <c r="G64" s="22">
        <f t="shared" si="7"/>
        <v>65</v>
      </c>
      <c r="I64" s="22" t="str">
        <f>IFERROR("p "&amp;VLOOKUP(H64,Tablo_Tab,2,FALSE),"")</f>
        <v/>
      </c>
      <c r="J64" s="22" t="str">
        <f>IFERROR("c "&amp;VLOOKUP(C64,Punkti,2,FALSE),"")</f>
        <v>c 902</v>
      </c>
      <c r="K64" s="26" t="str">
        <f>IFERROR(VLOOKUP(E64,Ostanovki,7,FALSE),"")</f>
        <v/>
      </c>
      <c r="L64" s="22" t="str">
        <f>IFERROR("c "&amp;VLOOKUP(F64,Punkti,2,FALSE),"")</f>
        <v/>
      </c>
      <c r="M64" s="15" t="str">
        <f>"&lt;unit"&amp;TEXT(B64,"000")&amp;"&gt; """&amp;СцепитьМного(D64:E64,"")&amp;""" {"&amp;СцепитьМного(I64:L64,", ")&amp;", d 000, n "&amp;TEXT(G64,"000")&amp;"}"</f>
        <v>&lt;unit064&gt; "" {c 902, d 000, n 065}</v>
      </c>
    </row>
    <row r="65" spans="2:13" x14ac:dyDescent="0.25">
      <c r="B65">
        <f t="shared" si="5"/>
        <v>65</v>
      </c>
      <c r="C65" t="s">
        <v>338</v>
      </c>
      <c r="D65" t="str">
        <f t="shared" si="6"/>
        <v>&gt;&gt;</v>
      </c>
      <c r="G65" s="22">
        <f t="shared" si="7"/>
        <v>66</v>
      </c>
      <c r="I65" s="22" t="str">
        <f>IFERROR("p "&amp;VLOOKUP(H65,Tablo_Tab,2,FALSE),"")</f>
        <v/>
      </c>
      <c r="J65" s="22" t="str">
        <f>IFERROR("c "&amp;VLOOKUP(C65,Punkti,2,FALSE),"")</f>
        <v>c 900</v>
      </c>
      <c r="K65" s="26" t="str">
        <f>IFERROR(VLOOKUP(E65,Ostanovki,7,FALSE),"")</f>
        <v/>
      </c>
      <c r="L65" s="22" t="str">
        <f>IFERROR("c "&amp;VLOOKUP(F65,Punkti,2,FALSE),"")</f>
        <v/>
      </c>
      <c r="M65" s="15" t="str">
        <f>"&lt;unit"&amp;TEXT(B65,"000")&amp;"&gt; """&amp;СцепитьМного(D65:E65,"")&amp;""" {"&amp;СцепитьМного(I65:L65,", ")&amp;", d 000, n "&amp;TEXT(G65,"000")&amp;"}"</f>
        <v>&lt;unit065&gt; "&gt;&gt;" {c 900, d 000, n 066}</v>
      </c>
    </row>
    <row r="66" spans="2:13" x14ac:dyDescent="0.25">
      <c r="B66">
        <f t="shared" si="5"/>
        <v>66</v>
      </c>
      <c r="C66" t="s">
        <v>83</v>
      </c>
      <c r="D66" t="str">
        <f t="shared" si="6"/>
        <v/>
      </c>
      <c r="G66" s="22">
        <f t="shared" si="7"/>
        <v>67</v>
      </c>
      <c r="I66" s="22" t="str">
        <f>IFERROR("p "&amp;VLOOKUP(H66,Tablo_Tab,2,FALSE),"")</f>
        <v/>
      </c>
      <c r="J66" s="22" t="str">
        <f>IFERROR("c "&amp;VLOOKUP(C66,Punkti,2,FALSE),"")</f>
        <v>c 902</v>
      </c>
      <c r="K66" s="26" t="str">
        <f>IFERROR(VLOOKUP(E66,Ostanovki,7,FALSE),"")</f>
        <v/>
      </c>
      <c r="L66" s="22" t="str">
        <f>IFERROR("c "&amp;VLOOKUP(F66,Punkti,2,FALSE),"")</f>
        <v/>
      </c>
      <c r="M66" s="15" t="str">
        <f>"&lt;unit"&amp;TEXT(B66,"000")&amp;"&gt; """&amp;СцепитьМного(D66:E66,"")&amp;""" {"&amp;СцепитьМного(I66:L66,", ")&amp;", d 000, n "&amp;TEXT(G66,"000")&amp;"}"</f>
        <v>&lt;unit066&gt; "" {c 902, d 000, n 067}</v>
      </c>
    </row>
    <row r="67" spans="2:13" x14ac:dyDescent="0.25">
      <c r="B67">
        <f t="shared" si="5"/>
        <v>67</v>
      </c>
      <c r="C67" t="s">
        <v>338</v>
      </c>
      <c r="D67" t="str">
        <f t="shared" si="6"/>
        <v>&gt;&gt;</v>
      </c>
      <c r="G67" s="22">
        <f t="shared" si="7"/>
        <v>68</v>
      </c>
      <c r="I67" s="22" t="str">
        <f>IFERROR("p "&amp;VLOOKUP(H67,Tablo_Tab,2,FALSE),"")</f>
        <v/>
      </c>
      <c r="J67" s="22" t="str">
        <f>IFERROR("c "&amp;VLOOKUP(C67,Punkti,2,FALSE),"")</f>
        <v>c 900</v>
      </c>
      <c r="K67" s="26" t="str">
        <f>IFERROR(VLOOKUP(E67,Ostanovki,7,FALSE),"")</f>
        <v/>
      </c>
      <c r="L67" s="22" t="str">
        <f>IFERROR("c "&amp;VLOOKUP(F67,Punkti,2,FALSE),"")</f>
        <v/>
      </c>
      <c r="M67" s="15" t="str">
        <f>"&lt;unit"&amp;TEXT(B67,"000")&amp;"&gt; """&amp;СцепитьМного(D67:E67,"")&amp;""" {"&amp;СцепитьМного(I67:L67,", ")&amp;", d 000, n "&amp;TEXT(G67,"000")&amp;"}"</f>
        <v>&lt;unit067&gt; "&gt;&gt;" {c 900, d 000, n 068}</v>
      </c>
    </row>
    <row r="68" spans="2:13" x14ac:dyDescent="0.25">
      <c r="B68">
        <f t="shared" si="5"/>
        <v>68</v>
      </c>
      <c r="C68" t="s">
        <v>83</v>
      </c>
      <c r="D68" t="str">
        <f t="shared" si="6"/>
        <v/>
      </c>
      <c r="G68" s="22">
        <f t="shared" si="7"/>
        <v>69</v>
      </c>
      <c r="I68" s="22" t="str">
        <f>IFERROR("p "&amp;VLOOKUP(H68,Tablo_Tab,2,FALSE),"")</f>
        <v/>
      </c>
      <c r="J68" s="22" t="str">
        <f>IFERROR("c "&amp;VLOOKUP(C68,Punkti,2,FALSE),"")</f>
        <v>c 902</v>
      </c>
      <c r="K68" s="26" t="str">
        <f>IFERROR(VLOOKUP(E68,Ostanovki,7,FALSE),"")</f>
        <v/>
      </c>
      <c r="L68" s="22" t="str">
        <f>IFERROR("c "&amp;VLOOKUP(F68,Punkti,2,FALSE),"")</f>
        <v/>
      </c>
      <c r="M68" s="15" t="str">
        <f>"&lt;unit"&amp;TEXT(B68,"000")&amp;"&gt; """&amp;СцепитьМного(D68:E68,"")&amp;""" {"&amp;СцепитьМного(I68:L68,", ")&amp;", d 000, n "&amp;TEXT(G68,"000")&amp;"}"</f>
        <v>&lt;unit068&gt; "" {c 902, d 000, n 069}</v>
      </c>
    </row>
    <row r="69" spans="2:13" x14ac:dyDescent="0.25">
      <c r="B69">
        <f t="shared" si="5"/>
        <v>69</v>
      </c>
      <c r="C69" t="s">
        <v>338</v>
      </c>
      <c r="D69" t="str">
        <f t="shared" si="6"/>
        <v>&gt;&gt;</v>
      </c>
      <c r="G69" s="22">
        <f t="shared" si="7"/>
        <v>70</v>
      </c>
      <c r="I69" s="22" t="str">
        <f>IFERROR("p "&amp;VLOOKUP(H69,Tablo_Tab,2,FALSE),"")</f>
        <v/>
      </c>
      <c r="J69" s="22" t="str">
        <f>IFERROR("c "&amp;VLOOKUP(C69,Punkti,2,FALSE),"")</f>
        <v>c 900</v>
      </c>
      <c r="K69" s="26" t="str">
        <f>IFERROR(VLOOKUP(E69,Ostanovki,7,FALSE),"")</f>
        <v/>
      </c>
      <c r="L69" s="22" t="str">
        <f>IFERROR("c "&amp;VLOOKUP(F69,Punkti,2,FALSE),"")</f>
        <v/>
      </c>
      <c r="M69" s="15" t="str">
        <f>"&lt;unit"&amp;TEXT(B69,"000")&amp;"&gt; """&amp;СцепитьМного(D69:E69,"")&amp;""" {"&amp;СцепитьМного(I69:L69,", ")&amp;", d 000, n "&amp;TEXT(G69,"000")&amp;"}"</f>
        <v>&lt;unit069&gt; "&gt;&gt;" {c 900, d 000, n 070}</v>
      </c>
    </row>
    <row r="70" spans="2:13" x14ac:dyDescent="0.25">
      <c r="B70">
        <f t="shared" si="5"/>
        <v>70</v>
      </c>
      <c r="C70" t="s">
        <v>83</v>
      </c>
      <c r="D70" t="str">
        <f t="shared" si="6"/>
        <v/>
      </c>
      <c r="G70" s="22">
        <f t="shared" si="7"/>
        <v>71</v>
      </c>
      <c r="I70" s="22" t="str">
        <f>IFERROR("p "&amp;VLOOKUP(H70,Tablo_Tab,2,FALSE),"")</f>
        <v/>
      </c>
      <c r="J70" s="22" t="str">
        <f>IFERROR("c "&amp;VLOOKUP(C70,Punkti,2,FALSE),"")</f>
        <v>c 902</v>
      </c>
      <c r="K70" s="26" t="str">
        <f>IFERROR(VLOOKUP(E70,Ostanovki,7,FALSE),"")</f>
        <v/>
      </c>
      <c r="L70" s="22" t="str">
        <f>IFERROR("c "&amp;VLOOKUP(F70,Punkti,2,FALSE),"")</f>
        <v/>
      </c>
      <c r="M70" s="15" t="str">
        <f>"&lt;unit"&amp;TEXT(B70,"000")&amp;"&gt; """&amp;СцепитьМного(D70:E70,"")&amp;""" {"&amp;СцепитьМного(I70:L70,", ")&amp;", d 000, n "&amp;TEXT(G70,"000")&amp;"}"</f>
        <v>&lt;unit070&gt; "" {c 902, d 000, n 071}</v>
      </c>
    </row>
    <row r="71" spans="2:13" x14ac:dyDescent="0.25">
      <c r="B71">
        <f t="shared" si="5"/>
        <v>71</v>
      </c>
      <c r="C71" t="s">
        <v>338</v>
      </c>
      <c r="D71" t="str">
        <f t="shared" si="6"/>
        <v>&gt;&gt;</v>
      </c>
      <c r="G71" s="22">
        <f t="shared" si="7"/>
        <v>72</v>
      </c>
      <c r="I71" s="22" t="str">
        <f>IFERROR("p "&amp;VLOOKUP(H71,Tablo_Tab,2,FALSE),"")</f>
        <v/>
      </c>
      <c r="J71" s="22" t="str">
        <f>IFERROR("c "&amp;VLOOKUP(C71,Punkti,2,FALSE),"")</f>
        <v>c 900</v>
      </c>
      <c r="K71" s="26" t="str">
        <f>IFERROR(VLOOKUP(E71,Ostanovki,7,FALSE),"")</f>
        <v/>
      </c>
      <c r="L71" s="22" t="str">
        <f>IFERROR("c "&amp;VLOOKUP(F71,Punkti,2,FALSE),"")</f>
        <v/>
      </c>
      <c r="M71" s="15" t="str">
        <f>"&lt;unit"&amp;TEXT(B71,"000")&amp;"&gt; """&amp;СцепитьМного(D71:E71,"")&amp;""" {"&amp;СцепитьМного(I71:L71,", ")&amp;", d 000, n "&amp;TEXT(G71,"000")&amp;"}"</f>
        <v>&lt;unit071&gt; "&gt;&gt;" {c 900, d 000, n 072}</v>
      </c>
    </row>
    <row r="72" spans="2:13" x14ac:dyDescent="0.25">
      <c r="B72">
        <f t="shared" si="5"/>
        <v>72</v>
      </c>
      <c r="C72" t="s">
        <v>83</v>
      </c>
      <c r="D72" t="str">
        <f t="shared" si="6"/>
        <v/>
      </c>
      <c r="G72" s="22">
        <f t="shared" si="7"/>
        <v>73</v>
      </c>
      <c r="I72" s="22" t="str">
        <f>IFERROR("p "&amp;VLOOKUP(H72,Tablo_Tab,2,FALSE),"")</f>
        <v/>
      </c>
      <c r="J72" s="22" t="str">
        <f>IFERROR("c "&amp;VLOOKUP(C72,Punkti,2,FALSE),"")</f>
        <v>c 902</v>
      </c>
      <c r="K72" s="26" t="str">
        <f>IFERROR(VLOOKUP(E72,Ostanovki,7,FALSE),"")</f>
        <v/>
      </c>
      <c r="L72" s="22" t="str">
        <f>IFERROR("c "&amp;VLOOKUP(F72,Punkti,2,FALSE),"")</f>
        <v/>
      </c>
      <c r="M72" s="15" t="str">
        <f>"&lt;unit"&amp;TEXT(B72,"000")&amp;"&gt; """&amp;СцепитьМного(D72:E72,"")&amp;""" {"&amp;СцепитьМного(I72:L72,", ")&amp;", d 000, n "&amp;TEXT(G72,"000")&amp;"}"</f>
        <v>&lt;unit072&gt; "" {c 902, d 000, n 073}</v>
      </c>
    </row>
    <row r="73" spans="2:13" x14ac:dyDescent="0.25">
      <c r="B73">
        <f t="shared" si="5"/>
        <v>73</v>
      </c>
      <c r="C73" t="s">
        <v>338</v>
      </c>
      <c r="D73" t="str">
        <f t="shared" si="6"/>
        <v>&gt;&gt;</v>
      </c>
      <c r="G73" s="22">
        <f t="shared" si="7"/>
        <v>74</v>
      </c>
      <c r="I73" s="22" t="str">
        <f>IFERROR("p "&amp;VLOOKUP(H73,Tablo_Tab,2,FALSE),"")</f>
        <v/>
      </c>
      <c r="J73" s="22" t="str">
        <f>IFERROR("c "&amp;VLOOKUP(C73,Punkti,2,FALSE),"")</f>
        <v>c 900</v>
      </c>
      <c r="K73" s="26" t="str">
        <f>IFERROR(VLOOKUP(E73,Ostanovki,7,FALSE),"")</f>
        <v/>
      </c>
      <c r="L73" s="22" t="str">
        <f>IFERROR("c "&amp;VLOOKUP(F73,Punkti,2,FALSE),"")</f>
        <v/>
      </c>
      <c r="M73" s="15" t="str">
        <f>"&lt;unit"&amp;TEXT(B73,"000")&amp;"&gt; """&amp;СцепитьМного(D73:E73,"")&amp;""" {"&amp;СцепитьМного(I73:L73,", ")&amp;", d 000, n "&amp;TEXT(G73,"000")&amp;"}"</f>
        <v>&lt;unit073&gt; "&gt;&gt;" {c 900, d 000, n 074}</v>
      </c>
    </row>
    <row r="74" spans="2:13" x14ac:dyDescent="0.25">
      <c r="B74">
        <f t="shared" si="5"/>
        <v>74</v>
      </c>
      <c r="C74" t="s">
        <v>83</v>
      </c>
      <c r="D74" t="str">
        <f t="shared" si="6"/>
        <v/>
      </c>
      <c r="G74" s="22">
        <f t="shared" si="7"/>
        <v>75</v>
      </c>
      <c r="I74" s="22" t="str">
        <f>IFERROR("p "&amp;VLOOKUP(H74,Tablo_Tab,2,FALSE),"")</f>
        <v/>
      </c>
      <c r="J74" s="22" t="str">
        <f>IFERROR("c "&amp;VLOOKUP(C74,Punkti,2,FALSE),"")</f>
        <v>c 902</v>
      </c>
      <c r="K74" s="26" t="str">
        <f>IFERROR(VLOOKUP(E74,Ostanovki,7,FALSE),"")</f>
        <v/>
      </c>
      <c r="L74" s="22" t="str">
        <f>IFERROR("c "&amp;VLOOKUP(F74,Punkti,2,FALSE),"")</f>
        <v/>
      </c>
      <c r="M74" s="15" t="str">
        <f>"&lt;unit"&amp;TEXT(B74,"000")&amp;"&gt; """&amp;СцепитьМного(D74:E74,"")&amp;""" {"&amp;СцепитьМного(I74:L74,", ")&amp;", d 000, n "&amp;TEXT(G74,"000")&amp;"}"</f>
        <v>&lt;unit074&gt; "" {c 902, d 000, n 075}</v>
      </c>
    </row>
    <row r="75" spans="2:13" x14ac:dyDescent="0.25">
      <c r="B75">
        <f t="shared" si="5"/>
        <v>75</v>
      </c>
      <c r="C75" t="s">
        <v>338</v>
      </c>
      <c r="D75" t="str">
        <f t="shared" si="6"/>
        <v>&gt;&gt;</v>
      </c>
      <c r="G75" s="22">
        <f t="shared" si="7"/>
        <v>76</v>
      </c>
      <c r="I75" s="22" t="str">
        <f>IFERROR("p "&amp;VLOOKUP(H75,Tablo_Tab,2,FALSE),"")</f>
        <v/>
      </c>
      <c r="J75" s="22" t="str">
        <f>IFERROR("c "&amp;VLOOKUP(C75,Punkti,2,FALSE),"")</f>
        <v>c 900</v>
      </c>
      <c r="K75" s="26" t="str">
        <f>IFERROR(VLOOKUP(E75,Ostanovki,7,FALSE),"")</f>
        <v/>
      </c>
      <c r="L75" s="22" t="str">
        <f>IFERROR("c "&amp;VLOOKUP(F75,Punkti,2,FALSE),"")</f>
        <v/>
      </c>
      <c r="M75" s="15" t="str">
        <f>"&lt;unit"&amp;TEXT(B75,"000")&amp;"&gt; """&amp;СцепитьМного(D75:E75,"")&amp;""" {"&amp;СцепитьМного(I75:L75,", ")&amp;", d 000, n "&amp;TEXT(G75,"000")&amp;"}"</f>
        <v>&lt;unit075&gt; "&gt;&gt;" {c 900, d 000, n 076}</v>
      </c>
    </row>
    <row r="76" spans="2:13" x14ac:dyDescent="0.25">
      <c r="B76">
        <f t="shared" si="5"/>
        <v>76</v>
      </c>
      <c r="C76" t="s">
        <v>83</v>
      </c>
      <c r="D76" t="str">
        <f t="shared" si="6"/>
        <v/>
      </c>
      <c r="G76" s="22">
        <f t="shared" si="7"/>
        <v>77</v>
      </c>
      <c r="I76" s="22" t="str">
        <f>IFERROR("p "&amp;VLOOKUP(H76,Tablo_Tab,2,FALSE),"")</f>
        <v/>
      </c>
      <c r="J76" s="22" t="str">
        <f>IFERROR("c "&amp;VLOOKUP(C76,Punkti,2,FALSE),"")</f>
        <v>c 902</v>
      </c>
      <c r="K76" s="26" t="str">
        <f>IFERROR(VLOOKUP(E76,Ostanovki,7,FALSE),"")</f>
        <v/>
      </c>
      <c r="L76" s="22" t="str">
        <f>IFERROR("c "&amp;VLOOKUP(F76,Punkti,2,FALSE),"")</f>
        <v/>
      </c>
      <c r="M76" s="15" t="str">
        <f>"&lt;unit"&amp;TEXT(B76,"000")&amp;"&gt; """&amp;СцепитьМного(D76:E76,"")&amp;""" {"&amp;СцепитьМного(I76:L76,", ")&amp;", d 000, n "&amp;TEXT(G76,"000")&amp;"}"</f>
        <v>&lt;unit076&gt; "" {c 902, d 000, n 077}</v>
      </c>
    </row>
    <row r="77" spans="2:13" x14ac:dyDescent="0.25">
      <c r="B77">
        <f t="shared" si="5"/>
        <v>77</v>
      </c>
      <c r="C77" t="s">
        <v>338</v>
      </c>
      <c r="D77" t="str">
        <f t="shared" si="6"/>
        <v>&gt;&gt;</v>
      </c>
      <c r="G77" s="22">
        <f t="shared" si="7"/>
        <v>78</v>
      </c>
      <c r="I77" s="22" t="str">
        <f>IFERROR("p "&amp;VLOOKUP(H77,Tablo_Tab,2,FALSE),"")</f>
        <v/>
      </c>
      <c r="J77" s="22" t="str">
        <f>IFERROR("c "&amp;VLOOKUP(C77,Punkti,2,FALSE),"")</f>
        <v>c 900</v>
      </c>
      <c r="K77" s="26" t="str">
        <f>IFERROR(VLOOKUP(E77,Ostanovki,7,FALSE),"")</f>
        <v/>
      </c>
      <c r="L77" s="22" t="str">
        <f>IFERROR("c "&amp;VLOOKUP(F77,Punkti,2,FALSE),"")</f>
        <v/>
      </c>
      <c r="M77" s="15" t="str">
        <f>"&lt;unit"&amp;TEXT(B77,"000")&amp;"&gt; """&amp;СцепитьМного(D77:E77,"")&amp;""" {"&amp;СцепитьМного(I77:L77,", ")&amp;", d 000, n "&amp;TEXT(G77,"000")&amp;"}"</f>
        <v>&lt;unit077&gt; "&gt;&gt;" {c 900, d 000, n 078}</v>
      </c>
    </row>
    <row r="78" spans="2:13" x14ac:dyDescent="0.25">
      <c r="B78">
        <f t="shared" si="5"/>
        <v>78</v>
      </c>
      <c r="C78" t="s">
        <v>83</v>
      </c>
      <c r="D78" t="str">
        <f t="shared" si="6"/>
        <v/>
      </c>
      <c r="G78" s="22">
        <f t="shared" si="7"/>
        <v>79</v>
      </c>
      <c r="I78" s="22" t="str">
        <f>IFERROR("p "&amp;VLOOKUP(H78,Tablo_Tab,2,FALSE),"")</f>
        <v/>
      </c>
      <c r="J78" s="22" t="str">
        <f>IFERROR("c "&amp;VLOOKUP(C78,Punkti,2,FALSE),"")</f>
        <v>c 902</v>
      </c>
      <c r="K78" s="26" t="str">
        <f>IFERROR(VLOOKUP(E78,Ostanovki,7,FALSE),"")</f>
        <v/>
      </c>
      <c r="L78" s="22" t="str">
        <f>IFERROR("c "&amp;VLOOKUP(F78,Punkti,2,FALSE),"")</f>
        <v/>
      </c>
      <c r="M78" s="15" t="str">
        <f>"&lt;unit"&amp;TEXT(B78,"000")&amp;"&gt; """&amp;СцепитьМного(D78:E78,"")&amp;""" {"&amp;СцепитьМного(I78:L78,", ")&amp;", d 000, n "&amp;TEXT(G78,"000")&amp;"}"</f>
        <v>&lt;unit078&gt; "" {c 902, d 000, n 079}</v>
      </c>
    </row>
    <row r="79" spans="2:13" x14ac:dyDescent="0.25">
      <c r="B79">
        <f t="shared" si="5"/>
        <v>79</v>
      </c>
      <c r="C79" t="s">
        <v>338</v>
      </c>
      <c r="D79" t="str">
        <f t="shared" si="6"/>
        <v>&gt;&gt;</v>
      </c>
      <c r="G79" s="22">
        <f t="shared" si="7"/>
        <v>80</v>
      </c>
      <c r="I79" s="22" t="str">
        <f>IFERROR("p "&amp;VLOOKUP(H79,Tablo_Tab,2,FALSE),"")</f>
        <v/>
      </c>
      <c r="J79" s="22" t="str">
        <f>IFERROR("c "&amp;VLOOKUP(C79,Punkti,2,FALSE),"")</f>
        <v>c 900</v>
      </c>
      <c r="K79" s="26" t="str">
        <f>IFERROR(VLOOKUP(E79,Ostanovki,7,FALSE),"")</f>
        <v/>
      </c>
      <c r="L79" s="22" t="str">
        <f>IFERROR("c "&amp;VLOOKUP(F79,Punkti,2,FALSE),"")</f>
        <v/>
      </c>
      <c r="M79" s="15" t="str">
        <f>"&lt;unit"&amp;TEXT(B79,"000")&amp;"&gt; """&amp;СцепитьМного(D79:E79,"")&amp;""" {"&amp;СцепитьМного(I79:L79,", ")&amp;", d 000, n "&amp;TEXT(G79,"000")&amp;"}"</f>
        <v>&lt;unit079&gt; "&gt;&gt;" {c 900, d 000, n 080}</v>
      </c>
    </row>
    <row r="80" spans="2:13" x14ac:dyDescent="0.25">
      <c r="B80">
        <f t="shared" si="5"/>
        <v>80</v>
      </c>
      <c r="C80" t="s">
        <v>83</v>
      </c>
      <c r="D80" t="str">
        <f t="shared" si="6"/>
        <v/>
      </c>
      <c r="G80" s="22">
        <f t="shared" si="7"/>
        <v>81</v>
      </c>
      <c r="I80" s="22" t="str">
        <f>IFERROR("p "&amp;VLOOKUP(H80,Tablo_Tab,2,FALSE),"")</f>
        <v/>
      </c>
      <c r="J80" s="22" t="str">
        <f>IFERROR("c "&amp;VLOOKUP(C80,Punkti,2,FALSE),"")</f>
        <v>c 902</v>
      </c>
      <c r="K80" s="26" t="str">
        <f>IFERROR(VLOOKUP(E80,Ostanovki,7,FALSE),"")</f>
        <v/>
      </c>
      <c r="L80" s="22" t="str">
        <f>IFERROR("c "&amp;VLOOKUP(F80,Punkti,2,FALSE),"")</f>
        <v/>
      </c>
      <c r="M80" s="15" t="str">
        <f>"&lt;unit"&amp;TEXT(B80,"000")&amp;"&gt; """&amp;СцепитьМного(D80:E80,"")&amp;""" {"&amp;СцепитьМного(I80:L80,", ")&amp;", d 000, n "&amp;TEXT(G80,"000")&amp;"}"</f>
        <v>&lt;unit080&gt; "" {c 902, d 000, n 081}</v>
      </c>
    </row>
    <row r="81" spans="2:13" x14ac:dyDescent="0.25">
      <c r="B81">
        <f t="shared" si="5"/>
        <v>81</v>
      </c>
      <c r="C81" t="s">
        <v>338</v>
      </c>
      <c r="D81" t="str">
        <f t="shared" si="6"/>
        <v>&gt;&gt;</v>
      </c>
      <c r="G81" s="22">
        <f t="shared" si="7"/>
        <v>82</v>
      </c>
      <c r="I81" s="22" t="str">
        <f>IFERROR("p "&amp;VLOOKUP(H81,Tablo_Tab,2,FALSE),"")</f>
        <v/>
      </c>
      <c r="J81" s="22" t="str">
        <f>IFERROR("c "&amp;VLOOKUP(C81,Punkti,2,FALSE),"")</f>
        <v>c 900</v>
      </c>
      <c r="K81" s="26" t="str">
        <f>IFERROR(VLOOKUP(E81,Ostanovki,7,FALSE),"")</f>
        <v/>
      </c>
      <c r="L81" s="22" t="str">
        <f>IFERROR("c "&amp;VLOOKUP(F81,Punkti,2,FALSE),"")</f>
        <v/>
      </c>
      <c r="M81" s="15" t="str">
        <f>"&lt;unit"&amp;TEXT(B81,"000")&amp;"&gt; """&amp;СцепитьМного(D81:E81,"")&amp;""" {"&amp;СцепитьМного(I81:L81,", ")&amp;", d 000, n "&amp;TEXT(G81,"000")&amp;"}"</f>
        <v>&lt;unit081&gt; "&gt;&gt;" {c 900, d 000, n 082}</v>
      </c>
    </row>
    <row r="82" spans="2:13" x14ac:dyDescent="0.25">
      <c r="B82">
        <f t="shared" si="5"/>
        <v>82</v>
      </c>
      <c r="C82" t="s">
        <v>83</v>
      </c>
      <c r="D82" t="str">
        <f t="shared" si="6"/>
        <v/>
      </c>
      <c r="G82" s="22">
        <f t="shared" si="7"/>
        <v>83</v>
      </c>
      <c r="I82" s="22" t="str">
        <f>IFERROR("p "&amp;VLOOKUP(H82,Tablo_Tab,2,FALSE),"")</f>
        <v/>
      </c>
      <c r="J82" s="22" t="str">
        <f>IFERROR("c "&amp;VLOOKUP(C82,Punkti,2,FALSE),"")</f>
        <v>c 902</v>
      </c>
      <c r="K82" s="26" t="str">
        <f>IFERROR(VLOOKUP(E82,Ostanovki,7,FALSE),"")</f>
        <v/>
      </c>
      <c r="L82" s="22" t="str">
        <f>IFERROR("c "&amp;VLOOKUP(F82,Punkti,2,FALSE),"")</f>
        <v/>
      </c>
      <c r="M82" s="15" t="str">
        <f>"&lt;unit"&amp;TEXT(B82,"000")&amp;"&gt; """&amp;СцепитьМного(D82:E82,"")&amp;""" {"&amp;СцепитьМного(I82:L82,", ")&amp;", d 000, n "&amp;TEXT(G82,"000")&amp;"}"</f>
        <v>&lt;unit082&gt; "" {c 902, d 000, n 083}</v>
      </c>
    </row>
    <row r="83" spans="2:13" x14ac:dyDescent="0.25">
      <c r="B83">
        <f t="shared" si="5"/>
        <v>83</v>
      </c>
      <c r="C83" t="s">
        <v>338</v>
      </c>
      <c r="D83" t="str">
        <f t="shared" si="6"/>
        <v>&gt;&gt;</v>
      </c>
      <c r="G83" s="22">
        <f t="shared" si="7"/>
        <v>84</v>
      </c>
      <c r="I83" s="22" t="str">
        <f>IFERROR("p "&amp;VLOOKUP(H83,Tablo_Tab,2,FALSE),"")</f>
        <v/>
      </c>
      <c r="J83" s="22" t="str">
        <f>IFERROR("c "&amp;VLOOKUP(C83,Punkti,2,FALSE),"")</f>
        <v>c 900</v>
      </c>
      <c r="K83" s="26" t="str">
        <f>IFERROR(VLOOKUP(E83,Ostanovki,7,FALSE),"")</f>
        <v/>
      </c>
      <c r="L83" s="22" t="str">
        <f>IFERROR("c "&amp;VLOOKUP(F83,Punkti,2,FALSE),"")</f>
        <v/>
      </c>
      <c r="M83" s="15" t="str">
        <f>"&lt;unit"&amp;TEXT(B83,"000")&amp;"&gt; """&amp;СцепитьМного(D83:E83,"")&amp;""" {"&amp;СцепитьМного(I83:L83,", ")&amp;", d 000, n "&amp;TEXT(G83,"000")&amp;"}"</f>
        <v>&lt;unit083&gt; "&gt;&gt;" {c 900, d 000, n 084}</v>
      </c>
    </row>
    <row r="84" spans="2:13" x14ac:dyDescent="0.25">
      <c r="B84">
        <f t="shared" si="5"/>
        <v>84</v>
      </c>
      <c r="C84" t="s">
        <v>83</v>
      </c>
      <c r="D84" t="str">
        <f t="shared" ref="D84:D87" si="8">IF(J84="c 900","&gt;&gt;","")</f>
        <v/>
      </c>
      <c r="G84" s="22">
        <f t="shared" si="7"/>
        <v>85</v>
      </c>
      <c r="I84" s="22" t="str">
        <f>IFERROR("p "&amp;VLOOKUP(H84,Tablo_Tab,2,FALSE),"")</f>
        <v/>
      </c>
      <c r="J84" s="22" t="str">
        <f>IFERROR("c "&amp;VLOOKUP(C84,Punkti,2,FALSE),"")</f>
        <v>c 902</v>
      </c>
      <c r="K84" s="26" t="str">
        <f>IFERROR(VLOOKUP(E84,Ostanovki,7,FALSE),"")</f>
        <v/>
      </c>
      <c r="L84" s="22" t="str">
        <f>IFERROR("c "&amp;VLOOKUP(F84,Punkti,2,FALSE),"")</f>
        <v/>
      </c>
      <c r="M84" s="15" t="str">
        <f>"&lt;unit"&amp;TEXT(B84,"000")&amp;"&gt; """&amp;СцепитьМного(D84:E84,"")&amp;""" {"&amp;СцепитьМного(I84:L84,", ")&amp;", d 000, n "&amp;TEXT(G84,"000")&amp;"}"</f>
        <v>&lt;unit084&gt; "" {c 902, d 000, n 085}</v>
      </c>
    </row>
    <row r="85" spans="2:13" x14ac:dyDescent="0.25">
      <c r="B85">
        <f t="shared" si="5"/>
        <v>85</v>
      </c>
      <c r="C85" t="s">
        <v>338</v>
      </c>
      <c r="D85" t="str">
        <f t="shared" si="8"/>
        <v>&gt;&gt;</v>
      </c>
      <c r="G85" s="22">
        <f t="shared" si="7"/>
        <v>86</v>
      </c>
      <c r="I85" s="22" t="str">
        <f>IFERROR("p "&amp;VLOOKUP(H85,Tablo_Tab,2,FALSE),"")</f>
        <v/>
      </c>
      <c r="J85" s="22" t="str">
        <f>IFERROR("c "&amp;VLOOKUP(C85,Punkti,2,FALSE),"")</f>
        <v>c 900</v>
      </c>
      <c r="K85" s="26" t="str">
        <f>IFERROR(VLOOKUP(E85,Ostanovki,7,FALSE),"")</f>
        <v/>
      </c>
      <c r="L85" s="22" t="str">
        <f>IFERROR("c "&amp;VLOOKUP(F85,Punkti,2,FALSE),"")</f>
        <v/>
      </c>
      <c r="M85" s="15" t="str">
        <f>"&lt;unit"&amp;TEXT(B85,"000")&amp;"&gt; """&amp;СцепитьМного(D85:E85,"")&amp;""" {"&amp;СцепитьМного(I85:L85,", ")&amp;", d 000, n "&amp;TEXT(G85,"000")&amp;"}"</f>
        <v>&lt;unit085&gt; "&gt;&gt;" {c 900, d 000, n 086}</v>
      </c>
    </row>
    <row r="86" spans="2:13" x14ac:dyDescent="0.25">
      <c r="B86">
        <f t="shared" si="5"/>
        <v>86</v>
      </c>
      <c r="C86" t="s">
        <v>83</v>
      </c>
      <c r="D86" t="str">
        <f t="shared" si="8"/>
        <v/>
      </c>
      <c r="G86" s="22">
        <f t="shared" si="7"/>
        <v>87</v>
      </c>
      <c r="I86" s="22" t="str">
        <f>IFERROR("p "&amp;VLOOKUP(H86,Tablo_Tab,2,FALSE),"")</f>
        <v/>
      </c>
      <c r="J86" s="22" t="str">
        <f>IFERROR("c "&amp;VLOOKUP(C86,Punkti,2,FALSE),"")</f>
        <v>c 902</v>
      </c>
      <c r="K86" s="26" t="str">
        <f>IFERROR(VLOOKUP(E86,Ostanovki,7,FALSE),"")</f>
        <v/>
      </c>
      <c r="L86" s="22" t="str">
        <f>IFERROR("c "&amp;VLOOKUP(F86,Punkti,2,FALSE),"")</f>
        <v/>
      </c>
      <c r="M86" s="15" t="str">
        <f>"&lt;unit"&amp;TEXT(B86,"000")&amp;"&gt; """&amp;СцепитьМного(D86:E86,"")&amp;""" {"&amp;СцепитьМного(I86:L86,", ")&amp;", d 000, n "&amp;TEXT(G86,"000")&amp;"}"</f>
        <v>&lt;unit086&gt; "" {c 902, d 000, n 087}</v>
      </c>
    </row>
    <row r="87" spans="2:13" x14ac:dyDescent="0.25">
      <c r="B87">
        <f t="shared" si="5"/>
        <v>87</v>
      </c>
      <c r="C87" t="s">
        <v>338</v>
      </c>
      <c r="D87" t="str">
        <f t="shared" si="8"/>
        <v>&gt;&gt;</v>
      </c>
      <c r="G87" s="22">
        <f t="shared" si="7"/>
        <v>88</v>
      </c>
      <c r="I87" s="22" t="str">
        <f>IFERROR("p "&amp;VLOOKUP(H87,Tablo_Tab,2,FALSE),"")</f>
        <v/>
      </c>
      <c r="J87" s="22" t="str">
        <f>IFERROR("c "&amp;VLOOKUP(C87,Punkti,2,FALSE),"")</f>
        <v>c 900</v>
      </c>
      <c r="K87" s="26" t="str">
        <f>IFERROR(VLOOKUP(E87,Ostanovki,7,FALSE),"")</f>
        <v/>
      </c>
      <c r="L87" s="22" t="str">
        <f>IFERROR("c "&amp;VLOOKUP(F87,Punkti,2,FALSE),"")</f>
        <v/>
      </c>
      <c r="M87" s="15" t="str">
        <f>"&lt;unit"&amp;TEXT(B87,"000")&amp;"&gt; """&amp;СцепитьМного(D87:E87,"")&amp;""" {"&amp;СцепитьМного(I87:L87,", ")&amp;", d 000, n "&amp;TEXT(G87,"000")&amp;"}"</f>
        <v>&lt;unit087&gt; "&gt;&gt;" {c 900, d 000, n 088}</v>
      </c>
    </row>
    <row r="88" spans="2:13" x14ac:dyDescent="0.25">
      <c r="B88">
        <f t="shared" si="5"/>
        <v>88</v>
      </c>
      <c r="C88" t="s">
        <v>83</v>
      </c>
      <c r="D88" t="str">
        <f t="shared" si="6"/>
        <v/>
      </c>
      <c r="E88" t="s">
        <v>286</v>
      </c>
      <c r="F88" t="s">
        <v>340</v>
      </c>
      <c r="G88" s="22">
        <f>B90</f>
        <v>90</v>
      </c>
      <c r="I88" s="22" t="str">
        <f>IFERROR("p "&amp;VLOOKUP(H88,Tablo_Tab,2,FALSE),"")</f>
        <v/>
      </c>
      <c r="J88" s="22" t="str">
        <f>IFERROR("c "&amp;VLOOKUP(C88,Punkti,2,FALSE),"")</f>
        <v>c 902</v>
      </c>
      <c r="K88" s="26" t="str">
        <f>IFERROR(VLOOKUP(E88,Ostanovki,7,FALSE),"")</f>
        <v>c 928, v "\mp3_ost\truda.mp3"</v>
      </c>
      <c r="L88" s="22" t="str">
        <f>IFERROR("c "&amp;VLOOKUP(F88,Punkti,2,FALSE),"")</f>
        <v>c 903</v>
      </c>
      <c r="M88" s="15" t="str">
        <f>"&lt;unit"&amp;TEXT(B88,"000")&amp;"&gt; """&amp;СцепитьМного(D88:E88,"")&amp;""" {"&amp;СцепитьМного(I88:L88,", ")&amp;", d 000, n "&amp;TEXT(G88,"000")&amp;"}"</f>
        <v>&lt;unit088&gt; "ул.Труда" {c 902, c 928, v "\mp3_ost\truda.mp3", c 903, d 000, n 090}</v>
      </c>
    </row>
    <row r="89" spans="2:13" x14ac:dyDescent="0.25">
      <c r="M89" s="15"/>
    </row>
    <row r="90" spans="2:13" x14ac:dyDescent="0.25">
      <c r="B90">
        <f t="shared" si="5"/>
        <v>90</v>
      </c>
      <c r="E90" s="23" t="s">
        <v>337</v>
      </c>
      <c r="F90" s="23"/>
      <c r="G90" s="22">
        <f>B3</f>
        <v>3</v>
      </c>
      <c r="M90" s="15" t="str">
        <f>"&lt;unit"&amp;TEXT(B90,"000")&amp;"&gt; """&amp;E90&amp;""" {d 000, n "&amp;TEXT(G90,"000")&amp;"}"</f>
        <v>&lt;unit090&gt; "----- Конец -----" {d 000, n 003}</v>
      </c>
    </row>
    <row r="91" spans="2:13" x14ac:dyDescent="0.25">
      <c r="M91" s="15"/>
    </row>
    <row r="92" spans="2:13" x14ac:dyDescent="0.25">
      <c r="M92" s="15" t="str">
        <f>Константы!D2</f>
        <v>&lt;unit921&gt; "Автовокзал" {v "\mp3_knst\av.mp3", w 01}</v>
      </c>
    </row>
    <row r="93" spans="2:13" x14ac:dyDescent="0.25">
      <c r="M93" s="15" t="str">
        <f>Константы!D3</f>
        <v>&lt;unit923&gt; "Гостиница" {v "\mp3_knst\gos.mp3", w 01}</v>
      </c>
    </row>
    <row r="94" spans="2:13" x14ac:dyDescent="0.25">
      <c r="M94" s="15" t="str">
        <f>Константы!D4</f>
        <v>&lt;unit922&gt; "Дисп. станция" {v "\mp3_knst\ds.mp3", w 01}</v>
      </c>
    </row>
    <row r="95" spans="2:13" x14ac:dyDescent="0.25">
      <c r="M95" s="15" t="str">
        <f>Константы!D5</f>
        <v>&lt;unit903&gt; "Канцавая" {v "\mp3_knst\kanc.mp3", w 01}</v>
      </c>
    </row>
    <row r="96" spans="2:13" x14ac:dyDescent="0.25">
      <c r="M96" s="15" t="str">
        <f>Константы!D6</f>
        <v>&lt;unit924&gt; "Конечная" {v "\mp3_knst\ko.mp3", w 01}</v>
      </c>
    </row>
    <row r="97" spans="13:13" x14ac:dyDescent="0.25">
      <c r="M97" s="15" t="str">
        <f>Константы!D7</f>
        <v>&lt;unit902&gt; "Остановка" {v "\mp3_knst\ost.mp3", w 01}</v>
      </c>
    </row>
    <row r="98" spans="13:13" x14ac:dyDescent="0.25">
      <c r="M98" s="15" t="str">
        <f>Константы!D8</f>
        <v>&lt;unit900&gt; "Дв. закр. След. ост." {v "\mp3_knst\ostor.mp3", w 01}</v>
      </c>
    </row>
    <row r="99" spans="13:13" x14ac:dyDescent="0.25">
      <c r="M99" s="15" t="str">
        <f>Константы!D9</f>
        <v>&lt;unit925&gt; "Площадь" {v "\mp3_knst\pl.mp3", w 01}</v>
      </c>
    </row>
    <row r="100" spans="13:13" x14ac:dyDescent="0.25">
      <c r="M100" s="15" t="str">
        <f>Константы!D10</f>
        <v>&lt;unit926&gt; "Проспект" {v "\mp3_knst\pr.mp3", w 01}</v>
      </c>
    </row>
    <row r="101" spans="13:13" x14ac:dyDescent="0.25">
      <c r="M101" s="15" t="str">
        <f>Константы!D11</f>
        <v>&lt;unit927&gt; "Станция метро" {v "\mp3_knst\sm.mp3", w 01}</v>
      </c>
    </row>
    <row r="102" spans="13:13" x14ac:dyDescent="0.25">
      <c r="M102" s="15" t="str">
        <f>Константы!D12</f>
        <v>&lt;unit928&gt; "Улица" {v "\mp3_knst\ul.mp3", w 01}</v>
      </c>
    </row>
  </sheetData>
  <dataValidations count="3">
    <dataValidation type="list" allowBlank="1" showInputMessage="1" showErrorMessage="1" sqref="C8:C46 F8:F46 C50:C88 F50:F88">
      <formula1>Pref_Punktov</formula1>
    </dataValidation>
    <dataValidation type="list" allowBlank="1" showInputMessage="1" showErrorMessage="1" sqref="E8:E46 E50:E88">
      <formula1>Zag_Ost</formula1>
    </dataValidation>
    <dataValidation type="list" allowBlank="1" showInputMessage="1" showErrorMessage="1" sqref="H8:H46">
      <formula1>Tablo_Zag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RowHeight="14.3" x14ac:dyDescent="0.25"/>
  <cols>
    <col min="1" max="1" width="21.5" style="27" bestFit="1" customWidth="1"/>
    <col min="2" max="2" width="9.75" style="28" customWidth="1"/>
    <col min="3" max="3" width="24" style="27" bestFit="1" customWidth="1"/>
    <col min="4" max="4" width="27.875" style="16" bestFit="1" customWidth="1"/>
    <col min="5" max="16384" width="9" style="27"/>
  </cols>
  <sheetData>
    <row r="1" spans="1:4" x14ac:dyDescent="0.25">
      <c r="A1" s="27" t="str">
        <f>Остановки!B2</f>
        <v>8 микрорайон</v>
      </c>
      <c r="B1" s="28" t="str">
        <f t="shared" ref="B1:B32" si="0">TEXT(ROW(B1),"000")</f>
        <v>001</v>
      </c>
      <c r="C1" s="27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7" t="str">
        <f>Остановки!B3</f>
        <v>Автостанция</v>
      </c>
      <c r="B2" s="28" t="str">
        <f t="shared" si="0"/>
        <v>002</v>
      </c>
      <c r="C2" s="27" t="str">
        <f t="shared" ref="C2:C59" si="1">""""&amp;LEFT(REPT(" ",8-LEN(A2)/2)&amp;A2&amp;REPT(" ",16),16)&amp;""""</f>
        <v>"  Автостанция   "</v>
      </c>
      <c r="D2" s="16" t="str">
        <f t="shared" ref="D2:D59" si="2">"&lt;"&amp;B2&amp;"&gt;"&amp;LEFT(REPT(" ",8-LEN(A2)/2)&amp;A2&amp;REPT(" ",16),16)</f>
        <v xml:space="preserve">&lt;002&gt;  Автостанция   </v>
      </c>
    </row>
    <row r="3" spans="1:4" x14ac:dyDescent="0.25">
      <c r="A3" s="27" t="str">
        <f>Остановки!B4</f>
        <v>АЗС</v>
      </c>
      <c r="B3" s="28" t="str">
        <f t="shared" si="0"/>
        <v>003</v>
      </c>
      <c r="C3" s="27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7" t="str">
        <f>Остановки!B5</f>
        <v>БелНИИЖ</v>
      </c>
      <c r="B4" s="28" t="str">
        <f t="shared" si="0"/>
        <v>004</v>
      </c>
      <c r="C4" s="27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7" t="str">
        <f>Остановки!B6</f>
        <v>БелНИИЗ</v>
      </c>
      <c r="B5" s="28" t="str">
        <f t="shared" si="0"/>
        <v>005</v>
      </c>
      <c r="C5" s="27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7" t="str">
        <f>Остановки!B7</f>
        <v>Больница</v>
      </c>
      <c r="B6" s="28" t="str">
        <f t="shared" si="0"/>
        <v>006</v>
      </c>
      <c r="C6" s="27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7" t="str">
        <f>Остановки!B8</f>
        <v>Воинская часть</v>
      </c>
      <c r="B7" s="28" t="str">
        <f t="shared" si="0"/>
        <v>007</v>
      </c>
      <c r="C7" s="27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7" t="str">
        <f>Остановки!B9</f>
        <v>Дом культуры</v>
      </c>
      <c r="B8" s="28" t="str">
        <f t="shared" si="0"/>
        <v>008</v>
      </c>
      <c r="C8" s="27" t="str">
        <f t="shared" si="1"/>
        <v>"  Дом культуры  "</v>
      </c>
      <c r="D8" s="16" t="str">
        <f t="shared" si="2"/>
        <v xml:space="preserve">&lt;008&gt;  Дом культуры  </v>
      </c>
    </row>
    <row r="9" spans="1:4" x14ac:dyDescent="0.25">
      <c r="A9" s="27" t="str">
        <f>Остановки!B10</f>
        <v>ЖД Вокзал</v>
      </c>
      <c r="B9" s="28" t="str">
        <f t="shared" si="0"/>
        <v>009</v>
      </c>
      <c r="C9" s="27" t="str">
        <f t="shared" si="1"/>
        <v>"   ЖД Вокзал    "</v>
      </c>
      <c r="D9" s="16" t="str">
        <f t="shared" si="2"/>
        <v xml:space="preserve">&lt;009&gt;   ЖД Вокзал    </v>
      </c>
    </row>
    <row r="10" spans="1:4" x14ac:dyDescent="0.25">
      <c r="A10" s="27" t="str">
        <f>Остановки!B11</f>
        <v>Женская гимназия</v>
      </c>
      <c r="B10" s="28" t="str">
        <f t="shared" si="0"/>
        <v>010</v>
      </c>
      <c r="C10" s="27" t="str">
        <f t="shared" si="1"/>
        <v>"Женская гимназия"</v>
      </c>
      <c r="D10" s="16" t="str">
        <f t="shared" si="2"/>
        <v>&lt;010&gt;Женская гимназия</v>
      </c>
    </row>
    <row r="11" spans="1:4" x14ac:dyDescent="0.25">
      <c r="A11" s="27" t="str">
        <f>Остановки!B12</f>
        <v>ИТК-8</v>
      </c>
      <c r="B11" s="28" t="str">
        <f t="shared" si="0"/>
        <v>011</v>
      </c>
      <c r="C11" s="27" t="str">
        <f t="shared" si="1"/>
        <v>"     ИТК-8      "</v>
      </c>
      <c r="D11" s="16" t="str">
        <f t="shared" si="2"/>
        <v xml:space="preserve">&lt;011&gt;     ИТК-8      </v>
      </c>
    </row>
    <row r="12" spans="1:4" x14ac:dyDescent="0.25">
      <c r="A12" s="27" t="str">
        <f>Остановки!B13</f>
        <v>к/т Юность</v>
      </c>
      <c r="B12" s="28" t="str">
        <f t="shared" si="0"/>
        <v>012</v>
      </c>
      <c r="C12" s="27" t="str">
        <f t="shared" si="1"/>
        <v>"   к/т Юность   "</v>
      </c>
      <c r="D12" s="16" t="str">
        <f t="shared" si="2"/>
        <v xml:space="preserve">&lt;012&gt;   к/т Юность   </v>
      </c>
    </row>
    <row r="13" spans="1:4" x14ac:dyDescent="0.25">
      <c r="A13" s="27" t="str">
        <f>Остановки!B14</f>
        <v>КЗТШ</v>
      </c>
      <c r="B13" s="28" t="str">
        <f t="shared" si="0"/>
        <v>013</v>
      </c>
      <c r="C13" s="27" t="str">
        <f t="shared" si="1"/>
        <v>"      КЗТШ      "</v>
      </c>
      <c r="D13" s="16" t="str">
        <f t="shared" si="2"/>
        <v xml:space="preserve">&lt;013&gt;      КЗТШ      </v>
      </c>
    </row>
    <row r="14" spans="1:4" x14ac:dyDescent="0.25">
      <c r="A14" s="27" t="str">
        <f>Остановки!B15</f>
        <v>кл. Восточное</v>
      </c>
      <c r="B14" s="28" t="str">
        <f t="shared" si="0"/>
        <v>014</v>
      </c>
      <c r="C14" s="27" t="str">
        <f t="shared" si="1"/>
        <v>" кл. Восточное  "</v>
      </c>
      <c r="D14" s="16" t="str">
        <f t="shared" si="2"/>
        <v xml:space="preserve">&lt;014&gt; кл. Восточное  </v>
      </c>
    </row>
    <row r="15" spans="1:4" x14ac:dyDescent="0.25">
      <c r="A15" s="27" t="str">
        <f>Остановки!B16</f>
        <v>кл. Судобовское</v>
      </c>
      <c r="B15" s="28" t="str">
        <f t="shared" si="0"/>
        <v>015</v>
      </c>
      <c r="C15" s="27" t="str">
        <f t="shared" si="1"/>
        <v>"кл. Судобовское "</v>
      </c>
      <c r="D15" s="16" t="str">
        <f t="shared" si="2"/>
        <v xml:space="preserve">&lt;015&gt;кл. Судобовское </v>
      </c>
    </row>
    <row r="16" spans="1:4" x14ac:dyDescent="0.25">
      <c r="A16" s="27" t="str">
        <f>Остановки!B17</f>
        <v>Костел</v>
      </c>
      <c r="B16" s="28" t="str">
        <f t="shared" si="0"/>
        <v>016</v>
      </c>
      <c r="C16" s="27" t="str">
        <f t="shared" si="1"/>
        <v>"     Костел     "</v>
      </c>
      <c r="D16" s="16" t="str">
        <f t="shared" si="2"/>
        <v xml:space="preserve">&lt;016&gt;     Костел     </v>
      </c>
    </row>
    <row r="17" spans="1:4" x14ac:dyDescent="0.25">
      <c r="A17" s="27" t="str">
        <f>Остановки!B18</f>
        <v>Лесоцех</v>
      </c>
      <c r="B17" s="28" t="str">
        <f t="shared" si="0"/>
        <v>017</v>
      </c>
      <c r="C17" s="27" t="str">
        <f t="shared" si="1"/>
        <v>"    Лесоцех     "</v>
      </c>
      <c r="D17" s="16" t="str">
        <f t="shared" si="2"/>
        <v xml:space="preserve">&lt;017&gt;    Лесоцех     </v>
      </c>
    </row>
    <row r="18" spans="1:4" x14ac:dyDescent="0.25">
      <c r="A18" s="27" t="str">
        <f>Остановки!B19</f>
        <v>маг. Рублевский</v>
      </c>
      <c r="B18" s="28" t="str">
        <f t="shared" si="0"/>
        <v>018</v>
      </c>
      <c r="C18" s="27" t="str">
        <f t="shared" si="1"/>
        <v>"маг. Рублевский "</v>
      </c>
      <c r="D18" s="16" t="str">
        <f t="shared" si="2"/>
        <v xml:space="preserve">&lt;018&gt;маг. Рублевский </v>
      </c>
    </row>
    <row r="19" spans="1:4" x14ac:dyDescent="0.25">
      <c r="A19" s="27" t="str">
        <f>Остановки!B20</f>
        <v>Магазин</v>
      </c>
      <c r="B19" s="28" t="str">
        <f t="shared" si="0"/>
        <v>019</v>
      </c>
      <c r="C19" s="27" t="str">
        <f t="shared" si="1"/>
        <v>"    Магазин     "</v>
      </c>
      <c r="D19" s="16" t="str">
        <f t="shared" si="2"/>
        <v xml:space="preserve">&lt;019&gt;    Магазин     </v>
      </c>
    </row>
    <row r="20" spans="1:4" x14ac:dyDescent="0.25">
      <c r="A20" s="27" t="str">
        <f>Остановки!B21</f>
        <v>Перекресток</v>
      </c>
      <c r="B20" s="28" t="str">
        <f t="shared" si="0"/>
        <v>020</v>
      </c>
      <c r="C20" s="27" t="str">
        <f t="shared" si="1"/>
        <v>"  Перекресток   "</v>
      </c>
      <c r="D20" s="16" t="str">
        <f t="shared" si="2"/>
        <v xml:space="preserve">&lt;020&gt;  Перекресток   </v>
      </c>
    </row>
    <row r="21" spans="1:4" x14ac:dyDescent="0.25">
      <c r="A21" s="27" t="str">
        <f>Остановки!B22</f>
        <v>Пожарная</v>
      </c>
      <c r="B21" s="28" t="str">
        <f t="shared" si="0"/>
        <v>021</v>
      </c>
      <c r="C21" s="27" t="str">
        <f t="shared" si="1"/>
        <v>"    Пожарная    "</v>
      </c>
      <c r="D21" s="16" t="str">
        <f t="shared" si="2"/>
        <v xml:space="preserve">&lt;021&gt;    Пожарная    </v>
      </c>
    </row>
    <row r="22" spans="1:4" x14ac:dyDescent="0.25">
      <c r="A22" s="27" t="str">
        <f>Остановки!B23</f>
        <v>Поликлиника</v>
      </c>
      <c r="B22" s="28" t="str">
        <f t="shared" si="0"/>
        <v>022</v>
      </c>
      <c r="C22" s="27" t="str">
        <f t="shared" si="1"/>
        <v>"  Поликлиника   "</v>
      </c>
      <c r="D22" s="16" t="str">
        <f t="shared" si="2"/>
        <v xml:space="preserve">&lt;022&gt;  Поликлиника   </v>
      </c>
    </row>
    <row r="23" spans="1:4" x14ac:dyDescent="0.25">
      <c r="A23" s="27" t="str">
        <f>Остановки!B24</f>
        <v>Почта</v>
      </c>
      <c r="B23" s="28" t="str">
        <f t="shared" si="0"/>
        <v>023</v>
      </c>
      <c r="C23" s="27" t="str">
        <f t="shared" si="1"/>
        <v>"     Почта      "</v>
      </c>
      <c r="D23" s="16" t="str">
        <f t="shared" si="2"/>
        <v xml:space="preserve">&lt;023&gt;     Почта      </v>
      </c>
    </row>
    <row r="24" spans="1:4" x14ac:dyDescent="0.25">
      <c r="A24" s="27" t="str">
        <f>Остановки!B25</f>
        <v>пр-т Венисье</v>
      </c>
      <c r="B24" s="28" t="str">
        <f t="shared" si="0"/>
        <v>024</v>
      </c>
      <c r="C24" s="27" t="str">
        <f t="shared" si="1"/>
        <v>"  пр-т Венисье  "</v>
      </c>
      <c r="D24" s="16" t="str">
        <f t="shared" si="2"/>
        <v xml:space="preserve">&lt;024&gt;  пр-т Венисье  </v>
      </c>
    </row>
    <row r="25" spans="1:4" x14ac:dyDescent="0.25">
      <c r="A25" s="27" t="str">
        <f>Остановки!B26</f>
        <v>пр-т Ленина</v>
      </c>
      <c r="B25" s="28" t="str">
        <f t="shared" si="0"/>
        <v>025</v>
      </c>
      <c r="C25" s="27" t="str">
        <f t="shared" si="1"/>
        <v>"  пр-т Ленина   "</v>
      </c>
      <c r="D25" s="16" t="str">
        <f t="shared" si="2"/>
        <v xml:space="preserve">&lt;025&gt;  пр-т Ленина   </v>
      </c>
    </row>
    <row r="26" spans="1:4" x14ac:dyDescent="0.25">
      <c r="A26" s="27" t="str">
        <f>Остановки!B27</f>
        <v>пр-т Мира</v>
      </c>
      <c r="B26" s="28" t="str">
        <f t="shared" si="0"/>
        <v>026</v>
      </c>
      <c r="C26" s="27" t="str">
        <f t="shared" si="1"/>
        <v>"   пр-т Мира    "</v>
      </c>
      <c r="D26" s="16" t="str">
        <f t="shared" si="2"/>
        <v xml:space="preserve">&lt;026&gt;   пр-т Мира    </v>
      </c>
    </row>
    <row r="27" spans="1:4" x14ac:dyDescent="0.25">
      <c r="A27" s="27" t="str">
        <f>Остановки!B28</f>
        <v>пр-т Скорины</v>
      </c>
      <c r="B27" s="28" t="str">
        <f t="shared" si="0"/>
        <v>027</v>
      </c>
      <c r="C27" s="27" t="str">
        <f t="shared" si="1"/>
        <v>"  пр-т Скорины  "</v>
      </c>
      <c r="D27" s="16" t="str">
        <f t="shared" si="2"/>
        <v xml:space="preserve">&lt;027&gt;  пр-т Скорины  </v>
      </c>
    </row>
    <row r="28" spans="1:4" x14ac:dyDescent="0.25">
      <c r="A28" s="27" t="str">
        <f>Остановки!B29</f>
        <v>Рынок</v>
      </c>
      <c r="B28" s="28" t="str">
        <f t="shared" si="0"/>
        <v>028</v>
      </c>
      <c r="C28" s="27" t="str">
        <f t="shared" si="1"/>
        <v>"     Рынок      "</v>
      </c>
      <c r="D28" s="16" t="str">
        <f t="shared" si="2"/>
        <v xml:space="preserve">&lt;028&gt;     Рынок      </v>
      </c>
    </row>
    <row r="29" spans="1:4" x14ac:dyDescent="0.25">
      <c r="A29" s="27" t="str">
        <f>Остановки!B30</f>
        <v>Сбербанк</v>
      </c>
      <c r="B29" s="28" t="str">
        <f t="shared" si="0"/>
        <v>029</v>
      </c>
      <c r="C29" s="27" t="str">
        <f t="shared" si="1"/>
        <v>"    Сбербанк    "</v>
      </c>
      <c r="D29" s="16" t="str">
        <f t="shared" si="2"/>
        <v xml:space="preserve">&lt;029&gt;    Сбербанк    </v>
      </c>
    </row>
    <row r="30" spans="1:4" x14ac:dyDescent="0.25">
      <c r="A30" s="27" t="str">
        <f>Остановки!B31</f>
        <v>Свитанок</v>
      </c>
      <c r="B30" s="28" t="str">
        <f t="shared" si="0"/>
        <v>030</v>
      </c>
      <c r="C30" s="27" t="str">
        <f t="shared" si="1"/>
        <v>"    Свитанок    "</v>
      </c>
      <c r="D30" s="16" t="str">
        <f t="shared" si="2"/>
        <v xml:space="preserve">&lt;030&gt;    Свитанок    </v>
      </c>
    </row>
    <row r="31" spans="1:4" x14ac:dyDescent="0.25">
      <c r="A31" s="27" t="str">
        <f>Остановки!B32</f>
        <v>Стодедовский</v>
      </c>
      <c r="B31" s="28" t="str">
        <f t="shared" si="0"/>
        <v>031</v>
      </c>
      <c r="C31" s="27" t="str">
        <f t="shared" si="1"/>
        <v>"  Стодедовский  "</v>
      </c>
      <c r="D31" s="16" t="str">
        <f t="shared" si="2"/>
        <v xml:space="preserve">&lt;031&gt;  Стодедовский  </v>
      </c>
    </row>
    <row r="32" spans="1:4" x14ac:dyDescent="0.25">
      <c r="A32" s="27" t="str">
        <f>Остановки!B33</f>
        <v>СШ № 5</v>
      </c>
      <c r="B32" s="28" t="str">
        <f t="shared" si="0"/>
        <v>032</v>
      </c>
      <c r="C32" s="27" t="str">
        <f t="shared" si="1"/>
        <v>"     СШ № 5     "</v>
      </c>
      <c r="D32" s="16" t="str">
        <f t="shared" si="2"/>
        <v xml:space="preserve">&lt;032&gt;     СШ № 5     </v>
      </c>
    </row>
    <row r="33" spans="1:4" x14ac:dyDescent="0.25">
      <c r="A33" s="27" t="str">
        <f>Остановки!B34</f>
        <v>СШ № 8</v>
      </c>
      <c r="B33" s="28" t="str">
        <f t="shared" ref="B33:B62" si="3">TEXT(ROW(B33),"000")</f>
        <v>033</v>
      </c>
      <c r="C33" s="27" t="str">
        <f t="shared" si="1"/>
        <v>"     СШ № 8     "</v>
      </c>
      <c r="D33" s="16" t="str">
        <f t="shared" si="2"/>
        <v xml:space="preserve">&lt;033&gt;     СШ № 8     </v>
      </c>
    </row>
    <row r="34" spans="1:4" x14ac:dyDescent="0.25">
      <c r="A34" s="27" t="str">
        <f>Остановки!B35</f>
        <v>Таможня</v>
      </c>
      <c r="B34" s="28" t="str">
        <f t="shared" si="3"/>
        <v>034</v>
      </c>
      <c r="C34" s="27" t="str">
        <f t="shared" si="1"/>
        <v>"    Таможня     "</v>
      </c>
      <c r="D34" s="16" t="str">
        <f t="shared" si="2"/>
        <v xml:space="preserve">&lt;034&gt;    Таможня     </v>
      </c>
    </row>
    <row r="35" spans="1:4" x14ac:dyDescent="0.25">
      <c r="A35" s="27" t="str">
        <f>Остановки!B36</f>
        <v>Торг.центр</v>
      </c>
      <c r="B35" s="28" t="str">
        <f t="shared" si="3"/>
        <v>035</v>
      </c>
      <c r="C35" s="27" t="str">
        <f t="shared" si="1"/>
        <v>"   Торг.центр   "</v>
      </c>
      <c r="D35" s="16" t="str">
        <f t="shared" si="2"/>
        <v xml:space="preserve">&lt;035&gt;   Торг.центр   </v>
      </c>
    </row>
    <row r="36" spans="1:4" x14ac:dyDescent="0.25">
      <c r="A36" s="27" t="str">
        <f>Остановки!B37</f>
        <v>Транс.прох.БелАЗ</v>
      </c>
      <c r="B36" s="28" t="str">
        <f t="shared" si="3"/>
        <v>036</v>
      </c>
      <c r="C36" s="27" t="str">
        <f t="shared" si="1"/>
        <v>"Транс.прох.БелАЗ"</v>
      </c>
      <c r="D36" s="16" t="str">
        <f t="shared" si="2"/>
        <v>&lt;036&gt;Транс.прох.БелАЗ</v>
      </c>
    </row>
    <row r="37" spans="1:4" x14ac:dyDescent="0.25">
      <c r="A37" s="27" t="str">
        <f>Остановки!B38</f>
        <v>ТЭЦ</v>
      </c>
      <c r="B37" s="28" t="str">
        <f t="shared" si="3"/>
        <v>037</v>
      </c>
      <c r="C37" s="27" t="str">
        <f t="shared" si="1"/>
        <v>"      ТЭЦ       "</v>
      </c>
      <c r="D37" s="16" t="str">
        <f t="shared" si="2"/>
        <v xml:space="preserve">&lt;037&gt;      ТЭЦ       </v>
      </c>
    </row>
    <row r="38" spans="1:4" x14ac:dyDescent="0.25">
      <c r="A38" s="27" t="str">
        <f>Остановки!B39</f>
        <v>ул.50 лет Октяб.</v>
      </c>
      <c r="B38" s="28" t="str">
        <f t="shared" si="3"/>
        <v>038</v>
      </c>
      <c r="C38" s="27" t="str">
        <f t="shared" si="1"/>
        <v>"ул.50 лет Октяб."</v>
      </c>
      <c r="D38" s="16" t="str">
        <f t="shared" si="2"/>
        <v>&lt;038&gt;ул.50 лет Октяб.</v>
      </c>
    </row>
    <row r="39" spans="1:4" x14ac:dyDescent="0.25">
      <c r="A39" s="27" t="str">
        <f>Остановки!B40</f>
        <v>ул.8 Марта</v>
      </c>
      <c r="B39" s="28" t="str">
        <f t="shared" si="3"/>
        <v>039</v>
      </c>
      <c r="C39" s="27" t="str">
        <f t="shared" si="1"/>
        <v>"   ул.8 Марта   "</v>
      </c>
      <c r="D39" s="16" t="str">
        <f t="shared" si="2"/>
        <v xml:space="preserve">&lt;039&gt;   ул.8 Марта   </v>
      </c>
    </row>
    <row r="40" spans="1:4" x14ac:dyDescent="0.25">
      <c r="A40" s="27" t="str">
        <f>Остановки!B41</f>
        <v>ул.Автомобилист.</v>
      </c>
      <c r="B40" s="28" t="str">
        <f t="shared" si="3"/>
        <v>040</v>
      </c>
      <c r="C40" s="27" t="str">
        <f t="shared" si="1"/>
        <v>"ул.Автомобилист."</v>
      </c>
      <c r="D40" s="16" t="str">
        <f t="shared" si="2"/>
        <v>&lt;040&gt;ул.Автомобилист.</v>
      </c>
    </row>
    <row r="41" spans="1:4" x14ac:dyDescent="0.25">
      <c r="A41" s="27" t="str">
        <f>Остановки!B42</f>
        <v>ул.Бажора</v>
      </c>
      <c r="B41" s="28" t="str">
        <f t="shared" si="3"/>
        <v>041</v>
      </c>
      <c r="C41" s="27" t="str">
        <f t="shared" si="1"/>
        <v>"   ул.Бажора    "</v>
      </c>
      <c r="D41" s="16" t="str">
        <f t="shared" si="2"/>
        <v xml:space="preserve">&lt;041&gt;   ул.Бажора    </v>
      </c>
    </row>
    <row r="42" spans="1:4" x14ac:dyDescent="0.25">
      <c r="A42" s="27" t="str">
        <f>Остановки!B43</f>
        <v>ул.Богуслав Поле</v>
      </c>
      <c r="B42" s="28" t="str">
        <f t="shared" si="3"/>
        <v>042</v>
      </c>
      <c r="C42" s="27" t="str">
        <f t="shared" si="1"/>
        <v>"ул.Богуслав Поле"</v>
      </c>
      <c r="D42" s="16" t="str">
        <f t="shared" si="2"/>
        <v>&lt;042&gt;ул.Богуслав Поле</v>
      </c>
    </row>
    <row r="43" spans="1:4" x14ac:dyDescent="0.25">
      <c r="A43" s="27" t="str">
        <f>Остановки!B44</f>
        <v>ул.Гагарина</v>
      </c>
      <c r="B43" s="28" t="str">
        <f t="shared" si="3"/>
        <v>043</v>
      </c>
      <c r="C43" s="27" t="str">
        <f t="shared" si="1"/>
        <v>"  ул.Гагарина   "</v>
      </c>
      <c r="D43" s="16" t="str">
        <f t="shared" si="2"/>
        <v xml:space="preserve">&lt;043&gt;  ул.Гагарина   </v>
      </c>
    </row>
    <row r="44" spans="1:4" x14ac:dyDescent="0.25">
      <c r="A44" s="27" t="str">
        <f>Остановки!B45</f>
        <v>ул.Дорожная</v>
      </c>
      <c r="B44" s="28" t="str">
        <f t="shared" si="3"/>
        <v>044</v>
      </c>
      <c r="C44" s="27" t="str">
        <f t="shared" si="1"/>
        <v>"  ул.Дорожная   "</v>
      </c>
      <c r="D44" s="16" t="str">
        <f t="shared" si="2"/>
        <v xml:space="preserve">&lt;044&gt;  ул.Дорожная   </v>
      </c>
    </row>
    <row r="45" spans="1:4" x14ac:dyDescent="0.25">
      <c r="A45" s="27" t="str">
        <f>Остановки!B46</f>
        <v>ул.Калинина</v>
      </c>
      <c r="B45" s="28" t="str">
        <f t="shared" si="3"/>
        <v>045</v>
      </c>
      <c r="C45" s="27" t="str">
        <f t="shared" si="1"/>
        <v>"  ул.Калинина   "</v>
      </c>
      <c r="D45" s="16" t="str">
        <f t="shared" si="2"/>
        <v xml:space="preserve">&lt;045&gt;  ул.Калинина   </v>
      </c>
    </row>
    <row r="46" spans="1:4" x14ac:dyDescent="0.25">
      <c r="A46" s="27" t="str">
        <f>Остановки!B47</f>
        <v>ул.Куприянова</v>
      </c>
      <c r="B46" s="28" t="str">
        <f t="shared" si="3"/>
        <v>046</v>
      </c>
      <c r="C46" s="27" t="str">
        <f t="shared" si="1"/>
        <v>" ул.Куприянова  "</v>
      </c>
      <c r="D46" s="16" t="str">
        <f t="shared" si="2"/>
        <v xml:space="preserve">&lt;046&gt; ул.Куприянова  </v>
      </c>
    </row>
    <row r="47" spans="1:4" x14ac:dyDescent="0.25">
      <c r="A47" s="27" t="str">
        <f>Остановки!B48</f>
        <v>ул.Ленинская</v>
      </c>
      <c r="B47" s="28" t="str">
        <f t="shared" si="3"/>
        <v>047</v>
      </c>
      <c r="C47" s="27" t="str">
        <f t="shared" si="1"/>
        <v>"  ул.Ленинская  "</v>
      </c>
      <c r="D47" s="16" t="str">
        <f t="shared" si="2"/>
        <v xml:space="preserve">&lt;047&gt;  ул.Ленинская  </v>
      </c>
    </row>
    <row r="48" spans="1:4" x14ac:dyDescent="0.25">
      <c r="A48" s="27" t="str">
        <f>Остановки!B49</f>
        <v>ул.Лесная</v>
      </c>
      <c r="B48" s="28" t="str">
        <f t="shared" si="3"/>
        <v>048</v>
      </c>
      <c r="C48" s="27" t="str">
        <f t="shared" si="1"/>
        <v>"   ул.Лесная    "</v>
      </c>
      <c r="D48" s="16" t="str">
        <f t="shared" si="2"/>
        <v xml:space="preserve">&lt;048&gt;   ул.Лесная    </v>
      </c>
    </row>
    <row r="49" spans="1:4" x14ac:dyDescent="0.25">
      <c r="A49" s="27" t="str">
        <f>Остановки!B50</f>
        <v>ул.Логойская</v>
      </c>
      <c r="B49" s="28" t="str">
        <f t="shared" si="3"/>
        <v>049</v>
      </c>
      <c r="C49" s="27" t="str">
        <f t="shared" si="1"/>
        <v>"  ул.Логойская  "</v>
      </c>
      <c r="D49" s="16" t="str">
        <f t="shared" si="2"/>
        <v xml:space="preserve">&lt;049&gt;  ул.Логойская  </v>
      </c>
    </row>
    <row r="50" spans="1:4" x14ac:dyDescent="0.25">
      <c r="A50" s="27" t="str">
        <f>Остановки!B51</f>
        <v>ул.Магистральная</v>
      </c>
      <c r="B50" s="28" t="str">
        <f t="shared" si="3"/>
        <v>050</v>
      </c>
      <c r="C50" s="27" t="str">
        <f t="shared" si="1"/>
        <v>"ул.Магистральная"</v>
      </c>
      <c r="D50" s="16" t="str">
        <f t="shared" si="2"/>
        <v>&lt;050&gt;ул.Магистральная</v>
      </c>
    </row>
    <row r="51" spans="1:4" x14ac:dyDescent="0.25">
      <c r="A51" s="27" t="str">
        <f>Остановки!B52</f>
        <v>ул.Московская</v>
      </c>
      <c r="B51" s="28" t="str">
        <f t="shared" si="3"/>
        <v>051</v>
      </c>
      <c r="C51" s="27" t="str">
        <f t="shared" si="1"/>
        <v>" ул.Московская  "</v>
      </c>
      <c r="D51" s="16" t="str">
        <f t="shared" si="2"/>
        <v xml:space="preserve">&lt;051&gt; ул.Московская  </v>
      </c>
    </row>
    <row r="52" spans="1:4" x14ac:dyDescent="0.25">
      <c r="A52" s="27" t="str">
        <f>Остановки!B53</f>
        <v>ул.Нагорная</v>
      </c>
      <c r="B52" s="28" t="str">
        <f t="shared" si="3"/>
        <v>052</v>
      </c>
      <c r="C52" s="27" t="str">
        <f t="shared" si="1"/>
        <v>"  ул.Нагорная   "</v>
      </c>
      <c r="D52" s="16" t="str">
        <f t="shared" si="2"/>
        <v xml:space="preserve">&lt;052&gt;  ул.Нагорная   </v>
      </c>
    </row>
    <row r="53" spans="1:4" x14ac:dyDescent="0.25">
      <c r="A53" s="27" t="str">
        <f>Остановки!B54</f>
        <v>ул.Островского</v>
      </c>
      <c r="B53" s="28" t="str">
        <f t="shared" si="3"/>
        <v>053</v>
      </c>
      <c r="C53" s="27" t="str">
        <f t="shared" si="1"/>
        <v>" ул.Островского "</v>
      </c>
      <c r="D53" s="16" t="str">
        <f t="shared" si="2"/>
        <v xml:space="preserve">&lt;053&gt; ул.Островского </v>
      </c>
    </row>
    <row r="54" spans="1:4" x14ac:dyDescent="0.25">
      <c r="A54" s="27" t="str">
        <f>Остановки!B55</f>
        <v>ул.Партизанская</v>
      </c>
      <c r="B54" s="28" t="str">
        <f t="shared" si="3"/>
        <v>054</v>
      </c>
      <c r="C54" s="27" t="str">
        <f t="shared" si="1"/>
        <v>"ул.Партизанская "</v>
      </c>
      <c r="D54" s="16" t="str">
        <f t="shared" si="2"/>
        <v xml:space="preserve">&lt;054&gt;ул.Партизанская </v>
      </c>
    </row>
    <row r="55" spans="1:4" x14ac:dyDescent="0.25">
      <c r="A55" s="27" t="str">
        <f>Остановки!B56</f>
        <v>ул.Песчаная</v>
      </c>
      <c r="B55" s="28" t="str">
        <f t="shared" si="3"/>
        <v>055</v>
      </c>
      <c r="C55" s="27" t="str">
        <f t="shared" si="1"/>
        <v>"  ул.Песчаная   "</v>
      </c>
      <c r="D55" s="16" t="str">
        <f t="shared" si="2"/>
        <v xml:space="preserve">&lt;055&gt;  ул.Песчаная   </v>
      </c>
    </row>
    <row r="56" spans="1:4" x14ac:dyDescent="0.25">
      <c r="A56" s="27" t="str">
        <f>Остановки!B57</f>
        <v>ул.Рокоссовского</v>
      </c>
      <c r="B56" s="28" t="str">
        <f t="shared" si="3"/>
        <v>056</v>
      </c>
      <c r="C56" s="27" t="str">
        <f t="shared" si="1"/>
        <v>"ул.Рокоссовского"</v>
      </c>
      <c r="D56" s="16" t="str">
        <f t="shared" si="2"/>
        <v>&lt;056&gt;ул.Рокоссовского</v>
      </c>
    </row>
    <row r="57" spans="1:4" x14ac:dyDescent="0.25">
      <c r="A57" s="27" t="str">
        <f>Остановки!B58</f>
        <v>ул.Сухогрядская</v>
      </c>
      <c r="B57" s="28" t="str">
        <f t="shared" si="3"/>
        <v>057</v>
      </c>
      <c r="C57" s="27" t="str">
        <f t="shared" si="1"/>
        <v>"ул.Сухогрядская "</v>
      </c>
      <c r="D57" s="16" t="str">
        <f t="shared" si="2"/>
        <v xml:space="preserve">&lt;057&gt;ул.Сухогрядская </v>
      </c>
    </row>
    <row r="58" spans="1:4" x14ac:dyDescent="0.25">
      <c r="A58" s="27" t="str">
        <f>Остановки!B59</f>
        <v>ул.Сырокваша</v>
      </c>
      <c r="B58" s="28" t="str">
        <f t="shared" si="3"/>
        <v>058</v>
      </c>
      <c r="C58" s="27" t="str">
        <f t="shared" si="1"/>
        <v>"  ул.Сырокваша  "</v>
      </c>
      <c r="D58" s="16" t="str">
        <f t="shared" si="2"/>
        <v xml:space="preserve">&lt;058&gt;  ул.Сырокваша  </v>
      </c>
    </row>
    <row r="59" spans="1:4" x14ac:dyDescent="0.25">
      <c r="A59" s="27" t="str">
        <f>Остановки!B60</f>
        <v>ул.Труда</v>
      </c>
      <c r="B59" s="28" t="str">
        <f t="shared" si="3"/>
        <v>059</v>
      </c>
      <c r="C59" s="27" t="str">
        <f t="shared" si="1"/>
        <v>"    ул.Труда    "</v>
      </c>
      <c r="D59" s="16" t="str">
        <f t="shared" si="2"/>
        <v xml:space="preserve">&lt;059&gt;    ул.Труда    </v>
      </c>
    </row>
    <row r="60" spans="1:4" x14ac:dyDescent="0.25">
      <c r="A60" s="27" t="str">
        <f>Остановки!B61</f>
        <v>Универсам</v>
      </c>
      <c r="B60" s="28" t="str">
        <f t="shared" si="3"/>
        <v>060</v>
      </c>
      <c r="C60" s="27" t="str">
        <f t="shared" ref="C60:C62" si="4">""""&amp;LEFT(REPT(" ",8-LEN(A60)/2)&amp;A60&amp;REPT(" ",16),16)&amp;""""</f>
        <v>"   Универсам    "</v>
      </c>
      <c r="D60" s="16" t="str">
        <f t="shared" ref="D60:D62" si="5">"&lt;"&amp;B60&amp;"&gt;"&amp;LEFT(REPT(" ",8-LEN(A60)/2)&amp;A60&amp;REPT(" ",16),16)</f>
        <v xml:space="preserve">&lt;060&gt;   Универсам    </v>
      </c>
    </row>
    <row r="61" spans="1:4" x14ac:dyDescent="0.25">
      <c r="A61" s="27" t="str">
        <f>Остановки!B62</f>
        <v>Церковь</v>
      </c>
      <c r="B61" s="28" t="str">
        <f t="shared" si="3"/>
        <v>061</v>
      </c>
      <c r="C61" s="27" t="str">
        <f t="shared" si="4"/>
        <v>"    Церковь     "</v>
      </c>
      <c r="D61" s="16" t="str">
        <f t="shared" si="5"/>
        <v xml:space="preserve">&lt;061&gt;    Церковь     </v>
      </c>
    </row>
    <row r="62" spans="1:4" x14ac:dyDescent="0.25">
      <c r="A62" s="27" t="str">
        <f>Остановки!B63</f>
        <v>Электросети</v>
      </c>
      <c r="B62" s="28" t="str">
        <f t="shared" si="3"/>
        <v>062</v>
      </c>
      <c r="C62" s="27" t="str">
        <f t="shared" si="4"/>
        <v>"  Электросети   "</v>
      </c>
      <c r="D62" s="16" t="str">
        <f t="shared" si="5"/>
        <v xml:space="preserve">&lt;062&gt;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77</v>
      </c>
      <c r="B2" s="3" t="s">
        <v>10</v>
      </c>
      <c r="C2" s="8" t="s">
        <v>9</v>
      </c>
      <c r="E2" s="5" t="s">
        <v>78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30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29</v>
      </c>
      <c r="C5" s="9" t="s">
        <v>25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32</v>
      </c>
      <c r="C7" s="9" t="s">
        <v>20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31</v>
      </c>
      <c r="C8" s="9" t="s">
        <v>26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22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27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28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23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33</v>
      </c>
      <c r="C13" s="9" t="s">
        <v>24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54</v>
      </c>
      <c r="C15" s="9" t="s">
        <v>37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60</v>
      </c>
      <c r="C18" s="9" t="s">
        <v>35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74</v>
      </c>
      <c r="C20" s="9" t="s">
        <v>52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64</v>
      </c>
      <c r="C21" s="9" t="s">
        <v>40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63</v>
      </c>
      <c r="C22" s="9" t="s">
        <v>39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65</v>
      </c>
      <c r="C23" s="9" t="s">
        <v>41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69</v>
      </c>
      <c r="C24" s="9" t="s">
        <v>47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70</v>
      </c>
      <c r="C25" s="9" t="s">
        <v>48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71</v>
      </c>
      <c r="C26" s="9" t="s">
        <v>49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62</v>
      </c>
      <c r="C27" s="9" t="s">
        <v>38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55</v>
      </c>
      <c r="C29" s="9" t="s">
        <v>34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58</v>
      </c>
      <c r="C30" s="9" t="s">
        <v>53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59</v>
      </c>
      <c r="C31" s="9" t="s">
        <v>42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56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66</v>
      </c>
      <c r="C33" s="9" t="s">
        <v>43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57</v>
      </c>
      <c r="C34" s="9" t="s">
        <v>46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67</v>
      </c>
      <c r="C36" s="9" t="s">
        <v>44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73</v>
      </c>
      <c r="C37" s="9" t="s">
        <v>51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68</v>
      </c>
      <c r="C38" s="9" t="s">
        <v>45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61</v>
      </c>
      <c r="C39" s="9" t="s">
        <v>36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72</v>
      </c>
      <c r="C40" s="9" t="s">
        <v>50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M94"/>
  <sheetViews>
    <sheetView topLeftCell="B1" workbookViewId="0">
      <pane ySplit="2" topLeftCell="A3" activePane="bottomLeft" state="frozen"/>
      <selection activeCell="B1" sqref="B1"/>
      <selection pane="bottomLeft" activeCell="H8" sqref="H8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2" bestFit="1" customWidth="1"/>
    <col min="8" max="8" width="15.5" style="26" customWidth="1"/>
    <col min="9" max="9" width="5.75" style="22" hidden="1" customWidth="1"/>
    <col min="10" max="10" width="5.25" style="22" hidden="1" customWidth="1"/>
    <col min="11" max="11" width="29.625" style="22" hidden="1" customWidth="1"/>
    <col min="12" max="12" width="6" style="22" hidden="1" customWidth="1"/>
    <col min="13" max="13" width="74.25" bestFit="1" customWidth="1"/>
  </cols>
  <sheetData>
    <row r="1" spans="1:13" s="1" customFormat="1" x14ac:dyDescent="0.25">
      <c r="A1" s="14" t="s">
        <v>79</v>
      </c>
      <c r="B1" s="31">
        <v>3</v>
      </c>
      <c r="C1" s="30" t="s">
        <v>353</v>
      </c>
      <c r="D1" s="2"/>
      <c r="E1" s="13"/>
      <c r="F1" s="13"/>
      <c r="G1" s="2"/>
      <c r="H1" s="29"/>
      <c r="I1" s="2"/>
      <c r="J1" s="2"/>
      <c r="K1" s="2"/>
      <c r="L1" s="2"/>
      <c r="M1" s="4" t="s">
        <v>8</v>
      </c>
    </row>
    <row r="2" spans="1:13" x14ac:dyDescent="0.25">
      <c r="A2" s="15">
        <f ca="1">INDIRECT(ADDRESS($B$1,3,4,1,"route"))</f>
        <v>1</v>
      </c>
      <c r="B2" s="1" t="s">
        <v>344</v>
      </c>
      <c r="C2" s="1" t="s">
        <v>342</v>
      </c>
      <c r="D2" s="1" t="s">
        <v>341</v>
      </c>
      <c r="E2" s="1" t="s">
        <v>83</v>
      </c>
      <c r="F2" s="1" t="s">
        <v>343</v>
      </c>
      <c r="G2" s="1" t="s">
        <v>333</v>
      </c>
      <c r="H2" s="1" t="s">
        <v>352</v>
      </c>
      <c r="I2" s="1" t="s">
        <v>80</v>
      </c>
      <c r="M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3" x14ac:dyDescent="0.25">
      <c r="A3" s="15" t="str">
        <f ca="1">INDIRECT(ADDRESS($B$1,2,4,1,"route"))</f>
        <v>1 Труда - КЗТШ</v>
      </c>
      <c r="B3">
        <f>ROW(B3)</f>
        <v>3</v>
      </c>
      <c r="E3" t="s">
        <v>331</v>
      </c>
      <c r="G3" s="22">
        <f>B8</f>
        <v>8</v>
      </c>
      <c r="M3" s="15" t="str">
        <f>"&lt;unit"&amp;TEXT(B3,"000")&amp;"&gt; """&amp;E3&amp;""" {d 000, n "&amp;TEXT(G3,"000")&amp;"}"</f>
        <v>&lt;unit003&gt; "Прямой" {d 000, n 008}</v>
      </c>
    </row>
    <row r="4" spans="1:13" x14ac:dyDescent="0.25">
      <c r="A4" s="15" t="str">
        <f ca="1">TEXT(INDIRECT(ADDRESS($B$1,1,4,1,"route")),"000")</f>
        <v>001</v>
      </c>
      <c r="B4">
        <f>ROW(B4)</f>
        <v>4</v>
      </c>
      <c r="E4" t="s">
        <v>332</v>
      </c>
      <c r="G4" s="22">
        <f>B46</f>
        <v>46</v>
      </c>
      <c r="M4" s="15" t="str">
        <f>"&lt;unit"&amp;TEXT(B4,"000")&amp;"&gt; """&amp;E4&amp;""" {d 000, n "&amp;TEXT(G4,"000")&amp;"}"</f>
        <v>&lt;unit004&gt; "Обратный" {d 000, n 046}</v>
      </c>
    </row>
    <row r="5" spans="1:13" x14ac:dyDescent="0.25">
      <c r="A5" s="15"/>
      <c r="M5" s="15"/>
    </row>
    <row r="6" spans="1:13" x14ac:dyDescent="0.25">
      <c r="B6">
        <f>ROW(B6)</f>
        <v>6</v>
      </c>
      <c r="E6" s="23" t="s">
        <v>334</v>
      </c>
      <c r="F6" s="23"/>
      <c r="G6" s="22">
        <f>B8</f>
        <v>8</v>
      </c>
      <c r="M6" s="15" t="str">
        <f>"&lt;unit"&amp;TEXT(B6,"000")&amp;"&gt; """&amp;E6&amp;""" {d 000, n "&amp;TEXT(G6,"000")&amp;"}"</f>
        <v>&lt;unit006&gt; "----- Прямой -----" {d 000, n 008}</v>
      </c>
    </row>
    <row r="7" spans="1:13" x14ac:dyDescent="0.25">
      <c r="M7" s="15"/>
    </row>
    <row r="8" spans="1:13" x14ac:dyDescent="0.25">
      <c r="B8">
        <f>ROW(B8)</f>
        <v>8</v>
      </c>
      <c r="C8" t="s">
        <v>83</v>
      </c>
      <c r="D8" t="str">
        <f>IF(J8="c 900","&gt;&gt;","")</f>
        <v/>
      </c>
      <c r="E8" t="s">
        <v>286</v>
      </c>
      <c r="G8" s="22">
        <f t="shared" ref="G8:G41" si="0">B9</f>
        <v>9</v>
      </c>
      <c r="H8" s="26" t="s">
        <v>286</v>
      </c>
      <c r="I8" s="22" t="str">
        <f>IFERROR("p "&amp;VLOOKUP(H8,Tablo_Tab,2,FALSE),"")</f>
        <v>p 059</v>
      </c>
      <c r="J8" s="22" t="str">
        <f>IFERROR("c "&amp;VLOOKUP(C8,Punkti,2,FALSE),"")</f>
        <v>c 902</v>
      </c>
      <c r="K8" s="26" t="str">
        <f>IFERROR(VLOOKUP(E8,Ostanovki,7,FALSE),"")</f>
        <v>c 928, v "\mp3_ost\truda.mp3"</v>
      </c>
      <c r="L8" s="22" t="str">
        <f>IFERROR("c "&amp;VLOOKUP(F8,Punkti,2,FALSE),"")</f>
        <v/>
      </c>
      <c r="M8" s="15" t="str">
        <f>"&lt;unit"&amp;TEXT(B8,"000")&amp;"&gt; """&amp;СцепитьМного(D8:E8,"")&amp;""" {"&amp;СцепитьМного(I8:L8,", ")&amp;", d 000, n "&amp;TEXT(G8,"000")&amp;"}"</f>
        <v>&lt;unit008&gt; "ул.Труда" {p 059, c 902, c 928, v "\mp3_ost\truda.mp3", d 000, n 009}</v>
      </c>
    </row>
    <row r="9" spans="1:13" x14ac:dyDescent="0.25">
      <c r="B9">
        <f t="shared" ref="B9:B42" si="1">ROW(B9)</f>
        <v>9</v>
      </c>
      <c r="C9" t="s">
        <v>338</v>
      </c>
      <c r="D9" t="str">
        <f>IF(J9="c 900","&gt;&gt;","")</f>
        <v>&gt;&gt;</v>
      </c>
      <c r="E9" t="s">
        <v>207</v>
      </c>
      <c r="G9" s="22">
        <f t="shared" si="0"/>
        <v>10</v>
      </c>
      <c r="H9" s="26" t="s">
        <v>207</v>
      </c>
      <c r="I9" s="22" t="str">
        <f>IFERROR("p "&amp;VLOOKUP(H9,Tablo_Tab,2,FALSE),"")</f>
        <v/>
      </c>
      <c r="J9" s="22" t="str">
        <f>IFERROR("c "&amp;VLOOKUP(C9,Punkti,2,FALSE),"")</f>
        <v>c 900</v>
      </c>
      <c r="K9" s="26" t="str">
        <f>IFERROR(VLOOKUP(E9,Ostanovki,7,FALSE),"")</f>
        <v>v "\mp3_ost\elseti.mp3"</v>
      </c>
      <c r="L9" s="22" t="str">
        <f>IFERROR("c "&amp;VLOOKUP(F9,Punkti,2,FALSE),"")</f>
        <v/>
      </c>
      <c r="M9" s="15" t="str">
        <f>"&lt;unit"&amp;TEXT(B9,"000")&amp;"&gt; """&amp;СцепитьМного(D9:E9,"")&amp;""" {"&amp;СцепитьМного(I9:L9,", ")&amp;", d 000, n "&amp;TEXT(G9,"000")&amp;"}"</f>
        <v>&lt;unit009&gt; "&gt;&gt;Электросети" {c 900, v "\mp3_ost\elseti.mp3", d 000, n 010}</v>
      </c>
    </row>
    <row r="10" spans="1:13" x14ac:dyDescent="0.25">
      <c r="B10">
        <f t="shared" si="1"/>
        <v>10</v>
      </c>
      <c r="C10" t="s">
        <v>83</v>
      </c>
      <c r="D10" t="str">
        <f t="shared" ref="D10:D42" si="2">IF(J10="c 900","&gt;&gt;","")</f>
        <v/>
      </c>
      <c r="E10" t="s">
        <v>207</v>
      </c>
      <c r="G10" s="22">
        <f t="shared" si="0"/>
        <v>11</v>
      </c>
      <c r="H10" s="26" t="s">
        <v>207</v>
      </c>
      <c r="I10" s="22" t="str">
        <f>IFERROR("p "&amp;VLOOKUP(H10,Tablo_Tab,2,FALSE),"")</f>
        <v/>
      </c>
      <c r="J10" s="22" t="str">
        <f>IFERROR("c "&amp;VLOOKUP(C10,Punkti,2,FALSE),"")</f>
        <v>c 902</v>
      </c>
      <c r="K10" s="26" t="str">
        <f>IFERROR(VLOOKUP(E10,Ostanovki,7,FALSE),"")</f>
        <v>v "\mp3_ost\elseti.mp3"</v>
      </c>
      <c r="L10" s="22" t="str">
        <f>IFERROR("c "&amp;VLOOKUP(F10,Punkti,2,FALSE),"")</f>
        <v/>
      </c>
      <c r="M10" s="15" t="str">
        <f>"&lt;unit"&amp;TEXT(B10,"000")&amp;"&gt; """&amp;СцепитьМного(D10:E10,"")&amp;""" {"&amp;СцепитьМного(I10:L10,", ")&amp;", d 000, n "&amp;TEXT(G10,"000")&amp;"}"</f>
        <v>&lt;unit010&gt; "Электросети" {c 902, v "\mp3_ost\elseti.mp3", d 000, n 011}</v>
      </c>
    </row>
    <row r="11" spans="1:13" x14ac:dyDescent="0.25">
      <c r="B11">
        <f t="shared" si="1"/>
        <v>11</v>
      </c>
      <c r="C11" t="s">
        <v>338</v>
      </c>
      <c r="D11" t="str">
        <f t="shared" si="2"/>
        <v>&gt;&gt;</v>
      </c>
      <c r="E11" t="s">
        <v>278</v>
      </c>
      <c r="G11" s="22">
        <f t="shared" si="0"/>
        <v>12</v>
      </c>
      <c r="H11" s="26" t="s">
        <v>278</v>
      </c>
      <c r="I11" s="22" t="str">
        <f>IFERROR("p "&amp;VLOOKUP(H11,Tablo_Tab,2,FALSE),"")</f>
        <v>p 046</v>
      </c>
      <c r="J11" s="22" t="str">
        <f>IFERROR("c "&amp;VLOOKUP(C11,Punkti,2,FALSE),"")</f>
        <v>c 900</v>
      </c>
      <c r="K11" s="26" t="str">
        <f>IFERROR(VLOOKUP(E11,Ostanovki,7,FALSE),"")</f>
        <v>c 928, v "\mp3_ost\kupriyan.mp3"</v>
      </c>
      <c r="L11" s="22" t="str">
        <f>IFERROR("c "&amp;VLOOKUP(F11,Punkti,2,FALSE),"")</f>
        <v/>
      </c>
      <c r="M11" s="15" t="str">
        <f>"&lt;unit"&amp;TEXT(B11,"000")&amp;"&gt; """&amp;СцепитьМного(D11:E11,"")&amp;""" {"&amp;СцепитьМного(I11:L11,", ")&amp;", d 000, n "&amp;TEXT(G11,"000")&amp;"}"</f>
        <v>&lt;unit011&gt; "&gt;&gt;ул.Куприянова" {p 046, c 900, c 928, v "\mp3_ost\kupriyan.mp3", d 000, n 012}</v>
      </c>
    </row>
    <row r="12" spans="1:13" x14ac:dyDescent="0.25">
      <c r="B12">
        <f t="shared" si="1"/>
        <v>12</v>
      </c>
      <c r="C12" t="s">
        <v>83</v>
      </c>
      <c r="D12" t="str">
        <f t="shared" si="2"/>
        <v/>
      </c>
      <c r="E12" t="s">
        <v>278</v>
      </c>
      <c r="G12" s="22">
        <f t="shared" si="0"/>
        <v>13</v>
      </c>
      <c r="H12" s="26" t="s">
        <v>278</v>
      </c>
      <c r="I12" s="22" t="str">
        <f>IFERROR("p "&amp;VLOOKUP(H12,Tablo_Tab,2,FALSE),"")</f>
        <v>p 046</v>
      </c>
      <c r="J12" s="22" t="str">
        <f>IFERROR("c "&amp;VLOOKUP(C12,Punkti,2,FALSE),"")</f>
        <v>c 902</v>
      </c>
      <c r="K12" s="26" t="str">
        <f>IFERROR(VLOOKUP(E12,Ostanovki,7,FALSE),"")</f>
        <v>c 928, v "\mp3_ost\kupriyan.mp3"</v>
      </c>
      <c r="L12" s="22" t="str">
        <f>IFERROR("c "&amp;VLOOKUP(F12,Punkti,2,FALSE),"")</f>
        <v/>
      </c>
      <c r="M12" s="15" t="str">
        <f>"&lt;unit"&amp;TEXT(B12,"000")&amp;"&gt; """&amp;СцепитьМного(D12:E12,"")&amp;""" {"&amp;СцепитьМного(I12:L12,", ")&amp;", d 000, n "&amp;TEXT(G12,"000")&amp;"}"</f>
        <v>&lt;unit012&gt; "ул.Куприянова" {p 046, c 902, c 928, v "\mp3_ost\kupriyan.mp3", d 000, n 013}</v>
      </c>
    </row>
    <row r="13" spans="1:13" x14ac:dyDescent="0.25">
      <c r="B13">
        <f t="shared" si="1"/>
        <v>13</v>
      </c>
      <c r="C13" t="s">
        <v>338</v>
      </c>
      <c r="D13" t="str">
        <f t="shared" si="2"/>
        <v>&gt;&gt;</v>
      </c>
      <c r="E13" t="s">
        <v>259</v>
      </c>
      <c r="G13" s="22">
        <f t="shared" si="0"/>
        <v>14</v>
      </c>
      <c r="H13" t="s">
        <v>259</v>
      </c>
      <c r="I13" s="22" t="str">
        <f>IFERROR("p "&amp;VLOOKUP(H13,Tablo_Tab,2,FALSE),"")</f>
        <v>p 037</v>
      </c>
      <c r="J13" s="22" t="str">
        <f>IFERROR("c "&amp;VLOOKUP(C13,Punkti,2,FALSE),"")</f>
        <v>c 900</v>
      </c>
      <c r="K13" s="26" t="str">
        <f>IFERROR(VLOOKUP(E13,Ostanovki,7,FALSE),"")</f>
        <v>v "\mp3_ost\tec.mp3"</v>
      </c>
      <c r="L13" s="22" t="str">
        <f>IFERROR("c "&amp;VLOOKUP(F13,Punkti,2,FALSE),"")</f>
        <v/>
      </c>
      <c r="M13" s="15" t="str">
        <f>"&lt;unit"&amp;TEXT(B13,"000")&amp;"&gt; """&amp;СцепитьМного(D13:E13,"")&amp;""" {"&amp;СцепитьМного(I13:L13,", ")&amp;", d 000, n "&amp;TEXT(G13,"000")&amp;"}"</f>
        <v>&lt;unit013&gt; "&gt;&gt;ТЭЦ" {p 037, c 900, v "\mp3_ost\tec.mp3", d 000, n 014}</v>
      </c>
    </row>
    <row r="14" spans="1:13" x14ac:dyDescent="0.25">
      <c r="B14">
        <f t="shared" si="1"/>
        <v>14</v>
      </c>
      <c r="C14" t="s">
        <v>83</v>
      </c>
      <c r="D14" t="str">
        <f t="shared" si="2"/>
        <v/>
      </c>
      <c r="E14" t="s">
        <v>259</v>
      </c>
      <c r="G14" s="22">
        <f t="shared" si="0"/>
        <v>15</v>
      </c>
      <c r="H14" t="s">
        <v>259</v>
      </c>
      <c r="I14" s="22" t="str">
        <f>IFERROR("p "&amp;VLOOKUP(H14,Tablo_Tab,2,FALSE),"")</f>
        <v>p 037</v>
      </c>
      <c r="J14" s="22" t="str">
        <f>IFERROR("c "&amp;VLOOKUP(C14,Punkti,2,FALSE),"")</f>
        <v>c 902</v>
      </c>
      <c r="K14" s="26" t="str">
        <f>IFERROR(VLOOKUP(E14,Ostanovki,7,FALSE),"")</f>
        <v>v "\mp3_ost\tec.mp3"</v>
      </c>
      <c r="L14" s="22" t="str">
        <f>IFERROR("c "&amp;VLOOKUP(F14,Punkti,2,FALSE),"")</f>
        <v/>
      </c>
      <c r="M14" s="15" t="str">
        <f>"&lt;unit"&amp;TEXT(B14,"000")&amp;"&gt; """&amp;СцепитьМного(D14:E14,"")&amp;""" {"&amp;СцепитьМного(I14:L14,", ")&amp;", d 000, n "&amp;TEXT(G14,"000")&amp;"}"</f>
        <v>&lt;unit014&gt; "ТЭЦ" {p 037, c 902, v "\mp3_ost\tec.mp3", d 000, n 015}</v>
      </c>
    </row>
    <row r="15" spans="1:13" x14ac:dyDescent="0.25">
      <c r="B15">
        <f t="shared" si="1"/>
        <v>15</v>
      </c>
      <c r="C15" t="s">
        <v>338</v>
      </c>
      <c r="D15" t="str">
        <f t="shared" si="2"/>
        <v>&gt;&gt;</v>
      </c>
      <c r="E15" t="s">
        <v>268</v>
      </c>
      <c r="G15" s="22">
        <f t="shared" si="0"/>
        <v>16</v>
      </c>
      <c r="I15" s="22" t="str">
        <f>IFERROR("p "&amp;VLOOKUP(H15,Tablo_Tab,2,FALSE),"")</f>
        <v/>
      </c>
      <c r="J15" s="22" t="str">
        <f>IFERROR("c "&amp;VLOOKUP(C15,Punkti,2,FALSE),"")</f>
        <v>c 900</v>
      </c>
      <c r="K15" s="26" t="str">
        <f>IFERROR(VLOOKUP(E15,Ostanovki,7,FALSE),"")</f>
        <v>v "\mp3_ost\yunost`.mp3"</v>
      </c>
      <c r="L15" s="22" t="str">
        <f>IFERROR("c "&amp;VLOOKUP(F15,Punkti,2,FALSE),"")</f>
        <v/>
      </c>
      <c r="M15" s="15" t="str">
        <f>"&lt;unit"&amp;TEXT(B15,"000")&amp;"&gt; """&amp;СцепитьМного(D15:E15,"")&amp;""" {"&amp;СцепитьМного(I15:L15,", ")&amp;", d 000, n "&amp;TEXT(G15,"000")&amp;"}"</f>
        <v>&lt;unit015&gt; "&gt;&gt;к/т Юность" {c 900, v "\mp3_ost\yunost`.mp3", d 000, n 016}</v>
      </c>
    </row>
    <row r="16" spans="1:13" x14ac:dyDescent="0.25">
      <c r="B16">
        <f t="shared" si="1"/>
        <v>16</v>
      </c>
      <c r="C16" t="s">
        <v>83</v>
      </c>
      <c r="D16" t="str">
        <f t="shared" si="2"/>
        <v/>
      </c>
      <c r="E16" t="s">
        <v>268</v>
      </c>
      <c r="G16" s="22">
        <f t="shared" si="0"/>
        <v>17</v>
      </c>
      <c r="I16" s="22" t="str">
        <f>IFERROR("p "&amp;VLOOKUP(H16,Tablo_Tab,2,FALSE),"")</f>
        <v/>
      </c>
      <c r="J16" s="22" t="str">
        <f>IFERROR("c "&amp;VLOOKUP(C16,Punkti,2,FALSE),"")</f>
        <v>c 902</v>
      </c>
      <c r="K16" s="26" t="str">
        <f>IFERROR(VLOOKUP(E16,Ostanovki,7,FALSE),"")</f>
        <v>v "\mp3_ost\yunost`.mp3"</v>
      </c>
      <c r="L16" s="22" t="str">
        <f>IFERROR("c "&amp;VLOOKUP(F16,Punkti,2,FALSE),"")</f>
        <v/>
      </c>
      <c r="M16" s="15" t="str">
        <f>"&lt;unit"&amp;TEXT(B16,"000")&amp;"&gt; """&amp;СцепитьМного(D16:E16,"")&amp;""" {"&amp;СцепитьМного(I16:L16,", ")&amp;", d 000, n "&amp;TEXT(G16,"000")&amp;"}"</f>
        <v>&lt;unit016&gt; "к/т Юность" {c 902, v "\mp3_ost\yunost`.mp3", d 000, n 017}</v>
      </c>
    </row>
    <row r="17" spans="2:13" x14ac:dyDescent="0.25">
      <c r="B17">
        <f t="shared" si="1"/>
        <v>17</v>
      </c>
      <c r="C17" t="s">
        <v>338</v>
      </c>
      <c r="D17" t="str">
        <f t="shared" si="2"/>
        <v>&gt;&gt;</v>
      </c>
      <c r="E17" t="s">
        <v>168</v>
      </c>
      <c r="G17" s="22">
        <f t="shared" si="0"/>
        <v>18</v>
      </c>
      <c r="I17" s="22" t="str">
        <f>IFERROR("p "&amp;VLOOKUP(H17,Tablo_Tab,2,FALSE),"")</f>
        <v/>
      </c>
      <c r="J17" s="22" t="str">
        <f>IFERROR("c "&amp;VLOOKUP(C17,Punkti,2,FALSE),"")</f>
        <v>c 900</v>
      </c>
      <c r="K17" s="26" t="str">
        <f>IFERROR(VLOOKUP(E17,Ostanovki,7,FALSE),"")</f>
        <v>v "\mp3_ost\jd.mp3"</v>
      </c>
      <c r="L17" s="22" t="str">
        <f>IFERROR("c "&amp;VLOOKUP(F17,Punkti,2,FALSE),"")</f>
        <v/>
      </c>
      <c r="M17" s="15" t="str">
        <f>"&lt;unit"&amp;TEXT(B17,"000")&amp;"&gt; """&amp;СцепитьМного(D17:E17,"")&amp;""" {"&amp;СцепитьМного(I17:L17,", ")&amp;", d 000, n "&amp;TEXT(G17,"000")&amp;"}"</f>
        <v>&lt;unit017&gt; "&gt;&gt;ЖД Вокзал" {c 900, v "\mp3_ost\jd.mp3", d 000, n 018}</v>
      </c>
    </row>
    <row r="18" spans="2:13" x14ac:dyDescent="0.25">
      <c r="B18">
        <f t="shared" si="1"/>
        <v>18</v>
      </c>
      <c r="C18" t="s">
        <v>83</v>
      </c>
      <c r="D18" t="str">
        <f t="shared" si="2"/>
        <v/>
      </c>
      <c r="E18" t="s">
        <v>168</v>
      </c>
      <c r="G18" s="22">
        <f t="shared" si="0"/>
        <v>19</v>
      </c>
      <c r="I18" s="22" t="str">
        <f>IFERROR("p "&amp;VLOOKUP(H18,Tablo_Tab,2,FALSE),"")</f>
        <v/>
      </c>
      <c r="J18" s="22" t="str">
        <f>IFERROR("c "&amp;VLOOKUP(C18,Punkti,2,FALSE),"")</f>
        <v>c 902</v>
      </c>
      <c r="K18" s="26" t="str">
        <f>IFERROR(VLOOKUP(E18,Ostanovki,7,FALSE),"")</f>
        <v>v "\mp3_ost\jd.mp3"</v>
      </c>
      <c r="L18" s="22" t="str">
        <f>IFERROR("c "&amp;VLOOKUP(F18,Punkti,2,FALSE),"")</f>
        <v/>
      </c>
      <c r="M18" s="15" t="str">
        <f>"&lt;unit"&amp;TEXT(B18,"000")&amp;"&gt; """&amp;СцепитьМного(D18:E18,"")&amp;""" {"&amp;СцепитьМного(I18:L18,", ")&amp;", d 000, n "&amp;TEXT(G18,"000")&amp;"}"</f>
        <v>&lt;unit018&gt; "ЖД Вокзал" {c 902, v "\mp3_ost\jd.mp3", d 000, n 019}</v>
      </c>
    </row>
    <row r="19" spans="2:13" x14ac:dyDescent="0.25">
      <c r="B19">
        <f t="shared" si="1"/>
        <v>19</v>
      </c>
      <c r="C19" t="s">
        <v>338</v>
      </c>
      <c r="D19" t="str">
        <f t="shared" si="2"/>
        <v>&gt;&gt;</v>
      </c>
      <c r="E19" t="s">
        <v>171</v>
      </c>
      <c r="G19" s="22">
        <f t="shared" si="0"/>
        <v>20</v>
      </c>
      <c r="I19" s="22" t="str">
        <f>IFERROR("p "&amp;VLOOKUP(H19,Tablo_Tab,2,FALSE),"")</f>
        <v/>
      </c>
      <c r="J19" s="22" t="str">
        <f>IFERROR("c "&amp;VLOOKUP(C19,Punkti,2,FALSE),"")</f>
        <v>c 900</v>
      </c>
      <c r="K19" s="26" t="str">
        <f>IFERROR(VLOOKUP(E19,Ostanovki,7,FALSE),"")</f>
        <v>c 928, v "\mp3_ost\partizan.mp3"</v>
      </c>
      <c r="L19" s="22" t="str">
        <f>IFERROR("c "&amp;VLOOKUP(F19,Punkti,2,FALSE),"")</f>
        <v/>
      </c>
      <c r="M19" s="15" t="str">
        <f>"&lt;unit"&amp;TEXT(B19,"000")&amp;"&gt; """&amp;СцепитьМного(D19:E19,"")&amp;""" {"&amp;СцепитьМного(I19:L19,", ")&amp;", d 000, n "&amp;TEXT(G19,"000")&amp;"}"</f>
        <v>&lt;unit019&gt; "&gt;&gt;ул.Партизанская" {c 900, c 928, v "\mp3_ost\partizan.mp3", d 000, n 020}</v>
      </c>
    </row>
    <row r="20" spans="2:13" x14ac:dyDescent="0.25">
      <c r="B20">
        <f t="shared" si="1"/>
        <v>20</v>
      </c>
      <c r="C20" t="s">
        <v>83</v>
      </c>
      <c r="D20" t="str">
        <f t="shared" si="2"/>
        <v/>
      </c>
      <c r="E20" t="s">
        <v>171</v>
      </c>
      <c r="G20" s="22">
        <f t="shared" si="0"/>
        <v>21</v>
      </c>
      <c r="I20" s="22" t="str">
        <f>IFERROR("p "&amp;VLOOKUP(H20,Tablo_Tab,2,FALSE),"")</f>
        <v/>
      </c>
      <c r="J20" s="22" t="str">
        <f>IFERROR("c "&amp;VLOOKUP(C20,Punkti,2,FALSE),"")</f>
        <v>c 902</v>
      </c>
      <c r="K20" s="26" t="str">
        <f>IFERROR(VLOOKUP(E20,Ostanovki,7,FALSE),"")</f>
        <v>c 928, v "\mp3_ost\partizan.mp3"</v>
      </c>
      <c r="L20" s="22" t="str">
        <f>IFERROR("c "&amp;VLOOKUP(F20,Punkti,2,FALSE),"")</f>
        <v/>
      </c>
      <c r="M20" s="15" t="str">
        <f>"&lt;unit"&amp;TEXT(B20,"000")&amp;"&gt; """&amp;СцепитьМного(D20:E20,"")&amp;""" {"&amp;СцепитьМного(I20:L20,", ")&amp;", d 000, n "&amp;TEXT(G20,"000")&amp;"}"</f>
        <v>&lt;unit020&gt; "ул.Партизанская" {c 902, c 928, v "\mp3_ost\partizan.mp3", d 000, n 021}</v>
      </c>
    </row>
    <row r="21" spans="2:13" x14ac:dyDescent="0.25">
      <c r="B21">
        <f t="shared" si="1"/>
        <v>21</v>
      </c>
      <c r="C21" t="s">
        <v>338</v>
      </c>
      <c r="D21" t="str">
        <f t="shared" si="2"/>
        <v>&gt;&gt;</v>
      </c>
      <c r="E21" t="s">
        <v>170</v>
      </c>
      <c r="G21" s="22">
        <f t="shared" si="0"/>
        <v>22</v>
      </c>
      <c r="I21" s="22" t="str">
        <f>IFERROR("p "&amp;VLOOKUP(H21,Tablo_Tab,2,FALSE),"")</f>
        <v/>
      </c>
      <c r="J21" s="22" t="str">
        <f>IFERROR("c "&amp;VLOOKUP(C21,Punkti,2,FALSE),"")</f>
        <v>c 900</v>
      </c>
      <c r="K21" s="26" t="str">
        <f>IFERROR(VLOOKUP(E21,Ostanovki,7,FALSE),"")</f>
        <v>c 928, v "\mp3_ost\moskovsk.mp3"</v>
      </c>
      <c r="L21" s="22" t="str">
        <f>IFERROR("c "&amp;VLOOKUP(F21,Punkti,2,FALSE),"")</f>
        <v/>
      </c>
      <c r="M21" s="15" t="str">
        <f>"&lt;unit"&amp;TEXT(B21,"000")&amp;"&gt; """&amp;СцепитьМного(D21:E21,"")&amp;""" {"&amp;СцепитьМного(I21:L21,", ")&amp;", d 000, n "&amp;TEXT(G21,"000")&amp;"}"</f>
        <v>&lt;unit021&gt; "&gt;&gt;ул.Московская" {c 900, c 928, v "\mp3_ost\moskovsk.mp3", d 000, n 022}</v>
      </c>
    </row>
    <row r="22" spans="2:13" x14ac:dyDescent="0.25">
      <c r="B22">
        <f t="shared" si="1"/>
        <v>22</v>
      </c>
      <c r="C22" t="s">
        <v>83</v>
      </c>
      <c r="D22" t="str">
        <f t="shared" si="2"/>
        <v/>
      </c>
      <c r="E22" t="s">
        <v>170</v>
      </c>
      <c r="G22" s="22">
        <f t="shared" si="0"/>
        <v>23</v>
      </c>
      <c r="I22" s="22" t="str">
        <f>IFERROR("p "&amp;VLOOKUP(H22,Tablo_Tab,2,FALSE),"")</f>
        <v/>
      </c>
      <c r="J22" s="22" t="str">
        <f>IFERROR("c "&amp;VLOOKUP(C22,Punkti,2,FALSE),"")</f>
        <v>c 902</v>
      </c>
      <c r="K22" s="26" t="str">
        <f>IFERROR(VLOOKUP(E22,Ostanovki,7,FALSE),"")</f>
        <v>c 928, v "\mp3_ost\moskovsk.mp3"</v>
      </c>
      <c r="L22" s="22" t="str">
        <f>IFERROR("c "&amp;VLOOKUP(F22,Punkti,2,FALSE),"")</f>
        <v/>
      </c>
      <c r="M22" s="15" t="str">
        <f>"&lt;unit"&amp;TEXT(B22,"000")&amp;"&gt; """&amp;СцепитьМного(D22:E22,"")&amp;""" {"&amp;СцепитьМного(I22:L22,", ")&amp;", d 000, n "&amp;TEXT(G22,"000")&amp;"}"</f>
        <v>&lt;unit022&gt; "ул.Московская" {c 902, c 928, v "\mp3_ost\moskovsk.mp3", d 000, n 023}</v>
      </c>
    </row>
    <row r="23" spans="2:13" x14ac:dyDescent="0.25">
      <c r="B23">
        <f t="shared" si="1"/>
        <v>23</v>
      </c>
      <c r="C23" t="s">
        <v>338</v>
      </c>
      <c r="D23" t="str">
        <f t="shared" si="2"/>
        <v>&gt;&gt;</v>
      </c>
      <c r="E23" t="s">
        <v>172</v>
      </c>
      <c r="G23" s="22">
        <f t="shared" si="0"/>
        <v>24</v>
      </c>
      <c r="I23" s="22" t="str">
        <f>IFERROR("p "&amp;VLOOKUP(H23,Tablo_Tab,2,FALSE),"")</f>
        <v/>
      </c>
      <c r="J23" s="22" t="str">
        <f>IFERROR("c "&amp;VLOOKUP(C23,Punkti,2,FALSE),"")</f>
        <v>c 900</v>
      </c>
      <c r="K23" s="26" t="str">
        <f>IFERROR(VLOOKUP(E23,Ostanovki,7,FALSE),"")</f>
        <v>c 928, v "\mp3_ost\swrokvas.mp3"</v>
      </c>
      <c r="L23" s="22" t="str">
        <f>IFERROR("c "&amp;VLOOKUP(F23,Punkti,2,FALSE),"")</f>
        <v/>
      </c>
      <c r="M23" s="15" t="str">
        <f>"&lt;unit"&amp;TEXT(B23,"000")&amp;"&gt; """&amp;СцепитьМного(D23:E23,"")&amp;""" {"&amp;СцепитьМного(I23:L23,", ")&amp;", d 000, n "&amp;TEXT(G23,"000")&amp;"}"</f>
        <v>&lt;unit023&gt; "&gt;&gt;ул.Сырокваша" {c 900, c 928, v "\mp3_ost\swrokvas.mp3", d 000, n 024}</v>
      </c>
    </row>
    <row r="24" spans="2:13" x14ac:dyDescent="0.25">
      <c r="B24">
        <f t="shared" si="1"/>
        <v>24</v>
      </c>
      <c r="C24" t="s">
        <v>83</v>
      </c>
      <c r="D24" t="str">
        <f t="shared" si="2"/>
        <v/>
      </c>
      <c r="E24" t="s">
        <v>172</v>
      </c>
      <c r="G24" s="22">
        <f t="shared" si="0"/>
        <v>25</v>
      </c>
      <c r="I24" s="22" t="str">
        <f>IFERROR("p "&amp;VLOOKUP(H24,Tablo_Tab,2,FALSE),"")</f>
        <v/>
      </c>
      <c r="J24" s="22" t="str">
        <f>IFERROR("c "&amp;VLOOKUP(C24,Punkti,2,FALSE),"")</f>
        <v>c 902</v>
      </c>
      <c r="K24" s="26" t="str">
        <f>IFERROR(VLOOKUP(E24,Ostanovki,7,FALSE),"")</f>
        <v>c 928, v "\mp3_ost\swrokvas.mp3"</v>
      </c>
      <c r="L24" s="22" t="str">
        <f>IFERROR("c "&amp;VLOOKUP(F24,Punkti,2,FALSE),"")</f>
        <v/>
      </c>
      <c r="M24" s="15" t="str">
        <f>"&lt;unit"&amp;TEXT(B24,"000")&amp;"&gt; """&amp;СцепитьМного(D24:E24,"")&amp;""" {"&amp;СцепитьМного(I24:L24,", ")&amp;", d 000, n "&amp;TEXT(G24,"000")&amp;"}"</f>
        <v>&lt;unit024&gt; "ул.Сырокваша" {c 902, c 928, v "\mp3_ost\swrokvas.mp3", d 000, n 025}</v>
      </c>
    </row>
    <row r="25" spans="2:13" x14ac:dyDescent="0.25">
      <c r="B25">
        <f t="shared" si="1"/>
        <v>25</v>
      </c>
      <c r="C25" t="s">
        <v>338</v>
      </c>
      <c r="D25" t="str">
        <f t="shared" si="2"/>
        <v>&gt;&gt;</v>
      </c>
      <c r="E25" t="s">
        <v>173</v>
      </c>
      <c r="G25" s="22">
        <f t="shared" si="0"/>
        <v>26</v>
      </c>
      <c r="I25" s="22" t="str">
        <f>IFERROR("p "&amp;VLOOKUP(H25,Tablo_Tab,2,FALSE),"")</f>
        <v/>
      </c>
      <c r="J25" s="22" t="str">
        <f>IFERROR("c "&amp;VLOOKUP(C25,Punkti,2,FALSE),"")</f>
        <v>c 900</v>
      </c>
      <c r="K25" s="26" t="str">
        <f>IFERROR(VLOOKUP(E25,Ostanovki,7,FALSE),"")</f>
        <v>v "\mp3_ost\mira.mp3"</v>
      </c>
      <c r="L25" s="22" t="str">
        <f>IFERROR("c "&amp;VLOOKUP(F25,Punkti,2,FALSE),"")</f>
        <v/>
      </c>
      <c r="M25" s="15" t="str">
        <f>"&lt;unit"&amp;TEXT(B25,"000")&amp;"&gt; """&amp;СцепитьМного(D25:E25,"")&amp;""" {"&amp;СцепитьМного(I25:L25,", ")&amp;", d 000, n "&amp;TEXT(G25,"000")&amp;"}"</f>
        <v>&lt;unit025&gt; "&gt;&gt;пр-т Мира" {c 900, v "\mp3_ost\mira.mp3", d 000, n 026}</v>
      </c>
    </row>
    <row r="26" spans="2:13" x14ac:dyDescent="0.25">
      <c r="B26">
        <f t="shared" si="1"/>
        <v>26</v>
      </c>
      <c r="C26" t="s">
        <v>83</v>
      </c>
      <c r="D26" t="str">
        <f t="shared" si="2"/>
        <v/>
      </c>
      <c r="E26" t="s">
        <v>173</v>
      </c>
      <c r="G26" s="22">
        <f t="shared" si="0"/>
        <v>27</v>
      </c>
      <c r="I26" s="22" t="str">
        <f>IFERROR("p "&amp;VLOOKUP(H26,Tablo_Tab,2,FALSE),"")</f>
        <v/>
      </c>
      <c r="J26" s="22" t="str">
        <f>IFERROR("c "&amp;VLOOKUP(C26,Punkti,2,FALSE),"")</f>
        <v>c 902</v>
      </c>
      <c r="K26" s="26" t="str">
        <f>IFERROR(VLOOKUP(E26,Ostanovki,7,FALSE),"")</f>
        <v>v "\mp3_ost\mira.mp3"</v>
      </c>
      <c r="L26" s="22" t="str">
        <f>IFERROR("c "&amp;VLOOKUP(F26,Punkti,2,FALSE),"")</f>
        <v/>
      </c>
      <c r="M26" s="15" t="str">
        <f>"&lt;unit"&amp;TEXT(B26,"000")&amp;"&gt; """&amp;СцепитьМного(D26:E26,"")&amp;""" {"&amp;СцепитьМного(I26:L26,", ")&amp;", d 000, n "&amp;TEXT(G26,"000")&amp;"}"</f>
        <v>&lt;unit026&gt; "пр-т Мира" {c 902, v "\mp3_ost\mira.mp3", d 000, n 027}</v>
      </c>
    </row>
    <row r="27" spans="2:13" x14ac:dyDescent="0.25">
      <c r="B27">
        <f t="shared" si="1"/>
        <v>27</v>
      </c>
      <c r="C27" t="s">
        <v>338</v>
      </c>
      <c r="D27" t="str">
        <f t="shared" si="2"/>
        <v>&gt;&gt;</v>
      </c>
      <c r="E27" t="s">
        <v>273</v>
      </c>
      <c r="G27" s="22">
        <f t="shared" si="0"/>
        <v>28</v>
      </c>
      <c r="I27" s="22" t="str">
        <f>IFERROR("p "&amp;VLOOKUP(H27,Tablo_Tab,2,FALSE),"")</f>
        <v/>
      </c>
      <c r="J27" s="22" t="str">
        <f>IFERROR("c "&amp;VLOOKUP(C27,Punkti,2,FALSE),"")</f>
        <v>c 900</v>
      </c>
      <c r="K27" s="26" t="str">
        <f>IFERROR(VLOOKUP(E27,Ostanovki,7,FALSE),"")</f>
        <v>c 928, v "\mp3_ost\50letokt.mp3"</v>
      </c>
      <c r="L27" s="22" t="str">
        <f>IFERROR("c "&amp;VLOOKUP(F27,Punkti,2,FALSE),"")</f>
        <v/>
      </c>
      <c r="M27" s="15" t="str">
        <f>"&lt;unit"&amp;TEXT(B27,"000")&amp;"&gt; """&amp;СцепитьМного(D27:E27,"")&amp;""" {"&amp;СцепитьМного(I27:L27,", ")&amp;", d 000, n "&amp;TEXT(G27,"000")&amp;"}"</f>
        <v>&lt;unit027&gt; "&gt;&gt;ул.50 лет Октяб." {c 900, c 928, v "\mp3_ost\50letokt.mp3", d 000, n 028}</v>
      </c>
    </row>
    <row r="28" spans="2:13" x14ac:dyDescent="0.25">
      <c r="B28">
        <f t="shared" si="1"/>
        <v>28</v>
      </c>
      <c r="C28" t="s">
        <v>83</v>
      </c>
      <c r="D28" t="str">
        <f t="shared" si="2"/>
        <v/>
      </c>
      <c r="E28" t="s">
        <v>273</v>
      </c>
      <c r="G28" s="22">
        <f t="shared" si="0"/>
        <v>29</v>
      </c>
      <c r="I28" s="22" t="str">
        <f>IFERROR("p "&amp;VLOOKUP(H28,Tablo_Tab,2,FALSE),"")</f>
        <v/>
      </c>
      <c r="J28" s="22" t="str">
        <f>IFERROR("c "&amp;VLOOKUP(C28,Punkti,2,FALSE),"")</f>
        <v>c 902</v>
      </c>
      <c r="K28" s="26" t="str">
        <f>IFERROR(VLOOKUP(E28,Ostanovki,7,FALSE),"")</f>
        <v>c 928, v "\mp3_ost\50letokt.mp3"</v>
      </c>
      <c r="L28" s="22" t="str">
        <f>IFERROR("c "&amp;VLOOKUP(F28,Punkti,2,FALSE),"")</f>
        <v/>
      </c>
      <c r="M28" s="15" t="str">
        <f>"&lt;unit"&amp;TEXT(B28,"000")&amp;"&gt; """&amp;СцепитьМного(D28:E28,"")&amp;""" {"&amp;СцепитьМного(I28:L28,", ")&amp;", d 000, n "&amp;TEXT(G28,"000")&amp;"}"</f>
        <v>&lt;unit028&gt; "ул.50 лет Октяб." {c 902, c 928, v "\mp3_ost\50letokt.mp3", d 000, n 029}</v>
      </c>
    </row>
    <row r="29" spans="2:13" x14ac:dyDescent="0.25">
      <c r="B29">
        <f t="shared" si="1"/>
        <v>29</v>
      </c>
      <c r="C29" t="s">
        <v>338</v>
      </c>
      <c r="D29" t="str">
        <f t="shared" si="2"/>
        <v>&gt;&gt;</v>
      </c>
      <c r="E29" t="s">
        <v>262</v>
      </c>
      <c r="G29" s="22">
        <f t="shared" si="0"/>
        <v>30</v>
      </c>
      <c r="I29" s="22" t="str">
        <f>IFERROR("p "&amp;VLOOKUP(H29,Tablo_Tab,2,FALSE),"")</f>
        <v/>
      </c>
      <c r="J29" s="22" t="str">
        <f>IFERROR("c "&amp;VLOOKUP(C29,Punkti,2,FALSE),"")</f>
        <v>c 900</v>
      </c>
      <c r="K29" s="26" t="str">
        <f>IFERROR(VLOOKUP(E29,Ostanovki,7,FALSE),"")</f>
        <v>v "\mp3_ost\universa.mp3"</v>
      </c>
      <c r="L29" s="22" t="str">
        <f>IFERROR("c "&amp;VLOOKUP(F29,Punkti,2,FALSE),"")</f>
        <v/>
      </c>
      <c r="M29" s="15" t="str">
        <f>"&lt;unit"&amp;TEXT(B29,"000")&amp;"&gt; """&amp;СцепитьМного(D29:E29,"")&amp;""" {"&amp;СцепитьМного(I29:L29,", ")&amp;", d 000, n "&amp;TEXT(G29,"000")&amp;"}"</f>
        <v>&lt;unit029&gt; "&gt;&gt;Универсам" {c 900, v "\mp3_ost\universa.mp3", d 000, n 030}</v>
      </c>
    </row>
    <row r="30" spans="2:13" x14ac:dyDescent="0.25">
      <c r="B30">
        <f t="shared" si="1"/>
        <v>30</v>
      </c>
      <c r="C30" t="s">
        <v>83</v>
      </c>
      <c r="D30" t="str">
        <f t="shared" si="2"/>
        <v/>
      </c>
      <c r="E30" t="s">
        <v>262</v>
      </c>
      <c r="G30" s="22">
        <f t="shared" si="0"/>
        <v>31</v>
      </c>
      <c r="I30" s="22" t="str">
        <f>IFERROR("p "&amp;VLOOKUP(H30,Tablo_Tab,2,FALSE),"")</f>
        <v/>
      </c>
      <c r="J30" s="22" t="str">
        <f>IFERROR("c "&amp;VLOOKUP(C30,Punkti,2,FALSE),"")</f>
        <v>c 902</v>
      </c>
      <c r="K30" s="26" t="str">
        <f>IFERROR(VLOOKUP(E30,Ostanovki,7,FALSE),"")</f>
        <v>v "\mp3_ost\universa.mp3"</v>
      </c>
      <c r="L30" s="22" t="str">
        <f>IFERROR("c "&amp;VLOOKUP(F30,Punkti,2,FALSE),"")</f>
        <v/>
      </c>
      <c r="M30" s="15" t="str">
        <f>"&lt;unit"&amp;TEXT(B30,"000")&amp;"&gt; """&amp;СцепитьМного(D30:E30,"")&amp;""" {"&amp;СцепитьМного(I30:L30,", ")&amp;", d 000, n "&amp;TEXT(G30,"000")&amp;"}"</f>
        <v>&lt;unit030&gt; "Универсам" {c 902, v "\mp3_ost\universa.mp3", d 000, n 031}</v>
      </c>
    </row>
    <row r="31" spans="2:13" x14ac:dyDescent="0.25">
      <c r="B31">
        <f t="shared" si="1"/>
        <v>31</v>
      </c>
      <c r="C31" t="s">
        <v>338</v>
      </c>
      <c r="D31" t="str">
        <f t="shared" si="2"/>
        <v>&gt;&gt;</v>
      </c>
      <c r="E31" t="s">
        <v>257</v>
      </c>
      <c r="G31" s="22">
        <f t="shared" si="0"/>
        <v>32</v>
      </c>
      <c r="I31" s="22" t="str">
        <f>IFERROR("p "&amp;VLOOKUP(H31,Tablo_Tab,2,FALSE),"")</f>
        <v/>
      </c>
      <c r="J31" s="22" t="str">
        <f>IFERROR("c "&amp;VLOOKUP(C31,Punkti,2,FALSE),"")</f>
        <v>c 900</v>
      </c>
      <c r="K31" s="26" t="str">
        <f>IFERROR(VLOOKUP(E31,Ostanovki,7,FALSE),"")</f>
        <v>v "\mp3_ost\tc.mp3"</v>
      </c>
      <c r="L31" s="22" t="str">
        <f>IFERROR("c "&amp;VLOOKUP(F31,Punkti,2,FALSE),"")</f>
        <v/>
      </c>
      <c r="M31" s="15" t="str">
        <f>"&lt;unit"&amp;TEXT(B31,"000")&amp;"&gt; """&amp;СцепитьМного(D31:E31,"")&amp;""" {"&amp;СцепитьМного(I31:L31,", ")&amp;", d 000, n "&amp;TEXT(G31,"000")&amp;"}"</f>
        <v>&lt;unit031&gt; "&gt;&gt;Торг.центр" {c 900, v "\mp3_ost\tc.mp3", d 000, n 032}</v>
      </c>
    </row>
    <row r="32" spans="2:13" x14ac:dyDescent="0.25">
      <c r="B32">
        <f t="shared" si="1"/>
        <v>32</v>
      </c>
      <c r="C32" t="s">
        <v>83</v>
      </c>
      <c r="D32" t="str">
        <f t="shared" si="2"/>
        <v/>
      </c>
      <c r="E32" t="s">
        <v>257</v>
      </c>
      <c r="G32" s="22">
        <f t="shared" si="0"/>
        <v>33</v>
      </c>
      <c r="I32" s="22" t="str">
        <f>IFERROR("p "&amp;VLOOKUP(H32,Tablo_Tab,2,FALSE),"")</f>
        <v/>
      </c>
      <c r="J32" s="22" t="str">
        <f>IFERROR("c "&amp;VLOOKUP(C32,Punkti,2,FALSE),"")</f>
        <v>c 902</v>
      </c>
      <c r="K32" s="26" t="str">
        <f>IFERROR(VLOOKUP(E32,Ostanovki,7,FALSE),"")</f>
        <v>v "\mp3_ost\tc.mp3"</v>
      </c>
      <c r="L32" s="22" t="str">
        <f>IFERROR("c "&amp;VLOOKUP(F32,Punkti,2,FALSE),"")</f>
        <v/>
      </c>
      <c r="M32" s="15" t="str">
        <f>"&lt;unit"&amp;TEXT(B32,"000")&amp;"&gt; """&amp;СцепитьМного(D32:E32,"")&amp;""" {"&amp;СцепитьМного(I32:L32,", ")&amp;", d 000, n "&amp;TEXT(G32,"000")&amp;"}"</f>
        <v>&lt;unit032&gt; "Торг.центр" {c 902, v "\mp3_ost\tc.mp3", d 000, n 033}</v>
      </c>
    </row>
    <row r="33" spans="2:13" x14ac:dyDescent="0.25">
      <c r="B33">
        <f>ROW(B33)</f>
        <v>33</v>
      </c>
      <c r="C33" t="s">
        <v>338</v>
      </c>
      <c r="D33" t="str">
        <f t="shared" si="2"/>
        <v>&gt;&gt;</v>
      </c>
      <c r="E33" t="s">
        <v>182</v>
      </c>
      <c r="G33" s="22">
        <f t="shared" si="0"/>
        <v>34</v>
      </c>
      <c r="I33" s="22" t="str">
        <f>IFERROR("p "&amp;VLOOKUP(H33,Tablo_Tab,2,FALSE),"")</f>
        <v/>
      </c>
      <c r="J33" s="22" t="str">
        <f>IFERROR("c "&amp;VLOOKUP(C33,Punkti,2,FALSE),"")</f>
        <v>c 900</v>
      </c>
      <c r="K33" s="26" t="str">
        <f>IFERROR(VLOOKUP(E33,Ostanovki,7,FALSE),"")</f>
        <v>v "\mp3_ost\avtostan.mp3"</v>
      </c>
      <c r="L33" s="22" t="str">
        <f>IFERROR("c "&amp;VLOOKUP(F33,Punkti,2,FALSE),"")</f>
        <v/>
      </c>
      <c r="M33" s="15" t="str">
        <f>"&lt;unit"&amp;TEXT(B33,"000")&amp;"&gt; """&amp;СцепитьМного(D33:E33,"")&amp;""" {"&amp;СцепитьМного(I33:L33,", ")&amp;", d 000, n "&amp;TEXT(G33,"000")&amp;"}"</f>
        <v>&lt;unit033&gt; "&gt;&gt;Автостанция" {c 900, v "\mp3_ost\avtostan.mp3", d 000, n 034}</v>
      </c>
    </row>
    <row r="34" spans="2:13" x14ac:dyDescent="0.25">
      <c r="B34">
        <f t="shared" si="1"/>
        <v>34</v>
      </c>
      <c r="C34" t="s">
        <v>83</v>
      </c>
      <c r="D34" t="str">
        <f t="shared" si="2"/>
        <v/>
      </c>
      <c r="E34" t="s">
        <v>182</v>
      </c>
      <c r="G34" s="22">
        <f t="shared" si="0"/>
        <v>35</v>
      </c>
      <c r="I34" s="22" t="str">
        <f>IFERROR("p "&amp;VLOOKUP(H34,Tablo_Tab,2,FALSE),"")</f>
        <v/>
      </c>
      <c r="J34" s="22" t="str">
        <f>IFERROR("c "&amp;VLOOKUP(C34,Punkti,2,FALSE),"")</f>
        <v>c 902</v>
      </c>
      <c r="K34" s="26" t="str">
        <f>IFERROR(VLOOKUP(E34,Ostanovki,7,FALSE),"")</f>
        <v>v "\mp3_ost\avtostan.mp3"</v>
      </c>
      <c r="L34" s="22" t="str">
        <f>IFERROR("c "&amp;VLOOKUP(F34,Punkti,2,FALSE),"")</f>
        <v/>
      </c>
      <c r="M34" s="15" t="str">
        <f>"&lt;unit"&amp;TEXT(B34,"000")&amp;"&gt; """&amp;СцепитьМного(D34:E34,"")&amp;""" {"&amp;СцепитьМного(I34:L34,", ")&amp;", d 000, n "&amp;TEXT(G34,"000")&amp;"}"</f>
        <v>&lt;unit034&gt; "Автостанция" {c 902, v "\mp3_ost\avtostan.mp3", d 000, n 035}</v>
      </c>
    </row>
    <row r="35" spans="2:13" x14ac:dyDescent="0.25">
      <c r="B35">
        <f t="shared" si="1"/>
        <v>35</v>
      </c>
      <c r="C35" t="s">
        <v>338</v>
      </c>
      <c r="D35" t="str">
        <f t="shared" si="2"/>
        <v>&gt;&gt;</v>
      </c>
      <c r="E35" t="s">
        <v>282</v>
      </c>
      <c r="G35" s="22">
        <f t="shared" si="0"/>
        <v>36</v>
      </c>
      <c r="I35" s="22" t="str">
        <f>IFERROR("p "&amp;VLOOKUP(H35,Tablo_Tab,2,FALSE),"")</f>
        <v/>
      </c>
      <c r="J35" s="22" t="str">
        <f>IFERROR("c "&amp;VLOOKUP(C35,Punkti,2,FALSE),"")</f>
        <v>c 900</v>
      </c>
      <c r="K35" s="26" t="str">
        <f>IFERROR(VLOOKUP(E35,Ostanovki,7,FALSE),"")</f>
        <v>c 928, v "\mp3_ost\magistra.mp3"</v>
      </c>
      <c r="L35" s="22" t="str">
        <f>IFERROR("c "&amp;VLOOKUP(F35,Punkti,2,FALSE),"")</f>
        <v/>
      </c>
      <c r="M35" s="15" t="str">
        <f>"&lt;unit"&amp;TEXT(B35,"000")&amp;"&gt; """&amp;СцепитьМного(D35:E35,"")&amp;""" {"&amp;СцепитьМного(I35:L35,", ")&amp;", d 000, n "&amp;TEXT(G35,"000")&amp;"}"</f>
        <v>&lt;unit035&gt; "&gt;&gt;ул.Магистральная" {c 900, c 928, v "\mp3_ost\magistra.mp3", d 000, n 036}</v>
      </c>
    </row>
    <row r="36" spans="2:13" x14ac:dyDescent="0.25">
      <c r="B36">
        <f t="shared" si="1"/>
        <v>36</v>
      </c>
      <c r="C36" t="s">
        <v>83</v>
      </c>
      <c r="D36" t="str">
        <f t="shared" si="2"/>
        <v/>
      </c>
      <c r="E36" t="s">
        <v>282</v>
      </c>
      <c r="G36" s="22">
        <f t="shared" si="0"/>
        <v>37</v>
      </c>
      <c r="I36" s="22" t="str">
        <f>IFERROR("p "&amp;VLOOKUP(H36,Tablo_Tab,2,FALSE),"")</f>
        <v/>
      </c>
      <c r="J36" s="22" t="str">
        <f>IFERROR("c "&amp;VLOOKUP(C36,Punkti,2,FALSE),"")</f>
        <v>c 902</v>
      </c>
      <c r="K36" s="26" t="str">
        <f>IFERROR(VLOOKUP(E36,Ostanovki,7,FALSE),"")</f>
        <v>c 928, v "\mp3_ost\magistra.mp3"</v>
      </c>
      <c r="L36" s="22" t="str">
        <f>IFERROR("c "&amp;VLOOKUP(F36,Punkti,2,FALSE),"")</f>
        <v/>
      </c>
      <c r="M36" s="15" t="str">
        <f>"&lt;unit"&amp;TEXT(B36,"000")&amp;"&gt; """&amp;СцепитьМного(D36:E36,"")&amp;""" {"&amp;СцепитьМного(I36:L36,", ")&amp;", d 000, n "&amp;TEXT(G36,"000")&amp;"}"</f>
        <v>&lt;unit036&gt; "ул.Магистральная" {c 902, c 928, v "\mp3_ost\magistra.mp3", d 000, n 037}</v>
      </c>
    </row>
    <row r="37" spans="2:13" x14ac:dyDescent="0.25">
      <c r="B37">
        <f t="shared" si="1"/>
        <v>37</v>
      </c>
      <c r="C37" t="s">
        <v>338</v>
      </c>
      <c r="D37" t="str">
        <f t="shared" si="2"/>
        <v>&gt;&gt;</v>
      </c>
      <c r="E37" t="s">
        <v>345</v>
      </c>
      <c r="G37" s="22">
        <f t="shared" si="0"/>
        <v>38</v>
      </c>
      <c r="I37" s="22" t="str">
        <f>IFERROR("p "&amp;VLOOKUP(H37,Tablo_Tab,2,FALSE),"")</f>
        <v/>
      </c>
      <c r="J37" s="22" t="str">
        <f>IFERROR("c "&amp;VLOOKUP(C37,Punkti,2,FALSE),"")</f>
        <v>c 900</v>
      </c>
      <c r="K37" s="26" t="str">
        <f>IFERROR(VLOOKUP(E37,Ostanovki,7,FALSE),"")</f>
        <v>c 928, v "\mp3_ost\ostrovsk.mp3"</v>
      </c>
      <c r="L37" s="22" t="str">
        <f>IFERROR("c "&amp;VLOOKUP(F37,Punkti,2,FALSE),"")</f>
        <v/>
      </c>
      <c r="M37" s="15" t="str">
        <f>"&lt;unit"&amp;TEXT(B37,"000")&amp;"&gt; """&amp;СцепитьМного(D37:E37,"")&amp;""" {"&amp;СцепитьМного(I37:L37,", ")&amp;", d 000, n "&amp;TEXT(G37,"000")&amp;"}"</f>
        <v>&lt;unit037&gt; "&gt;&gt;ул.Островского" {c 900, c 928, v "\mp3_ost\ostrovsk.mp3", d 000, n 038}</v>
      </c>
    </row>
    <row r="38" spans="2:13" x14ac:dyDescent="0.25">
      <c r="B38">
        <f t="shared" si="1"/>
        <v>38</v>
      </c>
      <c r="C38" t="s">
        <v>83</v>
      </c>
      <c r="D38" t="str">
        <f t="shared" si="2"/>
        <v/>
      </c>
      <c r="E38" t="s">
        <v>345</v>
      </c>
      <c r="G38" s="22">
        <f t="shared" si="0"/>
        <v>39</v>
      </c>
      <c r="I38" s="22" t="str">
        <f>IFERROR("p "&amp;VLOOKUP(H38,Tablo_Tab,2,FALSE),"")</f>
        <v/>
      </c>
      <c r="J38" s="22" t="str">
        <f>IFERROR("c "&amp;VLOOKUP(C38,Punkti,2,FALSE),"")</f>
        <v>c 902</v>
      </c>
      <c r="K38" s="26" t="str">
        <f>IFERROR(VLOOKUP(E38,Ostanovki,7,FALSE),"")</f>
        <v>c 928, v "\mp3_ost\ostrovsk.mp3"</v>
      </c>
      <c r="L38" s="22" t="str">
        <f>IFERROR("c "&amp;VLOOKUP(F38,Punkti,2,FALSE),"")</f>
        <v/>
      </c>
      <c r="M38" s="15" t="str">
        <f>"&lt;unit"&amp;TEXT(B38,"000")&amp;"&gt; """&amp;СцепитьМного(D38:E38,"")&amp;""" {"&amp;СцепитьМного(I38:L38,", ")&amp;", d 000, n "&amp;TEXT(G38,"000")&amp;"}"</f>
        <v>&lt;unit038&gt; "ул.Островского" {c 902, c 928, v "\mp3_ost\ostrovsk.mp3", d 000, n 039}</v>
      </c>
    </row>
    <row r="39" spans="2:13" x14ac:dyDescent="0.25">
      <c r="B39">
        <f t="shared" si="1"/>
        <v>39</v>
      </c>
      <c r="C39" t="s">
        <v>338</v>
      </c>
      <c r="D39" t="str">
        <f t="shared" si="2"/>
        <v>&gt;&gt;</v>
      </c>
      <c r="E39" t="s">
        <v>279</v>
      </c>
      <c r="G39" s="22">
        <f t="shared" si="0"/>
        <v>40</v>
      </c>
      <c r="I39" s="22" t="str">
        <f>IFERROR("p "&amp;VLOOKUP(H39,Tablo_Tab,2,FALSE),"")</f>
        <v/>
      </c>
      <c r="J39" s="22" t="str">
        <f>IFERROR("c "&amp;VLOOKUP(C39,Punkti,2,FALSE),"")</f>
        <v>c 900</v>
      </c>
      <c r="K39" s="26" t="str">
        <f>IFERROR(VLOOKUP(E39,Ostanovki,7,FALSE),"")</f>
        <v>c 928, v "\mp3_ost\leninska.mp3"</v>
      </c>
      <c r="L39" s="22" t="str">
        <f>IFERROR("c "&amp;VLOOKUP(F39,Punkti,2,FALSE),"")</f>
        <v/>
      </c>
      <c r="M39" s="15" t="str">
        <f>"&lt;unit"&amp;TEXT(B39,"000")&amp;"&gt; """&amp;СцепитьМного(D39:E39,"")&amp;""" {"&amp;СцепитьМного(I39:L39,", ")&amp;", d 000, n "&amp;TEXT(G39,"000")&amp;"}"</f>
        <v>&lt;unit039&gt; "&gt;&gt;ул.Ленинская" {c 900, c 928, v "\mp3_ost\leninska.mp3", d 000, n 040}</v>
      </c>
    </row>
    <row r="40" spans="2:13" x14ac:dyDescent="0.25">
      <c r="B40">
        <f t="shared" si="1"/>
        <v>40</v>
      </c>
      <c r="C40" t="s">
        <v>83</v>
      </c>
      <c r="D40" t="str">
        <f t="shared" si="2"/>
        <v/>
      </c>
      <c r="E40" t="s">
        <v>279</v>
      </c>
      <c r="G40" s="22">
        <f t="shared" si="0"/>
        <v>41</v>
      </c>
      <c r="I40" s="22" t="str">
        <f>IFERROR("p "&amp;VLOOKUP(H40,Tablo_Tab,2,FALSE),"")</f>
        <v/>
      </c>
      <c r="J40" s="22" t="str">
        <f>IFERROR("c "&amp;VLOOKUP(C40,Punkti,2,FALSE),"")</f>
        <v>c 902</v>
      </c>
      <c r="K40" s="26" t="str">
        <f>IFERROR(VLOOKUP(E40,Ostanovki,7,FALSE),"")</f>
        <v>c 928, v "\mp3_ost\leninska.mp3"</v>
      </c>
      <c r="L40" s="22" t="str">
        <f>IFERROR("c "&amp;VLOOKUP(F40,Punkti,2,FALSE),"")</f>
        <v/>
      </c>
      <c r="M40" s="15" t="str">
        <f>"&lt;unit"&amp;TEXT(B40,"000")&amp;"&gt; """&amp;СцепитьМного(D40:E40,"")&amp;""" {"&amp;СцепитьМного(I40:L40,", ")&amp;", d 000, n "&amp;TEXT(G40,"000")&amp;"}"</f>
        <v>&lt;unit040&gt; "ул.Ленинская" {c 902, c 928, v "\mp3_ost\leninska.mp3", d 000, n 041}</v>
      </c>
    </row>
    <row r="41" spans="2:13" x14ac:dyDescent="0.25">
      <c r="B41">
        <f t="shared" si="1"/>
        <v>41</v>
      </c>
      <c r="C41" t="s">
        <v>338</v>
      </c>
      <c r="D41" t="str">
        <f t="shared" si="2"/>
        <v>&gt;&gt;</v>
      </c>
      <c r="E41" t="s">
        <v>218</v>
      </c>
      <c r="G41" s="22">
        <f t="shared" si="0"/>
        <v>42</v>
      </c>
      <c r="I41" s="22" t="str">
        <f>IFERROR("p "&amp;VLOOKUP(H41,Tablo_Tab,2,FALSE),"")</f>
        <v/>
      </c>
      <c r="J41" s="22" t="str">
        <f>IFERROR("c "&amp;VLOOKUP(C41,Punkti,2,FALSE),"")</f>
        <v>c 900</v>
      </c>
      <c r="K41" s="26" t="str">
        <f>IFERROR(VLOOKUP(E41,Ostanovki,7,FALSE),"")</f>
        <v>v "\mp3_ost\kztsh.mp3"</v>
      </c>
      <c r="L41" s="22" t="str">
        <f>IFERROR("c "&amp;VLOOKUP(F41,Punkti,2,FALSE),"")</f>
        <v/>
      </c>
      <c r="M41" s="15" t="str">
        <f>"&lt;unit"&amp;TEXT(B41,"000")&amp;"&gt; """&amp;СцепитьМного(D41:E41,"")&amp;""" {"&amp;СцепитьМного(I41:L41,", ")&amp;", d 000, n "&amp;TEXT(G41,"000")&amp;"}"</f>
        <v>&lt;unit041&gt; "&gt;&gt;КЗТШ" {c 900, v "\mp3_ost\kztsh.mp3", d 000, n 042}</v>
      </c>
    </row>
    <row r="42" spans="2:13" x14ac:dyDescent="0.25">
      <c r="B42">
        <f t="shared" si="1"/>
        <v>42</v>
      </c>
      <c r="C42" t="s">
        <v>83</v>
      </c>
      <c r="D42" t="str">
        <f t="shared" si="2"/>
        <v/>
      </c>
      <c r="E42" t="s">
        <v>218</v>
      </c>
      <c r="F42" t="s">
        <v>340</v>
      </c>
      <c r="G42" s="22">
        <f>B44</f>
        <v>44</v>
      </c>
      <c r="I42" s="22" t="str">
        <f>IFERROR("p "&amp;VLOOKUP(H42,Tablo_Tab,2,FALSE),"")</f>
        <v/>
      </c>
      <c r="J42" s="22" t="str">
        <f>IFERROR("c "&amp;VLOOKUP(C42,Punkti,2,FALSE),"")</f>
        <v>c 902</v>
      </c>
      <c r="K42" s="26" t="str">
        <f>IFERROR(VLOOKUP(E42,Ostanovki,7,FALSE),"")</f>
        <v>v "\mp3_ost\kztsh.mp3"</v>
      </c>
      <c r="L42" s="22" t="str">
        <f>IFERROR("c "&amp;VLOOKUP(F42,Punkti,2,FALSE),"")</f>
        <v>c 903</v>
      </c>
      <c r="M42" s="15" t="str">
        <f>"&lt;unit"&amp;TEXT(B42,"000")&amp;"&gt; """&amp;СцепитьМного(D42:E42,"")&amp;""" {"&amp;СцепитьМного(I42:L42,", ")&amp;", d 000, n "&amp;TEXT(G42,"000")&amp;"}"</f>
        <v>&lt;unit042&gt; "КЗТШ" {c 902, v "\mp3_ost\kztsh.mp3", c 903, d 000, n 044}</v>
      </c>
    </row>
    <row r="43" spans="2:13" x14ac:dyDescent="0.25">
      <c r="M43" s="15"/>
    </row>
    <row r="44" spans="2:13" x14ac:dyDescent="0.25">
      <c r="B44">
        <f t="shared" ref="B44:B82" si="3">ROW(B44)</f>
        <v>44</v>
      </c>
      <c r="E44" s="23" t="s">
        <v>336</v>
      </c>
      <c r="F44" s="23"/>
      <c r="G44" s="22">
        <f>B46</f>
        <v>46</v>
      </c>
      <c r="M44" s="15" t="str">
        <f>"&lt;unit"&amp;TEXT(B44,"000")&amp;"&gt; """&amp;E44&amp;""" {d 000, n "&amp;TEXT(G44,"000")&amp;"}"</f>
        <v>&lt;unit044&gt; "----- Обратный -----" {d 000, n 046}</v>
      </c>
    </row>
    <row r="45" spans="2:13" x14ac:dyDescent="0.25">
      <c r="M45" s="15"/>
    </row>
    <row r="46" spans="2:13" x14ac:dyDescent="0.25">
      <c r="B46">
        <f t="shared" si="3"/>
        <v>46</v>
      </c>
      <c r="C46" t="s">
        <v>83</v>
      </c>
      <c r="D46" t="str">
        <f t="shared" ref="D46:D80" si="4">IF(J46="c 900","&gt;&gt;","")</f>
        <v/>
      </c>
      <c r="E46" t="s">
        <v>218</v>
      </c>
      <c r="G46" s="22">
        <f>B47</f>
        <v>47</v>
      </c>
      <c r="I46" s="22" t="str">
        <f>IFERROR("p "&amp;VLOOKUP(H46,Tablo_Tab,2,FALSE),"")</f>
        <v/>
      </c>
      <c r="J46" s="22" t="str">
        <f>IFERROR("c "&amp;VLOOKUP(C46,Punkti,2,FALSE),"")</f>
        <v>c 902</v>
      </c>
      <c r="K46" s="26" t="str">
        <f>IFERROR(VLOOKUP(E46,Ostanovki,7,FALSE),"")</f>
        <v>v "\mp3_ost\kztsh.mp3"</v>
      </c>
      <c r="L46" s="22" t="str">
        <f>IFERROR("c "&amp;VLOOKUP(F46,Punkti,2,FALSE),"")</f>
        <v/>
      </c>
      <c r="M46" s="15" t="str">
        <f>"&lt;unit"&amp;TEXT(B46,"000")&amp;"&gt; """&amp;СцепитьМного(D46:E46,"")&amp;""" {"&amp;СцепитьМного(I46:L46,", ")&amp;", d 000, n "&amp;TEXT(G46,"000")&amp;"}"</f>
        <v>&lt;unit046&gt; "КЗТШ" {c 902, v "\mp3_ost\kztsh.mp3", d 000, n 047}</v>
      </c>
    </row>
    <row r="47" spans="2:13" x14ac:dyDescent="0.25">
      <c r="B47">
        <f t="shared" si="3"/>
        <v>47</v>
      </c>
      <c r="C47" t="s">
        <v>338</v>
      </c>
      <c r="D47" t="str">
        <f t="shared" si="4"/>
        <v>&gt;&gt;</v>
      </c>
      <c r="E47" t="s">
        <v>279</v>
      </c>
      <c r="G47" s="22">
        <f t="shared" ref="G47:G78" si="5">B48</f>
        <v>48</v>
      </c>
      <c r="I47" s="22" t="str">
        <f>IFERROR("p "&amp;VLOOKUP(H47,Tablo_Tab,2,FALSE),"")</f>
        <v/>
      </c>
      <c r="J47" s="22" t="str">
        <f>IFERROR("c "&amp;VLOOKUP(C47,Punkti,2,FALSE),"")</f>
        <v>c 900</v>
      </c>
      <c r="K47" s="26" t="str">
        <f>IFERROR(VLOOKUP(E47,Ostanovki,7,FALSE),"")</f>
        <v>c 928, v "\mp3_ost\leninska.mp3"</v>
      </c>
      <c r="L47" s="22" t="str">
        <f>IFERROR("c "&amp;VLOOKUP(F47,Punkti,2,FALSE),"")</f>
        <v/>
      </c>
      <c r="M47" s="15" t="str">
        <f>"&lt;unit"&amp;TEXT(B47,"000")&amp;"&gt; """&amp;СцепитьМного(D47:E47,"")&amp;""" {"&amp;СцепитьМного(I47:L47,", ")&amp;", d 000, n "&amp;TEXT(G47,"000")&amp;"}"</f>
        <v>&lt;unit047&gt; "&gt;&gt;ул.Ленинская" {c 900, c 928, v "\mp3_ost\leninska.mp3", d 000, n 048}</v>
      </c>
    </row>
    <row r="48" spans="2:13" x14ac:dyDescent="0.25">
      <c r="B48">
        <f t="shared" si="3"/>
        <v>48</v>
      </c>
      <c r="C48" t="s">
        <v>83</v>
      </c>
      <c r="D48" t="str">
        <f t="shared" si="4"/>
        <v/>
      </c>
      <c r="E48" t="s">
        <v>279</v>
      </c>
      <c r="G48" s="22">
        <f t="shared" si="5"/>
        <v>49</v>
      </c>
      <c r="I48" s="22" t="str">
        <f>IFERROR("p "&amp;VLOOKUP(H48,Tablo_Tab,2,FALSE),"")</f>
        <v/>
      </c>
      <c r="J48" s="22" t="str">
        <f>IFERROR("c "&amp;VLOOKUP(C48,Punkti,2,FALSE),"")</f>
        <v>c 902</v>
      </c>
      <c r="K48" s="26" t="str">
        <f>IFERROR(VLOOKUP(E48,Ostanovki,7,FALSE),"")</f>
        <v>c 928, v "\mp3_ost\leninska.mp3"</v>
      </c>
      <c r="L48" s="22" t="str">
        <f>IFERROR("c "&amp;VLOOKUP(F48,Punkti,2,FALSE),"")</f>
        <v/>
      </c>
      <c r="M48" s="15" t="str">
        <f>"&lt;unit"&amp;TEXT(B48,"000")&amp;"&gt; """&amp;СцепитьМного(D48:E48,"")&amp;""" {"&amp;СцепитьМного(I48:L48,", ")&amp;", d 000, n "&amp;TEXT(G48,"000")&amp;"}"</f>
        <v>&lt;unit048&gt; "ул.Ленинская" {c 902, c 928, v "\mp3_ost\leninska.mp3", d 000, n 049}</v>
      </c>
    </row>
    <row r="49" spans="2:13" x14ac:dyDescent="0.25">
      <c r="B49">
        <f t="shared" si="3"/>
        <v>49</v>
      </c>
      <c r="C49" t="s">
        <v>338</v>
      </c>
      <c r="D49" t="str">
        <f t="shared" si="4"/>
        <v>&gt;&gt;</v>
      </c>
      <c r="E49" t="s">
        <v>345</v>
      </c>
      <c r="G49" s="22">
        <f t="shared" si="5"/>
        <v>50</v>
      </c>
      <c r="I49" s="22" t="str">
        <f>IFERROR("p "&amp;VLOOKUP(H49,Tablo_Tab,2,FALSE),"")</f>
        <v/>
      </c>
      <c r="J49" s="22" t="str">
        <f>IFERROR("c "&amp;VLOOKUP(C49,Punkti,2,FALSE),"")</f>
        <v>c 900</v>
      </c>
      <c r="K49" s="26" t="str">
        <f>IFERROR(VLOOKUP(E49,Ostanovki,7,FALSE),"")</f>
        <v>c 928, v "\mp3_ost\ostrovsk.mp3"</v>
      </c>
      <c r="L49" s="22" t="str">
        <f>IFERROR("c "&amp;VLOOKUP(F49,Punkti,2,FALSE),"")</f>
        <v/>
      </c>
      <c r="M49" s="15" t="str">
        <f>"&lt;unit"&amp;TEXT(B49,"000")&amp;"&gt; """&amp;СцепитьМного(D49:E49,"")&amp;""" {"&amp;СцепитьМного(I49:L49,", ")&amp;", d 000, n "&amp;TEXT(G49,"000")&amp;"}"</f>
        <v>&lt;unit049&gt; "&gt;&gt;ул.Островского" {c 900, c 928, v "\mp3_ost\ostrovsk.mp3", d 000, n 050}</v>
      </c>
    </row>
    <row r="50" spans="2:13" x14ac:dyDescent="0.25">
      <c r="B50">
        <f t="shared" si="3"/>
        <v>50</v>
      </c>
      <c r="C50" t="s">
        <v>83</v>
      </c>
      <c r="D50" t="str">
        <f t="shared" si="4"/>
        <v/>
      </c>
      <c r="E50" t="s">
        <v>345</v>
      </c>
      <c r="G50" s="22">
        <f t="shared" si="5"/>
        <v>51</v>
      </c>
      <c r="I50" s="22" t="str">
        <f>IFERROR("p "&amp;VLOOKUP(H50,Tablo_Tab,2,FALSE),"")</f>
        <v/>
      </c>
      <c r="J50" s="22" t="str">
        <f>IFERROR("c "&amp;VLOOKUP(C50,Punkti,2,FALSE),"")</f>
        <v>c 902</v>
      </c>
      <c r="K50" s="26" t="str">
        <f>IFERROR(VLOOKUP(E50,Ostanovki,7,FALSE),"")</f>
        <v>c 928, v "\mp3_ost\ostrovsk.mp3"</v>
      </c>
      <c r="L50" s="22" t="str">
        <f>IFERROR("c "&amp;VLOOKUP(F50,Punkti,2,FALSE),"")</f>
        <v/>
      </c>
      <c r="M50" s="15" t="str">
        <f>"&lt;unit"&amp;TEXT(B50,"000")&amp;"&gt; """&amp;СцепитьМного(D50:E50,"")&amp;""" {"&amp;СцепитьМного(I50:L50,", ")&amp;", d 000, n "&amp;TEXT(G50,"000")&amp;"}"</f>
        <v>&lt;unit050&gt; "ул.Островского" {c 902, c 928, v "\mp3_ost\ostrovsk.mp3", d 000, n 051}</v>
      </c>
    </row>
    <row r="51" spans="2:13" x14ac:dyDescent="0.25">
      <c r="B51">
        <f t="shared" si="3"/>
        <v>51</v>
      </c>
      <c r="C51" t="s">
        <v>338</v>
      </c>
      <c r="D51" t="str">
        <f t="shared" si="4"/>
        <v>&gt;&gt;</v>
      </c>
      <c r="E51" t="s">
        <v>282</v>
      </c>
      <c r="G51" s="22">
        <f t="shared" si="5"/>
        <v>52</v>
      </c>
      <c r="I51" s="22" t="str">
        <f>IFERROR("p "&amp;VLOOKUP(H51,Tablo_Tab,2,FALSE),"")</f>
        <v/>
      </c>
      <c r="J51" s="22" t="str">
        <f>IFERROR("c "&amp;VLOOKUP(C51,Punkti,2,FALSE),"")</f>
        <v>c 900</v>
      </c>
      <c r="K51" s="26" t="str">
        <f>IFERROR(VLOOKUP(E51,Ostanovki,7,FALSE),"")</f>
        <v>c 928, v "\mp3_ost\magistra.mp3"</v>
      </c>
      <c r="L51" s="22" t="str">
        <f>IFERROR("c "&amp;VLOOKUP(F51,Punkti,2,FALSE),"")</f>
        <v/>
      </c>
      <c r="M51" s="15" t="str">
        <f>"&lt;unit"&amp;TEXT(B51,"000")&amp;"&gt; """&amp;СцепитьМного(D51:E51,"")&amp;""" {"&amp;СцепитьМного(I51:L51,", ")&amp;", d 000, n "&amp;TEXT(G51,"000")&amp;"}"</f>
        <v>&lt;unit051&gt; "&gt;&gt;ул.Магистральная" {c 900, c 928, v "\mp3_ost\magistra.mp3", d 000, n 052}</v>
      </c>
    </row>
    <row r="52" spans="2:13" x14ac:dyDescent="0.25">
      <c r="B52">
        <f t="shared" si="3"/>
        <v>52</v>
      </c>
      <c r="C52" t="s">
        <v>83</v>
      </c>
      <c r="D52" t="str">
        <f t="shared" si="4"/>
        <v/>
      </c>
      <c r="E52" t="s">
        <v>282</v>
      </c>
      <c r="G52" s="22">
        <f t="shared" si="5"/>
        <v>53</v>
      </c>
      <c r="I52" s="22" t="str">
        <f>IFERROR("p "&amp;VLOOKUP(H52,Tablo_Tab,2,FALSE),"")</f>
        <v/>
      </c>
      <c r="J52" s="22" t="str">
        <f>IFERROR("c "&amp;VLOOKUP(C52,Punkti,2,FALSE),"")</f>
        <v>c 902</v>
      </c>
      <c r="K52" s="26" t="str">
        <f>IFERROR(VLOOKUP(E52,Ostanovki,7,FALSE),"")</f>
        <v>c 928, v "\mp3_ost\magistra.mp3"</v>
      </c>
      <c r="L52" s="22" t="str">
        <f>IFERROR("c "&amp;VLOOKUP(F52,Punkti,2,FALSE),"")</f>
        <v/>
      </c>
      <c r="M52" s="15" t="str">
        <f>"&lt;unit"&amp;TEXT(B52,"000")&amp;"&gt; """&amp;СцепитьМного(D52:E52,"")&amp;""" {"&amp;СцепитьМного(I52:L52,", ")&amp;", d 000, n "&amp;TEXT(G52,"000")&amp;"}"</f>
        <v>&lt;unit052&gt; "ул.Магистральная" {c 902, c 928, v "\mp3_ost\magistra.mp3", d 000, n 053}</v>
      </c>
    </row>
    <row r="53" spans="2:13" x14ac:dyDescent="0.25">
      <c r="B53">
        <f t="shared" si="3"/>
        <v>53</v>
      </c>
      <c r="C53" t="s">
        <v>338</v>
      </c>
      <c r="D53" t="str">
        <f t="shared" si="4"/>
        <v>&gt;&gt;</v>
      </c>
      <c r="E53" t="s">
        <v>270</v>
      </c>
      <c r="G53" s="22">
        <f t="shared" si="5"/>
        <v>54</v>
      </c>
      <c r="I53" s="22" t="str">
        <f>IFERROR("p "&amp;VLOOKUP(H53,Tablo_Tab,2,FALSE),"")</f>
        <v/>
      </c>
      <c r="J53" s="22" t="str">
        <f>IFERROR("c "&amp;VLOOKUP(C53,Punkti,2,FALSE),"")</f>
        <v>c 900</v>
      </c>
      <c r="K53" s="26" t="str">
        <f>IFERROR(VLOOKUP(E53,Ostanovki,7,FALSE),"")</f>
        <v/>
      </c>
      <c r="L53" s="22" t="str">
        <f>IFERROR("c "&amp;VLOOKUP(F53,Punkti,2,FALSE),"")</f>
        <v/>
      </c>
      <c r="M53" s="15" t="str">
        <f>"&lt;unit"&amp;TEXT(B53,"000")&amp;"&gt; """&amp;СцепитьМного(D53:E53,"")&amp;""" {"&amp;СцепитьМного(I53:L53,", ")&amp;", d 000, n "&amp;TEXT(G53,"000")&amp;"}"</f>
        <v>&lt;unit053&gt; "&gt;&gt;Инст. земледелия" {c 900, d 000, n 054}</v>
      </c>
    </row>
    <row r="54" spans="2:13" x14ac:dyDescent="0.25">
      <c r="B54">
        <f t="shared" si="3"/>
        <v>54</v>
      </c>
      <c r="C54" t="s">
        <v>83</v>
      </c>
      <c r="D54" t="str">
        <f t="shared" si="4"/>
        <v/>
      </c>
      <c r="E54" t="s">
        <v>270</v>
      </c>
      <c r="G54" s="22">
        <f t="shared" si="5"/>
        <v>55</v>
      </c>
      <c r="I54" s="22" t="str">
        <f>IFERROR("p "&amp;VLOOKUP(H54,Tablo_Tab,2,FALSE),"")</f>
        <v/>
      </c>
      <c r="J54" s="22" t="str">
        <f>IFERROR("c "&amp;VLOOKUP(C54,Punkti,2,FALSE),"")</f>
        <v>c 902</v>
      </c>
      <c r="K54" s="26" t="str">
        <f>IFERROR(VLOOKUP(E54,Ostanovki,7,FALSE),"")</f>
        <v/>
      </c>
      <c r="L54" s="22" t="str">
        <f>IFERROR("c "&amp;VLOOKUP(F54,Punkti,2,FALSE),"")</f>
        <v/>
      </c>
      <c r="M54" s="15" t="str">
        <f>"&lt;unit"&amp;TEXT(B54,"000")&amp;"&gt; """&amp;СцепитьМного(D54:E54,"")&amp;""" {"&amp;СцепитьМного(I54:L54,", ")&amp;", d 000, n "&amp;TEXT(G54,"000")&amp;"}"</f>
        <v>&lt;unit054&gt; "Инст. земледелия" {c 902, d 000, n 055}</v>
      </c>
    </row>
    <row r="55" spans="2:13" x14ac:dyDescent="0.25">
      <c r="B55">
        <f t="shared" si="3"/>
        <v>55</v>
      </c>
      <c r="C55" t="s">
        <v>338</v>
      </c>
      <c r="D55" t="str">
        <f t="shared" si="4"/>
        <v>&gt;&gt;</v>
      </c>
      <c r="E55" t="s">
        <v>246</v>
      </c>
      <c r="G55" s="22">
        <f t="shared" si="5"/>
        <v>56</v>
      </c>
      <c r="I55" s="22" t="str">
        <f>IFERROR("p "&amp;VLOOKUP(H55,Tablo_Tab,2,FALSE),"")</f>
        <v/>
      </c>
      <c r="J55" s="22" t="str">
        <f>IFERROR("c "&amp;VLOOKUP(C55,Punkti,2,FALSE),"")</f>
        <v>c 900</v>
      </c>
      <c r="K55" s="26" t="str">
        <f>IFERROR(VLOOKUP(E55,Ostanovki,7,FALSE),"")</f>
        <v>v "\mp3_ost\sberbank.mp3"</v>
      </c>
      <c r="L55" s="22" t="str">
        <f>IFERROR("c "&amp;VLOOKUP(F55,Punkti,2,FALSE),"")</f>
        <v/>
      </c>
      <c r="M55" s="15" t="str">
        <f>"&lt;unit"&amp;TEXT(B55,"000")&amp;"&gt; """&amp;СцепитьМного(D55:E55,"")&amp;""" {"&amp;СцепитьМного(I55:L55,", ")&amp;", d 000, n "&amp;TEXT(G55,"000")&amp;"}"</f>
        <v>&lt;unit055&gt; "&gt;&gt;Сбербанк" {c 900, v "\mp3_ost\sberbank.mp3", d 000, n 056}</v>
      </c>
    </row>
    <row r="56" spans="2:13" x14ac:dyDescent="0.25">
      <c r="B56">
        <f t="shared" si="3"/>
        <v>56</v>
      </c>
      <c r="C56" t="s">
        <v>83</v>
      </c>
      <c r="D56" t="str">
        <f t="shared" si="4"/>
        <v/>
      </c>
      <c r="E56" t="s">
        <v>246</v>
      </c>
      <c r="G56" s="22">
        <f t="shared" si="5"/>
        <v>57</v>
      </c>
      <c r="I56" s="22" t="str">
        <f>IFERROR("p "&amp;VLOOKUP(H56,Tablo_Tab,2,FALSE),"")</f>
        <v/>
      </c>
      <c r="J56" s="22" t="str">
        <f>IFERROR("c "&amp;VLOOKUP(C56,Punkti,2,FALSE),"")</f>
        <v>c 902</v>
      </c>
      <c r="K56" s="26" t="str">
        <f>IFERROR(VLOOKUP(E56,Ostanovki,7,FALSE),"")</f>
        <v>v "\mp3_ost\sberbank.mp3"</v>
      </c>
      <c r="L56" s="22" t="str">
        <f>IFERROR("c "&amp;VLOOKUP(F56,Punkti,2,FALSE),"")</f>
        <v/>
      </c>
      <c r="M56" s="15" t="str">
        <f>"&lt;unit"&amp;TEXT(B56,"000")&amp;"&gt; """&amp;СцепитьМного(D56:E56,"")&amp;""" {"&amp;СцепитьМного(I56:L56,", ")&amp;", d 000, n "&amp;TEXT(G56,"000")&amp;"}"</f>
        <v>&lt;unit056&gt; "Сбербанк" {c 902, v "\mp3_ost\sberbank.mp3", d 000, n 057}</v>
      </c>
    </row>
    <row r="57" spans="2:13" x14ac:dyDescent="0.25">
      <c r="B57">
        <f t="shared" si="3"/>
        <v>57</v>
      </c>
      <c r="C57" t="s">
        <v>338</v>
      </c>
      <c r="D57" t="str">
        <f t="shared" si="4"/>
        <v>&gt;&gt;</v>
      </c>
      <c r="E57" t="s">
        <v>230</v>
      </c>
      <c r="G57" s="22">
        <f t="shared" si="5"/>
        <v>58</v>
      </c>
      <c r="I57" s="22" t="str">
        <f>IFERROR("p "&amp;VLOOKUP(H57,Tablo_Tab,2,FALSE),"")</f>
        <v/>
      </c>
      <c r="J57" s="22" t="str">
        <f>IFERROR("c "&amp;VLOOKUP(C57,Punkti,2,FALSE),"")</f>
        <v>c 900</v>
      </c>
      <c r="K57" s="26" t="str">
        <f>IFERROR(VLOOKUP(E57,Ostanovki,7,FALSE),"")</f>
        <v>v "\mp3_ost\paliklin.mp3"</v>
      </c>
      <c r="L57" s="22" t="str">
        <f>IFERROR("c "&amp;VLOOKUP(F57,Punkti,2,FALSE),"")</f>
        <v/>
      </c>
      <c r="M57" s="15" t="str">
        <f>"&lt;unit"&amp;TEXT(B57,"000")&amp;"&gt; """&amp;СцепитьМного(D57:E57,"")&amp;""" {"&amp;СцепитьМного(I57:L57,", ")&amp;", d 000, n "&amp;TEXT(G57,"000")&amp;"}"</f>
        <v>&lt;unit057&gt; "&gt;&gt;Поликлиника" {c 900, v "\mp3_ost\paliklin.mp3", d 000, n 058}</v>
      </c>
    </row>
    <row r="58" spans="2:13" x14ac:dyDescent="0.25">
      <c r="B58">
        <f t="shared" si="3"/>
        <v>58</v>
      </c>
      <c r="C58" t="s">
        <v>83</v>
      </c>
      <c r="D58" t="str">
        <f t="shared" si="4"/>
        <v/>
      </c>
      <c r="E58" t="s">
        <v>230</v>
      </c>
      <c r="G58" s="22">
        <f t="shared" si="5"/>
        <v>59</v>
      </c>
      <c r="I58" s="22" t="str">
        <f>IFERROR("p "&amp;VLOOKUP(H58,Tablo_Tab,2,FALSE),"")</f>
        <v/>
      </c>
      <c r="J58" s="22" t="str">
        <f>IFERROR("c "&amp;VLOOKUP(C58,Punkti,2,FALSE),"")</f>
        <v>c 902</v>
      </c>
      <c r="K58" s="26" t="str">
        <f>IFERROR(VLOOKUP(E58,Ostanovki,7,FALSE),"")</f>
        <v>v "\mp3_ost\paliklin.mp3"</v>
      </c>
      <c r="L58" s="22" t="str">
        <f>IFERROR("c "&amp;VLOOKUP(F58,Punkti,2,FALSE),"")</f>
        <v/>
      </c>
      <c r="M58" s="15" t="str">
        <f>"&lt;unit"&amp;TEXT(B58,"000")&amp;"&gt; """&amp;СцепитьМного(D58:E58,"")&amp;""" {"&amp;СцепитьМного(I58:L58,", ")&amp;", d 000, n "&amp;TEXT(G58,"000")&amp;"}"</f>
        <v>&lt;unit058&gt; "Поликлиника" {c 902, v "\mp3_ost\paliklin.mp3", d 000, n 059}</v>
      </c>
    </row>
    <row r="59" spans="2:13" x14ac:dyDescent="0.25">
      <c r="B59">
        <f t="shared" si="3"/>
        <v>59</v>
      </c>
      <c r="C59" t="s">
        <v>338</v>
      </c>
      <c r="D59" t="str">
        <f t="shared" si="4"/>
        <v>&gt;&gt;</v>
      </c>
      <c r="E59" t="s">
        <v>273</v>
      </c>
      <c r="G59" s="22">
        <f t="shared" si="5"/>
        <v>60</v>
      </c>
      <c r="I59" s="22" t="str">
        <f>IFERROR("p "&amp;VLOOKUP(H59,Tablo_Tab,2,FALSE),"")</f>
        <v/>
      </c>
      <c r="J59" s="22" t="str">
        <f>IFERROR("c "&amp;VLOOKUP(C59,Punkti,2,FALSE),"")</f>
        <v>c 900</v>
      </c>
      <c r="K59" s="26" t="str">
        <f>IFERROR(VLOOKUP(E59,Ostanovki,7,FALSE),"")</f>
        <v>c 928, v "\mp3_ost\50letokt.mp3"</v>
      </c>
      <c r="L59" s="22" t="str">
        <f>IFERROR("c "&amp;VLOOKUP(F59,Punkti,2,FALSE),"")</f>
        <v/>
      </c>
      <c r="M59" s="15" t="str">
        <f>"&lt;unit"&amp;TEXT(B59,"000")&amp;"&gt; """&amp;СцепитьМного(D59:E59,"")&amp;""" {"&amp;СцепитьМного(I59:L59,", ")&amp;", d 000, n "&amp;TEXT(G59,"000")&amp;"}"</f>
        <v>&lt;unit059&gt; "&gt;&gt;ул.50 лет Октяб." {c 900, c 928, v "\mp3_ost\50letokt.mp3", d 000, n 060}</v>
      </c>
    </row>
    <row r="60" spans="2:13" x14ac:dyDescent="0.25">
      <c r="B60">
        <f t="shared" si="3"/>
        <v>60</v>
      </c>
      <c r="C60" t="s">
        <v>83</v>
      </c>
      <c r="D60" t="str">
        <f t="shared" si="4"/>
        <v/>
      </c>
      <c r="E60" t="s">
        <v>273</v>
      </c>
      <c r="G60" s="22">
        <f t="shared" si="5"/>
        <v>61</v>
      </c>
      <c r="I60" s="22" t="str">
        <f>IFERROR("p "&amp;VLOOKUP(H60,Tablo_Tab,2,FALSE),"")</f>
        <v/>
      </c>
      <c r="J60" s="22" t="str">
        <f>IFERROR("c "&amp;VLOOKUP(C60,Punkti,2,FALSE),"")</f>
        <v>c 902</v>
      </c>
      <c r="K60" s="26" t="str">
        <f>IFERROR(VLOOKUP(E60,Ostanovki,7,FALSE),"")</f>
        <v>c 928, v "\mp3_ost\50letokt.mp3"</v>
      </c>
      <c r="L60" s="22" t="str">
        <f>IFERROR("c "&amp;VLOOKUP(F60,Punkti,2,FALSE),"")</f>
        <v/>
      </c>
      <c r="M60" s="15" t="str">
        <f>"&lt;unit"&amp;TEXT(B60,"000")&amp;"&gt; """&amp;СцепитьМного(D60:E60,"")&amp;""" {"&amp;СцепитьМного(I60:L60,", ")&amp;", d 000, n "&amp;TEXT(G60,"000")&amp;"}"</f>
        <v>&lt;unit060&gt; "ул.50 лет Октяб." {c 902, c 928, v "\mp3_ost\50letokt.mp3", d 000, n 061}</v>
      </c>
    </row>
    <row r="61" spans="2:13" x14ac:dyDescent="0.25">
      <c r="B61">
        <f t="shared" si="3"/>
        <v>61</v>
      </c>
      <c r="C61" t="s">
        <v>338</v>
      </c>
      <c r="D61" t="str">
        <f t="shared" si="4"/>
        <v>&gt;&gt;</v>
      </c>
      <c r="E61" t="s">
        <v>173</v>
      </c>
      <c r="G61" s="22">
        <f t="shared" si="5"/>
        <v>62</v>
      </c>
      <c r="I61" s="22" t="str">
        <f>IFERROR("p "&amp;VLOOKUP(H61,Tablo_Tab,2,FALSE),"")</f>
        <v/>
      </c>
      <c r="J61" s="22" t="str">
        <f>IFERROR("c "&amp;VLOOKUP(C61,Punkti,2,FALSE),"")</f>
        <v>c 900</v>
      </c>
      <c r="K61" s="26" t="str">
        <f>IFERROR(VLOOKUP(E61,Ostanovki,7,FALSE),"")</f>
        <v>v "\mp3_ost\mira.mp3"</v>
      </c>
      <c r="L61" s="22" t="str">
        <f>IFERROR("c "&amp;VLOOKUP(F61,Punkti,2,FALSE),"")</f>
        <v/>
      </c>
      <c r="M61" s="15" t="str">
        <f>"&lt;unit"&amp;TEXT(B61,"000")&amp;"&gt; """&amp;СцепитьМного(D61:E61,"")&amp;""" {"&amp;СцепитьМного(I61:L61,", ")&amp;", d 000, n "&amp;TEXT(G61,"000")&amp;"}"</f>
        <v>&lt;unit061&gt; "&gt;&gt;пр-т Мира" {c 900, v "\mp3_ost\mira.mp3", d 000, n 062}</v>
      </c>
    </row>
    <row r="62" spans="2:13" x14ac:dyDescent="0.25">
      <c r="B62">
        <f t="shared" si="3"/>
        <v>62</v>
      </c>
      <c r="C62" t="s">
        <v>83</v>
      </c>
      <c r="D62" t="str">
        <f t="shared" si="4"/>
        <v/>
      </c>
      <c r="E62" t="s">
        <v>173</v>
      </c>
      <c r="G62" s="22">
        <f t="shared" si="5"/>
        <v>63</v>
      </c>
      <c r="I62" s="22" t="str">
        <f>IFERROR("p "&amp;VLOOKUP(H62,Tablo_Tab,2,FALSE),"")</f>
        <v/>
      </c>
      <c r="J62" s="22" t="str">
        <f>IFERROR("c "&amp;VLOOKUP(C62,Punkti,2,FALSE),"")</f>
        <v>c 902</v>
      </c>
      <c r="K62" s="26" t="str">
        <f>IFERROR(VLOOKUP(E62,Ostanovki,7,FALSE),"")</f>
        <v>v "\mp3_ost\mira.mp3"</v>
      </c>
      <c r="L62" s="22" t="str">
        <f>IFERROR("c "&amp;VLOOKUP(F62,Punkti,2,FALSE),"")</f>
        <v/>
      </c>
      <c r="M62" s="15" t="str">
        <f>"&lt;unit"&amp;TEXT(B62,"000")&amp;"&gt; """&amp;СцепитьМного(D62:E62,"")&amp;""" {"&amp;СцепитьМного(I62:L62,", ")&amp;", d 000, n "&amp;TEXT(G62,"000")&amp;"}"</f>
        <v>&lt;unit062&gt; "пр-т Мира" {c 902, v "\mp3_ost\mira.mp3", d 000, n 063}</v>
      </c>
    </row>
    <row r="63" spans="2:13" x14ac:dyDescent="0.25">
      <c r="B63">
        <f t="shared" si="3"/>
        <v>63</v>
      </c>
      <c r="C63" t="s">
        <v>338</v>
      </c>
      <c r="D63" t="str">
        <f t="shared" si="4"/>
        <v>&gt;&gt;</v>
      </c>
      <c r="E63" t="s">
        <v>172</v>
      </c>
      <c r="G63" s="22">
        <f t="shared" si="5"/>
        <v>64</v>
      </c>
      <c r="I63" s="22" t="str">
        <f>IFERROR("p "&amp;VLOOKUP(H63,Tablo_Tab,2,FALSE),"")</f>
        <v/>
      </c>
      <c r="J63" s="22" t="str">
        <f>IFERROR("c "&amp;VLOOKUP(C63,Punkti,2,FALSE),"")</f>
        <v>c 900</v>
      </c>
      <c r="K63" s="26" t="str">
        <f>IFERROR(VLOOKUP(E63,Ostanovki,7,FALSE),"")</f>
        <v>c 928, v "\mp3_ost\swrokvas.mp3"</v>
      </c>
      <c r="L63" s="22" t="str">
        <f>IFERROR("c "&amp;VLOOKUP(F63,Punkti,2,FALSE),"")</f>
        <v/>
      </c>
      <c r="M63" s="15" t="str">
        <f>"&lt;unit"&amp;TEXT(B63,"000")&amp;"&gt; """&amp;СцепитьМного(D63:E63,"")&amp;""" {"&amp;СцепитьМного(I63:L63,", ")&amp;", d 000, n "&amp;TEXT(G63,"000")&amp;"}"</f>
        <v>&lt;unit063&gt; "&gt;&gt;ул.Сырокваша" {c 900, c 928, v "\mp3_ost\swrokvas.mp3", d 000, n 064}</v>
      </c>
    </row>
    <row r="64" spans="2:13" x14ac:dyDescent="0.25">
      <c r="B64">
        <f t="shared" si="3"/>
        <v>64</v>
      </c>
      <c r="C64" t="s">
        <v>83</v>
      </c>
      <c r="D64" t="str">
        <f t="shared" si="4"/>
        <v/>
      </c>
      <c r="E64" t="s">
        <v>172</v>
      </c>
      <c r="G64" s="22">
        <f t="shared" si="5"/>
        <v>65</v>
      </c>
      <c r="I64" s="22" t="str">
        <f>IFERROR("p "&amp;VLOOKUP(H64,Tablo_Tab,2,FALSE),"")</f>
        <v/>
      </c>
      <c r="J64" s="22" t="str">
        <f>IFERROR("c "&amp;VLOOKUP(C64,Punkti,2,FALSE),"")</f>
        <v>c 902</v>
      </c>
      <c r="K64" s="26" t="str">
        <f>IFERROR(VLOOKUP(E64,Ostanovki,7,FALSE),"")</f>
        <v>c 928, v "\mp3_ost\swrokvas.mp3"</v>
      </c>
      <c r="L64" s="22" t="str">
        <f>IFERROR("c "&amp;VLOOKUP(F64,Punkti,2,FALSE),"")</f>
        <v/>
      </c>
      <c r="M64" s="15" t="str">
        <f>"&lt;unit"&amp;TEXT(B64,"000")&amp;"&gt; """&amp;СцепитьМного(D64:E64,"")&amp;""" {"&amp;СцепитьМного(I64:L64,", ")&amp;", d 000, n "&amp;TEXT(G64,"000")&amp;"}"</f>
        <v>&lt;unit064&gt; "ул.Сырокваша" {c 902, c 928, v "\mp3_ost\swrokvas.mp3", d 000, n 065}</v>
      </c>
    </row>
    <row r="65" spans="2:13" x14ac:dyDescent="0.25">
      <c r="B65">
        <f t="shared" si="3"/>
        <v>65</v>
      </c>
      <c r="C65" t="s">
        <v>338</v>
      </c>
      <c r="D65" t="str">
        <f t="shared" si="4"/>
        <v>&gt;&gt;</v>
      </c>
      <c r="E65" t="s">
        <v>170</v>
      </c>
      <c r="G65" s="22">
        <f t="shared" si="5"/>
        <v>66</v>
      </c>
      <c r="I65" s="22" t="str">
        <f>IFERROR("p "&amp;VLOOKUP(H65,Tablo_Tab,2,FALSE),"")</f>
        <v/>
      </c>
      <c r="J65" s="22" t="str">
        <f>IFERROR("c "&amp;VLOOKUP(C65,Punkti,2,FALSE),"")</f>
        <v>c 900</v>
      </c>
      <c r="K65" s="26" t="str">
        <f>IFERROR(VLOOKUP(E65,Ostanovki,7,FALSE),"")</f>
        <v>c 928, v "\mp3_ost\moskovsk.mp3"</v>
      </c>
      <c r="L65" s="22" t="str">
        <f>IFERROR("c "&amp;VLOOKUP(F65,Punkti,2,FALSE),"")</f>
        <v/>
      </c>
      <c r="M65" s="15" t="str">
        <f>"&lt;unit"&amp;TEXT(B65,"000")&amp;"&gt; """&amp;СцепитьМного(D65:E65,"")&amp;""" {"&amp;СцепитьМного(I65:L65,", ")&amp;", d 000, n "&amp;TEXT(G65,"000")&amp;"}"</f>
        <v>&lt;unit065&gt; "&gt;&gt;ул.Московская" {c 900, c 928, v "\mp3_ost\moskovsk.mp3", d 000, n 066}</v>
      </c>
    </row>
    <row r="66" spans="2:13" x14ac:dyDescent="0.25">
      <c r="B66">
        <f t="shared" si="3"/>
        <v>66</v>
      </c>
      <c r="C66" t="s">
        <v>83</v>
      </c>
      <c r="D66" t="str">
        <f t="shared" si="4"/>
        <v/>
      </c>
      <c r="E66" t="s">
        <v>170</v>
      </c>
      <c r="G66" s="22">
        <f t="shared" si="5"/>
        <v>67</v>
      </c>
      <c r="I66" s="22" t="str">
        <f>IFERROR("p "&amp;VLOOKUP(H66,Tablo_Tab,2,FALSE),"")</f>
        <v/>
      </c>
      <c r="J66" s="22" t="str">
        <f>IFERROR("c "&amp;VLOOKUP(C66,Punkti,2,FALSE),"")</f>
        <v>c 902</v>
      </c>
      <c r="K66" s="26" t="str">
        <f>IFERROR(VLOOKUP(E66,Ostanovki,7,FALSE),"")</f>
        <v>c 928, v "\mp3_ost\moskovsk.mp3"</v>
      </c>
      <c r="L66" s="22" t="str">
        <f>IFERROR("c "&amp;VLOOKUP(F66,Punkti,2,FALSE),"")</f>
        <v/>
      </c>
      <c r="M66" s="15" t="str">
        <f>"&lt;unit"&amp;TEXT(B66,"000")&amp;"&gt; """&amp;СцепитьМного(D66:E66,"")&amp;""" {"&amp;СцепитьМного(I66:L66,", ")&amp;", d 000, n "&amp;TEXT(G66,"000")&amp;"}"</f>
        <v>&lt;unit066&gt; "ул.Московская" {c 902, c 928, v "\mp3_ost\moskovsk.mp3", d 000, n 067}</v>
      </c>
    </row>
    <row r="67" spans="2:13" x14ac:dyDescent="0.25">
      <c r="B67">
        <f t="shared" si="3"/>
        <v>67</v>
      </c>
      <c r="C67" t="s">
        <v>338</v>
      </c>
      <c r="D67" t="str">
        <f t="shared" si="4"/>
        <v>&gt;&gt;</v>
      </c>
      <c r="E67" t="s">
        <v>171</v>
      </c>
      <c r="G67" s="22">
        <f t="shared" si="5"/>
        <v>68</v>
      </c>
      <c r="I67" s="22" t="str">
        <f>IFERROR("p "&amp;VLOOKUP(H67,Tablo_Tab,2,FALSE),"")</f>
        <v/>
      </c>
      <c r="J67" s="22" t="str">
        <f>IFERROR("c "&amp;VLOOKUP(C67,Punkti,2,FALSE),"")</f>
        <v>c 900</v>
      </c>
      <c r="K67" s="26" t="str">
        <f>IFERROR(VLOOKUP(E67,Ostanovki,7,FALSE),"")</f>
        <v>c 928, v "\mp3_ost\partizan.mp3"</v>
      </c>
      <c r="L67" s="22" t="str">
        <f>IFERROR("c "&amp;VLOOKUP(F67,Punkti,2,FALSE),"")</f>
        <v/>
      </c>
      <c r="M67" s="15" t="str">
        <f>"&lt;unit"&amp;TEXT(B67,"000")&amp;"&gt; """&amp;СцепитьМного(D67:E67,"")&amp;""" {"&amp;СцепитьМного(I67:L67,", ")&amp;", d 000, n "&amp;TEXT(G67,"000")&amp;"}"</f>
        <v>&lt;unit067&gt; "&gt;&gt;ул.Партизанская" {c 900, c 928, v "\mp3_ost\partizan.mp3", d 000, n 068}</v>
      </c>
    </row>
    <row r="68" spans="2:13" x14ac:dyDescent="0.25">
      <c r="B68">
        <f t="shared" si="3"/>
        <v>68</v>
      </c>
      <c r="C68" t="s">
        <v>83</v>
      </c>
      <c r="D68" t="str">
        <f t="shared" si="4"/>
        <v/>
      </c>
      <c r="E68" t="s">
        <v>171</v>
      </c>
      <c r="G68" s="22">
        <f t="shared" si="5"/>
        <v>69</v>
      </c>
      <c r="I68" s="22" t="str">
        <f>IFERROR("p "&amp;VLOOKUP(H68,Tablo_Tab,2,FALSE),"")</f>
        <v/>
      </c>
      <c r="J68" s="22" t="str">
        <f>IFERROR("c "&amp;VLOOKUP(C68,Punkti,2,FALSE),"")</f>
        <v>c 902</v>
      </c>
      <c r="K68" s="26" t="str">
        <f>IFERROR(VLOOKUP(E68,Ostanovki,7,FALSE),"")</f>
        <v>c 928, v "\mp3_ost\partizan.mp3"</v>
      </c>
      <c r="L68" s="22" t="str">
        <f>IFERROR("c "&amp;VLOOKUP(F68,Punkti,2,FALSE),"")</f>
        <v/>
      </c>
      <c r="M68" s="15" t="str">
        <f>"&lt;unit"&amp;TEXT(B68,"000")&amp;"&gt; """&amp;СцепитьМного(D68:E68,"")&amp;""" {"&amp;СцепитьМного(I68:L68,", ")&amp;", d 000, n "&amp;TEXT(G68,"000")&amp;"}"</f>
        <v>&lt;unit068&gt; "ул.Партизанская" {c 902, c 928, v "\mp3_ost\partizan.mp3", d 000, n 069}</v>
      </c>
    </row>
    <row r="69" spans="2:13" x14ac:dyDescent="0.25">
      <c r="B69">
        <f t="shared" si="3"/>
        <v>69</v>
      </c>
      <c r="C69" t="s">
        <v>338</v>
      </c>
      <c r="D69" t="str">
        <f t="shared" si="4"/>
        <v>&gt;&gt;</v>
      </c>
      <c r="E69" t="s">
        <v>168</v>
      </c>
      <c r="G69" s="22">
        <f t="shared" si="5"/>
        <v>70</v>
      </c>
      <c r="I69" s="22" t="str">
        <f>IFERROR("p "&amp;VLOOKUP(H69,Tablo_Tab,2,FALSE),"")</f>
        <v/>
      </c>
      <c r="J69" s="22" t="str">
        <f>IFERROR("c "&amp;VLOOKUP(C69,Punkti,2,FALSE),"")</f>
        <v>c 900</v>
      </c>
      <c r="K69" s="26" t="str">
        <f>IFERROR(VLOOKUP(E69,Ostanovki,7,FALSE),"")</f>
        <v>v "\mp3_ost\jd.mp3"</v>
      </c>
      <c r="L69" s="22" t="str">
        <f>IFERROR("c "&amp;VLOOKUP(F69,Punkti,2,FALSE),"")</f>
        <v/>
      </c>
      <c r="M69" s="15" t="str">
        <f>"&lt;unit"&amp;TEXT(B69,"000")&amp;"&gt; """&amp;СцепитьМного(D69:E69,"")&amp;""" {"&amp;СцепитьМного(I69:L69,", ")&amp;", d 000, n "&amp;TEXT(G69,"000")&amp;"}"</f>
        <v>&lt;unit069&gt; "&gt;&gt;ЖД Вокзал" {c 900, v "\mp3_ost\jd.mp3", d 000, n 070}</v>
      </c>
    </row>
    <row r="70" spans="2:13" x14ac:dyDescent="0.25">
      <c r="B70">
        <f t="shared" si="3"/>
        <v>70</v>
      </c>
      <c r="C70" t="s">
        <v>83</v>
      </c>
      <c r="D70" t="str">
        <f t="shared" si="4"/>
        <v/>
      </c>
      <c r="E70" t="s">
        <v>168</v>
      </c>
      <c r="G70" s="22">
        <f t="shared" si="5"/>
        <v>71</v>
      </c>
      <c r="I70" s="22" t="str">
        <f>IFERROR("p "&amp;VLOOKUP(H70,Tablo_Tab,2,FALSE),"")</f>
        <v/>
      </c>
      <c r="J70" s="22" t="str">
        <f>IFERROR("c "&amp;VLOOKUP(C70,Punkti,2,FALSE),"")</f>
        <v>c 902</v>
      </c>
      <c r="K70" s="26" t="str">
        <f>IFERROR(VLOOKUP(E70,Ostanovki,7,FALSE),"")</f>
        <v>v "\mp3_ost\jd.mp3"</v>
      </c>
      <c r="L70" s="22" t="str">
        <f>IFERROR("c "&amp;VLOOKUP(F70,Punkti,2,FALSE),"")</f>
        <v/>
      </c>
      <c r="M70" s="15" t="str">
        <f>"&lt;unit"&amp;TEXT(B70,"000")&amp;"&gt; """&amp;СцепитьМного(D70:E70,"")&amp;""" {"&amp;СцепитьМного(I70:L70,", ")&amp;", d 000, n "&amp;TEXT(G70,"000")&amp;"}"</f>
        <v>&lt;unit070&gt; "ЖД Вокзал" {c 902, v "\mp3_ost\jd.mp3", d 000, n 071}</v>
      </c>
    </row>
    <row r="71" spans="2:13" x14ac:dyDescent="0.25">
      <c r="B71">
        <f t="shared" si="3"/>
        <v>71</v>
      </c>
      <c r="C71" t="s">
        <v>338</v>
      </c>
      <c r="D71" t="str">
        <f t="shared" si="4"/>
        <v>&gt;&gt;</v>
      </c>
      <c r="E71" t="s">
        <v>268</v>
      </c>
      <c r="G71" s="22">
        <f t="shared" si="5"/>
        <v>72</v>
      </c>
      <c r="I71" s="22" t="str">
        <f>IFERROR("p "&amp;VLOOKUP(H71,Tablo_Tab,2,FALSE),"")</f>
        <v/>
      </c>
      <c r="J71" s="22" t="str">
        <f>IFERROR("c "&amp;VLOOKUP(C71,Punkti,2,FALSE),"")</f>
        <v>c 900</v>
      </c>
      <c r="K71" s="26" t="str">
        <f>IFERROR(VLOOKUP(E71,Ostanovki,7,FALSE),"")</f>
        <v>v "\mp3_ost\yunost`.mp3"</v>
      </c>
      <c r="L71" s="22" t="str">
        <f>IFERROR("c "&amp;VLOOKUP(F71,Punkti,2,FALSE),"")</f>
        <v/>
      </c>
      <c r="M71" s="15" t="str">
        <f>"&lt;unit"&amp;TEXT(B71,"000")&amp;"&gt; """&amp;СцепитьМного(D71:E71,"")&amp;""" {"&amp;СцепитьМного(I71:L71,", ")&amp;", d 000, n "&amp;TEXT(G71,"000")&amp;"}"</f>
        <v>&lt;unit071&gt; "&gt;&gt;к/т Юность" {c 900, v "\mp3_ost\yunost`.mp3", d 000, n 072}</v>
      </c>
    </row>
    <row r="72" spans="2:13" x14ac:dyDescent="0.25">
      <c r="B72">
        <f t="shared" si="3"/>
        <v>72</v>
      </c>
      <c r="C72" t="s">
        <v>83</v>
      </c>
      <c r="D72" t="str">
        <f t="shared" si="4"/>
        <v/>
      </c>
      <c r="E72" t="s">
        <v>268</v>
      </c>
      <c r="G72" s="22">
        <f t="shared" si="5"/>
        <v>73</v>
      </c>
      <c r="I72" s="22" t="str">
        <f>IFERROR("p "&amp;VLOOKUP(H72,Tablo_Tab,2,FALSE),"")</f>
        <v/>
      </c>
      <c r="J72" s="22" t="str">
        <f>IFERROR("c "&amp;VLOOKUP(C72,Punkti,2,FALSE),"")</f>
        <v>c 902</v>
      </c>
      <c r="K72" s="26" t="str">
        <f>IFERROR(VLOOKUP(E72,Ostanovki,7,FALSE),"")</f>
        <v>v "\mp3_ost\yunost`.mp3"</v>
      </c>
      <c r="L72" s="22" t="str">
        <f>IFERROR("c "&amp;VLOOKUP(F72,Punkti,2,FALSE),"")</f>
        <v/>
      </c>
      <c r="M72" s="15" t="str">
        <f>"&lt;unit"&amp;TEXT(B72,"000")&amp;"&gt; """&amp;СцепитьМного(D72:E72,"")&amp;""" {"&amp;СцепитьМного(I72:L72,", ")&amp;", d 000, n "&amp;TEXT(G72,"000")&amp;"}"</f>
        <v>&lt;unit072&gt; "к/т Юность" {c 902, v "\mp3_ost\yunost`.mp3", d 000, n 073}</v>
      </c>
    </row>
    <row r="73" spans="2:13" x14ac:dyDescent="0.25">
      <c r="B73">
        <f t="shared" si="3"/>
        <v>73</v>
      </c>
      <c r="C73" t="s">
        <v>338</v>
      </c>
      <c r="D73" t="str">
        <f t="shared" si="4"/>
        <v>&gt;&gt;</v>
      </c>
      <c r="E73" t="s">
        <v>259</v>
      </c>
      <c r="G73" s="22">
        <f t="shared" si="5"/>
        <v>74</v>
      </c>
      <c r="I73" s="22" t="str">
        <f>IFERROR("p "&amp;VLOOKUP(H73,Tablo_Tab,2,FALSE),"")</f>
        <v/>
      </c>
      <c r="J73" s="22" t="str">
        <f>IFERROR("c "&amp;VLOOKUP(C73,Punkti,2,FALSE),"")</f>
        <v>c 900</v>
      </c>
      <c r="K73" s="26" t="str">
        <f>IFERROR(VLOOKUP(E73,Ostanovki,7,FALSE),"")</f>
        <v>v "\mp3_ost\tec.mp3"</v>
      </c>
      <c r="L73" s="22" t="str">
        <f>IFERROR("c "&amp;VLOOKUP(F73,Punkti,2,FALSE),"")</f>
        <v/>
      </c>
      <c r="M73" s="15" t="str">
        <f>"&lt;unit"&amp;TEXT(B73,"000")&amp;"&gt; """&amp;СцепитьМного(D73:E73,"")&amp;""" {"&amp;СцепитьМного(I73:L73,", ")&amp;", d 000, n "&amp;TEXT(G73,"000")&amp;"}"</f>
        <v>&lt;unit073&gt; "&gt;&gt;ТЭЦ" {c 900, v "\mp3_ost\tec.mp3", d 000, n 074}</v>
      </c>
    </row>
    <row r="74" spans="2:13" x14ac:dyDescent="0.25">
      <c r="B74">
        <f t="shared" si="3"/>
        <v>74</v>
      </c>
      <c r="C74" t="s">
        <v>83</v>
      </c>
      <c r="D74" t="str">
        <f t="shared" si="4"/>
        <v/>
      </c>
      <c r="E74" t="s">
        <v>259</v>
      </c>
      <c r="G74" s="22">
        <f t="shared" si="5"/>
        <v>75</v>
      </c>
      <c r="I74" s="22" t="str">
        <f>IFERROR("p "&amp;VLOOKUP(H74,Tablo_Tab,2,FALSE),"")</f>
        <v/>
      </c>
      <c r="J74" s="22" t="str">
        <f>IFERROR("c "&amp;VLOOKUP(C74,Punkti,2,FALSE),"")</f>
        <v>c 902</v>
      </c>
      <c r="K74" s="26" t="str">
        <f>IFERROR(VLOOKUP(E74,Ostanovki,7,FALSE),"")</f>
        <v>v "\mp3_ost\tec.mp3"</v>
      </c>
      <c r="L74" s="22" t="str">
        <f>IFERROR("c "&amp;VLOOKUP(F74,Punkti,2,FALSE),"")</f>
        <v/>
      </c>
      <c r="M74" s="15" t="str">
        <f>"&lt;unit"&amp;TEXT(B74,"000")&amp;"&gt; """&amp;СцепитьМного(D74:E74,"")&amp;""" {"&amp;СцепитьМного(I74:L74,", ")&amp;", d 000, n "&amp;TEXT(G74,"000")&amp;"}"</f>
        <v>&lt;unit074&gt; "ТЭЦ" {c 902, v "\mp3_ost\tec.mp3", d 000, n 075}</v>
      </c>
    </row>
    <row r="75" spans="2:13" x14ac:dyDescent="0.25">
      <c r="B75">
        <f t="shared" si="3"/>
        <v>75</v>
      </c>
      <c r="C75" t="s">
        <v>338</v>
      </c>
      <c r="D75" t="str">
        <f t="shared" si="4"/>
        <v>&gt;&gt;</v>
      </c>
      <c r="E75" t="s">
        <v>278</v>
      </c>
      <c r="G75" s="22">
        <f t="shared" si="5"/>
        <v>76</v>
      </c>
      <c r="I75" s="22" t="str">
        <f>IFERROR("p "&amp;VLOOKUP(H75,Tablo_Tab,2,FALSE),"")</f>
        <v/>
      </c>
      <c r="J75" s="22" t="str">
        <f>IFERROR("c "&amp;VLOOKUP(C75,Punkti,2,FALSE),"")</f>
        <v>c 900</v>
      </c>
      <c r="K75" s="26" t="str">
        <f>IFERROR(VLOOKUP(E75,Ostanovki,7,FALSE),"")</f>
        <v>c 928, v "\mp3_ost\kupriyan.mp3"</v>
      </c>
      <c r="L75" s="22" t="str">
        <f>IFERROR("c "&amp;VLOOKUP(F75,Punkti,2,FALSE),"")</f>
        <v/>
      </c>
      <c r="M75" s="15" t="str">
        <f>"&lt;unit"&amp;TEXT(B75,"000")&amp;"&gt; """&amp;СцепитьМного(D75:E75,"")&amp;""" {"&amp;СцепитьМного(I75:L75,", ")&amp;", d 000, n "&amp;TEXT(G75,"000")&amp;"}"</f>
        <v>&lt;unit075&gt; "&gt;&gt;ул.Куприянова" {c 900, c 928, v "\mp3_ost\kupriyan.mp3", d 000, n 076}</v>
      </c>
    </row>
    <row r="76" spans="2:13" x14ac:dyDescent="0.25">
      <c r="B76">
        <f t="shared" si="3"/>
        <v>76</v>
      </c>
      <c r="C76" t="s">
        <v>83</v>
      </c>
      <c r="D76" t="str">
        <f t="shared" si="4"/>
        <v/>
      </c>
      <c r="E76" t="s">
        <v>278</v>
      </c>
      <c r="G76" s="22">
        <f t="shared" si="5"/>
        <v>77</v>
      </c>
      <c r="I76" s="22" t="str">
        <f>IFERROR("p "&amp;VLOOKUP(H76,Tablo_Tab,2,FALSE),"")</f>
        <v/>
      </c>
      <c r="J76" s="22" t="str">
        <f>IFERROR("c "&amp;VLOOKUP(C76,Punkti,2,FALSE),"")</f>
        <v>c 902</v>
      </c>
      <c r="K76" s="26" t="str">
        <f>IFERROR(VLOOKUP(E76,Ostanovki,7,FALSE),"")</f>
        <v>c 928, v "\mp3_ost\kupriyan.mp3"</v>
      </c>
      <c r="L76" s="22" t="str">
        <f>IFERROR("c "&amp;VLOOKUP(F76,Punkti,2,FALSE),"")</f>
        <v/>
      </c>
      <c r="M76" s="15" t="str">
        <f>"&lt;unit"&amp;TEXT(B76,"000")&amp;"&gt; """&amp;СцепитьМного(D76:E76,"")&amp;""" {"&amp;СцепитьМного(I76:L76,", ")&amp;", d 000, n "&amp;TEXT(G76,"000")&amp;"}"</f>
        <v>&lt;unit076&gt; "ул.Куприянова" {c 902, c 928, v "\mp3_ost\kupriyan.mp3", d 000, n 077}</v>
      </c>
    </row>
    <row r="77" spans="2:13" x14ac:dyDescent="0.25">
      <c r="B77">
        <f t="shared" si="3"/>
        <v>77</v>
      </c>
      <c r="C77" t="s">
        <v>338</v>
      </c>
      <c r="D77" t="str">
        <f t="shared" si="4"/>
        <v>&gt;&gt;</v>
      </c>
      <c r="E77" t="s">
        <v>207</v>
      </c>
      <c r="G77" s="22">
        <f t="shared" si="5"/>
        <v>78</v>
      </c>
      <c r="I77" s="22" t="str">
        <f>IFERROR("p "&amp;VLOOKUP(H77,Tablo_Tab,2,FALSE),"")</f>
        <v/>
      </c>
      <c r="J77" s="22" t="str">
        <f>IFERROR("c "&amp;VLOOKUP(C77,Punkti,2,FALSE),"")</f>
        <v>c 900</v>
      </c>
      <c r="K77" s="26" t="str">
        <f>IFERROR(VLOOKUP(E77,Ostanovki,7,FALSE),"")</f>
        <v>v "\mp3_ost\elseti.mp3"</v>
      </c>
      <c r="L77" s="22" t="str">
        <f>IFERROR("c "&amp;VLOOKUP(F77,Punkti,2,FALSE),"")</f>
        <v/>
      </c>
      <c r="M77" s="15" t="str">
        <f>"&lt;unit"&amp;TEXT(B77,"000")&amp;"&gt; """&amp;СцепитьМного(D77:E77,"")&amp;""" {"&amp;СцепитьМного(I77:L77,", ")&amp;", d 000, n "&amp;TEXT(G77,"000")&amp;"}"</f>
        <v>&lt;unit077&gt; "&gt;&gt;Электросети" {c 900, v "\mp3_ost\elseti.mp3", d 000, n 078}</v>
      </c>
    </row>
    <row r="78" spans="2:13" x14ac:dyDescent="0.25">
      <c r="B78">
        <f t="shared" si="3"/>
        <v>78</v>
      </c>
      <c r="C78" t="s">
        <v>83</v>
      </c>
      <c r="D78" t="str">
        <f t="shared" si="4"/>
        <v/>
      </c>
      <c r="E78" t="s">
        <v>207</v>
      </c>
      <c r="G78" s="22">
        <f t="shared" si="5"/>
        <v>79</v>
      </c>
      <c r="I78" s="22" t="str">
        <f>IFERROR("p "&amp;VLOOKUP(H78,Tablo_Tab,2,FALSE),"")</f>
        <v/>
      </c>
      <c r="J78" s="22" t="str">
        <f>IFERROR("c "&amp;VLOOKUP(C78,Punkti,2,FALSE),"")</f>
        <v>c 902</v>
      </c>
      <c r="K78" s="26" t="str">
        <f>IFERROR(VLOOKUP(E78,Ostanovki,7,FALSE),"")</f>
        <v>v "\mp3_ost\elseti.mp3"</v>
      </c>
      <c r="L78" s="22" t="str">
        <f>IFERROR("c "&amp;VLOOKUP(F78,Punkti,2,FALSE),"")</f>
        <v/>
      </c>
      <c r="M78" s="15" t="str">
        <f>"&lt;unit"&amp;TEXT(B78,"000")&amp;"&gt; """&amp;СцепитьМного(D78:E78,"")&amp;""" {"&amp;СцепитьМного(I78:L78,", ")&amp;", d 000, n "&amp;TEXT(G78,"000")&amp;"}"</f>
        <v>&lt;unit078&gt; "Электросети" {c 902, v "\mp3_ost\elseti.mp3", d 000, n 079}</v>
      </c>
    </row>
    <row r="79" spans="2:13" x14ac:dyDescent="0.25">
      <c r="B79">
        <f t="shared" si="3"/>
        <v>79</v>
      </c>
      <c r="C79" t="s">
        <v>338</v>
      </c>
      <c r="D79" t="str">
        <f t="shared" si="4"/>
        <v>&gt;&gt;</v>
      </c>
      <c r="E79" t="s">
        <v>286</v>
      </c>
      <c r="G79" s="22">
        <f t="shared" ref="G79" si="6">B80</f>
        <v>80</v>
      </c>
      <c r="I79" s="22" t="str">
        <f>IFERROR("p "&amp;VLOOKUP(H79,Tablo_Tab,2,FALSE),"")</f>
        <v/>
      </c>
      <c r="J79" s="22" t="str">
        <f>IFERROR("c "&amp;VLOOKUP(C79,Punkti,2,FALSE),"")</f>
        <v>c 900</v>
      </c>
      <c r="K79" s="26" t="str">
        <f>IFERROR(VLOOKUP(E79,Ostanovki,7,FALSE),"")</f>
        <v>c 928, v "\mp3_ost\truda.mp3"</v>
      </c>
      <c r="L79" s="22" t="str">
        <f>IFERROR("c "&amp;VLOOKUP(F79,Punkti,2,FALSE),"")</f>
        <v/>
      </c>
      <c r="M79" s="15" t="str">
        <f>"&lt;unit"&amp;TEXT(B79,"000")&amp;"&gt; """&amp;СцепитьМного(D79:E79,"")&amp;""" {"&amp;СцепитьМного(I79:L79,", ")&amp;", d 000, n "&amp;TEXT(G79,"000")&amp;"}"</f>
        <v>&lt;unit079&gt; "&gt;&gt;ул.Труда" {c 900, c 928, v "\mp3_ost\truda.mp3", d 000, n 080}</v>
      </c>
    </row>
    <row r="80" spans="2:13" x14ac:dyDescent="0.25">
      <c r="B80">
        <f t="shared" si="3"/>
        <v>80</v>
      </c>
      <c r="C80" t="s">
        <v>83</v>
      </c>
      <c r="D80" t="str">
        <f t="shared" si="4"/>
        <v/>
      </c>
      <c r="E80" t="s">
        <v>286</v>
      </c>
      <c r="F80" t="s">
        <v>340</v>
      </c>
      <c r="G80" s="22">
        <f>B82</f>
        <v>82</v>
      </c>
      <c r="I80" s="22" t="str">
        <f>IFERROR("p "&amp;VLOOKUP(H80,Tablo_Tab,2,FALSE),"")</f>
        <v/>
      </c>
      <c r="J80" s="22" t="str">
        <f>IFERROR("c "&amp;VLOOKUP(C80,Punkti,2,FALSE),"")</f>
        <v>c 902</v>
      </c>
      <c r="K80" s="26" t="str">
        <f>IFERROR(VLOOKUP(E80,Ostanovki,7,FALSE),"")</f>
        <v>c 928, v "\mp3_ost\truda.mp3"</v>
      </c>
      <c r="L80" s="22" t="str">
        <f>IFERROR("c "&amp;VLOOKUP(F80,Punkti,2,FALSE),"")</f>
        <v>c 903</v>
      </c>
      <c r="M80" s="15" t="str">
        <f>"&lt;unit"&amp;TEXT(B80,"000")&amp;"&gt; """&amp;СцепитьМного(D80:E80,"")&amp;""" {"&amp;СцепитьМного(I80:L80,", ")&amp;", d 000, n "&amp;TEXT(G80,"000")&amp;"}"</f>
        <v>&lt;unit080&gt; "ул.Труда" {c 902, c 928, v "\mp3_ost\truda.mp3", c 903, d 000, n 082}</v>
      </c>
    </row>
    <row r="81" spans="2:13" x14ac:dyDescent="0.25">
      <c r="M81" s="15"/>
    </row>
    <row r="82" spans="2:13" x14ac:dyDescent="0.25">
      <c r="B82">
        <f t="shared" si="3"/>
        <v>82</v>
      </c>
      <c r="E82" s="23" t="s">
        <v>337</v>
      </c>
      <c r="F82" s="23"/>
      <c r="G82" s="22">
        <f>B3</f>
        <v>3</v>
      </c>
      <c r="M82" s="15" t="str">
        <f>"&lt;unit"&amp;TEXT(B82,"000")&amp;"&gt; """&amp;E82&amp;""" {d 000, n "&amp;TEXT(G82,"000")&amp;"}"</f>
        <v>&lt;unit082&gt; "----- Конец -----" {d 000, n 003}</v>
      </c>
    </row>
    <row r="83" spans="2:13" x14ac:dyDescent="0.25">
      <c r="M83" s="15"/>
    </row>
    <row r="84" spans="2:13" x14ac:dyDescent="0.25">
      <c r="M84" s="15" t="str">
        <f>Константы!D2</f>
        <v>&lt;unit921&gt; "Автовокзал" {v "\mp3_knst\av.mp3", w 01}</v>
      </c>
    </row>
    <row r="85" spans="2:13" x14ac:dyDescent="0.25">
      <c r="M85" s="15" t="str">
        <f>Константы!D3</f>
        <v>&lt;unit923&gt; "Гостиница" {v "\mp3_knst\gos.mp3", w 01}</v>
      </c>
    </row>
    <row r="86" spans="2:13" x14ac:dyDescent="0.25">
      <c r="M86" s="15" t="str">
        <f>Константы!D4</f>
        <v>&lt;unit922&gt; "Дисп. станция" {v "\mp3_knst\ds.mp3", w 01}</v>
      </c>
    </row>
    <row r="87" spans="2:13" x14ac:dyDescent="0.25">
      <c r="M87" s="15" t="str">
        <f>Константы!D5</f>
        <v>&lt;unit903&gt; "Канцавая" {v "\mp3_knst\kanc.mp3", w 01}</v>
      </c>
    </row>
    <row r="88" spans="2:13" x14ac:dyDescent="0.25">
      <c r="M88" s="15" t="str">
        <f>Константы!D6</f>
        <v>&lt;unit924&gt; "Конечная" {v "\mp3_knst\ko.mp3", w 01}</v>
      </c>
    </row>
    <row r="89" spans="2:13" x14ac:dyDescent="0.25">
      <c r="M89" s="15" t="str">
        <f>Константы!D7</f>
        <v>&lt;unit902&gt; "Остановка" {v "\mp3_knst\ost.mp3", w 01}</v>
      </c>
    </row>
    <row r="90" spans="2:13" x14ac:dyDescent="0.25">
      <c r="M90" s="15" t="str">
        <f>Константы!D8</f>
        <v>&lt;unit900&gt; "Дв. закр. След. ост." {v "\mp3_knst\ostor.mp3", w 01}</v>
      </c>
    </row>
    <row r="91" spans="2:13" x14ac:dyDescent="0.25">
      <c r="M91" s="15" t="str">
        <f>Константы!D9</f>
        <v>&lt;unit925&gt; "Площадь" {v "\mp3_knst\pl.mp3", w 01}</v>
      </c>
    </row>
    <row r="92" spans="2:13" x14ac:dyDescent="0.25">
      <c r="M92" s="15" t="str">
        <f>Константы!D10</f>
        <v>&lt;unit926&gt; "Проспект" {v "\mp3_knst\pr.mp3", w 01}</v>
      </c>
    </row>
    <row r="93" spans="2:13" x14ac:dyDescent="0.25">
      <c r="M93" s="15" t="str">
        <f>Константы!D11</f>
        <v>&lt;unit927&gt; "Станция метро" {v "\mp3_knst\sm.mp3", w 01}</v>
      </c>
    </row>
    <row r="94" spans="2:13" x14ac:dyDescent="0.25">
      <c r="M94" s="15" t="str">
        <f>Константы!D12</f>
        <v>&lt;unit928&gt; "Улица" {v "\mp3_knst\ul.mp3", w 01}</v>
      </c>
    </row>
  </sheetData>
  <dataValidations count="3">
    <dataValidation type="list" allowBlank="1" showInputMessage="1" showErrorMessage="1" sqref="E8:E42 E46:E80 H13:H14">
      <formula1>Zag_Ost</formula1>
    </dataValidation>
    <dataValidation type="list" allowBlank="1" showInputMessage="1" showErrorMessage="1" sqref="C8:C42 F8:F42 C46:C80 F46:F80">
      <formula1>Pref_Punktov</formula1>
    </dataValidation>
    <dataValidation type="list" allowBlank="1" showInputMessage="1" showErrorMessage="1" sqref="H8:H12 H15:H42">
      <formula1>Tablo_Zag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79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30</vt:i4>
      </vt:variant>
      <vt:variant>
        <vt:lpstr>Именованные диапазоны</vt:lpstr>
      </vt:variant>
      <vt:variant>
        <vt:i4>11</vt:i4>
      </vt:variant>
    </vt:vector>
  </HeadingPairs>
  <TitlesOfParts>
    <vt:vector size="41" baseType="lpstr">
      <vt:lpstr>Настройки</vt:lpstr>
      <vt:lpstr>Константы</vt:lpstr>
      <vt:lpstr>Остановки</vt:lpstr>
      <vt:lpstr>Табло</vt:lpstr>
      <vt:lpstr>Шаблон маршрута</vt:lpstr>
      <vt:lpstr>route.txt</vt:lpstr>
      <vt:lpstr>route</vt:lpstr>
      <vt:lpstr>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2019-08-16T08:42:08Z</dcterms:modified>
</cp:coreProperties>
</file>