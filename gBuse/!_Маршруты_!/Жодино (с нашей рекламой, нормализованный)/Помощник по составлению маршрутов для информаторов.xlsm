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)\"/>
    </mc:Choice>
  </mc:AlternateContent>
  <bookViews>
    <workbookView xWindow="-122" yWindow="-122" windowWidth="19087" windowHeight="11398" firstSheet="4" activeTab="16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24" i="58" l="1"/>
  <c r="L126" i="57"/>
  <c r="L76" i="56"/>
  <c r="L76" i="54"/>
  <c r="L67" i="60"/>
  <c r="L90" i="59"/>
  <c r="L130" i="53"/>
  <c r="L66" i="52"/>
  <c r="L106" i="51"/>
  <c r="M125" i="55"/>
  <c r="D14" i="37" l="1"/>
  <c r="M124" i="55" s="1"/>
  <c r="B91" i="47"/>
  <c r="C91" i="47"/>
  <c r="D91" i="47"/>
  <c r="E91" i="47"/>
  <c r="D90" i="47"/>
  <c r="C90" i="47"/>
  <c r="B90" i="47"/>
  <c r="E90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G51" i="60" l="1"/>
  <c r="I42" i="60"/>
  <c r="D42" i="60" s="1"/>
  <c r="B42" i="60"/>
  <c r="G41" i="60" s="1"/>
  <c r="K41" i="60"/>
  <c r="I41" i="60"/>
  <c r="D41" i="60" s="1"/>
  <c r="B41" i="60"/>
  <c r="G40" i="60" s="1"/>
  <c r="K40" i="60"/>
  <c r="I40" i="60"/>
  <c r="D40" i="60" s="1"/>
  <c r="B40" i="60"/>
  <c r="G39" i="60" s="1"/>
  <c r="K39" i="60"/>
  <c r="I39" i="60"/>
  <c r="D39" i="60" s="1"/>
  <c r="B39" i="60"/>
  <c r="I38" i="60"/>
  <c r="D38" i="60" s="1"/>
  <c r="G38" i="60"/>
  <c r="B38" i="60"/>
  <c r="G37" i="60" s="1"/>
  <c r="K37" i="60"/>
  <c r="I37" i="60"/>
  <c r="D37" i="60" s="1"/>
  <c r="B37" i="60"/>
  <c r="I34" i="60"/>
  <c r="D34" i="60" s="1"/>
  <c r="B34" i="60"/>
  <c r="G33" i="60" s="1"/>
  <c r="K33" i="60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K43" i="60"/>
  <c r="I43" i="60"/>
  <c r="D43" i="60" s="1"/>
  <c r="B43" i="60"/>
  <c r="G42" i="60" s="1"/>
  <c r="K36" i="60"/>
  <c r="I36" i="60"/>
  <c r="D36" i="60" s="1"/>
  <c r="B36" i="60"/>
  <c r="G35" i="60" s="1"/>
  <c r="K35" i="60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K47" i="60"/>
  <c r="I47" i="60"/>
  <c r="D47" i="60" s="1"/>
  <c r="G47" i="60"/>
  <c r="B47" i="60"/>
  <c r="K46" i="60"/>
  <c r="I46" i="60"/>
  <c r="D46" i="60" s="1"/>
  <c r="G46" i="60"/>
  <c r="B46" i="60"/>
  <c r="K45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I27" i="60"/>
  <c r="D27" i="60" s="1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K34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I11" i="52"/>
  <c r="D11" i="52" s="1"/>
  <c r="K11" i="52"/>
  <c r="B12" i="52"/>
  <c r="G11" i="52" s="1"/>
  <c r="I12" i="52"/>
  <c r="D12" i="52" s="1"/>
  <c r="K12" i="52"/>
  <c r="H85" i="38"/>
  <c r="A2" i="60"/>
  <c r="A4" i="59"/>
  <c r="A3" i="59"/>
  <c r="A2" i="56"/>
  <c r="A4" i="56"/>
  <c r="A4" i="57"/>
  <c r="A4" i="60"/>
  <c r="A4" i="58"/>
  <c r="A3" i="56"/>
  <c r="A3" i="57"/>
  <c r="A2" i="59"/>
  <c r="A2" i="57"/>
  <c r="A3" i="58"/>
  <c r="A2" i="58"/>
  <c r="A3" i="60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4" i="38"/>
  <c r="H45" i="38"/>
  <c r="H82" i="38"/>
  <c r="A4" i="55"/>
  <c r="A2" i="55"/>
  <c r="A3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2" i="54"/>
  <c r="A4" i="54"/>
  <c r="A3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74" i="38"/>
  <c r="H19" i="38"/>
  <c r="H76" i="38"/>
  <c r="H26" i="38"/>
  <c r="H58" i="38"/>
  <c r="A2" i="53"/>
  <c r="A3" i="53"/>
  <c r="A4" i="52"/>
  <c r="A2" i="52"/>
  <c r="A3" i="52"/>
  <c r="A4" i="53"/>
  <c r="J7" i="60" l="1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40" i="38"/>
  <c r="H10" i="38"/>
  <c r="H24" i="38"/>
  <c r="H64" i="38"/>
  <c r="H65" i="38"/>
  <c r="H41" i="38"/>
  <c r="H17" i="38"/>
  <c r="H61" i="38"/>
  <c r="H4" i="38"/>
  <c r="H80" i="38"/>
  <c r="H39" i="38"/>
  <c r="H42" i="38"/>
  <c r="H52" i="38"/>
  <c r="H47" i="38"/>
  <c r="H69" i="38"/>
  <c r="H84" i="38"/>
  <c r="H34" i="38"/>
  <c r="H25" i="38"/>
  <c r="H22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23" i="38"/>
  <c r="H79" i="38"/>
  <c r="H21" i="38"/>
  <c r="H70" i="38"/>
  <c r="H29" i="38"/>
  <c r="H3" i="38"/>
  <c r="H13" i="38"/>
  <c r="H49" i="38"/>
  <c r="H8" i="38"/>
  <c r="H36" i="38"/>
  <c r="H56" i="38"/>
  <c r="H71" i="38"/>
  <c r="H75" i="38"/>
  <c r="H28" i="38"/>
  <c r="H62" i="38"/>
  <c r="H59" i="38"/>
  <c r="H9" i="38"/>
  <c r="H83" i="38"/>
  <c r="H35" i="38"/>
  <c r="H51" i="38"/>
  <c r="H53" i="38"/>
  <c r="H78" i="38"/>
  <c r="H11" i="38"/>
  <c r="H20" i="38"/>
  <c r="H67" i="38"/>
  <c r="H50" i="38"/>
  <c r="H68" i="38"/>
  <c r="H48" i="38"/>
  <c r="H33" i="38"/>
  <c r="H12" i="38"/>
  <c r="H6" i="38"/>
  <c r="H30" i="38"/>
  <c r="H54" i="38"/>
  <c r="H27" i="38"/>
  <c r="H38" i="38"/>
  <c r="H14" i="38"/>
  <c r="H77" i="38"/>
  <c r="H15" i="38"/>
  <c r="H43" i="38"/>
  <c r="H16" i="38"/>
  <c r="H32" i="38"/>
  <c r="H46" i="38"/>
  <c r="H5" i="38"/>
  <c r="H18" i="38"/>
  <c r="H7" i="38"/>
  <c r="H72" i="38"/>
  <c r="H60" i="38"/>
  <c r="H57" i="38"/>
  <c r="H63" i="38"/>
  <c r="H66" i="38"/>
  <c r="H31" i="38"/>
  <c r="H81" i="38"/>
  <c r="H37" i="38"/>
  <c r="H73" i="38"/>
  <c r="H55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6" i="60"/>
  <c r="L25" i="60"/>
  <c r="A2" i="51"/>
  <c r="A3" i="51"/>
  <c r="A4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3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7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4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L56" i="59"/>
  <c r="L56" i="57"/>
  <c r="M50" i="55"/>
  <c r="L52" i="59"/>
  <c r="L8" i="56"/>
  <c r="M30" i="55"/>
  <c r="L44" i="59"/>
  <c r="L20" i="59"/>
  <c r="L12" i="52"/>
  <c r="M26" i="55"/>
  <c r="M65" i="55"/>
  <c r="L54" i="59"/>
  <c r="L38" i="60"/>
  <c r="L16" i="59"/>
  <c r="M37" i="55"/>
  <c r="M54" i="55"/>
  <c r="L72" i="59"/>
  <c r="L69" i="59"/>
  <c r="L38" i="57"/>
  <c r="M19" i="55"/>
  <c r="L49" i="60"/>
  <c r="M48" i="55"/>
  <c r="M15" i="55"/>
  <c r="L18" i="56"/>
  <c r="L61" i="59"/>
  <c r="M104" i="55"/>
  <c r="L46" i="54"/>
  <c r="L42" i="60"/>
  <c r="L108" i="58"/>
  <c r="L90" i="57"/>
  <c r="M88" i="55"/>
  <c r="L18" i="54"/>
  <c r="L44" i="60"/>
  <c r="M10" i="55"/>
  <c r="L47" i="60"/>
  <c r="L74" i="59"/>
  <c r="L45" i="59"/>
  <c r="L80" i="57"/>
  <c r="M22" i="55"/>
  <c r="M27" i="55"/>
  <c r="L42" i="59"/>
  <c r="L37" i="59"/>
  <c r="M68" i="55"/>
  <c r="L109" i="53"/>
  <c r="L48" i="60"/>
  <c r="M100" i="55"/>
  <c r="L47" i="59"/>
  <c r="M44" i="55"/>
  <c r="L113" i="53"/>
  <c r="L94" i="53"/>
  <c r="L112" i="53"/>
  <c r="M13" i="55"/>
  <c r="L76" i="53"/>
  <c r="M23" i="55"/>
  <c r="L17" i="60"/>
  <c r="M66" i="55"/>
  <c r="L110" i="53"/>
  <c r="L18" i="52"/>
  <c r="M98" i="55"/>
  <c r="L77" i="53"/>
  <c r="L28" i="52"/>
  <c r="L58" i="59"/>
  <c r="L14" i="59"/>
  <c r="M63" i="55"/>
  <c r="L71" i="53"/>
  <c r="M8" i="55"/>
  <c r="L58" i="53"/>
  <c r="M52" i="55"/>
  <c r="L81" i="49"/>
  <c r="L67" i="59"/>
  <c r="M33" i="55"/>
  <c r="L91" i="49"/>
  <c r="M21" i="55"/>
  <c r="L101" i="49"/>
  <c r="M93" i="55"/>
  <c r="L95" i="53"/>
  <c r="L70" i="57"/>
  <c r="L111" i="53"/>
  <c r="M108" i="55"/>
  <c r="L60" i="58"/>
  <c r="M43" i="55"/>
  <c r="L69" i="53"/>
  <c r="L86" i="49"/>
  <c r="L68" i="53"/>
  <c r="L86" i="53"/>
  <c r="L83" i="49"/>
  <c r="L50" i="59"/>
  <c r="L70" i="59"/>
  <c r="L10" i="59"/>
  <c r="M67" i="55"/>
  <c r="L101" i="53"/>
  <c r="L103" i="49"/>
  <c r="M46" i="55"/>
  <c r="L100" i="49"/>
  <c r="L64" i="53"/>
  <c r="L43" i="59"/>
  <c r="M17" i="55"/>
  <c r="L96" i="49"/>
  <c r="L36" i="52"/>
  <c r="L78" i="53"/>
  <c r="L39" i="49"/>
  <c r="L84" i="49"/>
  <c r="L88" i="49"/>
  <c r="L36" i="59"/>
  <c r="L70" i="58"/>
  <c r="M86" i="55"/>
  <c r="L89" i="53"/>
  <c r="L89" i="49"/>
  <c r="L87" i="53"/>
  <c r="M78" i="55"/>
  <c r="L56" i="51"/>
  <c r="M101" i="55"/>
  <c r="L28" i="56"/>
  <c r="L21" i="52"/>
  <c r="L37" i="49"/>
  <c r="L48" i="58"/>
  <c r="M97" i="55"/>
  <c r="M85" i="55"/>
  <c r="L8" i="53"/>
  <c r="H2" i="38"/>
  <c r="L32" i="59"/>
  <c r="M91" i="55"/>
  <c r="M96" i="55"/>
  <c r="L48" i="59"/>
  <c r="M75" i="55"/>
  <c r="M80" i="55"/>
  <c r="L38" i="58"/>
  <c r="L18" i="57"/>
  <c r="M49" i="55"/>
  <c r="L62" i="59"/>
  <c r="M95" i="55"/>
  <c r="L63" i="59"/>
  <c r="L7" i="60"/>
  <c r="L56" i="58"/>
  <c r="M14" i="55"/>
  <c r="L34" i="60"/>
  <c r="L12" i="59"/>
  <c r="L8" i="59"/>
  <c r="M69" i="55"/>
  <c r="M99" i="55"/>
  <c r="L65" i="59"/>
  <c r="M18" i="55"/>
  <c r="L46" i="59"/>
  <c r="L18" i="58"/>
  <c r="M42" i="55"/>
  <c r="M83" i="55"/>
  <c r="L27" i="60"/>
  <c r="L57" i="59"/>
  <c r="L53" i="59"/>
  <c r="M55" i="55"/>
  <c r="M40" i="55"/>
  <c r="L36" i="54"/>
  <c r="L49" i="59"/>
  <c r="M87" i="55"/>
  <c r="M35" i="55"/>
  <c r="L100" i="58"/>
  <c r="L46" i="56"/>
  <c r="L32" i="56"/>
  <c r="M72" i="55"/>
  <c r="L68" i="59"/>
  <c r="L64" i="59"/>
  <c r="M107" i="55"/>
  <c r="M11" i="55"/>
  <c r="L60" i="59"/>
  <c r="M84" i="55"/>
  <c r="M61" i="55"/>
  <c r="L100" i="57"/>
  <c r="M94" i="55"/>
  <c r="L106" i="53"/>
  <c r="L67" i="53"/>
  <c r="M16" i="55"/>
  <c r="L74" i="51"/>
  <c r="L102" i="49"/>
  <c r="M64" i="55"/>
  <c r="L38" i="59"/>
  <c r="M34" i="55"/>
  <c r="L87" i="49"/>
  <c r="L97" i="49"/>
  <c r="L108" i="53"/>
  <c r="L72" i="53"/>
  <c r="M76" i="55"/>
  <c r="L73" i="59"/>
  <c r="L90" i="58"/>
  <c r="M89" i="55"/>
  <c r="L94" i="49"/>
  <c r="L32" i="53"/>
  <c r="L86" i="51"/>
  <c r="L16" i="52"/>
  <c r="L43" i="49"/>
  <c r="M70" i="55"/>
  <c r="L8" i="54"/>
  <c r="L62" i="51"/>
  <c r="L17" i="52"/>
  <c r="L26" i="53"/>
  <c r="L56" i="53"/>
  <c r="L54" i="51"/>
  <c r="M28" i="55"/>
  <c r="L42" i="49"/>
  <c r="L66" i="59"/>
  <c r="M81" i="55"/>
  <c r="M9" i="55"/>
  <c r="L48" i="49"/>
  <c r="L65" i="53"/>
  <c r="M36" i="55"/>
  <c r="L98" i="49"/>
  <c r="M53" i="55"/>
  <c r="M60" i="55"/>
  <c r="L71" i="59"/>
  <c r="L8" i="57"/>
  <c r="M25" i="55"/>
  <c r="L88" i="53"/>
  <c r="L85" i="49"/>
  <c r="M56" i="55"/>
  <c r="L40" i="49"/>
  <c r="M79" i="55"/>
  <c r="L60" i="57"/>
  <c r="M73" i="55"/>
  <c r="L47" i="49"/>
  <c r="L107" i="53"/>
  <c r="L102" i="53"/>
  <c r="L41" i="53"/>
  <c r="M74" i="55"/>
  <c r="L51" i="60"/>
  <c r="L36" i="56"/>
  <c r="M71" i="55"/>
  <c r="L85" i="53"/>
  <c r="M51" i="55"/>
  <c r="L93" i="49"/>
  <c r="M24" i="55"/>
  <c r="L28" i="54"/>
  <c r="L44" i="51"/>
  <c r="L103" i="53"/>
  <c r="L10" i="52"/>
  <c r="L63" i="53"/>
  <c r="M103" i="55"/>
  <c r="L80" i="58"/>
  <c r="L38" i="49"/>
  <c r="L96" i="53"/>
  <c r="M92" i="55"/>
  <c r="M45" i="55"/>
  <c r="L105" i="53"/>
  <c r="L93" i="53"/>
  <c r="L60" i="54"/>
  <c r="M90" i="55"/>
  <c r="L39" i="53"/>
  <c r="L50" i="49"/>
  <c r="L28" i="57"/>
  <c r="L75" i="53"/>
  <c r="L66" i="53"/>
  <c r="L73" i="53"/>
  <c r="L74" i="53"/>
  <c r="L95" i="49"/>
  <c r="L37" i="60"/>
  <c r="L48" i="57"/>
  <c r="L24" i="51"/>
  <c r="L50" i="52"/>
  <c r="M62" i="55"/>
  <c r="L98" i="53"/>
  <c r="L97" i="53"/>
  <c r="L80" i="53"/>
  <c r="L55" i="59"/>
  <c r="L18" i="59"/>
  <c r="L92" i="53"/>
  <c r="M29" i="55"/>
  <c r="L50" i="60"/>
  <c r="L56" i="56"/>
  <c r="L36" i="49"/>
  <c r="M82" i="55"/>
  <c r="L41" i="49"/>
  <c r="L104" i="53"/>
  <c r="L14" i="53"/>
  <c r="L90" i="49"/>
  <c r="L43" i="51"/>
  <c r="L45" i="49"/>
  <c r="M32" i="55"/>
  <c r="L79" i="53"/>
  <c r="L35" i="59"/>
  <c r="L60" i="56"/>
  <c r="L44" i="49"/>
  <c r="L84" i="53"/>
  <c r="M106" i="55"/>
  <c r="L51" i="59"/>
  <c r="L91" i="53"/>
  <c r="L99" i="49"/>
  <c r="L50" i="53"/>
  <c r="L100" i="53"/>
  <c r="L44" i="53"/>
  <c r="L90" i="53"/>
  <c r="L59" i="59"/>
  <c r="M39" i="55"/>
  <c r="L114" i="53"/>
  <c r="L8" i="58"/>
  <c r="L46" i="49"/>
  <c r="L82" i="49"/>
  <c r="M41" i="55"/>
  <c r="L99" i="53"/>
  <c r="M31" i="55"/>
  <c r="L110" i="57"/>
  <c r="L20" i="53"/>
  <c r="L44" i="52"/>
  <c r="M47" i="55"/>
  <c r="M38" i="55"/>
  <c r="L36" i="53"/>
  <c r="L92" i="49"/>
  <c r="M77" i="55"/>
  <c r="L32" i="54"/>
  <c r="M20" i="55"/>
  <c r="L40" i="53"/>
  <c r="M12" i="55"/>
  <c r="L70" i="53"/>
  <c r="L8" i="52"/>
  <c r="L56" i="54"/>
  <c r="L28" i="58"/>
  <c r="M102" i="55"/>
  <c r="L14" i="52"/>
  <c r="L62" i="53"/>
  <c r="L83" i="53"/>
  <c r="M105" i="55"/>
  <c r="L49" i="49"/>
  <c r="L107" i="58"/>
  <c r="L105" i="58"/>
  <c r="L101" i="58"/>
  <c r="L102" i="58"/>
  <c r="L104" i="58"/>
  <c r="L106" i="58"/>
  <c r="L103" i="58"/>
  <c r="L91" i="58"/>
  <c r="L97" i="58"/>
  <c r="L96" i="58"/>
  <c r="L99" i="58"/>
  <c r="L92" i="58"/>
  <c r="L98" i="58"/>
  <c r="L94" i="58"/>
  <c r="L95" i="58"/>
  <c r="L93" i="58"/>
  <c r="L89" i="58"/>
  <c r="L87" i="58"/>
  <c r="L82" i="58"/>
  <c r="L83" i="58"/>
  <c r="L84" i="58"/>
  <c r="L86" i="58"/>
  <c r="L88" i="58"/>
  <c r="L85" i="58"/>
  <c r="L81" i="58"/>
  <c r="L77" i="58"/>
  <c r="L72" i="58"/>
  <c r="L74" i="58"/>
  <c r="L78" i="58"/>
  <c r="L73" i="58"/>
  <c r="L79" i="58"/>
  <c r="L75" i="58"/>
  <c r="L71" i="58"/>
  <c r="L76" i="58"/>
  <c r="L63" i="58"/>
  <c r="L68" i="58"/>
  <c r="L69" i="58"/>
  <c r="L64" i="58"/>
  <c r="L66" i="58"/>
  <c r="L67" i="58"/>
  <c r="L61" i="58"/>
  <c r="L65" i="58"/>
  <c r="L62" i="58"/>
  <c r="L53" i="58"/>
  <c r="L52" i="58"/>
  <c r="L50" i="58"/>
  <c r="L55" i="58"/>
  <c r="L49" i="58"/>
  <c r="L54" i="58"/>
  <c r="L51" i="58"/>
  <c r="L45" i="58"/>
  <c r="L39" i="58"/>
  <c r="L44" i="58"/>
  <c r="L41" i="58"/>
  <c r="L40" i="58"/>
  <c r="L46" i="58"/>
  <c r="L42" i="58"/>
  <c r="L43" i="58"/>
  <c r="L47" i="58"/>
  <c r="L30" i="58"/>
  <c r="L32" i="58"/>
  <c r="L34" i="58"/>
  <c r="L37" i="58"/>
  <c r="L29" i="58"/>
  <c r="L31" i="58"/>
  <c r="L33" i="58"/>
  <c r="L35" i="58"/>
  <c r="L36" i="58"/>
  <c r="L24" i="58"/>
  <c r="L26" i="58"/>
  <c r="L22" i="58"/>
  <c r="L25" i="58"/>
  <c r="L21" i="58"/>
  <c r="L23" i="58"/>
  <c r="L27" i="58"/>
  <c r="L20" i="58"/>
  <c r="L19" i="58"/>
  <c r="L11" i="58"/>
  <c r="L13" i="58"/>
  <c r="L15" i="58"/>
  <c r="L14" i="58"/>
  <c r="L9" i="58"/>
  <c r="L10" i="58"/>
  <c r="L16" i="58"/>
  <c r="L12" i="58"/>
  <c r="L17" i="58"/>
  <c r="L103" i="57"/>
  <c r="L104" i="57"/>
  <c r="L109" i="57"/>
  <c r="L107" i="57"/>
  <c r="L108" i="57"/>
  <c r="L105" i="57"/>
  <c r="L102" i="57"/>
  <c r="L106" i="57"/>
  <c r="L101" i="57"/>
  <c r="L91" i="57"/>
  <c r="L98" i="57"/>
  <c r="L95" i="57"/>
  <c r="L96" i="57"/>
  <c r="L94" i="57"/>
  <c r="L99" i="57"/>
  <c r="L97" i="57"/>
  <c r="L93" i="57"/>
  <c r="L92" i="57"/>
  <c r="L82" i="57"/>
  <c r="L81" i="57"/>
  <c r="L85" i="57"/>
  <c r="L88" i="57"/>
  <c r="L84" i="57"/>
  <c r="L86" i="57"/>
  <c r="L83" i="57"/>
  <c r="L87" i="57"/>
  <c r="L89" i="57"/>
  <c r="L72" i="57"/>
  <c r="L75" i="57"/>
  <c r="L74" i="57"/>
  <c r="L76" i="57"/>
  <c r="L79" i="57"/>
  <c r="L73" i="57"/>
  <c r="L78" i="57"/>
  <c r="L71" i="57"/>
  <c r="L77" i="57"/>
  <c r="L68" i="57"/>
  <c r="L63" i="57"/>
  <c r="L67" i="57"/>
  <c r="L65" i="57"/>
  <c r="L61" i="57"/>
  <c r="L62" i="57"/>
  <c r="L64" i="57"/>
  <c r="L69" i="57"/>
  <c r="L66" i="57"/>
  <c r="L54" i="57"/>
  <c r="L50" i="57"/>
  <c r="L55" i="57"/>
  <c r="L49" i="57"/>
  <c r="L51" i="57"/>
  <c r="L53" i="57"/>
  <c r="L52" i="57"/>
  <c r="L39" i="57"/>
  <c r="L45" i="57"/>
  <c r="L44" i="57"/>
  <c r="L42" i="57"/>
  <c r="L46" i="57"/>
  <c r="L40" i="57"/>
  <c r="L41" i="57"/>
  <c r="L47" i="57"/>
  <c r="L43" i="57"/>
  <c r="L29" i="57"/>
  <c r="L32" i="57"/>
  <c r="L30" i="57"/>
  <c r="L37" i="57"/>
  <c r="L33" i="57"/>
  <c r="L36" i="57"/>
  <c r="L31" i="57"/>
  <c r="L34" i="57"/>
  <c r="L35" i="57"/>
  <c r="L22" i="57"/>
  <c r="L25" i="57"/>
  <c r="L21" i="57"/>
  <c r="L26" i="57"/>
  <c r="L20" i="57"/>
  <c r="L23" i="57"/>
  <c r="L27" i="57"/>
  <c r="L19" i="57"/>
  <c r="L24" i="57"/>
  <c r="L14" i="57"/>
  <c r="L15" i="57"/>
  <c r="L16" i="57"/>
  <c r="L11" i="57"/>
  <c r="L17" i="57"/>
  <c r="L13" i="57"/>
  <c r="L9" i="57"/>
  <c r="L10" i="57"/>
  <c r="L12" i="57"/>
  <c r="L58" i="56"/>
  <c r="L59" i="56"/>
  <c r="L57" i="56"/>
  <c r="L54" i="56"/>
  <c r="L50" i="56"/>
  <c r="L52" i="56"/>
  <c r="L49" i="56"/>
  <c r="L55" i="56"/>
  <c r="L48" i="56"/>
  <c r="L51" i="56"/>
  <c r="L53" i="56"/>
  <c r="L47" i="56"/>
  <c r="L39" i="56"/>
  <c r="L42" i="56"/>
  <c r="L37" i="56"/>
  <c r="L44" i="56"/>
  <c r="L45" i="56"/>
  <c r="L43" i="56"/>
  <c r="L38" i="56"/>
  <c r="L40" i="56"/>
  <c r="L41" i="56"/>
  <c r="L29" i="56"/>
  <c r="L31" i="56"/>
  <c r="L30" i="56"/>
  <c r="L24" i="56"/>
  <c r="L21" i="56"/>
  <c r="L27" i="56"/>
  <c r="L19" i="56"/>
  <c r="L26" i="56"/>
  <c r="L23" i="56"/>
  <c r="L20" i="56"/>
  <c r="L22" i="56"/>
  <c r="L25" i="56"/>
  <c r="L11" i="56"/>
  <c r="L9" i="56"/>
  <c r="L12" i="56"/>
  <c r="L17" i="56"/>
  <c r="L10" i="56"/>
  <c r="L16" i="56"/>
  <c r="L15" i="56"/>
  <c r="L13" i="56"/>
  <c r="L14" i="56"/>
  <c r="L57" i="54"/>
  <c r="L58" i="54"/>
  <c r="L59" i="54"/>
  <c r="L52" i="54"/>
  <c r="L47" i="54"/>
  <c r="L53" i="54"/>
  <c r="L51" i="54"/>
  <c r="L54" i="54"/>
  <c r="L55" i="54"/>
  <c r="L50" i="54"/>
  <c r="L49" i="54"/>
  <c r="L48" i="54"/>
  <c r="L38" i="54"/>
  <c r="L44" i="54"/>
  <c r="L40" i="54"/>
  <c r="L39" i="54"/>
  <c r="L37" i="54"/>
  <c r="L41" i="54"/>
  <c r="L42" i="54"/>
  <c r="L43" i="54"/>
  <c r="L45" i="54"/>
  <c r="L30" i="54"/>
  <c r="L31" i="54"/>
  <c r="L29" i="54"/>
  <c r="L25" i="54"/>
  <c r="L23" i="54"/>
  <c r="L21" i="54"/>
  <c r="L19" i="54"/>
  <c r="L22" i="54"/>
  <c r="L26" i="54"/>
  <c r="L20" i="54"/>
  <c r="L24" i="54"/>
  <c r="L27" i="54"/>
  <c r="L15" i="54"/>
  <c r="L11" i="54"/>
  <c r="L13" i="54"/>
  <c r="L14" i="54"/>
  <c r="L12" i="54"/>
  <c r="L10" i="54"/>
  <c r="L9" i="54"/>
  <c r="L17" i="54"/>
  <c r="L16" i="54"/>
  <c r="L40" i="60"/>
  <c r="L39" i="60"/>
  <c r="L45" i="60"/>
  <c r="L43" i="60"/>
  <c r="L46" i="60"/>
  <c r="L41" i="60"/>
  <c r="L30" i="60"/>
  <c r="L31" i="60"/>
  <c r="L32" i="60"/>
  <c r="L35" i="60"/>
  <c r="L29" i="60"/>
  <c r="L33" i="60"/>
  <c r="L28" i="60"/>
  <c r="L36" i="60"/>
  <c r="L24" i="60"/>
  <c r="L20" i="60"/>
  <c r="L23" i="60"/>
  <c r="L22" i="60"/>
  <c r="L21" i="60"/>
  <c r="L18" i="60"/>
  <c r="L19" i="60"/>
  <c r="L11" i="60"/>
  <c r="L13" i="60"/>
  <c r="L10" i="60"/>
  <c r="L16" i="60"/>
  <c r="L8" i="60"/>
  <c r="L9" i="60"/>
  <c r="L12" i="60"/>
  <c r="L33" i="59"/>
  <c r="L34" i="59"/>
  <c r="L28" i="59"/>
  <c r="L23" i="59"/>
  <c r="L30" i="59"/>
  <c r="L24" i="59"/>
  <c r="L31" i="59"/>
  <c r="L27" i="59"/>
  <c r="L21" i="59"/>
  <c r="L29" i="59"/>
  <c r="L26" i="59"/>
  <c r="L25" i="59"/>
  <c r="L22" i="59"/>
  <c r="L19" i="59"/>
  <c r="L17" i="59"/>
  <c r="L15" i="59"/>
  <c r="L13" i="59"/>
  <c r="L11" i="59"/>
  <c r="L9" i="59"/>
  <c r="L57" i="53"/>
  <c r="L53" i="53"/>
  <c r="L55" i="53"/>
  <c r="L51" i="53"/>
  <c r="L54" i="53"/>
  <c r="L52" i="53"/>
  <c r="L46" i="53"/>
  <c r="L45" i="53"/>
  <c r="L49" i="53"/>
  <c r="L47" i="53"/>
  <c r="L48" i="53"/>
  <c r="L43" i="53"/>
  <c r="L42" i="53"/>
  <c r="L35" i="53"/>
  <c r="L33" i="53"/>
  <c r="L34" i="53"/>
  <c r="L28" i="53"/>
  <c r="L31" i="53"/>
  <c r="L30" i="53"/>
  <c r="L29" i="53"/>
  <c r="L27" i="53"/>
  <c r="L22" i="53"/>
  <c r="L24" i="53"/>
  <c r="L25" i="53"/>
  <c r="L23" i="53"/>
  <c r="L21" i="53"/>
  <c r="L19" i="53"/>
  <c r="L17" i="53"/>
  <c r="L15" i="53"/>
  <c r="L16" i="53"/>
  <c r="L18" i="53"/>
  <c r="L11" i="53"/>
  <c r="L10" i="53"/>
  <c r="L12" i="53"/>
  <c r="L9" i="53"/>
  <c r="L13" i="53"/>
  <c r="L47" i="52"/>
  <c r="L48" i="52"/>
  <c r="L46" i="52"/>
  <c r="L45" i="52"/>
  <c r="L49" i="52"/>
  <c r="L42" i="52"/>
  <c r="L43" i="52"/>
  <c r="L39" i="52"/>
  <c r="L40" i="52"/>
  <c r="L41" i="52"/>
  <c r="L35" i="52"/>
  <c r="L33" i="52"/>
  <c r="L29" i="52"/>
  <c r="L30" i="52"/>
  <c r="L31" i="52"/>
  <c r="L34" i="52"/>
  <c r="L32" i="52"/>
  <c r="L24" i="52"/>
  <c r="L23" i="52"/>
  <c r="L22" i="52"/>
  <c r="L15" i="52"/>
  <c r="L13" i="52"/>
  <c r="L11" i="52"/>
  <c r="L9" i="52"/>
  <c r="L85" i="51"/>
  <c r="L73" i="51"/>
  <c r="L61" i="51"/>
  <c r="L55" i="51"/>
  <c r="L53" i="51"/>
  <c r="L23" i="51"/>
  <c r="L11" i="51"/>
  <c r="L12" i="51"/>
  <c r="A4" i="18"/>
  <c r="A4" i="33"/>
  <c r="A4" i="22"/>
  <c r="A2" i="20"/>
  <c r="A3" i="24"/>
  <c r="A2" i="22"/>
  <c r="A4" i="27"/>
  <c r="A3" i="18"/>
  <c r="A4" i="29"/>
  <c r="A2" i="27"/>
  <c r="A2" i="34"/>
  <c r="A2" i="16"/>
  <c r="A3" i="30"/>
  <c r="A4" i="3"/>
  <c r="A2" i="36"/>
  <c r="A3" i="34"/>
  <c r="A4" i="25"/>
  <c r="A4" i="20"/>
  <c r="A2" i="3"/>
  <c r="A3" i="19"/>
  <c r="A4" i="19"/>
  <c r="A3" i="35"/>
  <c r="A3" i="23"/>
  <c r="A2" i="17"/>
  <c r="A4" i="35"/>
  <c r="A2" i="29"/>
  <c r="A2" i="28"/>
  <c r="A2" i="25"/>
  <c r="A3" i="20"/>
  <c r="A4" i="26"/>
  <c r="A3" i="21"/>
  <c r="A4" i="28"/>
  <c r="A4" i="24"/>
  <c r="A2" i="32"/>
  <c r="A2" i="35"/>
  <c r="A3" i="22"/>
  <c r="A3" i="25"/>
  <c r="A4" i="36"/>
  <c r="A2" i="31"/>
  <c r="A2" i="19"/>
  <c r="A2" i="33"/>
  <c r="A4" i="16"/>
  <c r="A3" i="28"/>
  <c r="A4" i="31"/>
  <c r="A3" i="33"/>
  <c r="A2" i="30"/>
  <c r="A2" i="21"/>
  <c r="A4" i="30"/>
  <c r="A2" i="18"/>
  <c r="A3" i="31"/>
  <c r="A3" i="17"/>
  <c r="A4" i="17"/>
  <c r="A3" i="32"/>
  <c r="A4" i="21"/>
  <c r="A4" i="34"/>
  <c r="A3" i="16"/>
  <c r="A2" i="26"/>
  <c r="A2" i="23"/>
  <c r="A3" i="29"/>
  <c r="A3" i="36"/>
  <c r="A4" i="23"/>
  <c r="A4" i="32"/>
  <c r="A3" i="3"/>
  <c r="A2" i="24"/>
  <c r="A3" i="26"/>
  <c r="A3" i="27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37" i="51"/>
  <c r="L82" i="51"/>
  <c r="L26" i="51"/>
  <c r="L70" i="51"/>
  <c r="L20" i="52"/>
  <c r="L46" i="51"/>
  <c r="L28" i="51"/>
  <c r="L58" i="51"/>
  <c r="L64" i="51"/>
  <c r="L78" i="51"/>
  <c r="L11" i="49"/>
  <c r="L81" i="53"/>
  <c r="L32" i="49"/>
  <c r="L58" i="49"/>
  <c r="L8" i="49"/>
  <c r="L104" i="49"/>
  <c r="L27" i="49"/>
  <c r="L60" i="51"/>
  <c r="L32" i="51"/>
  <c r="L19" i="52"/>
  <c r="L25" i="49"/>
  <c r="L30" i="49"/>
  <c r="L17" i="49"/>
  <c r="L71" i="49"/>
  <c r="L26" i="49"/>
  <c r="L8" i="51"/>
  <c r="L69" i="49"/>
  <c r="L18" i="51"/>
  <c r="L66" i="49"/>
  <c r="L38" i="51"/>
  <c r="L68" i="51"/>
  <c r="L80" i="51"/>
  <c r="L62" i="49"/>
  <c r="L38" i="53"/>
  <c r="L22" i="49"/>
  <c r="L63" i="49"/>
  <c r="L54" i="49"/>
  <c r="L48" i="51"/>
  <c r="L76" i="49"/>
  <c r="L75" i="49"/>
  <c r="L34" i="49"/>
  <c r="L76" i="51"/>
  <c r="L12" i="49"/>
  <c r="L67" i="49"/>
  <c r="L90" i="51"/>
  <c r="L40" i="51"/>
  <c r="L33" i="49"/>
  <c r="L77" i="49"/>
  <c r="L18" i="49"/>
  <c r="L28" i="49"/>
  <c r="L16" i="49"/>
  <c r="L51" i="49"/>
  <c r="L61" i="49"/>
  <c r="L74" i="49"/>
  <c r="L70" i="49"/>
  <c r="L59" i="49"/>
  <c r="L30" i="51"/>
  <c r="L35" i="49"/>
  <c r="L47" i="51"/>
  <c r="L29" i="49"/>
  <c r="L45" i="51"/>
  <c r="L72" i="51"/>
  <c r="L80" i="49"/>
  <c r="L52" i="51"/>
  <c r="L23" i="49"/>
  <c r="L60" i="49"/>
  <c r="L22" i="51"/>
  <c r="L73" i="49"/>
  <c r="L72" i="49"/>
  <c r="L82" i="53"/>
  <c r="L84" i="51"/>
  <c r="L42" i="51"/>
  <c r="L78" i="49"/>
  <c r="L66" i="51"/>
  <c r="L15" i="49"/>
  <c r="L106" i="49"/>
  <c r="L41" i="51"/>
  <c r="L79" i="49"/>
  <c r="L10" i="49"/>
  <c r="L14" i="49"/>
  <c r="L20" i="51"/>
  <c r="L21" i="49"/>
  <c r="L36" i="51"/>
  <c r="L64" i="49"/>
  <c r="L53" i="49"/>
  <c r="L9" i="49"/>
  <c r="L20" i="49"/>
  <c r="L105" i="49"/>
  <c r="L39" i="51"/>
  <c r="L68" i="49"/>
  <c r="L52" i="49"/>
  <c r="L24" i="49"/>
  <c r="L37" i="53"/>
  <c r="L31" i="49"/>
  <c r="L19" i="49"/>
  <c r="L65" i="49"/>
  <c r="L13" i="49"/>
  <c r="L34" i="51"/>
  <c r="L88" i="51"/>
  <c r="L14" i="60"/>
  <c r="L15" i="60"/>
  <c r="L37" i="52"/>
  <c r="L38" i="52"/>
  <c r="L89" i="51"/>
  <c r="L87" i="51"/>
  <c r="L83" i="51"/>
  <c r="L81" i="51"/>
  <c r="L79" i="51"/>
  <c r="L77" i="51"/>
  <c r="L75" i="51"/>
  <c r="L71" i="51"/>
  <c r="L69" i="51"/>
  <c r="L67" i="51"/>
  <c r="L65" i="51"/>
  <c r="L63" i="51"/>
  <c r="L59" i="51"/>
  <c r="L57" i="51"/>
  <c r="L35" i="51"/>
  <c r="L33" i="51"/>
  <c r="L31" i="51"/>
  <c r="L29" i="51"/>
  <c r="L27" i="51"/>
  <c r="L25" i="51"/>
  <c r="L21" i="51"/>
  <c r="L19" i="51"/>
  <c r="L13" i="51"/>
  <c r="L16" i="51"/>
  <c r="L15" i="51"/>
  <c r="L17" i="51"/>
  <c r="L14" i="51"/>
  <c r="L9" i="51"/>
  <c r="L10" i="51"/>
</calcChain>
</file>

<file path=xl/sharedStrings.xml><?xml version="1.0" encoding="utf-8"?>
<sst xmlns="http://schemas.openxmlformats.org/spreadsheetml/2006/main" count="2650" uniqueCount="403">
  <si>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</si>
  <si>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</si>
  <si>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</si>
  <si>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</si>
  <si>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</si>
  <si>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</si>
  <si>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</si>
  <si>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</si>
  <si>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</si>
  <si>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</si>
  <si>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</si>
  <si>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</si>
  <si>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</si>
  <si>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</si>
  <si>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</si>
  <si>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</si>
  <si>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</si>
  <si>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</si>
  <si>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</si>
  <si>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</si>
  <si>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</si>
  <si>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</si>
  <si>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</si>
  <si>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</si>
  <si>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</si>
  <si>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</si>
  <si>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</si>
  <si>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</si>
  <si>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</si>
  <si>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</si>
  <si>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</si>
  <si>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</si>
  <si>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</si>
  <si>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</si>
  <si>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</si>
  <si>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</si>
  <si>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</si>
  <si>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</si>
  <si>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</si>
  <si>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</si>
  <si>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</si>
  <si>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</si>
  <si>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</si>
  <si>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</si>
  <si>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</si>
  <si>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</si>
  <si>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</si>
  <si>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</si>
  <si>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</si>
  <si>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</si>
  <si>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</si>
  <si>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</si>
  <si>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</si>
  <si>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</si>
  <si>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</si>
  <si>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</si>
  <si>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</si>
  <si>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</si>
  <si>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</si>
  <si>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</si>
  <si>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</si>
  <si>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</si>
  <si>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</si>
  <si>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</si>
  <si>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</si>
  <si>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</si>
  <si>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</si>
  <si>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</si>
  <si>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</si>
  <si>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</si>
  <si>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</si>
  <si>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</si>
  <si>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</si>
  <si>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</si>
  <si>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</si>
  <si>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</si>
  <si>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</si>
  <si>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</si>
  <si>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</si>
  <si>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</si>
  <si>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</si>
  <si>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</si>
  <si>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</si>
  <si>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</si>
  <si>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</si>
  <si>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</si>
  <si>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</si>
  <si>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</si>
  <si>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</si>
  <si>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</si>
  <si>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</si>
  <si>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</si>
  <si>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</si>
  <si>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</si>
  <si>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</si>
  <si>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</si>
  <si>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</si>
  <si>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</si>
  <si>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</si>
  <si>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</si>
  <si>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</si>
  <si>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</si>
  <si>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</si>
  <si>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</si>
  <si>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</si>
  <si>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</si>
  <si>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</si>
  <si>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</si>
  <si>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</si>
  <si>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</si>
  <si>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</si>
  <si>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</si>
  <si>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</si>
  <si>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</si>
  <si>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</si>
  <si>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</si>
  <si>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</si>
  <si>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</si>
  <si>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</si>
  <si>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</si>
  <si>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</si>
  <si>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</si>
  <si>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</si>
  <si>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</si>
  <si>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</si>
  <si>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</si>
  <si>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</si>
  <si>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</si>
  <si>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</si>
  <si>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</si>
  <si>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</si>
  <si>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</si>
  <si>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</si>
  <si>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</si>
  <si>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</si>
  <si>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</si>
  <si>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</si>
  <si>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</si>
  <si>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</si>
  <si>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</si>
  <si>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</si>
  <si>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</si>
  <si>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</si>
  <si>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</si>
  <si>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</si>
  <si>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</si>
  <si>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</si>
  <si>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</si>
  <si>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</si>
  <si>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</si>
  <si>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</si>
  <si>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</si>
  <si>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</si>
  <si>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</si>
  <si>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</si>
  <si>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</si>
  <si>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</si>
  <si>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</si>
  <si>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</si>
  <si>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</si>
  <si>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</si>
  <si>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</si>
  <si>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</si>
  <si>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</si>
  <si>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</si>
  <si>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</si>
  <si>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</si>
  <si>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</si>
  <si>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</si>
  <si>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</si>
  <si>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</si>
  <si>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</si>
  <si>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</si>
  <si>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</si>
  <si>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</si>
  <si>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</si>
  <si>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</si>
  <si>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</si>
  <si>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</si>
  <si>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</si>
  <si>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</si>
  <si>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</si>
  <si>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</si>
  <si>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</si>
  <si>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</si>
  <si>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</si>
  <si>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</si>
  <si>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</si>
  <si>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</si>
  <si>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</si>
  <si>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</si>
  <si>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</si>
  <si>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</si>
  <si>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</si>
  <si>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</si>
  <si>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</si>
  <si>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</si>
  <si>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</si>
  <si>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</si>
  <si>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</si>
  <si>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</si>
  <si>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</si>
  <si>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</si>
  <si>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</si>
  <si>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</si>
  <si>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</si>
  <si>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</si>
  <si>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</si>
  <si>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</si>
  <si>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</si>
  <si>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</si>
  <si>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</si>
  <si>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</si>
  <si>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</si>
  <si>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</si>
  <si>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</si>
  <si>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</si>
  <si>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</si>
  <si>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</si>
  <si>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</si>
  <si>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</si>
  <si>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</si>
  <si>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</si>
  <si>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</si>
  <si>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</si>
  <si>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</si>
  <si>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</si>
  <si>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</si>
  <si>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</si>
  <si>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</si>
  <si>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</si>
  <si>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</si>
  <si>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</si>
  <si>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</si>
  <si>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</si>
  <si>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</si>
  <si>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</si>
  <si>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</si>
  <si>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</si>
  <si>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</si>
  <si>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</si>
  <si>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</si>
  <si>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</si>
  <si>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</si>
  <si>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</si>
  <si>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</si>
  <si>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</si>
  <si>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</si>
  <si>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</si>
  <si>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</si>
  <si>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</si>
  <si>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</si>
  <si>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</si>
  <si>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</si>
  <si>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</si>
  <si>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</si>
  <si>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</si>
  <si>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</si>
  <si>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</si>
  <si>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</si>
  <si>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</si>
  <si>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</si>
  <si>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</si>
  <si>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</si>
  <si>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</si>
  <si>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</si>
  <si>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</si>
  <si>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</si>
  <si>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</si>
  <si>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</si>
  <si>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</si>
  <si>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</si>
  <si>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</si>
  <si>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</si>
  <si>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</si>
  <si>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</si>
  <si>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</si>
  <si>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</si>
  <si>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</si>
  <si>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</si>
  <si>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</si>
  <si>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</si>
  <si>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</si>
  <si>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</si>
  <si>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</si>
  <si>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</si>
  <si>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</si>
  <si>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</si>
  <si>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</si>
  <si>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</si>
  <si>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</si>
  <si>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</si>
  <si>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</si>
  <si>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</si>
  <si>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</si>
  <si>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</si>
  <si>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</si>
  <si>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</si>
  <si>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</si>
  <si>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</si>
  <si>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</si>
  <si>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</si>
  <si>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</si>
  <si>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</si>
  <si>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</si>
  <si>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</si>
  <si>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</si>
  <si>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</si>
  <si>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</si>
  <si>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</si>
  <si>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</si>
  <si>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</si>
  <si>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</si>
  <si>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</si>
  <si>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</si>
  <si>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</si>
  <si>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</si>
  <si>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</si>
  <si>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</si>
  <si>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</si>
  <si>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</si>
  <si>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</si>
  <si>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</si>
  <si>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</si>
  <si>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</si>
  <si>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</si>
  <si>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</si>
  <si>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</si>
  <si>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</si>
  <si>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</si>
  <si>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</si>
  <si>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</si>
  <si>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</si>
  <si>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</si>
  <si>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</si>
  <si>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</si>
  <si>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</si>
  <si>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</si>
  <si>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</si>
  <si>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</si>
  <si>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</si>
  <si>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</si>
  <si>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</si>
  <si>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</si>
  <si>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</si>
  <si>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</si>
  <si>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</si>
  <si>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</si>
  <si>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</si>
  <si>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</si>
  <si>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</si>
  <si>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</si>
  <si>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</si>
  <si>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</si>
  <si>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</si>
  <si>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</si>
  <si>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</si>
  <si>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</si>
  <si>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</si>
  <si>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</si>
  <si>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</si>
  <si>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</si>
  <si>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</si>
  <si>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</si>
  <si>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</si>
  <si>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</si>
  <si>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</si>
  <si>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</si>
  <si>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</si>
  <si>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</si>
  <si>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</si>
  <si>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</si>
  <si>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</si>
  <si>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</si>
  <si>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</si>
  <si>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</si>
  <si>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</si>
  <si>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</si>
  <si>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</si>
  <si>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</si>
  <si>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</si>
  <si>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</si>
  <si>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Госэнергогазнадзор предупреждает - ловля рыбы в охранных зонах э</t>
  </si>
  <si>
    <t>лектропередач опасна для жизни!!!</t>
  </si>
  <si>
    <t>Реклама</t>
  </si>
  <si>
    <t>s 3, r 002 086 088 000, d 001, r 001 090 091 000, d 001, r 000 086 088 000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</si>
  <si>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</si>
  <si>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</si>
  <si>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</si>
  <si>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</si>
  <si>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</si>
  <si>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</si>
  <si>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</si>
  <si>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</si>
  <si>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</si>
  <si>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</si>
  <si>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</si>
  <si>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</si>
  <si>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</si>
  <si>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</si>
  <si>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soligorsk</t>
  </si>
  <si>
    <t>univermag</t>
  </si>
  <si>
    <t>9mikro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</si>
</sst>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D11" sqref="D11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331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332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330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  <row r="14" spans="1:4" x14ac:dyDescent="0.25">
      <c r="A14" t="s">
        <v>384</v>
      </c>
      <c r="B14">
        <v>930</v>
      </c>
      <c r="C14" t="s">
        <v>385</v>
      </c>
      <c r="D14" s="16" t="str">
        <f>"&lt;unit"&amp;B14&amp;"&gt; """&amp;A14&amp;""""&amp;" {"&amp;C14&amp;"}"</f>
        <v>&lt;unit930&gt; "Реклама" {s 3, r 002 086 088 000, d 001, r 001 090 091 000, d 001, r 000 086 088 000}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2" activePane="bottomLeft" state="frozen"/>
      <selection pane="bottomLeft" activeCell="E2" sqref="E2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266</v>
      </c>
      <c r="B1" s="27" t="s">
        <v>161</v>
      </c>
      <c r="C1" s="28" t="s">
        <v>182</v>
      </c>
      <c r="D1" s="28" t="s">
        <v>185</v>
      </c>
      <c r="E1" s="29" t="s">
        <v>79</v>
      </c>
      <c r="F1" s="30"/>
      <c r="G1" s="28"/>
      <c r="H1" s="31"/>
    </row>
    <row r="2" spans="1:8" x14ac:dyDescent="0.25">
      <c r="B2" t="s">
        <v>174</v>
      </c>
      <c r="C2" t="s">
        <v>188</v>
      </c>
      <c r="D2" t="s">
        <v>187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178</v>
      </c>
      <c r="C3" t="s">
        <v>195</v>
      </c>
      <c r="D3" t="s">
        <v>186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179</v>
      </c>
      <c r="C4" t="s">
        <v>179</v>
      </c>
      <c r="D4" t="s">
        <v>186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339</v>
      </c>
      <c r="C5" t="s">
        <v>208</v>
      </c>
      <c r="D5" t="s">
        <v>186</v>
      </c>
      <c r="E5" s="9" t="s">
        <v>120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340</v>
      </c>
      <c r="C6" t="s">
        <v>207</v>
      </c>
      <c r="D6" t="s">
        <v>186</v>
      </c>
      <c r="E6" s="9" t="s">
        <v>119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181</v>
      </c>
      <c r="C7" t="s">
        <v>198</v>
      </c>
      <c r="D7" t="s">
        <v>186</v>
      </c>
      <c r="E7" s="9" t="s">
        <v>378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259</v>
      </c>
      <c r="C8" t="s">
        <v>260</v>
      </c>
      <c r="D8" t="s">
        <v>186</v>
      </c>
      <c r="E8" s="9" t="s">
        <v>158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352</v>
      </c>
      <c r="E9" s="47" t="s">
        <v>386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206</v>
      </c>
      <c r="C10" t="s">
        <v>205</v>
      </c>
      <c r="D10" t="s">
        <v>186</v>
      </c>
      <c r="E10" s="9" t="s">
        <v>118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164</v>
      </c>
      <c r="C11" t="s">
        <v>210</v>
      </c>
      <c r="D11" t="s">
        <v>186</v>
      </c>
      <c r="E11" s="9" t="s">
        <v>122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163</v>
      </c>
      <c r="C12" t="s">
        <v>211</v>
      </c>
      <c r="D12" t="s">
        <v>186</v>
      </c>
      <c r="E12" s="9" t="s">
        <v>123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162</v>
      </c>
      <c r="C13" t="s">
        <v>209</v>
      </c>
      <c r="D13" t="s">
        <v>186</v>
      </c>
      <c r="E13" s="9" t="s">
        <v>121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263</v>
      </c>
      <c r="C14" t="s">
        <v>264</v>
      </c>
      <c r="D14" t="s">
        <v>186</v>
      </c>
      <c r="E14" s="9" t="s">
        <v>160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214</v>
      </c>
      <c r="C15" t="s">
        <v>230</v>
      </c>
      <c r="D15" t="s">
        <v>186</v>
      </c>
      <c r="E15" s="9" t="s">
        <v>128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341</v>
      </c>
      <c r="C16" t="s">
        <v>244</v>
      </c>
      <c r="D16" t="s">
        <v>186</v>
      </c>
      <c r="E16" s="9" t="s">
        <v>126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342</v>
      </c>
      <c r="C17" t="s">
        <v>245</v>
      </c>
      <c r="D17" t="s">
        <v>186</v>
      </c>
      <c r="E17" s="9" t="s">
        <v>149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213</v>
      </c>
      <c r="C18" t="s">
        <v>228</v>
      </c>
      <c r="D18" t="s">
        <v>186</v>
      </c>
      <c r="E18" s="9" t="s">
        <v>125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289</v>
      </c>
      <c r="E19" s="47" t="s">
        <v>387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219</v>
      </c>
      <c r="C20" t="s">
        <v>232</v>
      </c>
      <c r="D20" t="s">
        <v>186</v>
      </c>
      <c r="E20" s="9" t="s">
        <v>133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265</v>
      </c>
      <c r="C21" t="s">
        <v>220</v>
      </c>
      <c r="D21" t="s">
        <v>187</v>
      </c>
      <c r="E21" s="9" t="s">
        <v>134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176</v>
      </c>
      <c r="C22" t="s">
        <v>191</v>
      </c>
      <c r="D22" t="s">
        <v>193</v>
      </c>
      <c r="E22" s="9" t="s">
        <v>376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350</v>
      </c>
      <c r="E23" s="47" t="s">
        <v>388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177</v>
      </c>
      <c r="C24" t="s">
        <v>192</v>
      </c>
      <c r="D24" t="s">
        <v>193</v>
      </c>
      <c r="E24" s="9" t="s">
        <v>377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359</v>
      </c>
      <c r="E25" s="47" t="s">
        <v>389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354</v>
      </c>
      <c r="E26" s="47" t="s">
        <v>390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288</v>
      </c>
      <c r="C27" t="s">
        <v>236</v>
      </c>
      <c r="D27" t="s">
        <v>186</v>
      </c>
      <c r="E27" s="9" t="s">
        <v>143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226</v>
      </c>
      <c r="C28" t="s">
        <v>227</v>
      </c>
      <c r="D28" t="s">
        <v>186</v>
      </c>
      <c r="E28" s="9" t="s">
        <v>140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234</v>
      </c>
      <c r="C29" t="s">
        <v>235</v>
      </c>
      <c r="D29" t="s">
        <v>186</v>
      </c>
      <c r="E29" s="9" t="s">
        <v>142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261</v>
      </c>
      <c r="C30" t="s">
        <v>262</v>
      </c>
      <c r="D30" t="s">
        <v>186</v>
      </c>
      <c r="E30" s="9" t="s">
        <v>159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215</v>
      </c>
      <c r="C31" t="s">
        <v>216</v>
      </c>
      <c r="D31" t="s">
        <v>186</v>
      </c>
      <c r="E31" s="9" t="s">
        <v>130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169</v>
      </c>
      <c r="C32" t="s">
        <v>222</v>
      </c>
      <c r="D32" t="s">
        <v>186</v>
      </c>
      <c r="E32" s="9" t="s">
        <v>136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242</v>
      </c>
      <c r="C33" t="s">
        <v>243</v>
      </c>
      <c r="D33" t="s">
        <v>186</v>
      </c>
      <c r="E33" s="9" t="s">
        <v>148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338</v>
      </c>
      <c r="C34" t="s">
        <v>366</v>
      </c>
      <c r="D34" t="s">
        <v>186</v>
      </c>
      <c r="E34" s="9" t="s">
        <v>367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241</v>
      </c>
      <c r="C35" t="s">
        <v>241</v>
      </c>
      <c r="D35" t="s">
        <v>186</v>
      </c>
      <c r="E35" s="9" t="s">
        <v>147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247</v>
      </c>
      <c r="C36" t="s">
        <v>248</v>
      </c>
      <c r="D36" t="s">
        <v>186</v>
      </c>
      <c r="E36" s="9" t="s">
        <v>151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239</v>
      </c>
      <c r="C37" t="s">
        <v>240</v>
      </c>
      <c r="D37" t="s">
        <v>186</v>
      </c>
      <c r="E37" s="9" t="s">
        <v>146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171</v>
      </c>
      <c r="C38" t="s">
        <v>183</v>
      </c>
      <c r="D38" t="s">
        <v>186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175</v>
      </c>
      <c r="C39" t="s">
        <v>189</v>
      </c>
      <c r="D39" t="s">
        <v>186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250</v>
      </c>
      <c r="C40" t="s">
        <v>251</v>
      </c>
      <c r="D40" t="s">
        <v>186</v>
      </c>
      <c r="E40" s="9" t="s">
        <v>153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252</v>
      </c>
      <c r="C41" t="s">
        <v>253</v>
      </c>
      <c r="D41" t="s">
        <v>186</v>
      </c>
      <c r="E41" s="9" t="s">
        <v>154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344</v>
      </c>
      <c r="C42" t="s">
        <v>196</v>
      </c>
      <c r="D42" t="s">
        <v>186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254</v>
      </c>
      <c r="C43" t="s">
        <v>255</v>
      </c>
      <c r="D43" t="s">
        <v>186</v>
      </c>
      <c r="E43" s="9" t="s">
        <v>155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363</v>
      </c>
      <c r="E44" s="47" t="s">
        <v>391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364</v>
      </c>
      <c r="E45" s="47" t="s">
        <v>392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87</v>
      </c>
      <c r="B46" t="s">
        <v>267</v>
      </c>
      <c r="C46" t="s">
        <v>190</v>
      </c>
      <c r="D46" t="s">
        <v>186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268</v>
      </c>
      <c r="C47" t="s">
        <v>184</v>
      </c>
      <c r="D47" t="s">
        <v>186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269</v>
      </c>
      <c r="C48" t="s">
        <v>194</v>
      </c>
      <c r="D48" t="s">
        <v>186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173</v>
      </c>
      <c r="C49" t="s">
        <v>180</v>
      </c>
      <c r="D49" t="s">
        <v>186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270</v>
      </c>
      <c r="C50" t="s">
        <v>197</v>
      </c>
      <c r="D50" t="s">
        <v>186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348</v>
      </c>
      <c r="C51" t="s">
        <v>373</v>
      </c>
      <c r="D51" t="s">
        <v>186</v>
      </c>
      <c r="E51" s="9" t="s">
        <v>372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87</v>
      </c>
      <c r="B52" t="s">
        <v>356</v>
      </c>
      <c r="E52" s="47" t="s">
        <v>393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87</v>
      </c>
      <c r="B53" t="s">
        <v>170</v>
      </c>
      <c r="C53" t="s">
        <v>204</v>
      </c>
      <c r="D53" t="s">
        <v>186</v>
      </c>
      <c r="E53" s="9" t="s">
        <v>117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271</v>
      </c>
      <c r="C54" t="s">
        <v>201</v>
      </c>
      <c r="D54" t="s">
        <v>186</v>
      </c>
      <c r="E54" s="9" t="s">
        <v>115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347</v>
      </c>
      <c r="E55" s="47" t="s">
        <v>394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87</v>
      </c>
      <c r="B56" t="s">
        <v>165</v>
      </c>
      <c r="C56" t="s">
        <v>212</v>
      </c>
      <c r="D56" t="s">
        <v>186</v>
      </c>
      <c r="E56" s="9" t="s">
        <v>124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272</v>
      </c>
      <c r="C57" t="s">
        <v>229</v>
      </c>
      <c r="D57" t="s">
        <v>186</v>
      </c>
      <c r="E57" s="9" t="s">
        <v>127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361</v>
      </c>
      <c r="C58" t="s">
        <v>369</v>
      </c>
      <c r="D58" t="s">
        <v>186</v>
      </c>
      <c r="E58" s="9" t="s">
        <v>368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87</v>
      </c>
      <c r="B59" t="s">
        <v>273</v>
      </c>
      <c r="C59" t="s">
        <v>217</v>
      </c>
      <c r="D59" t="s">
        <v>187</v>
      </c>
      <c r="E59" s="9" t="s">
        <v>131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274</v>
      </c>
      <c r="C60" t="s">
        <v>218</v>
      </c>
      <c r="D60" t="s">
        <v>186</v>
      </c>
      <c r="E60" s="9" t="s">
        <v>132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275</v>
      </c>
      <c r="C61" t="s">
        <v>231</v>
      </c>
      <c r="D61" t="s">
        <v>187</v>
      </c>
      <c r="E61" s="9" t="s">
        <v>129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345</v>
      </c>
      <c r="E62" s="47" t="s">
        <v>395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87</v>
      </c>
      <c r="B63" t="s">
        <v>346</v>
      </c>
      <c r="E63" s="47" t="s">
        <v>396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87</v>
      </c>
      <c r="B64" t="s">
        <v>276</v>
      </c>
      <c r="C64" t="s">
        <v>221</v>
      </c>
      <c r="D64" t="s">
        <v>186</v>
      </c>
      <c r="E64" s="9" t="s">
        <v>135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166</v>
      </c>
      <c r="C65" t="s">
        <v>223</v>
      </c>
      <c r="D65" t="s">
        <v>186</v>
      </c>
      <c r="E65" s="9" t="s">
        <v>137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277</v>
      </c>
      <c r="C66" t="s">
        <v>224</v>
      </c>
      <c r="D66" t="s">
        <v>186</v>
      </c>
      <c r="E66" s="9" t="s">
        <v>138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353</v>
      </c>
      <c r="E67" s="47" t="s">
        <v>397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87</v>
      </c>
      <c r="B68" t="s">
        <v>337</v>
      </c>
      <c r="C68" t="s">
        <v>225</v>
      </c>
      <c r="D68" t="s">
        <v>186</v>
      </c>
      <c r="E68" s="9" t="s">
        <v>139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167</v>
      </c>
      <c r="C69" t="s">
        <v>233</v>
      </c>
      <c r="D69" t="s">
        <v>186</v>
      </c>
      <c r="E69" s="9" t="s">
        <v>141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278</v>
      </c>
      <c r="C70" t="s">
        <v>237</v>
      </c>
      <c r="D70" t="s">
        <v>186</v>
      </c>
      <c r="E70" s="9" t="s">
        <v>144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349</v>
      </c>
      <c r="E71" s="47" t="s">
        <v>40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87</v>
      </c>
      <c r="B72" t="s">
        <v>172</v>
      </c>
      <c r="C72" t="s">
        <v>238</v>
      </c>
      <c r="D72" t="s">
        <v>186</v>
      </c>
      <c r="E72" s="9" t="s">
        <v>145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357</v>
      </c>
      <c r="C73" t="s">
        <v>371</v>
      </c>
      <c r="D73" t="s">
        <v>186</v>
      </c>
      <c r="E73" s="9" t="s">
        <v>370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87</v>
      </c>
      <c r="B74" t="s">
        <v>360</v>
      </c>
      <c r="E74" s="47" t="s">
        <v>398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87</v>
      </c>
      <c r="B75" t="s">
        <v>355</v>
      </c>
      <c r="E75" s="47" t="s">
        <v>400</v>
      </c>
      <c r="F75" s="17" t="str">
        <f t="shared" si="8"/>
        <v>c 928</v>
      </c>
      <c r="G75" t="str">
        <f t="shared" si="9"/>
        <v>v "\mp3_ost\soligorsk.mp3"</v>
      </c>
      <c r="H75" s="6" t="str">
        <f t="shared" si="10"/>
        <v>c 928, v "\mp3_ost\soligorsk.mp3"</v>
      </c>
    </row>
    <row r="76" spans="1:8" x14ac:dyDescent="0.25">
      <c r="A76" t="s">
        <v>87</v>
      </c>
      <c r="B76" t="s">
        <v>358</v>
      </c>
      <c r="C76" t="s">
        <v>375</v>
      </c>
      <c r="D76" t="s">
        <v>186</v>
      </c>
      <c r="E76" s="9" t="s">
        <v>374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87</v>
      </c>
      <c r="B77" t="s">
        <v>279</v>
      </c>
      <c r="C77" t="s">
        <v>246</v>
      </c>
      <c r="D77" t="s">
        <v>186</v>
      </c>
      <c r="E77" s="9" t="s">
        <v>150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168</v>
      </c>
      <c r="C78" t="s">
        <v>249</v>
      </c>
      <c r="D78" t="s">
        <v>186</v>
      </c>
      <c r="E78" s="9" t="s">
        <v>152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280</v>
      </c>
      <c r="C79" t="s">
        <v>256</v>
      </c>
      <c r="D79" t="s">
        <v>186</v>
      </c>
      <c r="E79" s="9" t="s">
        <v>156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351</v>
      </c>
      <c r="E80" s="47" t="s">
        <v>399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257</v>
      </c>
      <c r="C81" t="s">
        <v>258</v>
      </c>
      <c r="D81" t="s">
        <v>186</v>
      </c>
      <c r="E81" s="9" t="s">
        <v>157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362</v>
      </c>
      <c r="E82" s="47" t="s">
        <v>401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"\mp3_ost\univermag.mp3"</v>
      </c>
      <c r="H82" s="6" t="str">
        <f t="shared" ref="H82" si="13">СцепитьМного(F82:G82,", ")</f>
        <v>v "\mp3_ost\univermag.mp3"</v>
      </c>
    </row>
    <row r="83" spans="2:8" x14ac:dyDescent="0.25">
      <c r="B83" t="s">
        <v>200</v>
      </c>
      <c r="C83" t="s">
        <v>199</v>
      </c>
      <c r="D83" t="s">
        <v>187</v>
      </c>
      <c r="E83" s="9" t="s">
        <v>114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203</v>
      </c>
      <c r="C84" t="s">
        <v>202</v>
      </c>
      <c r="D84" t="s">
        <v>186</v>
      </c>
      <c r="E84" s="9" t="s">
        <v>116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294</v>
      </c>
      <c r="E85" s="47" t="s">
        <v>402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330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214</v>
      </c>
      <c r="F54" s="44" t="s">
        <v>332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328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214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330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330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280</v>
      </c>
      <c r="F106" s="44" t="s">
        <v>332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329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327</v>
      </c>
      <c r="D1" s="21" t="s">
        <v>281</v>
      </c>
      <c r="E1" s="21" t="s">
        <v>282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283</v>
      </c>
      <c r="D2" s="19" t="s">
        <v>284</v>
      </c>
      <c r="E2" s="19" t="s">
        <v>214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285</v>
      </c>
      <c r="E3" s="19" t="s">
        <v>288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289</v>
      </c>
      <c r="E4" s="19" t="s">
        <v>290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286</v>
      </c>
      <c r="E5" s="19" t="s">
        <v>287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286</v>
      </c>
      <c r="E6" s="19" t="s">
        <v>292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293</v>
      </c>
      <c r="D7" s="19" t="s">
        <v>286</v>
      </c>
      <c r="E7" s="19" t="s">
        <v>294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291</v>
      </c>
      <c r="E8" s="19" t="s">
        <v>214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295</v>
      </c>
      <c r="D9" s="19" t="s">
        <v>291</v>
      </c>
      <c r="E9" s="19" t="s">
        <v>214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296</v>
      </c>
      <c r="E10" s="19" t="s">
        <v>297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285</v>
      </c>
      <c r="E11" s="19" t="s">
        <v>214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284</v>
      </c>
      <c r="E12" s="19" t="s">
        <v>298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283</v>
      </c>
      <c r="D14" s="19" t="s">
        <v>299</v>
      </c>
      <c r="E14" s="19" t="s">
        <v>300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301</v>
      </c>
      <c r="D16" s="19" t="s">
        <v>302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303</v>
      </c>
      <c r="D17" s="19" t="s">
        <v>302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304</v>
      </c>
      <c r="D18" s="19" t="s">
        <v>302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306</v>
      </c>
      <c r="D19" s="19" t="s">
        <v>302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309</v>
      </c>
      <c r="D20" s="19" t="s">
        <v>302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305</v>
      </c>
      <c r="D21" s="19" t="s">
        <v>302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308</v>
      </c>
      <c r="D22" s="19" t="s">
        <v>302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311</v>
      </c>
      <c r="D23" s="19" t="s">
        <v>302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307</v>
      </c>
      <c r="D24" s="19" t="s">
        <v>302</v>
      </c>
      <c r="E24" s="19" t="s">
        <v>310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312</v>
      </c>
      <c r="D25" s="19" t="s">
        <v>302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313</v>
      </c>
      <c r="D26" s="19" t="s">
        <v>302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314</v>
      </c>
      <c r="D28" s="19" t="s">
        <v>302</v>
      </c>
      <c r="E28" s="19" t="s">
        <v>319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315</v>
      </c>
      <c r="D29" s="19" t="s">
        <v>302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315</v>
      </c>
      <c r="D30" s="19" t="s">
        <v>302</v>
      </c>
      <c r="E30" s="19" t="s">
        <v>320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316</v>
      </c>
      <c r="D31" s="19" t="s">
        <v>302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317</v>
      </c>
      <c r="D32" s="19" t="s">
        <v>302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318</v>
      </c>
      <c r="D33" s="19" t="s">
        <v>302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321</v>
      </c>
      <c r="E39" s="19" t="s">
        <v>322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1"/>
  <sheetViews>
    <sheetView topLeftCell="A79" workbookViewId="0">
      <selection activeCell="A89" sqref="A89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1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294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379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380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381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90" spans="1:5" x14ac:dyDescent="0.25">
      <c r="A90" s="24" t="s">
        <v>382</v>
      </c>
      <c r="B90" s="25" t="str">
        <f t="shared" si="8"/>
        <v>090</v>
      </c>
      <c r="C90" s="25">
        <f>LEN(A90)</f>
        <v>64</v>
      </c>
      <c r="D90" s="24" t="str">
        <f>""""&amp;LEFT(A90&amp;REPT(" ",20),64)&amp;""""</f>
        <v>"Госэнергогазнадзор предупреждает - ловля рыбы в охранных зонах э"</v>
      </c>
      <c r="E90" s="16" t="str">
        <f>"&lt;"&amp;B90&amp;"&gt;"&amp;LEFT(A90&amp;REPT(" ",20),64)</f>
        <v>&lt;090&gt;Госэнергогазнадзор предупреждает - ловля рыбы в охранных зонах э</v>
      </c>
    </row>
    <row r="91" spans="1:5" x14ac:dyDescent="0.25">
      <c r="A91" s="24" t="s">
        <v>383</v>
      </c>
      <c r="B91" s="25" t="str">
        <f t="shared" si="8"/>
        <v>091</v>
      </c>
      <c r="C91" s="25">
        <f>LEN(A91)</f>
        <v>33</v>
      </c>
      <c r="D91" s="24" t="str">
        <f>""""&amp;LEFT(A91&amp;REPT(" ",20),64)&amp;""""</f>
        <v>"лектропередач опасна для жизни!!!                    "</v>
      </c>
      <c r="E91" s="16" t="str">
        <f>"&lt;"&amp;B91&amp;"&gt;"&amp;LEFT(A91&amp;REPT(" ",20),64)</f>
        <v xml:space="preserve">&lt;091&gt;лектропередач опасна для жизни!!!         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365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workbookViewId="0">
      <pane ySplit="2" topLeftCell="A111" activePane="bottomLeft" state="frozen"/>
      <selection activeCell="B1" sqref="B1"/>
      <selection pane="bottomLeft" activeCell="M123" sqref="M12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76</v>
      </c>
      <c r="B1" s="33">
        <v>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{"&amp;СцепитьМного(H8:L8,", ")&amp;", d 000, n "&amp;TEXT(G8,"000")&amp;"}"</f>
        <v>&lt;unit008&gt; "ул.Труда" {p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384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{p 083, c 900, v "\mp3_ost\elseti.mp3", c 930, d 000, n 010}</v>
      </c>
    </row>
    <row r="10" spans="1:13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{p 083, c 902, v "\mp3_ost\elseti.mp3", d 000, n 011}</v>
      </c>
    </row>
    <row r="11" spans="1:13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F11" s="44" t="s">
        <v>384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{p 056, c 900, c 928, v "\mp3_ost\kupriyan.mp3", c 930, d 000, n 012}</v>
      </c>
    </row>
    <row r="12" spans="1:13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{p 056, c 902, c 928, v "\mp3_ost\kupriyan.mp3", d 000, n 013}</v>
      </c>
    </row>
    <row r="13" spans="1:13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F13" s="44" t="s">
        <v>384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{p 042, c 900, v "\mp3_ost\tec.mp3", c 930, d 000, n 014}</v>
      </c>
    </row>
    <row r="14" spans="1:13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{p 042, c 902, v "\mp3_ost\tec.mp3", d 000, n 015}</v>
      </c>
    </row>
    <row r="15" spans="1:13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347</v>
      </c>
      <c r="F15" s="44" t="s">
        <v>384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{p 054, c 900, c 928, v "\mp3_ost\zhodinsk.mp3", c 930, d 000, n 016}</v>
      </c>
    </row>
    <row r="16" spans="1:13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{p 054, c 902, c 928, v "\mp3_ost\zhodinsk.mp3", d 000, n 017}</v>
      </c>
    </row>
    <row r="17" spans="2:13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384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{p 010, c 900, v "\mp3_ost\jd.mp3", c 930, d 000, n 018}</v>
      </c>
    </row>
    <row r="18" spans="2:13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{p 010, c 902, v "\mp3_ost\jd.mp3", d 000, n 019}</v>
      </c>
    </row>
    <row r="19" spans="2:13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384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{p 068, c 900, c 928, v "\mp3_ost\partizan.mp3", c 930, d 000, n 020}</v>
      </c>
    </row>
    <row r="20" spans="2:13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{p 068, c 902, c 928, v "\mp3_ost\partizan.mp3", d 000, n 021}</v>
      </c>
    </row>
    <row r="21" spans="2:13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384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{p 064, c 900, c 928, v "\mp3_ost\moskovsk.mp3", c 930, d 000, n 022}</v>
      </c>
    </row>
    <row r="22" spans="2:13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{p 064, c 902, c 928, v "\mp3_ost\moskovsk.mp3", d 000, n 023}</v>
      </c>
    </row>
    <row r="23" spans="2:13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384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{p 077, c 900, c 928, v "\mp3_ost\swrokvas.mp3", c 930, d 000, n 024}</v>
      </c>
    </row>
    <row r="24" spans="2:13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{p 077, c 902, c 928, v "\mp3_ost\swrokvas.mp3", d 000, n 025}</v>
      </c>
    </row>
    <row r="25" spans="2:13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384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{p 031, c 900, v "\mp3_ost\mira.mp3", c 930, d 000, n 026}</v>
      </c>
    </row>
    <row r="26" spans="2:13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{p 031, c 902, v "\mp3_ost\mira.mp3", d 000, n 027}</v>
      </c>
    </row>
    <row r="27" spans="2:13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384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{p 045, c 900, c 928, v "\mp3_ost\50letokt.mp3", c 930, d 000, n 028}</v>
      </c>
    </row>
    <row r="28" spans="2:13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{p 045, c 902, c 928, v "\mp3_ost\50letokt.mp3", d 000, n 029}</v>
      </c>
    </row>
    <row r="29" spans="2:13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F29" s="44" t="s">
        <v>384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{p 040, c 900, v "\mp3_ost\tc.mp3", c 930, d 000, n 030}</v>
      </c>
    </row>
    <row r="30" spans="2:13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{p 040, c 902, v "\mp3_ost\tc.mp3", d 000, n 031}</v>
      </c>
    </row>
    <row r="31" spans="2:13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362</v>
      </c>
      <c r="F31" s="44" t="s">
        <v>384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"\mp3_ost\univermag.mp3"</v>
      </c>
      <c r="K31" s="46"/>
      <c r="L31" s="40" t="str">
        <f t="shared" si="4"/>
        <v>c 930</v>
      </c>
      <c r="M31" s="42" t="str">
        <f t="shared" si="5"/>
        <v>&lt;unit031&gt; "&gt;&gt;Универмаг" {p 081, c 900, v "\mp3_ost\univermag.mp3", c 930, d 000, n 032}</v>
      </c>
    </row>
    <row r="32" spans="2:13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362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"\mp3_ost\univermag.mp3"</v>
      </c>
      <c r="K32" s="46"/>
      <c r="L32" s="40" t="str">
        <f t="shared" si="4"/>
        <v/>
      </c>
      <c r="M32" s="42" t="str">
        <f t="shared" si="5"/>
        <v>&lt;unit032&gt; "Универмаг" {p 081, c 902, v "\mp3_ost\univermag.mp3", d 000, n 033}</v>
      </c>
    </row>
    <row r="33" spans="2:13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F33" s="44" t="s">
        <v>384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{p 029, c 900, v "\mp3_ost\venis`e.mp3", c 930, d 000, n 034}</v>
      </c>
    </row>
    <row r="34" spans="2:13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{p 029, c 902, v "\mp3_ost\venis`e.mp3", d 000, n 035}</v>
      </c>
    </row>
    <row r="35" spans="2:13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348</v>
      </c>
      <c r="F35" s="44" t="s">
        <v>384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{p 050, c 900, c 928, v "\mp3_ost\borovaja.mp3", c 930, d 000, n 036}</v>
      </c>
    </row>
    <row r="36" spans="2:13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348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{p 050, c 902, c 928, v "\mp3_ost\borovaja.mp3", d 000, n 037}</v>
      </c>
    </row>
    <row r="37" spans="2:13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F37" s="44" t="s">
        <v>384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{p 006, c 900, v "\mp3_ost\bolnica.mp3", c 930, d 000, n 038}</v>
      </c>
    </row>
    <row r="38" spans="2:13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{p 006, c 902, v "\mp3_ost\bolnica.mp3", d 000, n 039}</v>
      </c>
    </row>
    <row r="39" spans="2:13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F39" s="44" t="s">
        <v>384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{p 038, c 900, v "\mp3_ost\8ssh.mp3", c 930, d 000, n 040}</v>
      </c>
    </row>
    <row r="40" spans="2:13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{"&amp;СцепитьМного(H40:L40,", ")&amp;", d 000, n "&amp;TEXT(G40,"000")&amp;"}"</f>
        <v>&lt;unit040&gt; "СШ № 8" {p 038, c 902, v "\mp3_ost\8ssh.mp3", d 000, n 041}</v>
      </c>
    </row>
    <row r="41" spans="2:13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F41" s="44" t="s">
        <v>384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{p 063, c 900, c 928, v "\mp3_ost\magistra.mp3", c 930, d 000, n 042}</v>
      </c>
    </row>
    <row r="42" spans="2:13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{p 063, c 902, c 928, v "\mp3_ost\magistra.mp3", d 000, n 043}</v>
      </c>
    </row>
    <row r="43" spans="2:13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363</v>
      </c>
      <c r="F43" s="44" t="s">
        <v>384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{p 043, c 900, v "\mp3_ost\ugli.mp3", c 930, d 000, n 044}</v>
      </c>
    </row>
    <row r="44" spans="2:13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363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{p 043, c 902, v "\mp3_ost\ugli.mp3", d 000, n 045}</v>
      </c>
    </row>
    <row r="45" spans="2:13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364</v>
      </c>
      <c r="F45" s="44" t="s">
        <v>384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{p 044, c 900, v "\mp3_ost\ugli-2.mp3", c 930, d 000, n 046}</v>
      </c>
    </row>
    <row r="46" spans="2:13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364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{p 044, c 902, v "\mp3_ost\ugli-2.mp3", d 000, n 047}</v>
      </c>
    </row>
    <row r="47" spans="2:13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289</v>
      </c>
      <c r="F47" s="44" t="s">
        <v>384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{p 018, c 900, v "\mp3_ost\kuzn-3.mp3", c 930, d 000, n 048}</v>
      </c>
    </row>
    <row r="48" spans="2:13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{p 018, c 902, v "\mp3_ost\kuzn-3.mp3", d 000, n 049}</v>
      </c>
    </row>
    <row r="49" spans="2:13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355</v>
      </c>
      <c r="F49" s="44" t="s">
        <v>384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"\mp3_ost\soligorsk.mp3"</v>
      </c>
      <c r="K49" s="46"/>
      <c r="L49" s="40" t="str">
        <f t="shared" si="8"/>
        <v>c 930</v>
      </c>
      <c r="M49" s="42" t="str">
        <f t="shared" si="9"/>
        <v>&lt;unit049&gt; "&gt;&gt;ул.Солигорская" {p 074, c 900, c 928, v "\mp3_ost\soligorsk.mp3", c 930, d 000, n 050}</v>
      </c>
    </row>
    <row r="50" spans="2:13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355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"\mp3_ost\soligorsk.mp3"</v>
      </c>
      <c r="K50" s="46"/>
      <c r="L50" s="40" t="str">
        <f t="shared" si="8"/>
        <v/>
      </c>
      <c r="M50" s="42" t="str">
        <f t="shared" si="9"/>
        <v>&lt;unit050&gt; "ул.Солигорская" {p 074, c 902, c 928, v "\mp3_ost\soligorsk.mp3", d 000, n 051}</v>
      </c>
    </row>
    <row r="51" spans="2:13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356</v>
      </c>
      <c r="F51" s="44" t="s">
        <v>384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{p 051, c 900, c 928, v "\mp3_ost\vitebsk.mp3", c 930, d 000, n 052}</v>
      </c>
    </row>
    <row r="52" spans="2:13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356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{p 051, c 902, c 928, v "\mp3_ost\vitebsk.mp3", d 000, n 053}</v>
      </c>
    </row>
    <row r="53" spans="2:13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F53" s="44" t="s">
        <v>384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{p 058, c 900, c 928, v "\mp3_ost\leninska.mp3", c 930, d 000, n 054}</v>
      </c>
    </row>
    <row r="54" spans="2:13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{p 058, c 902, c 928, v "\mp3_ost\leninska.mp3", d 000, n 055}</v>
      </c>
    </row>
    <row r="55" spans="2:13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F55" s="44" t="s">
        <v>384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{p 014, c 900, v "\mp3_ost\kztsh.mp3", c 930, d 000, n 056}</v>
      </c>
    </row>
    <row r="56" spans="2:13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214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{"&amp;СцепитьМного(H60:L60,", ")&amp;", d 000, n "&amp;TEXT(G60,"000")&amp;"}"</f>
        <v>&lt;unit060&gt; "КЗТШ" {p 014, c 902, v "\mp3_ost\kztsh.mp3", d 000, n 061}</v>
      </c>
    </row>
    <row r="61" spans="2:13" x14ac:dyDescent="0.25">
      <c r="B61" s="44">
        <f t="shared" si="11"/>
        <v>61</v>
      </c>
      <c r="C61" s="44" t="s">
        <v>330</v>
      </c>
      <c r="D61" s="39" t="str">
        <f t="shared" si="12"/>
        <v>&gt;&gt;</v>
      </c>
      <c r="E61" s="44" t="s">
        <v>273</v>
      </c>
      <c r="F61" s="44" t="s">
        <v>384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{p 058, c 900, c 928, v "\mp3_ost\leninska.mp3", c 930, d 000, n 062}</v>
      </c>
    </row>
    <row r="62" spans="2:13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273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{p 058, c 902, c 928, v "\mp3_ost\leninska.mp3", d 000, n 063}</v>
      </c>
    </row>
    <row r="63" spans="2:13" x14ac:dyDescent="0.25">
      <c r="B63" s="44">
        <f t="shared" si="11"/>
        <v>63</v>
      </c>
      <c r="C63" s="44" t="s">
        <v>330</v>
      </c>
      <c r="D63" s="39" t="str">
        <f t="shared" si="12"/>
        <v>&gt;&gt;</v>
      </c>
      <c r="E63" s="44" t="s">
        <v>356</v>
      </c>
      <c r="F63" s="44" t="s">
        <v>384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{p 051, c 900, c 928, v "\mp3_ost\vitebsk.mp3", c 930, d 000, n 064}</v>
      </c>
    </row>
    <row r="64" spans="2:13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356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{p 051, c 902, c 928, v "\mp3_ost\vitebsk.mp3", d 000, n 065}</v>
      </c>
    </row>
    <row r="65" spans="2:13" x14ac:dyDescent="0.25">
      <c r="B65" s="44">
        <f t="shared" si="11"/>
        <v>65</v>
      </c>
      <c r="C65" s="44" t="s">
        <v>330</v>
      </c>
      <c r="D65" s="39" t="str">
        <f t="shared" si="12"/>
        <v>&gt;&gt;</v>
      </c>
      <c r="E65" s="44" t="s">
        <v>355</v>
      </c>
      <c r="F65" s="44" t="s">
        <v>384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"\mp3_ost\soligorsk.mp3"</v>
      </c>
      <c r="K65" s="46"/>
      <c r="L65" s="40" t="str">
        <f t="shared" si="16"/>
        <v>c 930</v>
      </c>
      <c r="M65" s="42" t="str">
        <f t="shared" si="17"/>
        <v>&lt;unit065&gt; "&gt;&gt;ул.Солигорская" {p 074, c 900, c 928, v "\mp3_ost\soligorsk.mp3", c 930, d 000, n 066}</v>
      </c>
    </row>
    <row r="66" spans="2:13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355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"\mp3_ost\soligorsk.mp3"</v>
      </c>
      <c r="K66" s="46"/>
      <c r="L66" s="40" t="str">
        <f t="shared" si="16"/>
        <v/>
      </c>
      <c r="M66" s="42" t="str">
        <f t="shared" si="17"/>
        <v>&lt;unit066&gt; "ул.Солигорская" {p 074, c 902, c 928, v "\mp3_ost\soligorsk.mp3", d 000, n 067}</v>
      </c>
    </row>
    <row r="67" spans="2:13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357</v>
      </c>
      <c r="F67" s="44" t="s">
        <v>384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{p 072, c 900, c 928, v "\mp3_ost\sluchk.mp3", c 930, d 000, n 068}</v>
      </c>
    </row>
    <row r="68" spans="2:13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357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{p 072, c 902, c 928, v "\mp3_ost\sluchk.mp3", d 000, n 069}</v>
      </c>
    </row>
    <row r="69" spans="2:13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364</v>
      </c>
      <c r="F69" s="44" t="s">
        <v>384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{p 044, c 900, v "\mp3_ost\ugli-2.mp3", c 930, d 000, n 070}</v>
      </c>
    </row>
    <row r="70" spans="2:13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364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{p 044, c 902, v "\mp3_ost\ugli-2.mp3", d 000, n 071}</v>
      </c>
    </row>
    <row r="71" spans="2:13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276</v>
      </c>
      <c r="F71" s="44" t="s">
        <v>384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{p 063, c 900, c 928, v "\mp3_ost\magistra.mp3", c 930, d 000, n 072}</v>
      </c>
    </row>
    <row r="72" spans="2:13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276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{p 063, c 902, c 928, v "\mp3_ost\magistra.mp3", d 000, n 073}</v>
      </c>
    </row>
    <row r="73" spans="2:13" x14ac:dyDescent="0.25">
      <c r="B73" s="44">
        <f t="shared" si="11"/>
        <v>73</v>
      </c>
      <c r="C73" s="44" t="s">
        <v>330</v>
      </c>
      <c r="D73" s="39" t="str">
        <f t="shared" si="12"/>
        <v>&gt;&gt;</v>
      </c>
      <c r="E73" s="44" t="s">
        <v>349</v>
      </c>
      <c r="F73" s="44" t="s">
        <v>384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{p 070, c 900, c 928, v "\mp3_ost\rodnik.mp3", c 930, d 000, n 074}</v>
      </c>
    </row>
    <row r="74" spans="2:13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349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{p 070, c 902, c 928, v "\mp3_ost\rodnik.mp3", d 000, n 075}</v>
      </c>
    </row>
    <row r="75" spans="2:13" x14ac:dyDescent="0.25">
      <c r="B75" s="44">
        <f t="shared" si="11"/>
        <v>75</v>
      </c>
      <c r="C75" s="44" t="s">
        <v>330</v>
      </c>
      <c r="D75" s="39" t="str">
        <f t="shared" si="12"/>
        <v>&gt;&gt;</v>
      </c>
      <c r="E75" s="44" t="s">
        <v>175</v>
      </c>
      <c r="F75" s="44" t="s">
        <v>384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{p 038, c 900, v "\mp3_ost\8ssh.mp3", c 930, d 000, n 076}</v>
      </c>
    </row>
    <row r="76" spans="2:13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175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{p 038, c 902, v "\mp3_ost\8ssh.mp3", d 000, n 077}</v>
      </c>
    </row>
    <row r="77" spans="2:13" x14ac:dyDescent="0.25">
      <c r="B77" s="44">
        <f t="shared" si="11"/>
        <v>77</v>
      </c>
      <c r="C77" s="44" t="s">
        <v>330</v>
      </c>
      <c r="D77" s="39" t="str">
        <f t="shared" si="12"/>
        <v>&gt;&gt;</v>
      </c>
      <c r="E77" s="44" t="s">
        <v>181</v>
      </c>
      <c r="F77" s="44" t="s">
        <v>384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{p 006, c 900, v "\mp3_ost\bolnica.mp3", c 930, d 000, n 078}</v>
      </c>
    </row>
    <row r="78" spans="2:13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181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{p 006, c 902, v "\mp3_ost\bolnica.mp3", d 000, n 079}</v>
      </c>
    </row>
    <row r="79" spans="2:13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348</v>
      </c>
      <c r="F79" s="44" t="s">
        <v>384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{p 050, c 900, c 928, v "\mp3_ost\borovaja.mp3", c 930, d 000, n 080}</v>
      </c>
    </row>
    <row r="80" spans="2:13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348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{p 050, c 902, c 928, v "\mp3_ost\borovaja.mp3", d 000, n 081}</v>
      </c>
    </row>
    <row r="81" spans="2:13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261</v>
      </c>
      <c r="F81" s="44" t="s">
        <v>384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{p 029, c 900, v "\mp3_ost\venis`e.mp3", c 930, d 000, n 082}</v>
      </c>
    </row>
    <row r="82" spans="2:13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261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{p 029, c 902, v "\mp3_ost\venis`e.mp3", d 000, n 083}</v>
      </c>
    </row>
    <row r="83" spans="2:13" x14ac:dyDescent="0.25">
      <c r="B83" s="44">
        <f t="shared" si="11"/>
        <v>83</v>
      </c>
      <c r="C83" s="44" t="s">
        <v>330</v>
      </c>
      <c r="D83" s="39" t="str">
        <f t="shared" si="12"/>
        <v>&gt;&gt;</v>
      </c>
      <c r="E83" s="44" t="s">
        <v>241</v>
      </c>
      <c r="F83" s="44" t="s">
        <v>384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{p 034, c 900, v "\mp3_ost\sberbank.mp3", c 930, d 000, n 084}</v>
      </c>
    </row>
    <row r="84" spans="2:13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241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{p 034, c 902, v "\mp3_ost\sberbank.mp3", d 000, n 085}</v>
      </c>
    </row>
    <row r="85" spans="2:13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226</v>
      </c>
      <c r="F85" s="44" t="s">
        <v>384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{p 027, c 900, v "\mp3_ost\paliklin.mp3", c 930, d 000, n 086}</v>
      </c>
    </row>
    <row r="86" spans="2:13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226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{p 027, c 902, v "\mp3_ost\paliklin.mp3", d 000, n 087}</v>
      </c>
    </row>
    <row r="87" spans="2:13" x14ac:dyDescent="0.25">
      <c r="B87" s="44">
        <f t="shared" si="11"/>
        <v>87</v>
      </c>
      <c r="C87" s="44" t="s">
        <v>330</v>
      </c>
      <c r="D87" s="39" t="str">
        <f t="shared" si="12"/>
        <v>&gt;&gt;</v>
      </c>
      <c r="E87" s="44" t="s">
        <v>350</v>
      </c>
      <c r="F87" s="44" t="s">
        <v>384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{p 022, c 900, v "\mp3_ost\park.mp3", c 930, d 000, n 088}</v>
      </c>
    </row>
    <row r="88" spans="2:13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350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{p 022, c 902, v "\mp3_ost\park.mp3", d 000, n 089}</v>
      </c>
    </row>
    <row r="89" spans="2:13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234</v>
      </c>
      <c r="F89" s="44" t="s">
        <v>384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{p 028, c 900, v "\mp3_ost\pochta.mp3", c 930, d 000, n 090}</v>
      </c>
    </row>
    <row r="90" spans="2:13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234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{p 028, c 902, v "\mp3_ost\pochta.mp3", d 000, n 091}</v>
      </c>
    </row>
    <row r="91" spans="2:13" x14ac:dyDescent="0.25">
      <c r="B91" s="44">
        <f t="shared" si="11"/>
        <v>91</v>
      </c>
      <c r="C91" s="44" t="s">
        <v>330</v>
      </c>
      <c r="D91" s="39" t="str">
        <f t="shared" si="12"/>
        <v>&gt;&gt;</v>
      </c>
      <c r="E91" s="44" t="s">
        <v>168</v>
      </c>
      <c r="F91" s="44" t="s">
        <v>384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{p 077, c 900, c 928, v "\mp3_ost\swrokvas.mp3", c 930, d 000, n 092}</v>
      </c>
    </row>
    <row r="92" spans="2:13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168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{"&amp;СцепитьМного(H92:L92,", ")&amp;", d 000, n "&amp;TEXT(G92,"000")&amp;"}"</f>
        <v>&lt;unit092&gt; "ул.Сырокваша" {p 077, c 902, c 928, v "\mp3_ost\swrokvas.mp3", d 000, n 093}</v>
      </c>
    </row>
    <row r="93" spans="2:13" x14ac:dyDescent="0.25">
      <c r="B93" s="44">
        <f t="shared" si="11"/>
        <v>93</v>
      </c>
      <c r="C93" s="44" t="s">
        <v>330</v>
      </c>
      <c r="D93" s="39" t="str">
        <f t="shared" si="12"/>
        <v>&gt;&gt;</v>
      </c>
      <c r="E93" s="44" t="s">
        <v>166</v>
      </c>
      <c r="F93" s="44" t="s">
        <v>384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{p 064, c 900, c 928, v "\mp3_ost\moskovsk.mp3", c 930, d 000, n 094}</v>
      </c>
    </row>
    <row r="94" spans="2:13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166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{p 064, c 902, c 928, v "\mp3_ost\moskovsk.mp3", d 000, n 095}</v>
      </c>
    </row>
    <row r="95" spans="2:13" x14ac:dyDescent="0.25">
      <c r="B95" s="44">
        <f t="shared" si="11"/>
        <v>95</v>
      </c>
      <c r="C95" s="44" t="s">
        <v>330</v>
      </c>
      <c r="D95" s="39" t="str">
        <f t="shared" si="12"/>
        <v>&gt;&gt;</v>
      </c>
      <c r="E95" s="44" t="s">
        <v>167</v>
      </c>
      <c r="F95" s="44" t="s">
        <v>384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{p 068, c 900, c 928, v "\mp3_ost\partizan.mp3", c 930, d 000, n 096}</v>
      </c>
    </row>
    <row r="96" spans="2:13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167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{p 068, c 902, c 928, v "\mp3_ost\partizan.mp3", d 000, n 097}</v>
      </c>
    </row>
    <row r="97" spans="2:13" x14ac:dyDescent="0.25">
      <c r="B97" s="44">
        <f t="shared" si="11"/>
        <v>97</v>
      </c>
      <c r="C97" s="44" t="s">
        <v>330</v>
      </c>
      <c r="D97" s="39" t="str">
        <f t="shared" si="12"/>
        <v>&gt;&gt;</v>
      </c>
      <c r="E97" s="44" t="s">
        <v>164</v>
      </c>
      <c r="F97" s="44" t="s">
        <v>384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{p 010, c 900, v "\mp3_ost\jd.mp3", c 930, d 000, n 098}</v>
      </c>
    </row>
    <row r="98" spans="2:13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164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{p 010, c 902, v "\mp3_ost\jd.mp3", d 000, n 099}</v>
      </c>
    </row>
    <row r="99" spans="2:13" x14ac:dyDescent="0.25">
      <c r="B99" s="44">
        <f t="shared" si="11"/>
        <v>99</v>
      </c>
      <c r="C99" s="44" t="s">
        <v>330</v>
      </c>
      <c r="D99" s="39" t="str">
        <f t="shared" si="12"/>
        <v>&gt;&gt;</v>
      </c>
      <c r="E99" s="44" t="s">
        <v>347</v>
      </c>
      <c r="F99" s="44" t="s">
        <v>384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347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{p 054, c 902, c 928, v "\mp3_ost\zhodinsk.mp3", d 000, n 101}</v>
      </c>
    </row>
    <row r="101" spans="2:13" x14ac:dyDescent="0.25">
      <c r="B101" s="44">
        <f t="shared" si="11"/>
        <v>101</v>
      </c>
      <c r="C101" s="44" t="s">
        <v>330</v>
      </c>
      <c r="D101" s="39" t="str">
        <f t="shared" si="12"/>
        <v>&gt;&gt;</v>
      </c>
      <c r="E101" s="44" t="s">
        <v>254</v>
      </c>
      <c r="F101" s="44" t="s">
        <v>384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{p 042, c 900, v "\mp3_ost\tec.mp3", c 930, d 000, n 102}</v>
      </c>
    </row>
    <row r="102" spans="2:13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254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{p 042, c 902, v "\mp3_ost\tec.mp3", d 000, n 103}</v>
      </c>
    </row>
    <row r="103" spans="2:13" x14ac:dyDescent="0.25">
      <c r="B103" s="44">
        <f t="shared" si="11"/>
        <v>103</v>
      </c>
      <c r="C103" s="44" t="s">
        <v>330</v>
      </c>
      <c r="D103" s="39" t="str">
        <f t="shared" si="12"/>
        <v>&gt;&gt;</v>
      </c>
      <c r="E103" s="44" t="s">
        <v>272</v>
      </c>
      <c r="F103" s="44" t="s">
        <v>384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272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{p 056, c 902, c 928, v "\mp3_ost\kupriyan.mp3", d 000, n 105}</v>
      </c>
    </row>
    <row r="105" spans="2:13" x14ac:dyDescent="0.25">
      <c r="B105" s="44">
        <f t="shared" si="11"/>
        <v>105</v>
      </c>
      <c r="C105" s="44" t="s">
        <v>330</v>
      </c>
      <c r="D105" s="39" t="str">
        <f t="shared" si="12"/>
        <v>&gt;&gt;</v>
      </c>
      <c r="E105" s="44" t="s">
        <v>203</v>
      </c>
      <c r="F105" s="44" t="s">
        <v>384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{p 083, c 900, v "\mp3_ost\elseti.mp3", c 930, d 000, n 106}</v>
      </c>
    </row>
    <row r="106" spans="2:13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203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{p 083, c 902, v "\mp3_ost\elseti.mp3", d 000, n 107}</v>
      </c>
    </row>
    <row r="107" spans="2:13" x14ac:dyDescent="0.25">
      <c r="B107" s="44">
        <f t="shared" si="11"/>
        <v>107</v>
      </c>
      <c r="C107" s="44" t="s">
        <v>330</v>
      </c>
      <c r="D107" s="39" t="str">
        <f t="shared" si="12"/>
        <v>&gt;&gt;</v>
      </c>
      <c r="E107" s="44" t="s">
        <v>280</v>
      </c>
      <c r="F107" s="44" t="s">
        <v>384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{p 078, c 900, c 928, v "\mp3_ost\truda.mp3", c 930, d 000, n 108}</v>
      </c>
    </row>
    <row r="108" spans="2:13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"\mp3_knst\av.mp3", w 01}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"\mp3_knst\gos.mp3", w 01}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"\mp3_knst\ds.mp3", w 01}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"\mp3_knst\kanc.mp3", w 01}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"\mp3_knst\ko.mp3", w 01}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"\mp3_knst\ost.mp3", w 01}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"\mp3_knst\ostor.mp3", w 01}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"\mp3_knst\pl.mp3", w 01}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"\mp3_knst\pr.mp3", w 01}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"\mp3_knst\sm.mp3", w 01}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"\mp3_knst\ul.mp3", w 01}</v>
      </c>
    </row>
    <row r="124" spans="7:13" x14ac:dyDescent="0.25">
      <c r="M124" s="42" t="str">
        <f>Константы!D14</f>
        <v>&lt;unit930&gt; "Реклама" {s 3, r 002 086 088 000, d 001, r 001 090 091 000, d 001, r 000 086 088 000}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6"/>
  <sheetViews>
    <sheetView topLeftCell="B1" workbookViewId="0">
      <pane ySplit="2" topLeftCell="A96" activePane="bottomLeft" state="frozen"/>
      <selection activeCell="B1" sqref="B1"/>
      <selection pane="bottomLeft" activeCell="L105" sqref="L105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324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F9" s="44" t="s">
        <v>384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{p 065, c 900, c 928, v "\mp3_ost\nagornay.mp3",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351</v>
      </c>
      <c r="F11" s="44" t="s">
        <v>384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{p 079, c 900, c 928, v "\mp3_ost\ubiley.mp3",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351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{p 079, c 902, c 928, v "\mp3_ost\ubiley.mp3",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F13" s="44" t="s">
        <v>384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{p 069, c 900, c 928, v "\mp3_ost\pyaschan.mp3",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F15" s="44" t="s">
        <v>384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{p 053, c 900, c 928, v "\mp3_ost\darojnay.mp3",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F17" s="44" t="s">
        <v>384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{p 047, c 900, c 928, v "\mp3_ost\avtomobi.mp3",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F19" s="44" t="s">
        <v>384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{p 056, c 900, c 928, v "\mp3_ost\kupriyan.mp3",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F21" s="44" t="s">
        <v>384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{p 042, c 900, v "\mp3_ost\tec.mp3",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347</v>
      </c>
      <c r="F23" s="44" t="s">
        <v>384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{p 054, c 900, c 928, v "\mp3_ost\zhodinsk.mp3",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347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{p 054, c 902, c 928, v "\mp3_ost\zhodinsk.mp3",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F25" s="44" t="s">
        <v>384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{p 010, c 900, v "\mp3_ost\jd.mp3",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F27" s="44" t="s">
        <v>384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{p 068, c 900, c 928, v "\mp3_ost\partizan.mp3",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F29" s="44" t="s">
        <v>384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{p 064, c 900, c 928, v "\mp3_ost\moskovsk.mp3",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F31" s="44" t="s">
        <v>384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{p 077, c 900, c 928, v "\mp3_ost\swrokvas.mp3",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F33" s="44" t="s">
        <v>384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{p 031, c 900, v "\mp3_ost\mira.mp3", c 930,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F35" s="44" t="s">
        <v>384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{p 045, c 900, c 928, v "\mp3_ost\50letokt.mp3", c 930,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170</v>
      </c>
      <c r="F37" s="44" t="s">
        <v>384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170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171</v>
      </c>
      <c r="F39" s="44" t="s">
        <v>384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171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279</v>
      </c>
      <c r="F41" s="44" t="s">
        <v>384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279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12"/>
        <v>&gt;&gt;</v>
      </c>
      <c r="E43" s="44" t="s">
        <v>338</v>
      </c>
      <c r="F43" s="44" t="s">
        <v>384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L43" s="42" t="str">
        <f t="shared" si="11"/>
        <v>&lt;unit043&gt; "&gt;&gt;Рынок" {p 033, c 900, v "\mp3_ost\rinok.mp3",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338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L44" s="42" t="str">
        <f t="shared" si="11"/>
        <v>&lt;unit044&gt; "Рынок" {p 033, c 902, v "\mp3_ost\rinok.mp3",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12"/>
        <v>&gt;&gt;</v>
      </c>
      <c r="E45" s="44" t="s">
        <v>247</v>
      </c>
      <c r="F45" s="44" t="s">
        <v>384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247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288</v>
      </c>
      <c r="F47" s="44" t="s">
        <v>384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288</v>
      </c>
      <c r="F48" s="44" t="s">
        <v>332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328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288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330</v>
      </c>
      <c r="D53" s="39" t="str">
        <f t="shared" si="14"/>
        <v>&gt;&gt;</v>
      </c>
      <c r="E53" s="44" t="s">
        <v>338</v>
      </c>
      <c r="F53" s="44" t="s">
        <v>384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"\mp3_ost\rinok.mp3"</v>
      </c>
      <c r="K53" s="40" t="str">
        <f t="shared" si="18"/>
        <v>c 930</v>
      </c>
      <c r="L53" s="42" t="str">
        <f t="shared" si="19"/>
        <v>&lt;unit053&gt; "&gt;&gt;Рынок" {p 033, c 900, v "\mp3_ost\rinok.mp3", c 930,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338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"\mp3_ost\rinok.mp3"</v>
      </c>
      <c r="K54" s="40" t="str">
        <f t="shared" si="18"/>
        <v/>
      </c>
      <c r="L54" s="42" t="str">
        <f t="shared" si="19"/>
        <v>&lt;unit054&gt; "Рынок" {p 033, c 902, v "\mp3_ost\rinok.mp3", d 000, n 055}</v>
      </c>
    </row>
    <row r="55" spans="2:12" x14ac:dyDescent="0.25">
      <c r="B55" s="44">
        <f t="shared" si="13"/>
        <v>55</v>
      </c>
      <c r="C55" s="44" t="s">
        <v>330</v>
      </c>
      <c r="D55" s="39" t="str">
        <f t="shared" si="14"/>
        <v>&gt;&gt;</v>
      </c>
      <c r="E55" s="44" t="s">
        <v>352</v>
      </c>
      <c r="F55" s="44" t="s">
        <v>384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"\mp3_ost\gimn1.mp3"</v>
      </c>
      <c r="K55" s="40" t="str">
        <f t="shared" si="18"/>
        <v>c 930</v>
      </c>
      <c r="L55" s="42" t="str">
        <f t="shared" si="19"/>
        <v>&lt;unit055&gt; "&gt;&gt;Гимназия № 1" {p 008, c 900, v "\mp3_ost\gimn1.mp3", c 930,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352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"\mp3_ost\gimn1.mp3"</v>
      </c>
      <c r="K56" s="40" t="str">
        <f t="shared" si="18"/>
        <v/>
      </c>
      <c r="L56" s="42" t="str">
        <f t="shared" si="19"/>
        <v>&lt;unit056&gt; "Гимназия № 1" {p 008, c 902, v "\mp3_ost\gimn1.mp3", d 000, n 057}</v>
      </c>
    </row>
    <row r="57" spans="2:12" x14ac:dyDescent="0.25">
      <c r="B57" s="44">
        <f t="shared" si="13"/>
        <v>57</v>
      </c>
      <c r="C57" s="44" t="s">
        <v>330</v>
      </c>
      <c r="D57" s="39" t="str">
        <f t="shared" si="14"/>
        <v>&gt;&gt;</v>
      </c>
      <c r="E57" s="44" t="s">
        <v>171</v>
      </c>
      <c r="F57" s="44" t="s">
        <v>384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>c 930</v>
      </c>
      <c r="L57" s="42" t="str">
        <f t="shared" si="19"/>
        <v>&lt;unit057&gt; "&gt;&gt;СШ № 5" {p 037, c 900, v "\mp3_ost\5ssh.mp3", c 930,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171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330</v>
      </c>
      <c r="D59" s="39" t="str">
        <f t="shared" si="14"/>
        <v>&gt;&gt;</v>
      </c>
      <c r="E59" s="44" t="s">
        <v>226</v>
      </c>
      <c r="F59" s="44" t="s">
        <v>384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>c 930</v>
      </c>
      <c r="L59" s="42" t="str">
        <f t="shared" si="19"/>
        <v>&lt;unit059&gt; "&gt;&gt;Поликлиника" {p 027, c 900, v "\mp3_ost\paliklin.mp3", c 930,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226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si="14"/>
        <v>&gt;&gt;</v>
      </c>
      <c r="E61" s="44" t="s">
        <v>350</v>
      </c>
      <c r="F61" s="44" t="s">
        <v>384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"\mp3_ost\park.mp3"</v>
      </c>
      <c r="K61" s="40" t="str">
        <f t="shared" si="18"/>
        <v>c 930</v>
      </c>
      <c r="L61" s="42" t="str">
        <f t="shared" si="19"/>
        <v>&lt;unit061&gt; "&gt;&gt;Парк культуры" {p 022, c 900, v "\mp3_ost\park.mp3", c 930,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350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"\mp3_ost\park.mp3"</v>
      </c>
      <c r="K62" s="40" t="str">
        <f t="shared" si="18"/>
        <v/>
      </c>
      <c r="L62" s="42" t="str">
        <f t="shared" si="19"/>
        <v>&lt;unit062&gt; "Парк культуры" {p 022, c 902, v "\mp3_ost\park.mp3",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14"/>
        <v>&gt;&gt;</v>
      </c>
      <c r="E63" s="44" t="s">
        <v>234</v>
      </c>
      <c r="F63" s="44" t="s">
        <v>384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>c 930</v>
      </c>
      <c r="L63" s="42" t="str">
        <f t="shared" si="19"/>
        <v>&lt;unit063&gt; "&gt;&gt;Почта" {p 028, c 900, v "\mp3_ost\pochta.mp3", c 930,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234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14"/>
        <v>&gt;&gt;</v>
      </c>
      <c r="E65" s="44" t="s">
        <v>168</v>
      </c>
      <c r="F65" s="44" t="s">
        <v>384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>c 930</v>
      </c>
      <c r="L65" s="42" t="str">
        <f t="shared" si="19"/>
        <v>&lt;unit065&gt; "&gt;&gt;ул.Сырокваша" {p 077, c 900, c 928, v "\mp3_ost\swrokvas.mp3", c 930,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168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166</v>
      </c>
      <c r="F67" s="44" t="s">
        <v>384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>c 930</v>
      </c>
      <c r="L67" s="42" t="str">
        <f t="shared" si="19"/>
        <v>&lt;unit067&gt; "&gt;&gt;ул.Московская" {p 064, c 900, c 928, v "\mp3_ost\moskovsk.mp3", c 930,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166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167</v>
      </c>
      <c r="F69" s="44" t="s">
        <v>384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>c 930</v>
      </c>
      <c r="L69" s="42" t="str">
        <f t="shared" si="19"/>
        <v>&lt;unit069&gt; "&gt;&gt;ул.Партизанская" {p 068, c 900, c 928, v "\mp3_ost\partizan.mp3", c 930,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167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164</v>
      </c>
      <c r="F71" s="44" t="s">
        <v>384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>c 930</v>
      </c>
      <c r="L71" s="42" t="str">
        <f t="shared" si="19"/>
        <v>&lt;unit071&gt; "&gt;&gt;ЖД Вокзал" {p 010, c 900, v "\mp3_ost\jd.mp3", c 930,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164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si="14"/>
        <v>&gt;&gt;</v>
      </c>
      <c r="E73" s="44" t="s">
        <v>347</v>
      </c>
      <c r="F73" s="44" t="s">
        <v>384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"\mp3_ost\zhodinsk.mp3"</v>
      </c>
      <c r="K73" s="40" t="str">
        <f t="shared" si="18"/>
        <v>c 930</v>
      </c>
      <c r="L73" s="42" t="str">
        <f t="shared" si="19"/>
        <v>&lt;unit073&gt; "&gt;&gt;ул.Жодинская" {p 054, c 900, c 928, v "\mp3_ost\zhodinsk.mp3", c 930,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347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"\mp3_ost\zhodinsk.mp3"</v>
      </c>
      <c r="K74" s="40" t="str">
        <f t="shared" si="18"/>
        <v/>
      </c>
      <c r="L74" s="42" t="str">
        <f t="shared" si="19"/>
        <v>&lt;unit074&gt; "ул.Жодинская" {p 054, c 902, c 928, v "\mp3_ost\zhodinsk.mp3",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14"/>
        <v>&gt;&gt;</v>
      </c>
      <c r="E75" s="44" t="s">
        <v>254</v>
      </c>
      <c r="F75" s="44" t="s">
        <v>384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>c 930</v>
      </c>
      <c r="L75" s="42" t="str">
        <f t="shared" si="19"/>
        <v>&lt;unit075&gt; "&gt;&gt;ТЭЦ" {p 042, c 900, v "\mp3_ost\tec.mp3", c 930,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254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14"/>
        <v>&gt;&gt;</v>
      </c>
      <c r="E77" s="44" t="s">
        <v>272</v>
      </c>
      <c r="F77" s="44" t="s">
        <v>384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>c 930</v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c 930,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272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269</v>
      </c>
      <c r="F79" s="44" t="s">
        <v>384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>c 930</v>
      </c>
      <c r="L79" s="42" t="str">
        <f t="shared" si="25"/>
        <v>&lt;unit079&gt; "&gt;&gt;ул.Автомобилист." {p 047, c 900, c 928, v "\mp3_ost\avtomobi.mp3", c 930,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269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271</v>
      </c>
      <c r="F81" s="44" t="s">
        <v>384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>c 930</v>
      </c>
      <c r="L81" s="42" t="str">
        <f t="shared" si="25"/>
        <v>&lt;unit081&gt; "&gt;&gt;ул.Дорожная" {p 053, c 900, c 928, v "\mp3_ost\darojnay.mp3", c 930,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271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si="14"/>
        <v>&gt;&gt;</v>
      </c>
      <c r="E83" s="44" t="s">
        <v>278</v>
      </c>
      <c r="F83" s="44" t="s">
        <v>384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>c 930</v>
      </c>
      <c r="L83" s="42" t="str">
        <f t="shared" si="25"/>
        <v>&lt;unit083&gt; "&gt;&gt;ул.Песчаная" {p 069, c 900, c 928, v "\mp3_ost\pyaschan.mp3", c 930,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278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351</v>
      </c>
      <c r="F85" s="44" t="s">
        <v>384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"\mp3_ost\ubiley.mp3"</v>
      </c>
      <c r="K85" s="40" t="str">
        <f t="shared" si="24"/>
        <v>c 930</v>
      </c>
      <c r="L85" s="42" t="str">
        <f t="shared" si="25"/>
        <v>&lt;unit085&gt; "&gt;&gt;ул.Юбилейная" {p 079, c 900, c 928, v "\mp3_ost\ubiley.mp3", c 930,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351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"\mp3_ost\ubiley.mp3"</v>
      </c>
      <c r="K86" s="40" t="str">
        <f t="shared" si="24"/>
        <v/>
      </c>
      <c r="L86" s="42" t="str">
        <f t="shared" si="25"/>
        <v>&lt;unit086&gt; "ул.Юбилейная" {p 079, c 902, c 928, v "\mp3_ost\ubiley.mp3",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26"/>
        <v>&gt;&gt;</v>
      </c>
      <c r="E87" s="44" t="s">
        <v>277</v>
      </c>
      <c r="F87" s="44" t="s">
        <v>384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>c 930</v>
      </c>
      <c r="L87" s="42" t="str">
        <f t="shared" si="25"/>
        <v>&lt;unit087&gt; "&gt;&gt;ул.Нагорная" {p 065, c 900, c 928, v "\mp3_ost\nagornay.mp3", c 930,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277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173</v>
      </c>
      <c r="F89" s="44" t="s">
        <v>384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>c 930</v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c 930,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173</v>
      </c>
      <c r="F90" s="44" t="s">
        <v>332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329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  <row r="106" spans="7:12" x14ac:dyDescent="0.25">
      <c r="L106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C52:C90 C8:C48 F8:F48 F52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6"/>
  <sheetViews>
    <sheetView topLeftCell="B1" workbookViewId="0">
      <pane ySplit="2" topLeftCell="A60" activePane="bottomLeft" state="frozen"/>
      <selection activeCell="B1" sqref="B1"/>
      <selection pane="bottomLeft" activeCell="L65" sqref="L65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324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330</v>
      </c>
      <c r="D9" s="39" t="str">
        <f>IF(I9="c 900","&gt;&gt;","")</f>
        <v>&gt;&gt;</v>
      </c>
      <c r="E9" s="44" t="s">
        <v>241</v>
      </c>
      <c r="F9" s="44" t="s">
        <v>384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{p 034, c 900, v "\mp3_ost\sberbank.mp3",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241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170</v>
      </c>
      <c r="F11" s="44" t="s">
        <v>384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>c 930</v>
      </c>
      <c r="L11" s="42" t="str">
        <f t="shared" si="5"/>
        <v>&lt;unit011&gt; "&gt;&gt;ул.Гагарина" {p 052, c 900, c 928, v "\mp3_ost\gagarina.mp3",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170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330</v>
      </c>
      <c r="D13" s="39" t="str">
        <f t="shared" si="7"/>
        <v>&gt;&gt;</v>
      </c>
      <c r="E13" s="44" t="s">
        <v>171</v>
      </c>
      <c r="F13" s="44" t="s">
        <v>384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>c 930</v>
      </c>
      <c r="L13" s="42" t="str">
        <f t="shared" si="5"/>
        <v>&lt;unit013&gt; "&gt;&gt;СШ № 5" {p 037, c 900, v "\mp3_ost\5ssh.mp3",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352</v>
      </c>
      <c r="F15" s="44" t="s">
        <v>384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"\mp3_ost\gimn1.mp3"</v>
      </c>
      <c r="K15" s="40" t="str">
        <f t="shared" si="4"/>
        <v>c 930</v>
      </c>
      <c r="L15" s="42" t="str">
        <f t="shared" si="5"/>
        <v>&lt;unit015&gt; "&gt;&gt;Гимназия № 1" {p 008, c 900, v "\mp3_ost\gimn1.mp3",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352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"\mp3_ost\gimn1.mp3"</v>
      </c>
      <c r="L16" s="42" t="str">
        <f t="shared" si="5"/>
        <v>&lt;unit016&gt; "Гимназия № 1" {p 008, c 902, v "\mp3_ost\gimn1.mp3",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215</v>
      </c>
      <c r="F17" s="44" t="s">
        <v>384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215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174</v>
      </c>
      <c r="F19" s="44" t="s">
        <v>384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174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354</v>
      </c>
      <c r="F21" s="44" t="s">
        <v>384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"\mp3_ost\zara.mp3"</v>
      </c>
      <c r="L21" s="42" t="str">
        <f t="shared" si="5"/>
        <v>&lt;unit021&gt; "&gt;&gt;пов. с/т Заря" {p 025, c 900, v "\mp3_ost\zara.mp3",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354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"\mp3_ost\zara.mp3"</v>
      </c>
      <c r="K22" s="40" t="str">
        <f t="shared" si="4"/>
        <v/>
      </c>
      <c r="L22" s="42" t="str">
        <f t="shared" si="5"/>
        <v>&lt;unit022&gt; "пов. с/т Заря" {p 025, c 902, v "\mp3_ost\zara.mp3",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353</v>
      </c>
      <c r="F23" s="44" t="s">
        <v>384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"\mp3_ost\novogr.mp3"</v>
      </c>
      <c r="K23" s="40" t="str">
        <f t="shared" si="4"/>
        <v>c 930</v>
      </c>
      <c r="L23" s="42" t="str">
        <f t="shared" si="5"/>
        <v>&lt;unit023&gt; "&gt;&gt;ул.Новогрядская" {p 066, c 900, c 928, v "\mp3_ost\novogr.mp3",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353</v>
      </c>
      <c r="F24" s="44" t="s">
        <v>332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"\mp3_ost\novogr.mp3"</v>
      </c>
      <c r="K24" s="40" t="str">
        <f t="shared" si="4"/>
        <v>c 903</v>
      </c>
      <c r="L24" s="42" t="str">
        <f t="shared" si="5"/>
        <v>&lt;unit024&gt; "ул.Новогрядская" {p 066, c 902, c 928, v "\mp3_ost\novogr.mp3",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328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353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"\mp3_ost\novogr.mp3"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"\mp3_ost\novogr.mp3", d 000, n 029}</v>
      </c>
    </row>
    <row r="29" spans="2:12" x14ac:dyDescent="0.25">
      <c r="B29" s="44">
        <f t="shared" si="8"/>
        <v>29</v>
      </c>
      <c r="C29" s="44" t="s">
        <v>330</v>
      </c>
      <c r="D29" s="39" t="str">
        <f t="shared" si="9"/>
        <v>&gt;&gt;</v>
      </c>
      <c r="E29" s="44" t="s">
        <v>358</v>
      </c>
      <c r="F29" s="44" t="s">
        <v>384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>c 930</v>
      </c>
      <c r="L29" s="42" t="str">
        <f t="shared" si="15"/>
        <v>&lt;unit029&gt; "&gt;&gt;ул.Сосновая" {p 075, c 900, c 928, v "\mp3_ost\sosnov.mp3", c 930,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358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330</v>
      </c>
      <c r="D31" s="39" t="str">
        <f t="shared" si="9"/>
        <v>&gt;&gt;</v>
      </c>
      <c r="E31" s="44" t="s">
        <v>359</v>
      </c>
      <c r="F31" s="44" t="s">
        <v>384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"\mp3_ost\nov-gr.mp3"</v>
      </c>
      <c r="K31" s="40" t="str">
        <f t="shared" si="14"/>
        <v>c 930</v>
      </c>
      <c r="L31" s="42" t="str">
        <f t="shared" si="15"/>
        <v>&lt;unit031&gt; "&gt;&gt;пов. Нов. Грядки" {p 024, c 900, v "\mp3_ost\nov-gr.mp3", c 930,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359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"\mp3_ost\nov-gr.mp3"</v>
      </c>
      <c r="K32" s="40" t="str">
        <f t="shared" si="14"/>
        <v/>
      </c>
      <c r="L32" s="42" t="str">
        <f t="shared" si="15"/>
        <v>&lt;unit032&gt; "пов. Нов. Грядки" {p 024, c 902, v "\mp3_ost\nov-gr.mp3", d 000, n 033}</v>
      </c>
    </row>
    <row r="33" spans="2:12" x14ac:dyDescent="0.25">
      <c r="B33" s="44">
        <f t="shared" si="8"/>
        <v>33</v>
      </c>
      <c r="C33" s="44" t="s">
        <v>330</v>
      </c>
      <c r="D33" s="39" t="str">
        <f t="shared" si="9"/>
        <v>&gt;&gt;</v>
      </c>
      <c r="E33" s="44" t="s">
        <v>354</v>
      </c>
      <c r="F33" s="44" t="s">
        <v>384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"\mp3_ost\zara.mp3"</v>
      </c>
      <c r="K33" s="40" t="str">
        <f t="shared" si="14"/>
        <v>c 930</v>
      </c>
      <c r="L33" s="42" t="str">
        <f t="shared" si="15"/>
        <v>&lt;unit033&gt; "&gt;&gt;пов. с/т Заря" {p 025, c 900, v "\mp3_ost\zara.mp3", c 930,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354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"\mp3_ost\zara.mp3"</v>
      </c>
      <c r="K34" s="40" t="str">
        <f t="shared" si="14"/>
        <v/>
      </c>
      <c r="L34" s="42" t="str">
        <f t="shared" si="15"/>
        <v>&lt;unit034&gt; "пов. с/т Заря" {p 025, c 902, v "\mp3_ost\zara.mp3", d 000, n 035}</v>
      </c>
    </row>
    <row r="35" spans="2:12" x14ac:dyDescent="0.25">
      <c r="B35" s="44">
        <f t="shared" si="8"/>
        <v>35</v>
      </c>
      <c r="C35" s="44" t="s">
        <v>330</v>
      </c>
      <c r="D35" s="39" t="str">
        <f t="shared" si="9"/>
        <v>&gt;&gt;</v>
      </c>
      <c r="E35" s="44" t="s">
        <v>346</v>
      </c>
      <c r="F35" s="44" t="s">
        <v>384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"\mp3_ost\log23.mp3"</v>
      </c>
      <c r="K35" s="40" t="str">
        <f t="shared" si="14"/>
        <v>c 930</v>
      </c>
      <c r="L35" s="42" t="str">
        <f t="shared" si="15"/>
        <v>&lt;unit035&gt; "&gt;&gt;ул.Логойская,23" {p 062, c 900, c 928, v "\mp3_ost\log23.mp3", c 930,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346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"\mp3_ost\log23.mp3"</v>
      </c>
      <c r="K36" s="40" t="str">
        <f t="shared" si="14"/>
        <v/>
      </c>
      <c r="L36" s="42" t="str">
        <f t="shared" si="15"/>
        <v>&lt;unit036&gt; "ул.Логойская,23" {p 062, c 902, c 928, v "\mp3_ost\log23.mp3",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174</v>
      </c>
      <c r="F37" s="44" t="s">
        <v>384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>c 930</v>
      </c>
      <c r="L37" s="42" t="str">
        <f t="shared" si="15"/>
        <v>&lt;unit037&gt; "&gt;&gt;8 микрорайон" {p 001, c 900, v "\mp3_ost\8mikra.mp3", c 930,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174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215</v>
      </c>
      <c r="F39" s="44" t="s">
        <v>384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>c 930</v>
      </c>
      <c r="L39" s="42" t="str">
        <f t="shared" si="15"/>
        <v>&lt;unit039&gt; "&gt;&gt;пр-т Ленина" {p 030, c 900, v "\mp3_ost\lenina.mp3", c 930,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215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352</v>
      </c>
      <c r="F41" s="44" t="s">
        <v>384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"\mp3_ost\gimn1.mp3"</v>
      </c>
      <c r="K41" s="40" t="str">
        <f t="shared" si="14"/>
        <v>c 930</v>
      </c>
      <c r="L41" s="42" t="str">
        <f t="shared" si="15"/>
        <v>&lt;unit041&gt; "&gt;&gt;Гимназия № 1" {p 008, c 900, v "\mp3_ost\gimn1.mp3", c 930,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352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"\mp3_ost\gimn1.mp3"</v>
      </c>
      <c r="K42" s="40" t="str">
        <f t="shared" si="14"/>
        <v/>
      </c>
      <c r="L42" s="42" t="str">
        <f t="shared" si="15"/>
        <v>&lt;unit042&gt; "Гимназия № 1" {p 008, c 902, v "\mp3_ost\gimn1.mp3",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171</v>
      </c>
      <c r="F43" s="44" t="s">
        <v>384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>c 930</v>
      </c>
      <c r="L43" s="42" t="str">
        <f t="shared" si="15"/>
        <v>&lt;unit043&gt; "&gt;&gt;СШ № 5" {p 037, c 900, v "\mp3_ost\5ssh.mp3", c 930,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171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252</v>
      </c>
      <c r="F45" s="44" t="s">
        <v>384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>c 930</v>
      </c>
      <c r="L45" s="42" t="str">
        <f t="shared" si="15"/>
        <v>&lt;unit045&gt; "&gt;&gt;Торг.центр" {p 040, c 900, v "\mp3_ost\tc.mp3", c 930,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252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362</v>
      </c>
      <c r="F47" s="44" t="s">
        <v>384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"\mp3_ost\univermag.mp3"</v>
      </c>
      <c r="K47" s="40" t="str">
        <f t="shared" si="14"/>
        <v>c 930</v>
      </c>
      <c r="L47" s="42" t="str">
        <f t="shared" si="15"/>
        <v>&lt;unit047&gt; "&gt;&gt;Универмаг" {p 081, c 900, v "\mp3_ost\univermag.mp3", c 930,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362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"\mp3_ost\univermag.mp3"</v>
      </c>
      <c r="K48" s="40" t="str">
        <f t="shared" si="14"/>
        <v/>
      </c>
      <c r="L48" s="42" t="str">
        <f t="shared" si="15"/>
        <v>&lt;unit048&gt; "Универмаг" {p 081, c 902, v "\mp3_ost\univermag.mp3",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178</v>
      </c>
      <c r="F49" s="44" t="s">
        <v>384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>c 930</v>
      </c>
      <c r="L49" s="42" t="str">
        <f t="shared" si="15"/>
        <v>&lt;unit049&gt; "&gt;&gt;Автостанция" {p 002, c 900, v "\mp3_ost\avtostan.mp3", c 930,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178</v>
      </c>
      <c r="F50" s="44" t="s">
        <v>332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329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  <row r="66" spans="12:12" x14ac:dyDescent="0.25">
      <c r="L66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C28:C50 C8:C24 F8:F24 F2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120" activePane="bottomLeft" state="frozen"/>
      <selection activeCell="B1" sqref="B1"/>
      <selection pane="bottomLeft" activeCell="L129" sqref="L12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360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"\mp3_ost\sovetsk.mp3"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"\mp3_ost\sovetsk.mp3", d 000, n 009}</v>
      </c>
    </row>
    <row r="9" spans="1:12" x14ac:dyDescent="0.25">
      <c r="B9" s="44">
        <f t="shared" ref="B9:B58" si="6">ROW(B9)</f>
        <v>9</v>
      </c>
      <c r="C9" s="44" t="s">
        <v>330</v>
      </c>
      <c r="D9" s="39" t="str">
        <f>IF(I9="c 900","&gt;&gt;","")</f>
        <v>&gt;&gt;</v>
      </c>
      <c r="E9" s="44" t="s">
        <v>361</v>
      </c>
      <c r="F9" s="44" t="s">
        <v>384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{p 057, c 900, c 928, v "\mp3_ost\leningra.mp3",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361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F11" s="44" t="s">
        <v>384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{p 011, c 900, v "\mp3_ost\jen-gimn.mp3",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339</v>
      </c>
      <c r="F13" s="44" t="s">
        <v>384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{p 004, c 900, v "\mp3_ost\inst-zve.mp3",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339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347</v>
      </c>
      <c r="F15" s="44" t="s">
        <v>384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{p 054, c 900, c 928, v "\mp3_ost\zhodinsk.mp3",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{p 054, c 902, c 928, v "\mp3_ost\zhodinsk.mp3",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384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{p 010, c 900, v "\mp3_ost\jd.mp3",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384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{p 068, c 900, c 928, v "\mp3_ost\partizan.mp3",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384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{p 064, c 900, c 928, v "\mp3_ost\moskovsk.mp3",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384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{p 077, c 900, c 928, v "\mp3_ost\swrokvas.mp3",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384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{p 031, c 900, v "\mp3_ost\mira.mp3",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384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{p 045, c 900, c 928, v "\mp3_ost\50letokt.mp3",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170</v>
      </c>
      <c r="F29" s="44" t="s">
        <v>384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>c 930</v>
      </c>
      <c r="L29" s="42" t="str">
        <f t="shared" si="5"/>
        <v>&lt;unit029&gt; "&gt;&gt;ул.Гагарина" {p 052, c 900, c 928, v "\mp3_ost\gagarina.mp3",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170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171</v>
      </c>
      <c r="F31" s="44" t="s">
        <v>384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>c 930</v>
      </c>
      <c r="L31" s="42" t="str">
        <f t="shared" si="5"/>
        <v>&lt;unit031&gt; "&gt;&gt;СШ № 5" {p 037, c 900, v "\mp3_ost\5ssh.mp3",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171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352</v>
      </c>
      <c r="F33" s="44" t="s">
        <v>384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"\mp3_ost\gimn1.mp3"</v>
      </c>
      <c r="K33" s="40" t="str">
        <f t="shared" si="4"/>
        <v>c 930</v>
      </c>
      <c r="L33" s="42" t="str">
        <f t="shared" si="5"/>
        <v>&lt;unit033&gt; "&gt;&gt;Гимназия № 1" {p 008, c 900, v "\mp3_ost\gimn1.mp3", c 930,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352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"\mp3_ost\gimn1.mp3"</v>
      </c>
      <c r="K34" s="40" t="str">
        <f t="shared" si="4"/>
        <v/>
      </c>
      <c r="L34" s="42" t="str">
        <f t="shared" si="5"/>
        <v>&lt;unit034&gt; "Гимназия № 1" {p 008, c 902, v "\mp3_ost\gimn1.mp3",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215</v>
      </c>
      <c r="F35" s="44" t="s">
        <v>384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>c 930</v>
      </c>
      <c r="L35" s="42" t="str">
        <f t="shared" si="5"/>
        <v>&lt;unit035&gt; "&gt;&gt;пр-т Ленина" {p 030, c 900, v "\mp3_ost\lenina.mp3", c 930,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215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174</v>
      </c>
      <c r="F37" s="44" t="s">
        <v>384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174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346</v>
      </c>
      <c r="F39" s="44" t="s">
        <v>384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"\mp3_ost\log23.mp3"</v>
      </c>
      <c r="L39" s="42" t="str">
        <f t="shared" si="5"/>
        <v>&lt;unit039&gt; "&gt;&gt;ул.Логойская,23" {p 062, c 900, c 928, v "\mp3_ost\log23.mp3",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346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"\mp3_ost\log23.mp3"</v>
      </c>
      <c r="L40" s="42" t="str">
        <f t="shared" si="5"/>
        <v>&lt;unit040&gt; "ул.Логойская,23" {p 062, c 902, c 928, v "\mp3_ost\log23.mp3",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345</v>
      </c>
      <c r="F41" s="44" t="s">
        <v>384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"\mp3_ost\log21.mp3"</v>
      </c>
      <c r="L41" s="42" t="str">
        <f t="shared" si="5"/>
        <v>&lt;unit041&gt; "&gt;&gt;ул.Логойская,21" {p 061, c 900, c 928, v "\mp3_ost\log21.mp3",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345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"\mp3_ost\log21.mp3"</v>
      </c>
      <c r="K42" s="40" t="str">
        <f t="shared" si="4"/>
        <v/>
      </c>
      <c r="L42" s="42" t="str">
        <f t="shared" si="5"/>
        <v>&lt;unit042&gt; "ул.Логойская,21" {p 061, c 902, c 928, v "\mp3_ost\log21.mp3", d 000, n 055}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275</v>
      </c>
      <c r="F43" s="44" t="s">
        <v>384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>c 930</v>
      </c>
      <c r="L43" s="42" t="str">
        <f t="shared" si="5"/>
        <v>&lt;unit043&gt; "&gt;&gt;ул.Логойская" {p 060, c 900, c 928, v "\mp3_ost\lag.mp3", c 930,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275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362</v>
      </c>
      <c r="F45" s="44" t="s">
        <v>384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"\mp3_ost\univermag.mp3"</v>
      </c>
      <c r="K45" s="40" t="str">
        <f t="shared" si="4"/>
        <v>c 930</v>
      </c>
      <c r="L45" s="42" t="str">
        <f t="shared" si="5"/>
        <v>&lt;unit045&gt; "&gt;&gt;Универмаг" {p 081, c 900, v "\mp3_ost\univermag.mp3", c 930,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362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"\mp3_ost\univermag.mp3"</v>
      </c>
      <c r="K46" s="40" t="str">
        <f t="shared" si="4"/>
        <v/>
      </c>
      <c r="L46" s="42" t="str">
        <f t="shared" si="5"/>
        <v>&lt;unit046&gt; "Универмаг" {p 081, c 902, v "\mp3_ost\univermag.mp3",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261</v>
      </c>
      <c r="F47" s="44" t="s">
        <v>384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>c 930</v>
      </c>
      <c r="L47" s="42" t="str">
        <f t="shared" si="5"/>
        <v>&lt;unit047&gt; "&gt;&gt;пр-т Венисье" {p 029, c 900, v "\mp3_ost\venis`e.mp3", c 930,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261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348</v>
      </c>
      <c r="F49" s="44" t="s">
        <v>384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>c 930</v>
      </c>
      <c r="L49" s="42" t="str">
        <f t="shared" si="5"/>
        <v>&lt;unit049&gt; "&gt;&gt;ул.Боровая" {p 050, c 900, c 928, v "\mp3_ost\borovaja.mp3", c 930,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348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5"/>
        <v>&lt;unit050&gt; "ул.Боровая" {p 050, c 902, c 928, v "\mp3_ost\borovaja.mp3", d 000, n 055}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ref="D51:D52" si="11">IF(I51="c 900","&gt;&gt;","")</f>
        <v>&gt;&gt;</v>
      </c>
      <c r="E51" s="44" t="s">
        <v>181</v>
      </c>
      <c r="F51" s="44" t="s">
        <v>384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"\mp3_ost\bolnica.mp3"</v>
      </c>
      <c r="K51" s="40" t="str">
        <f t="shared" ref="K51:K52" si="16">IFERROR("c "&amp;VLOOKUP(F51,Punkti,2,FALSE),"")</f>
        <v>c 930</v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"\mp3_ost\bolnica.mp3", c 930,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181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"\mp3_ost\bolnica.mp3"</v>
      </c>
      <c r="K52" s="40" t="str">
        <f t="shared" si="16"/>
        <v/>
      </c>
      <c r="L52" s="42" t="str">
        <f t="shared" si="17"/>
        <v>&lt;unit052&gt; "Больница" {p 006, c 902, v "\mp3_ost\bolnica.mp3",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18">IF(I53="c 900","&gt;&gt;","")</f>
        <v>&gt;&gt;</v>
      </c>
      <c r="E53" s="44" t="s">
        <v>175</v>
      </c>
      <c r="F53" s="44" t="s">
        <v>384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>c 930</v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c 930,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175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274</v>
      </c>
      <c r="F55" s="44" t="s">
        <v>384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>c 930</v>
      </c>
      <c r="L55" s="42" t="str">
        <f t="shared" si="5"/>
        <v>&lt;unit055&gt; "&gt;&gt;ул.Лесная" {p 059, c 900, c 928, v "\mp3_ost\lesnaya.mp3", c 930,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274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330</v>
      </c>
      <c r="D57" s="39" t="str">
        <f t="shared" si="7"/>
        <v>&gt;&gt;</v>
      </c>
      <c r="E57" s="44" t="s">
        <v>276</v>
      </c>
      <c r="F57" s="44" t="s">
        <v>384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>c 930</v>
      </c>
      <c r="L57" s="42" t="str">
        <f t="shared" si="5"/>
        <v>&lt;unit057&gt; "&gt;&gt;ул.Магистральная" {p 063, c 900, c 928, v "\mp3_ost\magistra.mp3", c 930,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276</v>
      </c>
      <c r="F58" s="44" t="s">
        <v>332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328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276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E63" s="44" t="s">
        <v>274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274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E65" s="44" t="s">
        <v>175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175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E67" s="44" t="s">
        <v>181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"\mp3_ost\bolnica.mp3"</v>
      </c>
      <c r="K67" s="40" t="str">
        <f t="shared" si="30"/>
        <v/>
      </c>
      <c r="L67" s="42" t="str">
        <f t="shared" si="31"/>
        <v>&lt;unit067&gt; "&gt;&gt;Больница" {p 006, c 900, v "\mp3_ost\bolnica.mp3",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181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"\mp3_ost\bolnica.mp3"</v>
      </c>
      <c r="K68" s="40" t="str">
        <f t="shared" si="30"/>
        <v/>
      </c>
      <c r="L68" s="42" t="str">
        <f t="shared" si="31"/>
        <v>&lt;unit068&gt; "Больница" {p 006, c 902, v "\mp3_ost\bolnica.mp3",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E69" s="44" t="s">
        <v>348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"\mp3_ost\borovaja.mp3"</v>
      </c>
      <c r="K69" s="40" t="str">
        <f t="shared" si="30"/>
        <v/>
      </c>
      <c r="L69" s="42" t="str">
        <f t="shared" si="31"/>
        <v>&lt;unit069&gt; "&gt;&gt;ул.Боровая" {p 050, c 900, c 928, v "\mp3_ost\borovaja.mp3",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348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"\mp3_ost\borovaja.mp3"</v>
      </c>
      <c r="K70" s="40" t="str">
        <f t="shared" si="30"/>
        <v/>
      </c>
      <c r="L70" s="42" t="str">
        <f t="shared" si="31"/>
        <v>&lt;unit070&gt; "ул.Боровая" {p 050, c 902, c 928, v "\mp3_ost\borovaja.mp3",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E71" s="44" t="s">
        <v>261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261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E73" s="44" t="s">
        <v>242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242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E75" s="44" t="s">
        <v>275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275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E77" s="44" t="s">
        <v>345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"\mp3_ost\log21.mp3"</v>
      </c>
      <c r="K77" s="40" t="str">
        <f t="shared" si="30"/>
        <v/>
      </c>
      <c r="L77" s="42" t="str">
        <f t="shared" si="31"/>
        <v>&lt;unit077&gt; "&gt;&gt;ул.Логойская,21" {p 061, c 900, c 928, v "\mp3_ost\log21.mp3",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345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"\mp3_ost\log21.mp3"</v>
      </c>
      <c r="K78" s="40" t="str">
        <f t="shared" si="30"/>
        <v/>
      </c>
      <c r="L78" s="42" t="str">
        <f t="shared" si="31"/>
        <v>&lt;unit078&gt; "ул.Логойская,21" {p 061, c 902, c 928, v "\mp3_ost\log21.mp3",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E79" s="44" t="s">
        <v>346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"\mp3_ost\log23.mp3"</v>
      </c>
      <c r="K79" s="40" t="str">
        <f t="shared" si="30"/>
        <v/>
      </c>
      <c r="L79" s="42" t="str">
        <f t="shared" si="31"/>
        <v>&lt;unit079&gt; "&gt;&gt;ул.Логойская,23" {p 062, c 900, c 928, v "\mp3_ost\log23.mp3",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346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"\mp3_ost\log23.mp3"</v>
      </c>
      <c r="K80" s="40" t="str">
        <f t="shared" si="30"/>
        <v/>
      </c>
      <c r="L80" s="42" t="str">
        <f t="shared" si="31"/>
        <v>&lt;unit080&gt; "ул.Логойская,23" {p 062, c 902, c 928, v "\mp3_ost\log23.mp3",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E81" s="44" t="s">
        <v>174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174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E83" s="44" t="s">
        <v>215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215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E85" s="44" t="s">
        <v>352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"\mp3_ost\gimn1.mp3"</v>
      </c>
      <c r="K85" s="40" t="str">
        <f t="shared" si="30"/>
        <v/>
      </c>
      <c r="L85" s="42" t="str">
        <f t="shared" si="31"/>
        <v>&lt;unit085&gt; "&gt;&gt;Гимназия № 1" {p 008, c 900, v "\mp3_ost\gimn1.mp3",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352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"\mp3_ost\gimn1.mp3"</v>
      </c>
      <c r="K86" s="40" t="str">
        <f t="shared" si="30"/>
        <v/>
      </c>
      <c r="L86" s="42" t="str">
        <f t="shared" si="31"/>
        <v>&lt;unit086&gt; "Гимназия № 1" {p 008, c 902, v "\mp3_ost\gimn1.mp3",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E87" s="44" t="s">
        <v>171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171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E89" s="44" t="s">
        <v>226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226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E91" s="44" t="s">
        <v>350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"\mp3_ost\park.mp3"</v>
      </c>
      <c r="L91" s="42" t="str">
        <f t="shared" si="31"/>
        <v>&lt;unit091&gt; "&gt;&gt;Парк культуры" {p 022, c 900, v "\mp3_ost\park.mp3",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350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"\mp3_ost\park.mp3"</v>
      </c>
      <c r="K92" s="40" t="str">
        <f t="shared" si="30"/>
        <v/>
      </c>
      <c r="L92" s="42" t="str">
        <f t="shared" si="31"/>
        <v>&lt;unit092&gt; "Парк культуры" {p 022, c 902, v "\mp3_ost\park.mp3", d 000, n 093}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si="26"/>
        <v>&gt;&gt;</v>
      </c>
      <c r="E93" s="44" t="s">
        <v>234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234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26"/>
        <v>&gt;&gt;</v>
      </c>
      <c r="E95" s="44" t="s">
        <v>168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168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26"/>
        <v>&gt;&gt;</v>
      </c>
      <c r="E97" s="44" t="s">
        <v>166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166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26"/>
        <v>&gt;&gt;</v>
      </c>
      <c r="E99" s="44" t="s">
        <v>167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167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si="26"/>
        <v>&gt;&gt;</v>
      </c>
      <c r="E101" s="44" t="s">
        <v>164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164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E103" s="44" t="s">
        <v>347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"\mp3_ost\zhodinsk.mp3"</v>
      </c>
      <c r="K103" s="40" t="str">
        <f t="shared" si="30"/>
        <v/>
      </c>
      <c r="L103" s="42" t="str">
        <f t="shared" si="31"/>
        <v>&lt;unit103&gt; "&gt;&gt;ул.Жодинская" {p 054, c 900, c 928, v "\mp3_ost\zhodinsk.mp3",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347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"\mp3_ost\zhodinsk.mp3"</v>
      </c>
      <c r="K104" s="40" t="str">
        <f t="shared" si="30"/>
        <v/>
      </c>
      <c r="L104" s="42" t="str">
        <f t="shared" si="31"/>
        <v>&lt;unit104&gt; "ул.Жодинская" {p 054, c 902, c 928, v "\mp3_ost\zhodinsk.mp3",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E105" s="44" t="s">
        <v>263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263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330</v>
      </c>
      <c r="D107" s="39" t="str">
        <f t="shared" ref="D107:D108" si="37">IF(I107="c 900","&gt;&gt;","")</f>
        <v>&gt;&gt;</v>
      </c>
      <c r="E107" s="44" t="s">
        <v>339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339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330</v>
      </c>
      <c r="D109" s="39" t="str">
        <f t="shared" ref="D109:D110" si="44">IF(I109="c 900","&gt;&gt;","")</f>
        <v>&gt;&gt;</v>
      </c>
      <c r="E109" s="44" t="s">
        <v>163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163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330</v>
      </c>
      <c r="D111" s="39" t="str">
        <f t="shared" si="26"/>
        <v>&gt;&gt;</v>
      </c>
      <c r="E111" s="44" t="s">
        <v>361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"\mp3_ost\leningra.mp3"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"\mp3_ost\leningra.mp3",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361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"\mp3_ost\leningra.mp3"</v>
      </c>
      <c r="K112" s="40" t="str">
        <f t="shared" si="30"/>
        <v/>
      </c>
      <c r="L112" s="42" t="str">
        <f t="shared" si="31"/>
        <v>&lt;unit112&gt; "ул.Ленинградская" {p 057, c 902, c 928, v "\mp3_ost\leningra.mp3", d 000, n 113}</v>
      </c>
    </row>
    <row r="113" spans="2:12" x14ac:dyDescent="0.25">
      <c r="B113" s="44">
        <f t="shared" si="25"/>
        <v>113</v>
      </c>
      <c r="C113" s="44" t="s">
        <v>330</v>
      </c>
      <c r="D113" s="39" t="str">
        <f t="shared" si="26"/>
        <v>&gt;&gt;</v>
      </c>
      <c r="E113" s="44" t="s">
        <v>360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"\mp3_ost\sovetsk.mp3"</v>
      </c>
      <c r="K113" s="40" t="str">
        <f t="shared" si="30"/>
        <v/>
      </c>
      <c r="L113" s="42" t="str">
        <f t="shared" si="31"/>
        <v>&lt;unit113&gt; "&gt;&gt;ул.Советская" {p 073, c 900, c 928, v "\mp3_ost\sovetsk.mp3",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360</v>
      </c>
      <c r="F114" s="44" t="s">
        <v>332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"\mp3_ost\sovetsk.mp3"</v>
      </c>
      <c r="K114" s="40" t="str">
        <f t="shared" si="30"/>
        <v>c 903</v>
      </c>
      <c r="L114" s="42" t="str">
        <f t="shared" si="31"/>
        <v>&lt;unit114&gt; "ул.Советская" {p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329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  <row r="130" spans="12:12" x14ac:dyDescent="0.25">
      <c r="L130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C62:C114 F62:F114 F8:F5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78" activePane="bottomLeft" state="frozen"/>
      <selection activeCell="B1" sqref="B1"/>
      <selection pane="bottomLeft" activeCell="L89" sqref="L8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324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360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330</v>
      </c>
      <c r="D9" s="39" t="str">
        <f>IF(I9="c 900","&gt;&gt;","")</f>
        <v>&gt;&gt;</v>
      </c>
      <c r="E9" s="44" t="s">
        <v>361</v>
      </c>
      <c r="F9" s="44" t="s">
        <v>384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{p 057, c 900, c 928, v "\mp3_ost\leningra.mp3",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361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F11" s="44" t="s">
        <v>384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{p 011, c 900, v "\mp3_ost\jen-gimn.mp3",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339</v>
      </c>
      <c r="F13" s="44" t="s">
        <v>384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{p 004, c 900, v "\mp3_ost\inst-zve.mp3",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339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270</v>
      </c>
      <c r="F15" s="44" t="s">
        <v>384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{p 049, c 900, c 928, v "\mp3_ost\boguslav.mp3",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337</v>
      </c>
      <c r="F17" s="44" t="s">
        <v>384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{p 067, c 900, c 928, v "\mp3_ost\ostrovsk.mp3",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337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276</v>
      </c>
      <c r="F19" s="44" t="s">
        <v>384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{p 063, c 900, c 928, v "\mp3_ost\magistra.mp3",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276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349</v>
      </c>
      <c r="F21" s="44" t="s">
        <v>384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{p 070, c 900, c 928, v "\mp3_ost\rodnik.mp3",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349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{p 070, c 902, c 928, v "\mp3_ost\rodnik.mp3",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175</v>
      </c>
      <c r="F23" s="44" t="s">
        <v>384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{p 038, c 900, v "\mp3_ost\8ssh.mp3",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175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181</v>
      </c>
      <c r="F25" s="44" t="s">
        <v>384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{p 006, c 900, v "\mp3_ost\bolnica.mp3",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181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{p 006, c 902, v "\mp3_ost\bolnica.mp3",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348</v>
      </c>
      <c r="F27" s="44" t="s">
        <v>384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{p 050, c 900, c 928, v "\mp3_ost\borovaja.mp3",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348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{p 050, c 902, c 928, v "\mp3_ost\borovaja.mp3",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261</v>
      </c>
      <c r="F29" s="44" t="s">
        <v>384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{p 029, c 900, v "\mp3_ost\venis`e.mp3",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261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169</v>
      </c>
      <c r="F31" s="44" t="s">
        <v>384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{p 031, c 900, v "\mp3_ost\mira.mp3",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350</v>
      </c>
      <c r="F33" s="44" t="s">
        <v>384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{p 022, c 900, v "\mp3_ost\park.mp3", c 930,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350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{p 022, c 902, v "\mp3_ost\park.mp3",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247</v>
      </c>
      <c r="F35" s="44" t="s">
        <v>384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247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288</v>
      </c>
      <c r="F37" s="44" t="s">
        <v>384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288</v>
      </c>
      <c r="F38" s="44" t="s">
        <v>332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328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288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338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/>
      </c>
      <c r="L43" s="42" t="str">
        <f t="shared" si="14"/>
        <v>&lt;unit043&gt; "&gt;&gt;Рынок" {p 033, c 900, v "\mp3_ost\rinok.mp3",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338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{p 033, c 902, v "\mp3_ost\rinok.mp3",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268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268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350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/>
      </c>
      <c r="L47" s="42" t="str">
        <f t="shared" si="14"/>
        <v>&lt;unit047&gt; "&gt;&gt;Парк культуры" {p 022, c 900, v "\mp3_ost\park.mp3",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350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{p 022, c 902, v "\mp3_ost\park.mp3",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234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234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261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261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348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/>
      </c>
      <c r="L53" s="42" t="str">
        <f t="shared" si="14"/>
        <v>&lt;unit053&gt; "&gt;&gt;ул.Боровая" {p 050, c 900, c 928, v "\mp3_ost\borovaja.mp3",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348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{p 050, c 902, c 928, v "\mp3_ost\borovaja.mp3",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181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/>
      </c>
      <c r="L55" s="42" t="str">
        <f t="shared" si="14"/>
        <v>&lt;unit055&gt; "&gt;&gt;Больница" {p 006, c 900, v "\mp3_ost\bolnica.mp3",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181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{p 006, c 902, v "\mp3_ost\bolnica.mp3",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175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175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276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276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330</v>
      </c>
      <c r="D61" s="39" t="str">
        <f t="shared" si="9"/>
        <v>&gt;&gt;</v>
      </c>
      <c r="E61" s="44" t="s">
        <v>337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337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330</v>
      </c>
      <c r="D63" s="39" t="str">
        <f t="shared" si="9"/>
        <v>&gt;&gt;</v>
      </c>
      <c r="E63" s="44" t="s">
        <v>344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344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330</v>
      </c>
      <c r="D65" s="39" t="str">
        <f t="shared" si="9"/>
        <v>&gt;&gt;</v>
      </c>
      <c r="E65" s="44" t="s">
        <v>270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270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330</v>
      </c>
      <c r="D67" s="39" t="str">
        <f t="shared" si="9"/>
        <v>&gt;&gt;</v>
      </c>
      <c r="E67" s="44" t="s">
        <v>339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339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330</v>
      </c>
      <c r="D69" s="39" t="str">
        <f t="shared" si="9"/>
        <v>&gt;&gt;</v>
      </c>
      <c r="E69" s="44" t="s">
        <v>163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163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330</v>
      </c>
      <c r="D71" s="39" t="str">
        <f t="shared" si="9"/>
        <v>&gt;&gt;</v>
      </c>
      <c r="E71" s="44" t="s">
        <v>361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/>
      </c>
      <c r="L71" s="42" t="str">
        <f t="shared" si="14"/>
        <v>&lt;unit071&gt; "&gt;&gt;ул.Ленинградская" {p 057, c 900, c 928, v "\mp3_ost\leningra.mp3",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361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{p 057, c 902, c 928, v "\mp3_ost\leningra.mp3", d 000, n 073}</v>
      </c>
    </row>
    <row r="73" spans="2:12" x14ac:dyDescent="0.25">
      <c r="B73" s="44">
        <f t="shared" si="8"/>
        <v>73</v>
      </c>
      <c r="C73" s="44" t="s">
        <v>330</v>
      </c>
      <c r="D73" s="39" t="str">
        <f t="shared" si="9"/>
        <v>&gt;&gt;</v>
      </c>
      <c r="E73" s="44" t="s">
        <v>360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/>
      </c>
      <c r="L73" s="42" t="str">
        <f t="shared" si="14"/>
        <v>&lt;unit073&gt; "&gt;&gt;ул.Советская" {p 073, c 900, c 928, v "\mp3_ost\sovetsk.mp3",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360</v>
      </c>
      <c r="F74" s="44" t="s">
        <v>332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329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  <row r="90" spans="7:12" x14ac:dyDescent="0.25">
      <c r="L90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C8:C38 F42:F74 C42:C74 F8:F38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topLeftCell="B1" workbookViewId="0">
      <pane ySplit="2" topLeftCell="A57" activePane="bottomLeft" state="frozen"/>
      <selection activeCell="B1" sqref="B1"/>
      <selection pane="bottomLeft" activeCell="L66" sqref="L66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323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326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294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"\mp3_ost\9mikro.mp3", d 000, n 008}</v>
      </c>
    </row>
    <row r="8" spans="1:12" x14ac:dyDescent="0.25">
      <c r="B8" s="44">
        <f t="shared" ref="B8:B51" si="6">ROW(B8)</f>
        <v>8</v>
      </c>
      <c r="C8" s="44" t="s">
        <v>330</v>
      </c>
      <c r="D8" s="39" t="str">
        <f>IF(I8="c 900","&gt;&gt;","")</f>
        <v>&gt;&gt;</v>
      </c>
      <c r="E8" s="44" t="s">
        <v>275</v>
      </c>
      <c r="F8" s="44" t="s">
        <v>384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 t="shared" si="5"/>
        <v>&lt;unit008&gt; "&gt;&gt;ул.Логойская" {p 060, c 900, c 928, v "\mp3_ost\lag.mp3", c 930,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275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330</v>
      </c>
      <c r="D10" s="39" t="str">
        <f t="shared" si="7"/>
        <v>&gt;&gt;</v>
      </c>
      <c r="E10" s="44" t="s">
        <v>345</v>
      </c>
      <c r="F10" s="44" t="s">
        <v>384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 t="shared" si="5"/>
        <v>&lt;unit010&gt; "&gt;&gt;ул.Логойская,21" {p 061, c 900, c 928, v "\mp3_ost\log21.mp3", c 930,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345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 t="shared" si="5"/>
        <v>&lt;unit011&gt; "ул.Логойская,21" {p 061, c 902, c 928, v "\mp3_ost\log21.mp3", d 000, n 012}</v>
      </c>
    </row>
    <row r="12" spans="1:12" x14ac:dyDescent="0.25">
      <c r="B12" s="44">
        <f t="shared" si="6"/>
        <v>12</v>
      </c>
      <c r="C12" s="44" t="s">
        <v>330</v>
      </c>
      <c r="D12" s="39" t="str">
        <f t="shared" si="7"/>
        <v>&gt;&gt;</v>
      </c>
      <c r="E12" s="44" t="s">
        <v>346</v>
      </c>
      <c r="F12" s="44" t="s">
        <v>384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 t="shared" si="5"/>
        <v>&lt;unit012&gt; "&gt;&gt;ул.Логойская,23" {p 062, c 900, c 928, v "\mp3_ost\log23.mp3", c 930,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346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 t="shared" si="5"/>
        <v>&lt;unit013&gt; "ул.Логойская,23" {p 062, c 902, c 928, v "\mp3_ost\log23.mp3", d 000, n 014}</v>
      </c>
    </row>
    <row r="14" spans="1:12" x14ac:dyDescent="0.25">
      <c r="B14" s="44">
        <f t="shared" si="6"/>
        <v>14</v>
      </c>
      <c r="C14" s="44" t="s">
        <v>330</v>
      </c>
      <c r="D14" s="39" t="str">
        <f t="shared" si="7"/>
        <v>&gt;&gt;</v>
      </c>
      <c r="E14" s="44" t="s">
        <v>174</v>
      </c>
      <c r="F14" s="44" t="s">
        <v>384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>c 930</v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c 930,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174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330</v>
      </c>
      <c r="D16" s="39" t="str">
        <f t="shared" si="7"/>
        <v>&gt;&gt;</v>
      </c>
      <c r="E16" s="44" t="s">
        <v>215</v>
      </c>
      <c r="F16" s="44" t="s">
        <v>384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>c 930</v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c 930,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215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330</v>
      </c>
      <c r="D18" s="39" t="str">
        <f t="shared" si="7"/>
        <v>&gt;&gt;</v>
      </c>
      <c r="E18" s="44" t="s">
        <v>279</v>
      </c>
      <c r="F18" s="44" t="s">
        <v>384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>c 930</v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c 930,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279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"\mp3_ost\rinok.mp3"</v>
      </c>
      <c r="K19" s="40" t="str">
        <f t="shared" si="4"/>
        <v/>
      </c>
      <c r="L19" s="42" t="str">
        <f t="shared" si="5"/>
        <v>&lt;unit019&gt; "ул.Сухогрядская" {p 033, c 902, v "\mp3_ost\rinok.mp3", d 000, n 020}</v>
      </c>
    </row>
    <row r="20" spans="2:12" x14ac:dyDescent="0.25">
      <c r="B20" s="44">
        <f t="shared" si="6"/>
        <v>20</v>
      </c>
      <c r="C20" s="44" t="s">
        <v>330</v>
      </c>
      <c r="D20" s="39" t="str">
        <f t="shared" si="7"/>
        <v>&gt;&gt;</v>
      </c>
      <c r="E20" s="44" t="s">
        <v>338</v>
      </c>
      <c r="F20" s="44" t="s">
        <v>384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>c 930</v>
      </c>
      <c r="L20" s="42" t="str">
        <f t="shared" si="5"/>
        <v>&lt;unit020&gt; "&gt;&gt;Рынок" {p 046, c 900, c 928, v "\mp3_ost\8marta.mp3", c 930,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338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330</v>
      </c>
      <c r="D22" s="39" t="str">
        <f t="shared" si="7"/>
        <v>&gt;&gt;</v>
      </c>
      <c r="E22" s="44" t="s">
        <v>268</v>
      </c>
      <c r="F22" s="44" t="s">
        <v>384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"\mp3_ost\park.mp3"</v>
      </c>
      <c r="K22" s="40" t="str">
        <f t="shared" si="4"/>
        <v>c 930</v>
      </c>
      <c r="L22" s="42" t="str">
        <f t="shared" si="5"/>
        <v>&lt;unit022&gt; "&gt;&gt;ул.8 Марта" {p 022, c 900, v "\mp3_ost\park.mp3", c 930,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268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"\mp3_ost\park.mp3"</v>
      </c>
      <c r="K23" s="40" t="str">
        <f t="shared" si="4"/>
        <v/>
      </c>
      <c r="L23" s="42" t="str">
        <f t="shared" si="5"/>
        <v>&lt;unit023&gt; "ул.8 Марта" {p 022, c 902, v "\mp3_ost\park.mp3", d 000, n 024}</v>
      </c>
    </row>
    <row r="24" spans="2:12" x14ac:dyDescent="0.25">
      <c r="B24" s="44">
        <f t="shared" si="6"/>
        <v>24</v>
      </c>
      <c r="C24" s="44" t="s">
        <v>330</v>
      </c>
      <c r="D24" s="39" t="str">
        <f t="shared" si="7"/>
        <v>&gt;&gt;</v>
      </c>
      <c r="E24" s="44" t="s">
        <v>350</v>
      </c>
      <c r="F24" s="44" t="s">
        <v>384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>c 930</v>
      </c>
      <c r="L24" s="42" t="str">
        <f t="shared" si="5"/>
        <v>&lt;unit024&gt; "&gt;&gt;Парк культуры" {p 028, c 900, v "\mp3_ost\pochta.mp3", c 930,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350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330</v>
      </c>
      <c r="D26" s="39" t="str">
        <f t="shared" si="7"/>
        <v>&gt;&gt;</v>
      </c>
      <c r="E26" s="44" t="s">
        <v>234</v>
      </c>
      <c r="F26" s="44" t="s">
        <v>384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>c 930</v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c 930,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234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330</v>
      </c>
      <c r="D28" s="39" t="str">
        <f t="shared" si="7"/>
        <v>&gt;&gt;</v>
      </c>
      <c r="E28" s="44" t="s">
        <v>261</v>
      </c>
      <c r="F28" s="44" t="s">
        <v>384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>c 930</v>
      </c>
      <c r="L28" s="42" t="str">
        <f t="shared" si="5"/>
        <v>&lt;unit028&gt; "&gt;&gt;пр-т Венисье" {p 029, c 900, v "\mp3_ost\venis`e.mp3", c 930,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330</v>
      </c>
      <c r="D30" s="39" t="str">
        <f t="shared" si="7"/>
        <v>&gt;&gt;</v>
      </c>
      <c r="E30" s="44" t="s">
        <v>348</v>
      </c>
      <c r="F30" s="44" t="s">
        <v>384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>c 930</v>
      </c>
      <c r="L30" s="42" t="str">
        <f t="shared" si="5"/>
        <v>&lt;unit030&gt; "&gt;&gt;ул.Боровая" {p 050, c 900, c 928, v "\mp3_ost\borovaja.mp3", c 930,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348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 t="shared" si="5"/>
        <v>&lt;unit031&gt; "ул.Боровая" {p 050, c 902, c 928, v "\mp3_ost\borovaja.mp3", d 000, n 032}</v>
      </c>
    </row>
    <row r="32" spans="2:12" x14ac:dyDescent="0.25">
      <c r="B32" s="44">
        <f>ROW(B32)</f>
        <v>32</v>
      </c>
      <c r="C32" s="44" t="s">
        <v>330</v>
      </c>
      <c r="D32" s="39" t="str">
        <f t="shared" si="7"/>
        <v>&gt;&gt;</v>
      </c>
      <c r="E32" s="44" t="s">
        <v>181</v>
      </c>
      <c r="F32" s="44" t="s">
        <v>384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 t="shared" si="5"/>
        <v>&lt;unit032&gt; "&gt;&gt;Больница" {p 006, c 900, v "\mp3_ost\bolnica.mp3", c 930,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181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{p 006, c 902, v "\mp3_ost\bolnica.mp3", d 000, n 034}</v>
      </c>
    </row>
    <row r="34" spans="2:12" x14ac:dyDescent="0.25">
      <c r="B34" s="44">
        <f t="shared" si="6"/>
        <v>34</v>
      </c>
      <c r="C34" s="44" t="s">
        <v>330</v>
      </c>
      <c r="D34" s="39" t="str">
        <f t="shared" si="7"/>
        <v>&gt;&gt;</v>
      </c>
      <c r="E34" s="44" t="s">
        <v>175</v>
      </c>
      <c r="F34" s="44" t="s">
        <v>384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175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330</v>
      </c>
      <c r="D36" s="39" t="str">
        <f t="shared" si="13"/>
        <v>&gt;&gt;</v>
      </c>
      <c r="E36" s="44" t="s">
        <v>276</v>
      </c>
      <c r="F36" s="44" t="s">
        <v>384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>c 930</v>
      </c>
      <c r="L36" s="42" t="str">
        <f t="shared" si="19"/>
        <v>&lt;unit036&gt; "&gt;&gt;ул.Магистральная" {p 063, c 900, c 928, v "\mp3_ost\magistra.mp3", c 930,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276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330</v>
      </c>
      <c r="D38" s="39" t="str">
        <f t="shared" si="20"/>
        <v>&gt;&gt;</v>
      </c>
      <c r="E38" s="44" t="s">
        <v>337</v>
      </c>
      <c r="F38" s="44" t="s">
        <v>384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337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330</v>
      </c>
      <c r="D40" s="39" t="str">
        <f t="shared" si="20"/>
        <v>&gt;&gt;</v>
      </c>
      <c r="E40" s="44" t="s">
        <v>344</v>
      </c>
      <c r="F40" s="44" t="s">
        <v>384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>c 930</v>
      </c>
      <c r="L40" s="42" t="str">
        <f t="shared" si="26"/>
        <v>&lt;unit040&gt; "&gt;&gt;Транс.прох.БелАЗ" {p 041, c 900, v "\mp3_ost\belaz.mp3", c 930,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344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330</v>
      </c>
      <c r="D42" s="39" t="str">
        <f t="shared" si="20"/>
        <v>&gt;&gt;</v>
      </c>
      <c r="E42" s="44" t="s">
        <v>270</v>
      </c>
      <c r="F42" s="44" t="s">
        <v>384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270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330</v>
      </c>
      <c r="D44" s="39" t="str">
        <f t="shared" si="13"/>
        <v>&gt;&gt;</v>
      </c>
      <c r="E44" s="44" t="s">
        <v>339</v>
      </c>
      <c r="F44" s="44" t="s">
        <v>384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339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330</v>
      </c>
      <c r="D46" s="39" t="str">
        <f t="shared" si="7"/>
        <v>&gt;&gt;</v>
      </c>
      <c r="E46" s="44" t="s">
        <v>163</v>
      </c>
      <c r="F46" s="44" t="s">
        <v>384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 t="shared" si="5"/>
        <v>&lt;unit046&gt; "&gt;&gt;Женская гимназия" {p 011, c 900, v "\mp3_ost\jen-gimn.mp3", c 930,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163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330</v>
      </c>
      <c r="D48" s="39" t="str">
        <f t="shared" si="7"/>
        <v>&gt;&gt;</v>
      </c>
      <c r="E48" s="44" t="s">
        <v>361</v>
      </c>
      <c r="F48" s="44" t="s">
        <v>384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L48" s="42" t="str">
        <f t="shared" si="5"/>
        <v>&lt;unit048&gt; "&gt;&gt;ул.Ленинградская" {p 057, c 900, c 928, v "\mp3_ost\leningra.mp3",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361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L49" s="42" t="str">
        <f t="shared" si="5"/>
        <v>&lt;unit049&gt; "ул.Ленинградская" {p 057, c 902, c 928, v "\mp3_ost\leningra.mp3", d 000, n 050}</v>
      </c>
    </row>
    <row r="50" spans="2:12" x14ac:dyDescent="0.25">
      <c r="B50" s="44">
        <f t="shared" si="6"/>
        <v>50</v>
      </c>
      <c r="C50" s="44" t="s">
        <v>330</v>
      </c>
      <c r="D50" s="39" t="str">
        <f t="shared" si="7"/>
        <v>&gt;&gt;</v>
      </c>
      <c r="E50" s="44" t="s">
        <v>360</v>
      </c>
      <c r="F50" s="44" t="s">
        <v>384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L50" s="42" t="str">
        <f t="shared" si="5"/>
        <v>&lt;unit050&gt; "&gt;&gt;ул.Советская" {p 073, c 900, c 928, v "\mp3_ost\sovetsk.mp3",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360</v>
      </c>
      <c r="F51" s="44" t="s">
        <v>332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 t="shared" si="5"/>
        <v>&lt;unit051&gt; "ул.Советская" {p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329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  <row r="67" spans="7:12" x14ac:dyDescent="0.25">
      <c r="L67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72" activePane="bottomLeft" state="frozen"/>
      <selection activeCell="B1" sqref="B1"/>
      <selection pane="bottomLeft" activeCell="L75" sqref="L75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F9" s="44" t="s">
        <v>384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{p 031, c 900, v "\mp3_ost\mira.mp3",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F11" s="44" t="s">
        <v>384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{p 045, c 900, c 928, v "\mp3_ost\50letokt.mp3",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F13" s="44" t="s">
        <v>384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{p 052, c 900, c 928, v "\mp3_ost\gagarina.mp3",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F15" s="44" t="s">
        <v>384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{p 037, c 900, v "\mp3_ost\5ssh.mp3",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352</v>
      </c>
      <c r="F17" s="44" t="s">
        <v>384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{p 008, c 900, v "\mp3_ost\gimn1.mp3",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352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{p 008, c 902, v "\mp3_ost\gimn1.mp3",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F19" s="44" t="s">
        <v>384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{p 071, c 900, c 928, v "\mp3_ost\rokosovs.mp3",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362</v>
      </c>
      <c r="F21" s="44" t="s">
        <v>384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"\mp3_ost\univermag.mp3"</v>
      </c>
      <c r="K21" s="40" t="str">
        <f t="shared" si="4"/>
        <v>c 930</v>
      </c>
      <c r="L21" s="42" t="str">
        <f t="shared" si="5"/>
        <v>&lt;unit021&gt; "&gt;&gt;Универмаг" {p 081, c 900, v "\mp3_ost\univermag.mp3",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362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"\mp3_ost\univermag.mp3"</v>
      </c>
      <c r="K22" s="40" t="str">
        <f t="shared" si="4"/>
        <v/>
      </c>
      <c r="L22" s="42" t="str">
        <f t="shared" si="5"/>
        <v>&lt;unit022&gt; "Универмаг" {p 081, c 902, v "\mp3_ost\univermag.mp3",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F23" s="44" t="s">
        <v>384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{p 002, c 900, v "\mp3_ost\avtostan.mp3",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F25" s="44" t="s">
        <v>384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{p 063, c 900, c 928, v "\mp3_ost\magistra.mp3",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F27" s="44" t="s">
        <v>384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{p 067, c 900, c 928, v "\mp3_ost\ostrovsk.mp3",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F29" s="44" t="s">
        <v>384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{p 058, c 900, c 928, v "\mp3_ost\leninska.mp3",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F31" s="44" t="s">
        <v>384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{p 014, c 900, v "\mp3_ost\kztsh.mp3",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F37" s="44" t="s">
        <v>384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{p 058, c 900, c 928, v "\mp3_ost\leninska.mp3", c 930,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F39" s="44" t="s">
        <v>384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{p 067, c 900, c 928, v "\mp3_ost\ostrovsk.mp3", c 930,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F41" s="44" t="s">
        <v>384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{p 063, c 900, c 928, v "\mp3_ost\magistra.mp3", c 930,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340</v>
      </c>
      <c r="F43" s="44" t="s">
        <v>384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{p 005, c 900, v "\mp3_ost\inst-zem.mp3", c 930,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340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F45" s="44" t="s">
        <v>384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{p 032, c 900, v "\mp3_ost\skarwnw.mp3", c 930,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F47" s="44" t="s">
        <v>384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{p 030, c 900, v "\mp3_ost\lenina.mp3", c 930,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352</v>
      </c>
      <c r="F49" s="44" t="s">
        <v>384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{p 008, c 900, v "\mp3_ost\gimn1.mp3", c 930,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352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{p 008, c 902, v "\mp3_ost\gimn1.mp3",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F51" s="44" t="s">
        <v>384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{p 037, c 900, v "\mp3_ost\5ssh.mp3", c 930,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F53" s="44" t="s">
        <v>384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{p 027, c 900, v "\mp3_ost\paliklin.mp3", c 930,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350</v>
      </c>
      <c r="F55" s="44" t="s">
        <v>384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{p 022, c 900, v "\mp3_ost\park.mp3", c 930,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350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{p 022, c 902, v "\mp3_ost\park.mp3",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F57" s="44" t="s">
        <v>384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{p 028, c 900, v "\mp3_ost\pochta.mp3", c 930,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F59" s="44" t="s">
        <v>384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{p 002, c 900, v "\mp3_ost\avtostan.mp3", c 930,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  <row r="76" spans="7:12" x14ac:dyDescent="0.25">
      <c r="L76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63" activePane="bottomLeft" state="frozen"/>
      <selection activeCell="B1" sqref="B1"/>
      <selection pane="bottomLeft" activeCell="L75" sqref="L75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F9" s="44" t="s">
        <v>384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{p 031, c 900, v "\mp3_ost\mira.mp3",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F11" s="44" t="s">
        <v>384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{p 045, c 900, c 928, v "\mp3_ost\50letokt.mp3",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F13" s="44" t="s">
        <v>384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{p 052, c 900, c 928, v "\mp3_ost\gagarina.mp3",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F15" s="44" t="s">
        <v>384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{p 037, c 900, v "\mp3_ost\5ssh.mp3",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352</v>
      </c>
      <c r="F17" s="44" t="s">
        <v>384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{p 008, c 900, v "\mp3_ost\gimn1.mp3",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352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{p 008, c 902, v "\mp3_ost\gimn1.mp3",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F19" s="44" t="s">
        <v>384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{p 071, c 900, c 928, v "\mp3_ost\rokosovs.mp3",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362</v>
      </c>
      <c r="F21" s="44" t="s">
        <v>384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"\mp3_ost\univermag.mp3"</v>
      </c>
      <c r="K21" s="40" t="str">
        <f t="shared" si="4"/>
        <v>c 930</v>
      </c>
      <c r="L21" s="42" t="str">
        <f t="shared" si="5"/>
        <v>&lt;unit021&gt; "&gt;&gt;Универмаг" {p 081, c 900, v "\mp3_ost\univermag.mp3",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362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"\mp3_ost\univermag.mp3"</v>
      </c>
      <c r="K22" s="40" t="str">
        <f t="shared" si="4"/>
        <v/>
      </c>
      <c r="L22" s="42" t="str">
        <f t="shared" si="5"/>
        <v>&lt;unit022&gt; "Универмаг" {p 081, c 902, v "\mp3_ost\univermag.mp3",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F23" s="44" t="s">
        <v>384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{p 002, c 900, v "\mp3_ost\avtostan.mp3",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F25" s="44" t="s">
        <v>384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{p 063, c 900, c 928, v "\mp3_ost\magistra.mp3",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F27" s="44" t="s">
        <v>384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{p 067, c 900, c 928, v "\mp3_ost\ostrovsk.mp3",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F29" s="44" t="s">
        <v>384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{p 058, c 900, c 928, v "\mp3_ost\leninska.mp3",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F31" s="44" t="s">
        <v>384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{p 014, c 900, v "\mp3_ost\kztsh.mp3",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F37" s="44" t="s">
        <v>384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{p 058, c 900, c 928, v "\mp3_ost\leninska.mp3", c 930,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F39" s="44" t="s">
        <v>384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{p 067, c 900, c 928, v "\mp3_ost\ostrovsk.mp3", c 930,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F41" s="44" t="s">
        <v>384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{p 063, c 900, c 928, v "\mp3_ost\magistra.mp3", c 930,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340</v>
      </c>
      <c r="F43" s="44" t="s">
        <v>384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{p 005, c 900, v "\mp3_ost\inst-zem.mp3", c 930,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340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F45" s="44" t="s">
        <v>384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{p 032, c 900, v "\mp3_ost\skarwnw.mp3", c 930,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F47" s="44" t="s">
        <v>384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{p 030, c 900, v "\mp3_ost\lenina.mp3", c 930,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352</v>
      </c>
      <c r="F49" s="44" t="s">
        <v>384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{p 008, c 900, v "\mp3_ost\gimn1.mp3", c 930,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352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{p 008, c 902, v "\mp3_ost\gimn1.mp3",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F51" s="44" t="s">
        <v>384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{p 037, c 900, v "\mp3_ost\5ssh.mp3", c 930,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F53" s="44" t="s">
        <v>384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{p 027, c 900, v "\mp3_ost\paliklin.mp3", c 930,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350</v>
      </c>
      <c r="F55" s="44" t="s">
        <v>384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{p 022, c 900, v "\mp3_ost\park.mp3", c 930,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350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{p 022, c 902, v "\mp3_ost\park.mp3",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F57" s="44" t="s">
        <v>384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{p 028, c 900, v "\mp3_ost\pochta.mp3", c 930,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F59" s="44" t="s">
        <v>384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{p 002, c 900, v "\mp3_ost\avtostan.mp3", c 930,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  <row r="76" spans="7:12" x14ac:dyDescent="0.25">
      <c r="L76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117" activePane="bottomLeft" state="frozen"/>
      <selection activeCell="B1" sqref="B1"/>
      <selection pane="bottomLeft" activeCell="L125" sqref="L125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F9" s="44" t="s">
        <v>384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{p 065, c 900, c 928, v "\mp3_ost\nagornay.mp3",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351</v>
      </c>
      <c r="F11" s="44" t="s">
        <v>384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{p 079, c 900, c 928, v "\mp3_ost\ubiley.mp3",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351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{p 079, c 902, c 928, v "\mp3_ost\ubiley.mp3",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F13" s="44" t="s">
        <v>384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{p 069, c 900, c 928, v "\mp3_ost\pyaschan.mp3",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F15" s="44" t="s">
        <v>384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{p 053, c 900, c 928, v "\mp3_ost\darojnay.mp3",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F17" s="44" t="s">
        <v>384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{p 047, c 900, c 928, v "\mp3_ost\avtomobi.mp3",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F19" s="44" t="s">
        <v>384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{p 056, c 900, c 928, v "\mp3_ost\kupriyan.mp3",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F21" s="44" t="s">
        <v>384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{p 042, c 900, v "\mp3_ost\tec.mp3",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347</v>
      </c>
      <c r="F23" s="44" t="s">
        <v>384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{p 054, c 900, c 928, v "\mp3_ost\zhodinsk.mp3",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347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{p 054, c 902, c 928, v "\mp3_ost\zhodinsk.mp3",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F25" s="44" t="s">
        <v>384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{p 010, c 900, v "\mp3_ost\jd.mp3",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F27" s="44" t="s">
        <v>384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{p 068, c 900, c 928, v "\mp3_ost\partizan.mp3",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F29" s="44" t="s">
        <v>384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{p 064, c 900, c 928, v "\mp3_ost\moskovsk.mp3",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F31" s="44" t="s">
        <v>384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{p 077, c 900, c 928, v "\mp3_ost\swrokvas.mp3",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F33" s="44" t="s">
        <v>384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{p 031, c 900, v "\mp3_ost\mira.mp3", c 930,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F35" s="44" t="s">
        <v>384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{p 045, c 900, c 928, v "\mp3_ost\50letokt.mp3", c 930,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252</v>
      </c>
      <c r="F37" s="44" t="s">
        <v>384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c 930,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252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362</v>
      </c>
      <c r="F39" s="44" t="s">
        <v>384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"\mp3_ost\univermag.mp3"</v>
      </c>
      <c r="K39" s="40" t="str">
        <f t="shared" si="4"/>
        <v>c 930</v>
      </c>
      <c r="L39" s="42" t="str">
        <f t="shared" si="10"/>
        <v>&lt;unit039&gt; "&gt;&gt;Универмаг" {p 081, c 900, v "\mp3_ost\univermag.mp3", c 930,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362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"\mp3_ost\univermag.mp3"</v>
      </c>
      <c r="K40" s="40" t="str">
        <f t="shared" si="4"/>
        <v/>
      </c>
      <c r="L40" s="42" t="str">
        <f t="shared" si="10"/>
        <v>&lt;unit040&gt; "Универмаг" {p 081, c 902, v "\mp3_ost\univermag.mp3",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261</v>
      </c>
      <c r="F41" s="44" t="s">
        <v>384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{p 029, c 900, v "\mp3_ost\venis`e.mp3", c 930,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261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348</v>
      </c>
      <c r="F43" s="44" t="s">
        <v>384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{p 050, c 900, c 928, v "\mp3_ost\borovaja.mp3", c 930,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348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{p 050, c 902, c 928, v "\mp3_ost\borovaja.mp3",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181</v>
      </c>
      <c r="F45" s="44" t="s">
        <v>384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{p 006, c 900, v "\mp3_ost\bolnica.mp3", c 930,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181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{p 006, c 902, v "\mp3_ost\bolnica.mp3",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175</v>
      </c>
      <c r="F47" s="44" t="s">
        <v>384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{p 038, c 900, v "\mp3_ost\8ssh.mp3", c 930,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175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276</v>
      </c>
      <c r="F49" s="44" t="s">
        <v>384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{p 063, c 900, c 928, v "\mp3_ost\magistra.mp3", c 930,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276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337</v>
      </c>
      <c r="F51" s="44" t="s">
        <v>384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{p 067, c 900, c 928, v "\mp3_ost\ostrovsk.mp3", c 930,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337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F53" s="44" t="s">
        <v>384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5"/>
        <v>&lt;unit053&gt; "&gt;&gt;ул.Ленинская" {p 058, c 900, c 928, v "\mp3_ost\leninska.mp3", c 930,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F55" s="44" t="s">
        <v>384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5"/>
        <v>&lt;unit055&gt; "&gt;&gt;КЗТШ" {p 014, c 900, v "\mp3_ost\kztsh.mp3", c 930,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214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ref="D61:D66" si="21">IF(I61="c 900","&gt;&gt;","")</f>
        <v>&gt;&gt;</v>
      </c>
      <c r="E61" s="44" t="s">
        <v>273</v>
      </c>
      <c r="F61" s="44" t="s">
        <v>384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c 930,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273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21"/>
        <v>&gt;&gt;</v>
      </c>
      <c r="E63" s="44" t="s">
        <v>337</v>
      </c>
      <c r="F63" s="44" t="s">
        <v>384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6"/>
        <v>&lt;unit063&gt; "&gt;&gt;ул.Островского" {p 067, c 900, c 928, v "\mp3_ost\ostrovsk.mp3", c 930,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337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21"/>
        <v>&gt;&gt;</v>
      </c>
      <c r="E65" s="44" t="s">
        <v>356</v>
      </c>
      <c r="F65" s="44" t="s">
        <v>384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6"/>
        <v>&lt;unit065&gt; "&gt;&gt;ул.Витебская" {p 051, c 900, c 928, v "\mp3_ost\vitebsk.mp3", c 930,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356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6"/>
        <v>&lt;unit066&gt; "ул.Витебская" {p 051, c 902, c 928, v "\mp3_ost\vitebsk.mp3",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355</v>
      </c>
      <c r="F67" s="44" t="s">
        <v>384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"\mp3_ost\soligorsk.mp3"</v>
      </c>
      <c r="K67" s="40" t="str">
        <f t="shared" si="19"/>
        <v>c 930</v>
      </c>
      <c r="L67" s="42" t="str">
        <f t="shared" si="20"/>
        <v>&lt;unit067&gt; "&gt;&gt;ул.Солигорская" {p 074, c 900, c 928, v "\mp3_ost\soligorsk.mp3", c 930,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355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"\mp3_ost\soligorsk.mp3"</v>
      </c>
      <c r="K68" s="40" t="str">
        <f t="shared" si="19"/>
        <v/>
      </c>
      <c r="L68" s="42" t="str">
        <f t="shared" si="20"/>
        <v>&lt;unit068&gt; "ул.Солигорская" {p 074, c 902, c 928, v "\mp3_ost\soligorsk.mp3",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357</v>
      </c>
      <c r="F69" s="44" t="s">
        <v>384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{p 072, c 900, c 928, v "\mp3_ost\sluchk.mp3", c 930,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357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{p 072, c 902, c 928, v "\mp3_ost\sluchk.mp3",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364</v>
      </c>
      <c r="F71" s="44" t="s">
        <v>384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{p 044, c 900, v "\mp3_ost\ugli-2.mp3", c 930,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364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{p 044, c 902, v "\mp3_ost\ugli-2.mp3",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ref="D73:D78" si="28">IF(I73="c 900","&gt;&gt;","")</f>
        <v>&gt;&gt;</v>
      </c>
      <c r="E73" s="44" t="s">
        <v>276</v>
      </c>
      <c r="F73" s="44" t="s">
        <v>384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>c 930</v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c 930,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276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28"/>
        <v>&gt;&gt;</v>
      </c>
      <c r="E75" s="44" t="s">
        <v>349</v>
      </c>
      <c r="F75" s="44" t="s">
        <v>384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"\mp3_ost\rodnik.mp3"</v>
      </c>
      <c r="K75" s="40" t="str">
        <f t="shared" si="33"/>
        <v>c 930</v>
      </c>
      <c r="L75" s="42" t="str">
        <f t="shared" si="34"/>
        <v>&lt;unit075&gt; "&gt;&gt;ул.Родниковая" {p 070, c 900, c 928, v "\mp3_ost\rodnik.mp3", c 930,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349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"\mp3_ost\rodnik.mp3"</v>
      </c>
      <c r="K76" s="40" t="str">
        <f t="shared" si="33"/>
        <v/>
      </c>
      <c r="L76" s="42" t="str">
        <f t="shared" si="34"/>
        <v>&lt;unit076&gt; "ул.Родниковая" {p 070, c 902, c 928, v "\mp3_ost\rodnik.mp3",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28"/>
        <v>&gt;&gt;</v>
      </c>
      <c r="E77" s="44" t="s">
        <v>175</v>
      </c>
      <c r="F77" s="44" t="s">
        <v>384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>c 930</v>
      </c>
      <c r="L77" s="42" t="str">
        <f t="shared" si="34"/>
        <v>&lt;unit077&gt; "&gt;&gt;СШ № 8" {p 038, c 900, v "\mp3_ost\8ssh.mp3", c 930,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175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181</v>
      </c>
      <c r="F79" s="44" t="s">
        <v>384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{p 006, c 900, v "\mp3_ost\bolnica.mp3", c 930,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181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{p 006, c 902, v "\mp3_ost\bolnica.mp3",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348</v>
      </c>
      <c r="F81" s="44" t="s">
        <v>384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{p 050, c 900, c 928, v "\mp3_ost\borovaja.mp3", c 930,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348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{p 050, c 902, c 928, v "\mp3_ost\borovaja.mp3", d 000, n 085}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ref="D83:D84" si="36">IF(I83="c 900","&gt;&gt;","")</f>
        <v>&gt;&gt;</v>
      </c>
      <c r="E83" s="44" t="s">
        <v>261</v>
      </c>
      <c r="F83" s="44" t="s">
        <v>384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>c 930</v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c 930,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261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241</v>
      </c>
      <c r="F85" s="44" t="s">
        <v>384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{p 034, c 900, v "\mp3_ost\sberbank.mp3", c 930,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241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14"/>
        <v>&gt;&gt;</v>
      </c>
      <c r="E87" s="44" t="s">
        <v>226</v>
      </c>
      <c r="F87" s="44" t="s">
        <v>384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{p 027, c 900, v "\mp3_ost\paliklin.mp3", c 930,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226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350</v>
      </c>
      <c r="F89" s="44" t="s">
        <v>384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{p 022, c 900, v "\mp3_ost\park.mp3", c 930,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350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{p 022, c 902, v "\mp3_ost\park.mp3", d 000, n 091}</v>
      </c>
    </row>
    <row r="91" spans="2:12" x14ac:dyDescent="0.25">
      <c r="B91" s="44">
        <f t="shared" si="13"/>
        <v>91</v>
      </c>
      <c r="C91" s="44" t="s">
        <v>330</v>
      </c>
      <c r="D91" s="39" t="str">
        <f t="shared" si="14"/>
        <v>&gt;&gt;</v>
      </c>
      <c r="E91" s="44" t="s">
        <v>234</v>
      </c>
      <c r="F91" s="44" t="s">
        <v>384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{p 028, c 900, v "\mp3_ost\pochta.mp3", c 930,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234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330</v>
      </c>
      <c r="D93" s="39" t="str">
        <f t="shared" si="14"/>
        <v>&gt;&gt;</v>
      </c>
      <c r="E93" s="44" t="s">
        <v>168</v>
      </c>
      <c r="F93" s="44" t="s">
        <v>384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20"/>
        <v>&lt;unit093&gt; "&gt;&gt;ул.Сырокваша" {p 077, c 900, c 928, v "\mp3_ost\swrokvas.mp3", c 930,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168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330</v>
      </c>
      <c r="D95" s="39" t="str">
        <f t="shared" si="14"/>
        <v>&gt;&gt;</v>
      </c>
      <c r="E95" s="44" t="s">
        <v>166</v>
      </c>
      <c r="F95" s="44" t="s">
        <v>384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20"/>
        <v>&lt;unit095&gt; "&gt;&gt;ул.Московская" {p 064, c 900, c 928, v "\mp3_ost\moskovsk.mp3", c 930,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166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330</v>
      </c>
      <c r="D97" s="39" t="str">
        <f t="shared" si="14"/>
        <v>&gt;&gt;</v>
      </c>
      <c r="E97" s="44" t="s">
        <v>167</v>
      </c>
      <c r="F97" s="44" t="s">
        <v>384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20"/>
        <v>&lt;unit097&gt; "&gt;&gt;ул.Партизанская" {p 068, c 900, c 928, v "\mp3_ost\partizan.mp3", c 930,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167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330</v>
      </c>
      <c r="D99" s="39" t="str">
        <f t="shared" si="14"/>
        <v>&gt;&gt;</v>
      </c>
      <c r="E99" s="44" t="s">
        <v>164</v>
      </c>
      <c r="F99" s="44" t="s">
        <v>384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20"/>
        <v>&lt;unit099&gt; "&gt;&gt;ЖД Вокзал" {p 010, c 900, v "\mp3_ost\jd.mp3", c 930,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164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330</v>
      </c>
      <c r="D101" s="39" t="str">
        <f t="shared" si="14"/>
        <v>&gt;&gt;</v>
      </c>
      <c r="E101" s="44" t="s">
        <v>347</v>
      </c>
      <c r="F101" s="44" t="s">
        <v>384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20"/>
        <v>&lt;unit101&gt; "&gt;&gt;ул.Жодинская" {p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347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20"/>
        <v>&lt;unit102&gt; "ул.Жодинская" {p 054, c 902, c 928, v "\mp3_ost\zhodinsk.mp3", d 000, n 103}</v>
      </c>
    </row>
    <row r="103" spans="2:12" x14ac:dyDescent="0.25">
      <c r="B103" s="44">
        <f t="shared" si="13"/>
        <v>103</v>
      </c>
      <c r="C103" s="44" t="s">
        <v>330</v>
      </c>
      <c r="D103" s="39" t="str">
        <f t="shared" si="14"/>
        <v>&gt;&gt;</v>
      </c>
      <c r="E103" s="44" t="s">
        <v>254</v>
      </c>
      <c r="F103" s="44" t="s">
        <v>384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20"/>
        <v>&lt;unit103&gt; "&gt;&gt;ТЭЦ" {p 042, c 900, v "\mp3_ost\tec.mp3", c 930,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254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330</v>
      </c>
      <c r="D105" s="39" t="str">
        <f t="shared" si="14"/>
        <v>&gt;&gt;</v>
      </c>
      <c r="E105" s="44" t="s">
        <v>272</v>
      </c>
      <c r="F105" s="44" t="s">
        <v>384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20"/>
        <v>&lt;unit105&gt; "&gt;&gt;ул.Куприянова" {p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272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330</v>
      </c>
      <c r="D107" s="39" t="str">
        <f t="shared" si="14"/>
        <v>&gt;&gt;</v>
      </c>
      <c r="E107" s="44" t="s">
        <v>203</v>
      </c>
      <c r="F107" s="44" t="s">
        <v>384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20"/>
        <v>&lt;unit107&gt; "&gt;&gt;Электросети" {p 083, c 900, v "\mp3_ost\elseti.mp3", c 930,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203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330</v>
      </c>
      <c r="D109" s="39" t="str">
        <f t="shared" si="14"/>
        <v>&gt;&gt;</v>
      </c>
      <c r="E109" s="44" t="s">
        <v>280</v>
      </c>
      <c r="F109" s="44" t="s">
        <v>384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20"/>
        <v>&lt;unit109&gt; "&gt;&gt;ул.Труда" {p 078, c 900, c 928, v "\mp3_ost\truda.mp3", c 930,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280</v>
      </c>
      <c r="F110" s="44" t="s">
        <v>332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329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  <row r="126" spans="7:12" x14ac:dyDescent="0.25">
      <c r="L126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tabSelected="1" workbookViewId="0">
      <pane ySplit="2" topLeftCell="A111" activePane="bottomLeft" state="frozen"/>
      <selection activeCell="B1" sqref="B1"/>
      <selection pane="bottomLeft" activeCell="L123" sqref="L12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343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384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{p 083, c 900, v "\mp3_ost\elseti.mp3", c 930,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F11" s="44" t="s">
        <v>384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{p 056, c 900, c 928, v "\mp3_ost\kupriyan.mp3", c 930,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F13" s="44" t="s">
        <v>384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{p 042, c 900, v "\mp3_ost\tec.mp3", c 930,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347</v>
      </c>
      <c r="F15" s="44" t="s">
        <v>384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{p 054, c 900, c 928, v "\mp3_ost\zhodinsk.mp3", c 930,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347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{p 054, c 902, c 928, v "\mp3_ost\zhodinsk.mp3",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384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{p 010, c 900, v "\mp3_ost\jd.mp3", c 930,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384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{p 068, c 900, c 928, v "\mp3_ost\partizan.mp3", c 930,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384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{p 064, c 900, c 928, v "\mp3_ost\moskovsk.mp3", c 930,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384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{p 077, c 900, c 928, v "\mp3_ost\swrokvas.mp3", c 930,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384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{p 031, c 900, v "\mp3_ost\mira.mp3", c 930,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384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{p 045, c 900, c 928, v "\mp3_ost\50letokt.mp3", c 930,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F29" s="44" t="s">
        <v>384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{p 040, c 900, v "\mp3_ost\tc.mp3", c 930,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362</v>
      </c>
      <c r="F31" s="44" t="s">
        <v>384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"\mp3_ost\univermag.mp3"</v>
      </c>
      <c r="K31" s="40" t="str">
        <f t="shared" si="4"/>
        <v>c 930</v>
      </c>
      <c r="L31" s="42" t="str">
        <f t="shared" si="5"/>
        <v>&lt;unit031&gt; "&gt;&gt;Универмаг" {p 081, c 900, v "\mp3_ost\univermag.mp3", c 930,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362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"\mp3_ost\univermag.mp3"</v>
      </c>
      <c r="K32" s="40" t="str">
        <f t="shared" si="4"/>
        <v/>
      </c>
      <c r="L32" s="42" t="str">
        <f t="shared" si="5"/>
        <v>&lt;unit032&gt; "Универмаг" {p 081, c 902, v "\mp3_ost\univermag.mp3", d 000, n 033}</v>
      </c>
    </row>
    <row r="33" spans="2:12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F33" s="44" t="s">
        <v>384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{p 029, c 900, v "\mp3_ost\venis`e.mp3", c 930,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348</v>
      </c>
      <c r="F35" s="44" t="s">
        <v>384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{p 050, c 900, c 928, v "\mp3_ost\borovaja.mp3", c 930,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348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{p 050, c 902, c 928, v "\mp3_ost\borovaja.mp3",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F37" s="44" t="s">
        <v>384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{p 006, c 900, v "\mp3_ost\bolnica.mp3", c 930,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{p 006, c 902, v "\mp3_ost\bolnica.mp3",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F39" s="44" t="s">
        <v>384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{p 038, c 900, v "\mp3_ost\8ssh.mp3", c 930,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F41" s="44" t="s">
        <v>384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5"/>
        <v>&lt;unit041&gt; "&gt;&gt;ул.Магистральная" {p 063, c 900, c 928, v "\mp3_ost\magistra.mp3", c 930,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330</v>
      </c>
      <c r="E43" s="44" t="s">
        <v>363</v>
      </c>
      <c r="F43" s="44" t="s">
        <v>384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5"/>
        <v>&lt;unit043&gt; "Углы" {p 043, c 900, v "\mp3_ost\ugli.mp3", c 930,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363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5"/>
        <v>&lt;unit044&gt; "Углы" {p 043, c 902, v "\mp3_ost\ugli.mp3", d 000, n 045}</v>
      </c>
    </row>
    <row r="45" spans="2:12" x14ac:dyDescent="0.25">
      <c r="B45" s="44">
        <f t="shared" si="6"/>
        <v>45</v>
      </c>
      <c r="C45" s="44" t="s">
        <v>330</v>
      </c>
      <c r="E45" s="44" t="s">
        <v>364</v>
      </c>
      <c r="F45" s="44" t="s">
        <v>384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5"/>
        <v>&lt;unit045&gt; "Углы-2" {p 044, c 900, v "\mp3_ost\ugli-2.mp3", c 930,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364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5"/>
        <v>&lt;unit046&gt; "Углы-2" {p 044, c 902, v "\mp3_ost\ugli-2.mp3", d 000, n 047}</v>
      </c>
    </row>
    <row r="47" spans="2:12" x14ac:dyDescent="0.25">
      <c r="B47" s="44">
        <f t="shared" si="6"/>
        <v>47</v>
      </c>
      <c r="C47" s="44" t="s">
        <v>330</v>
      </c>
      <c r="E47" s="44" t="s">
        <v>289</v>
      </c>
      <c r="F47" s="44" t="s">
        <v>384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5"/>
        <v>&lt;unit047&gt; "Кузнечный-3" {p 018, c 900, v "\mp3_ost\kuzn-3.mp3", c 930,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5"/>
        <v>&lt;unit048&gt; "Кузнечный-3" {p 018, c 902, v "\mp3_ost\kuzn-3.mp3", d 000, n 049}</v>
      </c>
    </row>
    <row r="49" spans="2:12" x14ac:dyDescent="0.25">
      <c r="B49" s="44">
        <f t="shared" si="6"/>
        <v>49</v>
      </c>
      <c r="C49" s="44" t="s">
        <v>330</v>
      </c>
      <c r="E49" s="44" t="s">
        <v>355</v>
      </c>
      <c r="F49" s="44" t="s">
        <v>384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"\mp3_ost\soligorsk.mp3"</v>
      </c>
      <c r="K49" s="40" t="str">
        <f t="shared" si="4"/>
        <v>c 930</v>
      </c>
      <c r="L49" s="42" t="str">
        <f t="shared" si="5"/>
        <v>&lt;unit049&gt; "ул.Солигорская" {p 074, c 900, c 928, v "\mp3_ost\soligorsk.mp3", c 930,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355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"\mp3_ost\soligorsk.mp3"</v>
      </c>
      <c r="K50" s="40" t="str">
        <f t="shared" si="4"/>
        <v/>
      </c>
      <c r="L50" s="42" t="str">
        <f t="shared" si="5"/>
        <v>&lt;unit050&gt; "ул.Солигорская" {p 074, c 902, c 928, v "\mp3_ost\soligorsk.mp3", d 000, n 051}</v>
      </c>
    </row>
    <row r="51" spans="2:12" x14ac:dyDescent="0.25">
      <c r="B51" s="44">
        <f t="shared" si="6"/>
        <v>51</v>
      </c>
      <c r="C51" s="44" t="s">
        <v>330</v>
      </c>
      <c r="E51" s="44" t="s">
        <v>356</v>
      </c>
      <c r="F51" s="44" t="s">
        <v>384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5"/>
        <v>&lt;unit051&gt; "ул.Витебская" {p 051, c 900, c 928, v "\mp3_ost\vitebsk.mp3", c 930,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356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5"/>
        <v>&lt;unit052&gt; "ул.Витебская" {p 051, c 902, c 928, v "\mp3_ost\vitebsk.mp3",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8">IF(I53="c 900","&gt;&gt;","")</f>
        <v>&gt;&gt;</v>
      </c>
      <c r="E53" s="44" t="s">
        <v>214</v>
      </c>
      <c r="F53" s="44" t="s">
        <v>384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>c 930</v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c 930,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214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341</v>
      </c>
      <c r="F55" s="44" t="s">
        <v>384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5"/>
        <v>&lt;unit055&gt; "&gt;&gt;кл. Восточное" {p 015, c 900, v "\mp3_ost\kladbvos.mp3", c 930,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341</v>
      </c>
      <c r="F56" s="44" t="s">
        <v>332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341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330</v>
      </c>
      <c r="D61" s="39" t="str">
        <f t="shared" si="15"/>
        <v>&gt;&gt;</v>
      </c>
      <c r="E61" s="44" t="s">
        <v>214</v>
      </c>
      <c r="F61" s="44" t="s">
        <v>384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{p 014, c 900, v "\mp3_ost\kztsh.mp3", c 930,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214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330</v>
      </c>
      <c r="D63" s="39" t="str">
        <f t="shared" si="15"/>
        <v>&gt;&gt;</v>
      </c>
      <c r="E63" s="44" t="s">
        <v>356</v>
      </c>
      <c r="F63" s="44" t="s">
        <v>384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{p 051, c 900, c 928, v "\mp3_ost\vitebsk.mp3", c 930,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356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{p 051, c 902, c 928, v "\mp3_ost\vitebsk.mp3", d 000, n 065}</v>
      </c>
    </row>
    <row r="65" spans="2:12" x14ac:dyDescent="0.25">
      <c r="B65" s="44">
        <f t="shared" si="14"/>
        <v>65</v>
      </c>
      <c r="C65" s="44" t="s">
        <v>330</v>
      </c>
      <c r="D65" s="39" t="str">
        <f t="shared" si="15"/>
        <v>&gt;&gt;</v>
      </c>
      <c r="E65" s="44" t="s">
        <v>355</v>
      </c>
      <c r="F65" s="44" t="s">
        <v>384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"\mp3_ost\soligorsk.mp3"</v>
      </c>
      <c r="K65" s="40" t="str">
        <f t="shared" si="19"/>
        <v>c 930</v>
      </c>
      <c r="L65" s="42" t="str">
        <f t="shared" si="20"/>
        <v>&lt;unit065&gt; "&gt;&gt;ул.Солигорская" {p 074, c 900, c 928, v "\mp3_ost\soligorsk.mp3", c 930,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355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"\mp3_ost\soligorsk.mp3"</v>
      </c>
      <c r="K66" s="40" t="str">
        <f t="shared" si="19"/>
        <v/>
      </c>
      <c r="L66" s="42" t="str">
        <f t="shared" si="20"/>
        <v>&lt;unit066&gt; "ул.Солигорская" {p 074, c 902, c 928, v "\mp3_ost\soligorsk.mp3", d 000, n 067}</v>
      </c>
    </row>
    <row r="67" spans="2:12" x14ac:dyDescent="0.25">
      <c r="B67" s="44">
        <f t="shared" si="14"/>
        <v>67</v>
      </c>
      <c r="C67" s="44" t="s">
        <v>330</v>
      </c>
      <c r="D67" s="39" t="str">
        <f t="shared" si="15"/>
        <v>&gt;&gt;</v>
      </c>
      <c r="E67" s="44" t="s">
        <v>357</v>
      </c>
      <c r="F67" s="44" t="s">
        <v>384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{p 072, c 900, c 928, v "\mp3_ost\sluchk.mp3", c 930,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357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{p 072, c 902, c 928, v "\mp3_ost\sluchk.mp3", d 000, n 069}</v>
      </c>
    </row>
    <row r="69" spans="2:12" x14ac:dyDescent="0.25">
      <c r="B69" s="44">
        <f t="shared" si="14"/>
        <v>69</v>
      </c>
      <c r="C69" s="44" t="s">
        <v>330</v>
      </c>
      <c r="D69" s="39" t="str">
        <f t="shared" si="15"/>
        <v>&gt;&gt;</v>
      </c>
      <c r="E69" s="44" t="s">
        <v>364</v>
      </c>
      <c r="F69" s="44" t="s">
        <v>384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{p 044, c 900, v "\mp3_ost\ugli-2.mp3", c 930,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364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{p 044, c 902, v "\mp3_ost\ugli-2.mp3", d 000, n 071}</v>
      </c>
    </row>
    <row r="71" spans="2:12" x14ac:dyDescent="0.25">
      <c r="B71" s="44">
        <f t="shared" si="14"/>
        <v>71</v>
      </c>
      <c r="C71" s="44" t="s">
        <v>330</v>
      </c>
      <c r="D71" s="39" t="str">
        <f t="shared" si="15"/>
        <v>&gt;&gt;</v>
      </c>
      <c r="E71" s="44" t="s">
        <v>276</v>
      </c>
      <c r="F71" s="44" t="s">
        <v>384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{p 063, c 900, c 928, v "\mp3_ost\magistra.mp3", c 930,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276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330</v>
      </c>
      <c r="D73" s="39" t="str">
        <f t="shared" si="15"/>
        <v>&gt;&gt;</v>
      </c>
      <c r="E73" s="44" t="s">
        <v>349</v>
      </c>
      <c r="F73" s="44" t="s">
        <v>384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{p 070, c 900, c 928, v "\mp3_ost\rodnik.mp3", c 930,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349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{p 070, c 902, c 928, v "\mp3_ost\rodnik.mp3", d 000, n 075}</v>
      </c>
    </row>
    <row r="75" spans="2:12" x14ac:dyDescent="0.25">
      <c r="B75" s="44">
        <f t="shared" si="14"/>
        <v>75</v>
      </c>
      <c r="C75" s="44" t="s">
        <v>330</v>
      </c>
      <c r="D75" s="39" t="str">
        <f t="shared" si="15"/>
        <v>&gt;&gt;</v>
      </c>
      <c r="E75" s="44" t="s">
        <v>175</v>
      </c>
      <c r="F75" s="44" t="s">
        <v>384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{p 038, c 900, v "\mp3_ost\8ssh.mp3", c 930,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175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330</v>
      </c>
      <c r="D77" s="39" t="str">
        <f t="shared" si="15"/>
        <v>&gt;&gt;</v>
      </c>
      <c r="E77" s="44" t="s">
        <v>181</v>
      </c>
      <c r="F77" s="44" t="s">
        <v>384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{p 006, c 900, v "\mp3_ost\bolnica.mp3", c 930,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181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{p 006, c 902, v "\mp3_ost\bolnica.mp3", d 000, n 079}</v>
      </c>
    </row>
    <row r="79" spans="2:12" x14ac:dyDescent="0.25">
      <c r="B79" s="44">
        <f t="shared" si="14"/>
        <v>79</v>
      </c>
      <c r="C79" s="44" t="s">
        <v>330</v>
      </c>
      <c r="D79" s="39" t="str">
        <f t="shared" si="15"/>
        <v>&gt;&gt;</v>
      </c>
      <c r="E79" s="44" t="s">
        <v>348</v>
      </c>
      <c r="F79" s="44" t="s">
        <v>384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{p 050, c 900, c 928, v "\mp3_ost\borovaja.mp3", c 930,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348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{p 050, c 902, c 928, v "\mp3_ost\borovaja.mp3", d 000, n 081}</v>
      </c>
    </row>
    <row r="81" spans="2:12" x14ac:dyDescent="0.25">
      <c r="B81" s="44">
        <f t="shared" si="14"/>
        <v>81</v>
      </c>
      <c r="C81" s="44" t="s">
        <v>330</v>
      </c>
      <c r="D81" s="39" t="str">
        <f t="shared" si="15"/>
        <v>&gt;&gt;</v>
      </c>
      <c r="E81" s="44" t="s">
        <v>261</v>
      </c>
      <c r="F81" s="44" t="s">
        <v>384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{p 029, c 900, v "\mp3_ost\venis`e.mp3", c 930,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261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330</v>
      </c>
      <c r="D83" s="39" t="str">
        <f t="shared" si="15"/>
        <v>&gt;&gt;</v>
      </c>
      <c r="E83" s="44" t="s">
        <v>241</v>
      </c>
      <c r="F83" s="44" t="s">
        <v>384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{p 034, c 900, v "\mp3_ost\sberbank.mp3", c 930,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241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330</v>
      </c>
      <c r="D85" s="39" t="str">
        <f t="shared" si="15"/>
        <v>&gt;&gt;</v>
      </c>
      <c r="E85" s="44" t="s">
        <v>226</v>
      </c>
      <c r="F85" s="44" t="s">
        <v>384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{p 027, c 900, v "\mp3_ost\paliklin.mp3", c 930,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226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330</v>
      </c>
      <c r="D87" s="39" t="str">
        <f t="shared" si="15"/>
        <v>&gt;&gt;</v>
      </c>
      <c r="E87" s="44" t="s">
        <v>350</v>
      </c>
      <c r="F87" s="44" t="s">
        <v>384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{p 022, c 900, v "\mp3_ost\park.mp3", c 930,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350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{p 022, c 902, v "\mp3_ost\park.mp3", d 000, n 089}</v>
      </c>
    </row>
    <row r="89" spans="2:12" x14ac:dyDescent="0.25">
      <c r="B89" s="44">
        <f t="shared" si="14"/>
        <v>89</v>
      </c>
      <c r="C89" s="44" t="s">
        <v>330</v>
      </c>
      <c r="D89" s="39" t="str">
        <f t="shared" si="15"/>
        <v>&gt;&gt;</v>
      </c>
      <c r="E89" s="44" t="s">
        <v>234</v>
      </c>
      <c r="F89" s="44" t="s">
        <v>384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{p 028, c 900, v "\mp3_ost\pochta.mp3", c 930,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234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330</v>
      </c>
      <c r="D91" s="39" t="str">
        <f t="shared" si="15"/>
        <v>&gt;&gt;</v>
      </c>
      <c r="E91" s="44" t="s">
        <v>168</v>
      </c>
      <c r="F91" s="44" t="s">
        <v>384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{p 077, c 900, c 928, v "\mp3_ost\swrokvas.mp3", c 930,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168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330</v>
      </c>
      <c r="D93" s="39" t="str">
        <f t="shared" si="15"/>
        <v>&gt;&gt;</v>
      </c>
      <c r="E93" s="44" t="s">
        <v>166</v>
      </c>
      <c r="F93" s="44" t="s">
        <v>384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0"/>
        <v>&lt;unit093&gt; "&gt;&gt;ул.Московская" {p 064, c 900, c 928, v "\mp3_ost\moskovsk.mp3", c 930,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166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330</v>
      </c>
      <c r="D95" s="39" t="str">
        <f t="shared" si="15"/>
        <v>&gt;&gt;</v>
      </c>
      <c r="E95" s="44" t="s">
        <v>167</v>
      </c>
      <c r="F95" s="44" t="s">
        <v>384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0"/>
        <v>&lt;unit095&gt; "&gt;&gt;ул.Партизанская" {p 068, c 900, c 928, v "\mp3_ost\partizan.mp3", c 930,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167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330</v>
      </c>
      <c r="D97" s="39" t="str">
        <f t="shared" si="15"/>
        <v>&gt;&gt;</v>
      </c>
      <c r="E97" s="44" t="s">
        <v>164</v>
      </c>
      <c r="F97" s="44" t="s">
        <v>384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0"/>
        <v>&lt;unit097&gt; "&gt;&gt;ЖД Вокзал" {p 010, c 900, v "\mp3_ost\jd.mp3", c 930,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164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330</v>
      </c>
      <c r="D99" s="39" t="str">
        <f t="shared" si="15"/>
        <v>&gt;&gt;</v>
      </c>
      <c r="E99" s="44" t="s">
        <v>347</v>
      </c>
      <c r="F99" s="44" t="s">
        <v>384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0"/>
        <v>&lt;unit099&gt; "&gt;&gt;ул.Жодинская" {p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347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0"/>
        <v>&lt;unit100&gt; "ул.Жодинская" {p 054, c 902, c 928, v "\mp3_ost\zhodinsk.mp3", d 000, n 101}</v>
      </c>
    </row>
    <row r="101" spans="2:12" x14ac:dyDescent="0.25">
      <c r="B101" s="44">
        <f t="shared" si="14"/>
        <v>101</v>
      </c>
      <c r="C101" s="44" t="s">
        <v>330</v>
      </c>
      <c r="D101" s="39" t="str">
        <f t="shared" si="15"/>
        <v>&gt;&gt;</v>
      </c>
      <c r="E101" s="44" t="s">
        <v>254</v>
      </c>
      <c r="F101" s="44" t="s">
        <v>384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0"/>
        <v>&lt;unit101&gt; "&gt;&gt;ТЭЦ" {p 042, c 900, v "\mp3_ost\tec.mp3", c 930,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254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330</v>
      </c>
      <c r="D103" s="39" t="str">
        <f t="shared" si="15"/>
        <v>&gt;&gt;</v>
      </c>
      <c r="E103" s="44" t="s">
        <v>272</v>
      </c>
      <c r="F103" s="44" t="s">
        <v>384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0"/>
        <v>&lt;unit103&gt; "&gt;&gt;ул.Куприянова" {p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272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330</v>
      </c>
      <c r="D105" s="39" t="str">
        <f t="shared" si="15"/>
        <v>&gt;&gt;</v>
      </c>
      <c r="E105" s="44" t="s">
        <v>203</v>
      </c>
      <c r="F105" s="44" t="s">
        <v>384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0"/>
        <v>&lt;unit105&gt; "&gt;&gt;Электросети" {p 083, c 900, v "\mp3_ost\elseti.mp3", c 930,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203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330</v>
      </c>
      <c r="D107" s="39" t="str">
        <f t="shared" si="15"/>
        <v>&gt;&gt;</v>
      </c>
      <c r="E107" s="44" t="s">
        <v>280</v>
      </c>
      <c r="F107" s="44" t="s">
        <v>384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0"/>
        <v>&lt;unit107&gt; "&gt;&gt;ул.Труда" {p 078, c 900, c 928, v "\mp3_ost\truda.mp3", c 930,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  <row r="124" spans="7:12" x14ac:dyDescent="0.25">
      <c r="L124" s="42" t="str">
        <f>Константы!D14</f>
        <v>&lt;unit930&gt; "Реклама" {s 3, r 002 086 088 000, d 001, r 001 090 091 000, d 001, r 000 086 088 000}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2019-09-30T10:17:12Z</dcterms:modified>
</cp:coreProperties>
</file>