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с нашей рекламой)\"/>
    </mc:Choice>
  </mc:AlternateContent>
  <bookViews>
    <workbookView xWindow="-122" yWindow="-122" windowWidth="19087" windowHeight="11398" firstSheet="1" activeTab="2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Константы!$A$2:$A$15</definedName>
    <definedName name="Punkti">Константы!$A$2:$B$15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42" i="55" l="1"/>
  <c r="D43" i="55"/>
  <c r="D44" i="55"/>
  <c r="D45" i="55"/>
  <c r="D46" i="55"/>
  <c r="D47" i="55"/>
  <c r="D48" i="55"/>
  <c r="D49" i="55"/>
  <c r="D50" i="55"/>
  <c r="D51" i="55"/>
  <c r="D52" i="55"/>
  <c r="D53" i="55"/>
  <c r="M124" i="55"/>
  <c r="M125" i="55"/>
  <c r="D15" i="37"/>
  <c r="D14" i="37"/>
  <c r="B91" i="47"/>
  <c r="C91" i="47"/>
  <c r="D91" i="47"/>
  <c r="E91" i="47"/>
  <c r="D90" i="47"/>
  <c r="C90" i="47"/>
  <c r="B90" i="47"/>
  <c r="E90" i="47" s="1"/>
  <c r="B88" i="47"/>
  <c r="C88" i="47"/>
  <c r="D88" i="47"/>
  <c r="E88" i="47"/>
  <c r="B87" i="47"/>
  <c r="C87" i="47"/>
  <c r="D87" i="47"/>
  <c r="E87" i="47"/>
  <c r="C86" i="47"/>
  <c r="D86" i="47"/>
  <c r="B86" i="47"/>
  <c r="E86" i="47" s="1"/>
  <c r="G51" i="60" l="1"/>
  <c r="I42" i="60"/>
  <c r="D42" i="60" s="1"/>
  <c r="B42" i="60"/>
  <c r="G41" i="60" s="1"/>
  <c r="K41" i="60"/>
  <c r="I41" i="60"/>
  <c r="D41" i="60" s="1"/>
  <c r="B41" i="60"/>
  <c r="G40" i="60" s="1"/>
  <c r="K40" i="60"/>
  <c r="I40" i="60"/>
  <c r="D40" i="60" s="1"/>
  <c r="B40" i="60"/>
  <c r="G39" i="60" s="1"/>
  <c r="K39" i="60"/>
  <c r="I39" i="60"/>
  <c r="D39" i="60" s="1"/>
  <c r="B39" i="60"/>
  <c r="I38" i="60"/>
  <c r="D38" i="60" s="1"/>
  <c r="G38" i="60"/>
  <c r="B38" i="60"/>
  <c r="G37" i="60" s="1"/>
  <c r="K37" i="60"/>
  <c r="I37" i="60"/>
  <c r="D37" i="60" s="1"/>
  <c r="B37" i="60"/>
  <c r="I34" i="60"/>
  <c r="D34" i="60" s="1"/>
  <c r="B34" i="60"/>
  <c r="G33" i="60" s="1"/>
  <c r="K33" i="60"/>
  <c r="I33" i="60"/>
  <c r="D33" i="60" s="1"/>
  <c r="B33" i="60"/>
  <c r="G32" i="60" s="1"/>
  <c r="K32" i="60"/>
  <c r="I32" i="60"/>
  <c r="D32" i="60" s="1"/>
  <c r="B32" i="60"/>
  <c r="G31" i="60" s="1"/>
  <c r="K31" i="60"/>
  <c r="I31" i="60"/>
  <c r="D31" i="60" s="1"/>
  <c r="B31" i="60"/>
  <c r="I44" i="60"/>
  <c r="D44" i="60" s="1"/>
  <c r="B44" i="60"/>
  <c r="G43" i="60" s="1"/>
  <c r="K43" i="60"/>
  <c r="I43" i="60"/>
  <c r="D43" i="60" s="1"/>
  <c r="B43" i="60"/>
  <c r="G42" i="60" s="1"/>
  <c r="K36" i="60"/>
  <c r="I36" i="60"/>
  <c r="D36" i="60" s="1"/>
  <c r="B36" i="60"/>
  <c r="G35" i="60" s="1"/>
  <c r="K35" i="60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I18" i="60"/>
  <c r="D18" i="60" s="1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K47" i="60"/>
  <c r="I47" i="60"/>
  <c r="D47" i="60" s="1"/>
  <c r="G47" i="60"/>
  <c r="B47" i="60"/>
  <c r="K46" i="60"/>
  <c r="I46" i="60"/>
  <c r="D46" i="60" s="1"/>
  <c r="G46" i="60"/>
  <c r="B46" i="60"/>
  <c r="K45" i="60"/>
  <c r="I45" i="60"/>
  <c r="D45" i="60" s="1"/>
  <c r="G45" i="60"/>
  <c r="B45" i="60"/>
  <c r="G44" i="60" s="1"/>
  <c r="K30" i="60"/>
  <c r="I30" i="60"/>
  <c r="D30" i="60" s="1"/>
  <c r="G30" i="60"/>
  <c r="B30" i="60"/>
  <c r="K29" i="60"/>
  <c r="I29" i="60"/>
  <c r="D29" i="60" s="1"/>
  <c r="G29" i="60"/>
  <c r="B29" i="60"/>
  <c r="K28" i="60"/>
  <c r="I28" i="60"/>
  <c r="D28" i="60" s="1"/>
  <c r="G28" i="60"/>
  <c r="B28" i="60"/>
  <c r="K27" i="60"/>
  <c r="I27" i="60"/>
  <c r="D27" i="60" s="1"/>
  <c r="G27" i="60"/>
  <c r="B27" i="60"/>
  <c r="K26" i="60"/>
  <c r="I26" i="60"/>
  <c r="D26" i="60" s="1"/>
  <c r="H26" i="60"/>
  <c r="G26" i="60"/>
  <c r="B26" i="60"/>
  <c r="K25" i="60"/>
  <c r="I25" i="60"/>
  <c r="D25" i="60" s="1"/>
  <c r="H25" i="60"/>
  <c r="G25" i="60"/>
  <c r="B25" i="60"/>
  <c r="K24" i="60"/>
  <c r="I24" i="60"/>
  <c r="D24" i="60" s="1"/>
  <c r="G24" i="60"/>
  <c r="B24" i="60"/>
  <c r="K23" i="60"/>
  <c r="I23" i="60"/>
  <c r="D23" i="60" s="1"/>
  <c r="G23" i="60"/>
  <c r="B23" i="60"/>
  <c r="K22" i="60"/>
  <c r="I22" i="60"/>
  <c r="D22" i="60" s="1"/>
  <c r="G22" i="60"/>
  <c r="B22" i="60"/>
  <c r="K21" i="60"/>
  <c r="I21" i="60"/>
  <c r="D21" i="60" s="1"/>
  <c r="G21" i="60"/>
  <c r="B21" i="60"/>
  <c r="K20" i="60"/>
  <c r="I20" i="60"/>
  <c r="D20" i="60" s="1"/>
  <c r="G20" i="60"/>
  <c r="B20" i="60"/>
  <c r="G19" i="60" s="1"/>
  <c r="K19" i="60"/>
  <c r="I19" i="60"/>
  <c r="D19" i="60" s="1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K34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G90" i="58"/>
  <c r="D90" i="58"/>
  <c r="B90" i="58"/>
  <c r="K89" i="58"/>
  <c r="I89" i="58"/>
  <c r="G89" i="58"/>
  <c r="D89" i="58"/>
  <c r="B89" i="58"/>
  <c r="K88" i="58"/>
  <c r="I88" i="58"/>
  <c r="G88" i="58"/>
  <c r="D88" i="58"/>
  <c r="B88" i="58"/>
  <c r="K87" i="58"/>
  <c r="I87" i="58"/>
  <c r="G87" i="58"/>
  <c r="D87" i="58"/>
  <c r="B87" i="58"/>
  <c r="K86" i="58"/>
  <c r="I86" i="58"/>
  <c r="G86" i="58"/>
  <c r="D86" i="58"/>
  <c r="B86" i="58"/>
  <c r="K85" i="58"/>
  <c r="I85" i="58"/>
  <c r="G85" i="58"/>
  <c r="D85" i="58"/>
  <c r="B85" i="58"/>
  <c r="K84" i="58"/>
  <c r="I84" i="58"/>
  <c r="G84" i="58"/>
  <c r="D84" i="58"/>
  <c r="B84" i="58"/>
  <c r="K83" i="58"/>
  <c r="I83" i="58"/>
  <c r="G83" i="58"/>
  <c r="D83" i="58"/>
  <c r="B83" i="58"/>
  <c r="K82" i="58"/>
  <c r="I82" i="58"/>
  <c r="G82" i="58"/>
  <c r="D82" i="58"/>
  <c r="B82" i="58"/>
  <c r="K81" i="58"/>
  <c r="I81" i="58"/>
  <c r="G81" i="58"/>
  <c r="D81" i="58"/>
  <c r="B81" i="58"/>
  <c r="K80" i="58"/>
  <c r="I80" i="58"/>
  <c r="G80" i="58"/>
  <c r="D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I50" i="57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/>
  <c r="B52" i="57"/>
  <c r="G51" i="57" s="1"/>
  <c r="I51" i="57"/>
  <c r="D51" i="57" s="1"/>
  <c r="B51" i="57"/>
  <c r="D50" i="57"/>
  <c r="B50" i="57"/>
  <c r="G49" i="57" s="1"/>
  <c r="D49" i="57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G47" i="52"/>
  <c r="G48" i="52"/>
  <c r="G49" i="52"/>
  <c r="B11" i="52"/>
  <c r="G10" i="52" s="1"/>
  <c r="I11" i="52"/>
  <c r="D11" i="52" s="1"/>
  <c r="K11" i="52"/>
  <c r="B12" i="52"/>
  <c r="G11" i="52" s="1"/>
  <c r="I12" i="52"/>
  <c r="D12" i="52" s="1"/>
  <c r="K12" i="52"/>
  <c r="H85" i="38"/>
  <c r="A4" i="58"/>
  <c r="A4" i="57"/>
  <c r="A3" i="57"/>
  <c r="A3" i="56"/>
  <c r="A2" i="57"/>
  <c r="A2" i="59"/>
  <c r="A2" i="58"/>
  <c r="A3" i="58"/>
  <c r="A2" i="60"/>
  <c r="A3" i="60"/>
  <c r="A3" i="59"/>
  <c r="A4" i="59"/>
  <c r="A4" i="56"/>
  <c r="A2" i="56"/>
  <c r="A4" i="60"/>
  <c r="L2" i="60" l="1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I43" i="55"/>
  <c r="I44" i="55"/>
  <c r="I45" i="55"/>
  <c r="I46" i="55"/>
  <c r="I47" i="55"/>
  <c r="I48" i="55"/>
  <c r="I49" i="55"/>
  <c r="I50" i="55"/>
  <c r="I51" i="55"/>
  <c r="I52" i="55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4" i="38"/>
  <c r="H45" i="38"/>
  <c r="H82" i="38"/>
  <c r="A3" i="55"/>
  <c r="A4" i="55"/>
  <c r="A2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A3" i="54"/>
  <c r="A4" i="54"/>
  <c r="A2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K93" i="53"/>
  <c r="I93" i="53"/>
  <c r="D93" i="53" s="1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B50" i="52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I21" i="52"/>
  <c r="D21" i="52" s="1"/>
  <c r="B21" i="52"/>
  <c r="G20" i="52" s="1"/>
  <c r="I20" i="52"/>
  <c r="D20" i="52" s="1"/>
  <c r="B20" i="52"/>
  <c r="G19" i="52" s="1"/>
  <c r="I19" i="52"/>
  <c r="D19" i="52" s="1"/>
  <c r="B19" i="52"/>
  <c r="G18" i="52" s="1"/>
  <c r="I18" i="52"/>
  <c r="D18" i="52" s="1"/>
  <c r="B18" i="52"/>
  <c r="G17" i="52" s="1"/>
  <c r="I17" i="52"/>
  <c r="D17" i="52" s="1"/>
  <c r="B17" i="52"/>
  <c r="G16" i="52" s="1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B4" i="52"/>
  <c r="B3" i="52"/>
  <c r="G52" i="52" s="1"/>
  <c r="H19" i="38"/>
  <c r="H74" i="38"/>
  <c r="H76" i="38"/>
  <c r="H26" i="38"/>
  <c r="H58" i="38"/>
  <c r="A2" i="52"/>
  <c r="A4" i="53"/>
  <c r="A2" i="53"/>
  <c r="A4" i="52"/>
  <c r="A3" i="53"/>
  <c r="A3" i="52"/>
  <c r="J7" i="60" l="1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2" i="53"/>
  <c r="G48" i="49"/>
  <c r="E78" i="47"/>
  <c r="G106" i="53"/>
  <c r="E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65" i="38"/>
  <c r="H80" i="38"/>
  <c r="H47" i="38"/>
  <c r="H40" i="38"/>
  <c r="H41" i="38"/>
  <c r="H39" i="38"/>
  <c r="H69" i="38"/>
  <c r="H10" i="38"/>
  <c r="H17" i="38"/>
  <c r="H25" i="38"/>
  <c r="H84" i="38"/>
  <c r="H24" i="38"/>
  <c r="H61" i="38"/>
  <c r="H42" i="38"/>
  <c r="H22" i="38"/>
  <c r="H64" i="38"/>
  <c r="H4" i="38"/>
  <c r="H52" i="38"/>
  <c r="H34" i="38"/>
  <c r="J9" i="60" l="1"/>
  <c r="J8" i="60"/>
  <c r="J37" i="60"/>
  <c r="J36" i="60"/>
  <c r="J34" i="60"/>
  <c r="J35" i="60"/>
  <c r="J40" i="60"/>
  <c r="J41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H51" i="38"/>
  <c r="H6" i="38"/>
  <c r="H31" i="38"/>
  <c r="H23" i="38"/>
  <c r="H53" i="38"/>
  <c r="H30" i="38"/>
  <c r="H81" i="38"/>
  <c r="H79" i="38"/>
  <c r="H78" i="38"/>
  <c r="H54" i="38"/>
  <c r="H28" i="38"/>
  <c r="H21" i="38"/>
  <c r="H37" i="38"/>
  <c r="H27" i="38"/>
  <c r="H11" i="38"/>
  <c r="H70" i="38"/>
  <c r="H48" i="38"/>
  <c r="H38" i="38"/>
  <c r="H20" i="38"/>
  <c r="H29" i="38"/>
  <c r="H7" i="38"/>
  <c r="H14" i="38"/>
  <c r="H73" i="38"/>
  <c r="H3" i="38"/>
  <c r="H67" i="38"/>
  <c r="H77" i="38"/>
  <c r="H62" i="38"/>
  <c r="H13" i="38"/>
  <c r="H72" i="38"/>
  <c r="H15" i="38"/>
  <c r="H33" i="38"/>
  <c r="H49" i="38"/>
  <c r="H59" i="38"/>
  <c r="H43" i="38"/>
  <c r="H60" i="38"/>
  <c r="H8" i="38"/>
  <c r="H50" i="38"/>
  <c r="H16" i="38"/>
  <c r="H9" i="38"/>
  <c r="H36" i="38"/>
  <c r="H55" i="38"/>
  <c r="H32" i="38"/>
  <c r="H57" i="38"/>
  <c r="H56" i="38"/>
  <c r="H68" i="38"/>
  <c r="H46" i="38"/>
  <c r="H83" i="38"/>
  <c r="H71" i="38"/>
  <c r="H63" i="38"/>
  <c r="H5" i="38"/>
  <c r="H12" i="38"/>
  <c r="H75" i="38"/>
  <c r="H35" i="38"/>
  <c r="H18" i="38"/>
  <c r="H66" i="38"/>
  <c r="J42" i="60" l="1"/>
  <c r="J43" i="60"/>
  <c r="J39" i="60"/>
  <c r="J38" i="60"/>
  <c r="J33" i="60"/>
  <c r="J32" i="60"/>
  <c r="J23" i="60"/>
  <c r="J22" i="60"/>
  <c r="J16" i="60"/>
  <c r="J17" i="60"/>
  <c r="J44" i="60"/>
  <c r="J31" i="60"/>
  <c r="J18" i="60"/>
  <c r="J29" i="60"/>
  <c r="J28" i="60"/>
  <c r="J30" i="59"/>
  <c r="J29" i="59"/>
  <c r="J49" i="60"/>
  <c r="J48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7" i="60"/>
  <c r="J26" i="60"/>
  <c r="J28" i="59"/>
  <c r="J27" i="59"/>
  <c r="J25" i="60"/>
  <c r="J24" i="60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5" i="60"/>
  <c r="L26" i="60"/>
  <c r="A4" i="51"/>
  <c r="A2" i="51"/>
  <c r="A3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3" i="49"/>
  <c r="A2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7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4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H15" i="60" l="1"/>
  <c r="H14" i="60"/>
  <c r="H81" i="53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38" i="60"/>
  <c r="L45" i="60"/>
  <c r="L74" i="59"/>
  <c r="L56" i="59"/>
  <c r="L31" i="59"/>
  <c r="L15" i="59"/>
  <c r="L100" i="58"/>
  <c r="L50" i="58"/>
  <c r="L34" i="58"/>
  <c r="L18" i="58"/>
  <c r="L35" i="60"/>
  <c r="L30" i="60"/>
  <c r="L7" i="60"/>
  <c r="L61" i="59"/>
  <c r="L45" i="59"/>
  <c r="L32" i="59"/>
  <c r="L16" i="59"/>
  <c r="L105" i="58"/>
  <c r="L39" i="58"/>
  <c r="L11" i="58"/>
  <c r="L68" i="57"/>
  <c r="L46" i="57"/>
  <c r="L95" i="57"/>
  <c r="L56" i="57"/>
  <c r="L25" i="57"/>
  <c r="L9" i="57"/>
  <c r="L46" i="56"/>
  <c r="L27" i="56"/>
  <c r="L11" i="56"/>
  <c r="L98" i="57"/>
  <c r="L80" i="57"/>
  <c r="L30" i="57"/>
  <c r="L14" i="57"/>
  <c r="L51" i="56"/>
  <c r="L32" i="56"/>
  <c r="L16" i="56"/>
  <c r="L91" i="58"/>
  <c r="L83" i="58"/>
  <c r="L75" i="58"/>
  <c r="L67" i="58"/>
  <c r="L56" i="58"/>
  <c r="L21" i="58"/>
  <c r="L63" i="57"/>
  <c r="L37" i="57"/>
  <c r="L108" i="57"/>
  <c r="M42" i="55"/>
  <c r="M22" i="55"/>
  <c r="M91" i="55"/>
  <c r="M37" i="55"/>
  <c r="M104" i="55"/>
  <c r="M72" i="55"/>
  <c r="M50" i="55"/>
  <c r="M14" i="55"/>
  <c r="M83" i="55"/>
  <c r="M27" i="55"/>
  <c r="M96" i="55"/>
  <c r="M54" i="55"/>
  <c r="L57" i="54"/>
  <c r="L58" i="54"/>
  <c r="L37" i="54"/>
  <c r="L52" i="54"/>
  <c r="L46" i="54"/>
  <c r="L44" i="54"/>
  <c r="L15" i="54"/>
  <c r="L34" i="60"/>
  <c r="L27" i="60"/>
  <c r="L68" i="59"/>
  <c r="L52" i="59"/>
  <c r="L27" i="59"/>
  <c r="L11" i="59"/>
  <c r="L96" i="58"/>
  <c r="L46" i="58"/>
  <c r="L30" i="58"/>
  <c r="L42" i="60"/>
  <c r="L16" i="60"/>
  <c r="L24" i="60"/>
  <c r="L72" i="59"/>
  <c r="L57" i="59"/>
  <c r="L42" i="59"/>
  <c r="L28" i="59"/>
  <c r="L12" i="59"/>
  <c r="L101" i="58"/>
  <c r="L31" i="58"/>
  <c r="L84" i="57"/>
  <c r="L36" i="60"/>
  <c r="L21" i="60"/>
  <c r="L64" i="59"/>
  <c r="L48" i="59"/>
  <c r="L23" i="59"/>
  <c r="L108" i="58"/>
  <c r="L92" i="58"/>
  <c r="L42" i="58"/>
  <c r="L26" i="58"/>
  <c r="L32" i="60"/>
  <c r="L18" i="60"/>
  <c r="L20" i="60"/>
  <c r="L69" i="59"/>
  <c r="L53" i="59"/>
  <c r="L37" i="59"/>
  <c r="L24" i="59"/>
  <c r="L8" i="59"/>
  <c r="L97" i="58"/>
  <c r="L23" i="58"/>
  <c r="L64" i="57"/>
  <c r="L38" i="57"/>
  <c r="L103" i="57"/>
  <c r="L87" i="57"/>
  <c r="L33" i="57"/>
  <c r="L17" i="57"/>
  <c r="L54" i="56"/>
  <c r="L38" i="56"/>
  <c r="L19" i="56"/>
  <c r="L105" i="57"/>
  <c r="L90" i="57"/>
  <c r="L51" i="57"/>
  <c r="L22" i="57"/>
  <c r="L59" i="56"/>
  <c r="L43" i="56"/>
  <c r="L24" i="56"/>
  <c r="L8" i="56"/>
  <c r="L87" i="58"/>
  <c r="L79" i="58"/>
  <c r="L71" i="58"/>
  <c r="L63" i="58"/>
  <c r="L37" i="58"/>
  <c r="L10" i="58"/>
  <c r="L67" i="57"/>
  <c r="L45" i="57"/>
  <c r="M69" i="55"/>
  <c r="M55" i="55"/>
  <c r="M107" i="55"/>
  <c r="M75" i="55"/>
  <c r="M19" i="55"/>
  <c r="M88" i="55"/>
  <c r="M68" i="55"/>
  <c r="M30" i="55"/>
  <c r="M99" i="55"/>
  <c r="M40" i="55"/>
  <c r="M11" i="55"/>
  <c r="M80" i="55"/>
  <c r="L38" i="54"/>
  <c r="L18" i="54"/>
  <c r="L109" i="53"/>
  <c r="L23" i="54"/>
  <c r="L31" i="54"/>
  <c r="L36" i="54"/>
  <c r="L13" i="54"/>
  <c r="L40" i="60"/>
  <c r="L49" i="60"/>
  <c r="L11" i="60"/>
  <c r="L60" i="59"/>
  <c r="L44" i="59"/>
  <c r="L19" i="59"/>
  <c r="L104" i="58"/>
  <c r="L52" i="58"/>
  <c r="L38" i="58"/>
  <c r="L22" i="58"/>
  <c r="L44" i="60"/>
  <c r="L48" i="60"/>
  <c r="L10" i="60"/>
  <c r="L65" i="59"/>
  <c r="L49" i="59"/>
  <c r="L34" i="59"/>
  <c r="L20" i="59"/>
  <c r="L53" i="58"/>
  <c r="L47" i="58"/>
  <c r="L15" i="58"/>
  <c r="L72" i="57"/>
  <c r="L42" i="57"/>
  <c r="L99" i="57"/>
  <c r="L81" i="57"/>
  <c r="L29" i="57"/>
  <c r="L13" i="57"/>
  <c r="L50" i="56"/>
  <c r="L31" i="56"/>
  <c r="L15" i="56"/>
  <c r="L102" i="57"/>
  <c r="L86" i="57"/>
  <c r="L35" i="57"/>
  <c r="L18" i="57"/>
  <c r="L55" i="56"/>
  <c r="L39" i="56"/>
  <c r="L20" i="56"/>
  <c r="L12" i="52"/>
  <c r="L85" i="58"/>
  <c r="L77" i="58"/>
  <c r="L69" i="58"/>
  <c r="L61" i="58"/>
  <c r="L29" i="58"/>
  <c r="L83" i="57"/>
  <c r="L75" i="57"/>
  <c r="L49" i="57"/>
  <c r="M48" i="55"/>
  <c r="M10" i="55"/>
  <c r="M84" i="55"/>
  <c r="M49" i="55"/>
  <c r="M18" i="55"/>
  <c r="M87" i="55"/>
  <c r="M100" i="55"/>
  <c r="M26" i="55"/>
  <c r="M15" i="55"/>
  <c r="L19" i="54"/>
  <c r="L52" i="53"/>
  <c r="L11" i="54"/>
  <c r="L39" i="60"/>
  <c r="L47" i="60"/>
  <c r="L13" i="60"/>
  <c r="L62" i="59"/>
  <c r="L46" i="59"/>
  <c r="L21" i="59"/>
  <c r="L106" i="58"/>
  <c r="L76" i="57"/>
  <c r="L91" i="57"/>
  <c r="L21" i="57"/>
  <c r="L42" i="56"/>
  <c r="L107" i="57"/>
  <c r="L54" i="57"/>
  <c r="L10" i="57"/>
  <c r="L28" i="56"/>
  <c r="L89" i="58"/>
  <c r="L73" i="58"/>
  <c r="L45" i="58"/>
  <c r="L71" i="57"/>
  <c r="M65" i="55"/>
  <c r="M61" i="55"/>
  <c r="M35" i="55"/>
  <c r="M31" i="55"/>
  <c r="M95" i="55"/>
  <c r="L21" i="54"/>
  <c r="L41" i="54"/>
  <c r="L23" i="60"/>
  <c r="L54" i="59"/>
  <c r="L13" i="59"/>
  <c r="L55" i="58"/>
  <c r="L40" i="58"/>
  <c r="L24" i="58"/>
  <c r="L31" i="60"/>
  <c r="L46" i="60"/>
  <c r="L8" i="60"/>
  <c r="L63" i="59"/>
  <c r="L47" i="59"/>
  <c r="L33" i="59"/>
  <c r="L18" i="59"/>
  <c r="L107" i="58"/>
  <c r="L43" i="58"/>
  <c r="L13" i="58"/>
  <c r="L70" i="57"/>
  <c r="L44" i="57"/>
  <c r="L97" i="57"/>
  <c r="L79" i="57"/>
  <c r="L27" i="57"/>
  <c r="L11" i="57"/>
  <c r="L48" i="56"/>
  <c r="L29" i="56"/>
  <c r="L13" i="56"/>
  <c r="L100" i="57"/>
  <c r="L82" i="57"/>
  <c r="L32" i="57"/>
  <c r="L16" i="57"/>
  <c r="L53" i="56"/>
  <c r="L37" i="56"/>
  <c r="L18" i="56"/>
  <c r="L95" i="58"/>
  <c r="L84" i="58"/>
  <c r="L76" i="58"/>
  <c r="L68" i="58"/>
  <c r="L60" i="58"/>
  <c r="L25" i="58"/>
  <c r="L65" i="57"/>
  <c r="L73" i="57"/>
  <c r="L110" i="57"/>
  <c r="M44" i="55"/>
  <c r="M78" i="55"/>
  <c r="M43" i="55"/>
  <c r="M81" i="55"/>
  <c r="M94" i="55"/>
  <c r="M28" i="55"/>
  <c r="M9" i="55"/>
  <c r="L50" i="54"/>
  <c r="L42" i="54"/>
  <c r="L28" i="54"/>
  <c r="L35" i="53"/>
  <c r="L92" i="53"/>
  <c r="L113" i="53"/>
  <c r="L23" i="52"/>
  <c r="L69" i="53"/>
  <c r="L10" i="52"/>
  <c r="L106" i="53"/>
  <c r="L56" i="51"/>
  <c r="L48" i="49"/>
  <c r="L17" i="53"/>
  <c r="L94" i="53"/>
  <c r="L111" i="53"/>
  <c r="L86" i="49"/>
  <c r="L21" i="52"/>
  <c r="L67" i="53"/>
  <c r="L20" i="53"/>
  <c r="L65" i="53"/>
  <c r="L48" i="52"/>
  <c r="L112" i="53"/>
  <c r="L34" i="53"/>
  <c r="L68" i="53"/>
  <c r="L42" i="49"/>
  <c r="M16" i="55"/>
  <c r="M29" i="55"/>
  <c r="M36" i="55"/>
  <c r="M101" i="55"/>
  <c r="M13" i="55"/>
  <c r="L9" i="54"/>
  <c r="L51" i="54"/>
  <c r="L53" i="54"/>
  <c r="L22" i="54"/>
  <c r="L30" i="53"/>
  <c r="L86" i="53"/>
  <c r="L99" i="53"/>
  <c r="L74" i="51"/>
  <c r="L63" i="53"/>
  <c r="L98" i="49"/>
  <c r="L9" i="52"/>
  <c r="L76" i="53"/>
  <c r="L44" i="52"/>
  <c r="L40" i="52"/>
  <c r="L37" i="49"/>
  <c r="L102" i="49"/>
  <c r="L103" i="53"/>
  <c r="L83" i="49"/>
  <c r="L49" i="52"/>
  <c r="M23" i="55"/>
  <c r="M108" i="55"/>
  <c r="M53" i="55"/>
  <c r="L43" i="54"/>
  <c r="L14" i="54"/>
  <c r="L26" i="54"/>
  <c r="L54" i="53"/>
  <c r="L50" i="60"/>
  <c r="L19" i="60"/>
  <c r="L66" i="59"/>
  <c r="L50" i="59"/>
  <c r="L50" i="57"/>
  <c r="L53" i="57"/>
  <c r="L58" i="56"/>
  <c r="L23" i="56"/>
  <c r="L94" i="57"/>
  <c r="L26" i="57"/>
  <c r="L47" i="56"/>
  <c r="L12" i="56"/>
  <c r="L81" i="58"/>
  <c r="L65" i="58"/>
  <c r="L14" i="58"/>
  <c r="L41" i="57"/>
  <c r="M47" i="55"/>
  <c r="M64" i="55"/>
  <c r="M103" i="55"/>
  <c r="M60" i="55"/>
  <c r="L25" i="54"/>
  <c r="L59" i="54"/>
  <c r="L33" i="60"/>
  <c r="L70" i="59"/>
  <c r="L29" i="59"/>
  <c r="L98" i="58"/>
  <c r="L48" i="58"/>
  <c r="L32" i="58"/>
  <c r="L16" i="58"/>
  <c r="L17" i="60"/>
  <c r="L22" i="60"/>
  <c r="L71" i="59"/>
  <c r="L55" i="59"/>
  <c r="L38" i="59"/>
  <c r="L26" i="59"/>
  <c r="L10" i="59"/>
  <c r="L99" i="58"/>
  <c r="L27" i="58"/>
  <c r="L66" i="57"/>
  <c r="L74" i="57"/>
  <c r="L109" i="57"/>
  <c r="L89" i="57"/>
  <c r="L34" i="57"/>
  <c r="L19" i="57"/>
  <c r="L56" i="56"/>
  <c r="L40" i="56"/>
  <c r="L21" i="56"/>
  <c r="L106" i="57"/>
  <c r="L92" i="57"/>
  <c r="L52" i="57"/>
  <c r="L24" i="57"/>
  <c r="L8" i="57"/>
  <c r="L45" i="56"/>
  <c r="L26" i="56"/>
  <c r="L10" i="56"/>
  <c r="L88" i="58"/>
  <c r="L80" i="58"/>
  <c r="L72" i="58"/>
  <c r="L64" i="58"/>
  <c r="L41" i="58"/>
  <c r="L12" i="58"/>
  <c r="L69" i="57"/>
  <c r="L43" i="57"/>
  <c r="M67" i="55"/>
  <c r="M97" i="55"/>
  <c r="M66" i="55"/>
  <c r="M12" i="55"/>
  <c r="M25" i="55"/>
  <c r="M38" i="55"/>
  <c r="M34" i="55"/>
  <c r="L49" i="54"/>
  <c r="L30" i="54"/>
  <c r="L39" i="54"/>
  <c r="L110" i="53"/>
  <c r="L45" i="49"/>
  <c r="L28" i="53"/>
  <c r="L42" i="53"/>
  <c r="L87" i="49"/>
  <c r="L74" i="53"/>
  <c r="L101" i="53"/>
  <c r="L13" i="52"/>
  <c r="L25" i="53"/>
  <c r="L55" i="51"/>
  <c r="L88" i="53"/>
  <c r="L36" i="49"/>
  <c r="L18" i="52"/>
  <c r="L44" i="53"/>
  <c r="L103" i="49"/>
  <c r="L38" i="49"/>
  <c r="L97" i="49"/>
  <c r="L70" i="53"/>
  <c r="L85" i="49"/>
  <c r="L36" i="53"/>
  <c r="L19" i="53"/>
  <c r="L95" i="49"/>
  <c r="M46" i="55"/>
  <c r="M85" i="55"/>
  <c r="M98" i="55"/>
  <c r="M32" i="55"/>
  <c r="M56" i="55"/>
  <c r="M82" i="55"/>
  <c r="L108" i="53"/>
  <c r="L51" i="53"/>
  <c r="L54" i="54"/>
  <c r="L96" i="53"/>
  <c r="L77" i="53"/>
  <c r="L8" i="52"/>
  <c r="L100" i="49"/>
  <c r="L92" i="49"/>
  <c r="L46" i="52"/>
  <c r="L90" i="53"/>
  <c r="L40" i="49"/>
  <c r="L8" i="53"/>
  <c r="L72" i="53"/>
  <c r="L79" i="53"/>
  <c r="L64" i="53"/>
  <c r="L39" i="52"/>
  <c r="L28" i="52"/>
  <c r="L31" i="53"/>
  <c r="M79" i="55"/>
  <c r="M92" i="55"/>
  <c r="M76" i="55"/>
  <c r="L56" i="54"/>
  <c r="L40" i="54"/>
  <c r="L24" i="54"/>
  <c r="L12" i="54"/>
  <c r="L37" i="60"/>
  <c r="L29" i="60"/>
  <c r="L9" i="60"/>
  <c r="L58" i="59"/>
  <c r="L35" i="59"/>
  <c r="L17" i="59"/>
  <c r="L102" i="58"/>
  <c r="L51" i="58"/>
  <c r="L36" i="58"/>
  <c r="L20" i="58"/>
  <c r="L25" i="59"/>
  <c r="L94" i="58"/>
  <c r="L28" i="58"/>
  <c r="L43" i="60"/>
  <c r="L28" i="60"/>
  <c r="L73" i="59"/>
  <c r="L59" i="59"/>
  <c r="L43" i="59"/>
  <c r="L30" i="59"/>
  <c r="L14" i="59"/>
  <c r="L103" i="58"/>
  <c r="L35" i="58"/>
  <c r="L9" i="58"/>
  <c r="L78" i="57"/>
  <c r="L48" i="57"/>
  <c r="L93" i="57"/>
  <c r="L55" i="57"/>
  <c r="L23" i="57"/>
  <c r="L60" i="56"/>
  <c r="L44" i="56"/>
  <c r="L25" i="56"/>
  <c r="L9" i="56"/>
  <c r="L96" i="57"/>
  <c r="L60" i="57"/>
  <c r="L28" i="57"/>
  <c r="L12" i="57"/>
  <c r="L49" i="56"/>
  <c r="L30" i="56"/>
  <c r="L14" i="56"/>
  <c r="L90" i="58"/>
  <c r="L82" i="58"/>
  <c r="L74" i="58"/>
  <c r="L66" i="58"/>
  <c r="L49" i="58"/>
  <c r="L17" i="58"/>
  <c r="L61" i="57"/>
  <c r="L39" i="57"/>
  <c r="M63" i="55"/>
  <c r="M39" i="55"/>
  <c r="M17" i="55"/>
  <c r="M45" i="55"/>
  <c r="M89" i="55"/>
  <c r="M102" i="55"/>
  <c r="M73" i="55"/>
  <c r="L16" i="54"/>
  <c r="L47" i="54"/>
  <c r="L17" i="54"/>
  <c r="L55" i="54"/>
  <c r="L91" i="53"/>
  <c r="L71" i="53"/>
  <c r="L44" i="49"/>
  <c r="L96" i="49"/>
  <c r="L41" i="49"/>
  <c r="L57" i="53"/>
  <c r="L49" i="53"/>
  <c r="L47" i="49"/>
  <c r="L105" i="53"/>
  <c r="L94" i="49"/>
  <c r="L14" i="52"/>
  <c r="L36" i="52"/>
  <c r="M77" i="55"/>
  <c r="M8" i="55"/>
  <c r="L48" i="54"/>
  <c r="L107" i="53"/>
  <c r="L75" i="53"/>
  <c r="L45" i="53"/>
  <c r="L84" i="53"/>
  <c r="L15" i="53"/>
  <c r="L34" i="52"/>
  <c r="L32" i="53"/>
  <c r="L47" i="53"/>
  <c r="L78" i="53"/>
  <c r="L23" i="53"/>
  <c r="L58" i="53"/>
  <c r="L11" i="51"/>
  <c r="L102" i="53"/>
  <c r="L104" i="53"/>
  <c r="L22" i="53"/>
  <c r="L24" i="51"/>
  <c r="L39" i="49"/>
  <c r="L31" i="52"/>
  <c r="L86" i="51"/>
  <c r="L62" i="53"/>
  <c r="L41" i="53"/>
  <c r="L18" i="53"/>
  <c r="L73" i="51"/>
  <c r="L114" i="53"/>
  <c r="L84" i="49"/>
  <c r="L93" i="53"/>
  <c r="M52" i="55"/>
  <c r="M106" i="55"/>
  <c r="M74" i="55"/>
  <c r="L32" i="54"/>
  <c r="L10" i="54"/>
  <c r="L50" i="52"/>
  <c r="L10" i="53"/>
  <c r="L21" i="53"/>
  <c r="L16" i="52"/>
  <c r="L30" i="52"/>
  <c r="L12" i="51"/>
  <c r="L14" i="53"/>
  <c r="L81" i="49"/>
  <c r="L15" i="52"/>
  <c r="L13" i="53"/>
  <c r="L99" i="49"/>
  <c r="L43" i="49"/>
  <c r="L83" i="53"/>
  <c r="L88" i="49"/>
  <c r="L9" i="59"/>
  <c r="L44" i="58"/>
  <c r="L41" i="60"/>
  <c r="L51" i="60"/>
  <c r="L12" i="60"/>
  <c r="L67" i="59"/>
  <c r="L51" i="59"/>
  <c r="L36" i="59"/>
  <c r="L22" i="59"/>
  <c r="L54" i="58"/>
  <c r="L93" i="58"/>
  <c r="L19" i="58"/>
  <c r="L62" i="57"/>
  <c r="L40" i="57"/>
  <c r="L101" i="57"/>
  <c r="L85" i="57"/>
  <c r="L31" i="57"/>
  <c r="L15" i="57"/>
  <c r="L52" i="56"/>
  <c r="L36" i="56"/>
  <c r="L17" i="56"/>
  <c r="L104" i="57"/>
  <c r="L88" i="57"/>
  <c r="L36" i="57"/>
  <c r="L20" i="57"/>
  <c r="L57" i="56"/>
  <c r="L41" i="56"/>
  <c r="L22" i="56"/>
  <c r="L11" i="52"/>
  <c r="L86" i="58"/>
  <c r="L78" i="58"/>
  <c r="L70" i="58"/>
  <c r="L62" i="58"/>
  <c r="L33" i="58"/>
  <c r="L8" i="58"/>
  <c r="L77" i="57"/>
  <c r="L47" i="57"/>
  <c r="M70" i="55"/>
  <c r="M105" i="55"/>
  <c r="M71" i="55"/>
  <c r="M20" i="55"/>
  <c r="M33" i="55"/>
  <c r="M62" i="55"/>
  <c r="M86" i="55"/>
  <c r="L60" i="54"/>
  <c r="L8" i="54"/>
  <c r="L27" i="54"/>
  <c r="L85" i="53"/>
  <c r="L90" i="49"/>
  <c r="L91" i="49"/>
  <c r="L46" i="49"/>
  <c r="L16" i="53"/>
  <c r="L66" i="53"/>
  <c r="L11" i="53"/>
  <c r="L32" i="52"/>
  <c r="L89" i="53"/>
  <c r="L24" i="52"/>
  <c r="L62" i="51"/>
  <c r="L98" i="53"/>
  <c r="M51" i="55"/>
  <c r="M90" i="55"/>
  <c r="M21" i="55"/>
  <c r="L20" i="54"/>
  <c r="L29" i="54"/>
  <c r="L33" i="53"/>
  <c r="L17" i="52"/>
  <c r="L82" i="49"/>
  <c r="L41" i="52"/>
  <c r="L50" i="53"/>
  <c r="L46" i="53"/>
  <c r="L35" i="52"/>
  <c r="L43" i="53"/>
  <c r="L23" i="51"/>
  <c r="L42" i="52"/>
  <c r="L97" i="53"/>
  <c r="L89" i="49"/>
  <c r="L55" i="53"/>
  <c r="L33" i="52"/>
  <c r="L22" i="52"/>
  <c r="L24" i="53"/>
  <c r="L29" i="53"/>
  <c r="L101" i="49"/>
  <c r="L45" i="52"/>
  <c r="L93" i="49"/>
  <c r="L39" i="53"/>
  <c r="L26" i="53"/>
  <c r="L27" i="53"/>
  <c r="L87" i="53"/>
  <c r="L48" i="53"/>
  <c r="M93" i="55"/>
  <c r="M41" i="55"/>
  <c r="M24" i="55"/>
  <c r="L45" i="54"/>
  <c r="L53" i="53"/>
  <c r="L49" i="49"/>
  <c r="L61" i="51"/>
  <c r="L40" i="53"/>
  <c r="L56" i="53"/>
  <c r="L100" i="53"/>
  <c r="L29" i="52"/>
  <c r="L73" i="53"/>
  <c r="L95" i="53"/>
  <c r="L80" i="53"/>
  <c r="L85" i="51"/>
  <c r="L12" i="53"/>
  <c r="L47" i="52"/>
  <c r="L9" i="53"/>
  <c r="L43" i="52"/>
  <c r="L50" i="49"/>
  <c r="L54" i="51"/>
  <c r="L44" i="51"/>
  <c r="L53" i="51"/>
  <c r="L43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H2" i="38"/>
  <c r="A3" i="20"/>
  <c r="A2" i="32"/>
  <c r="A4" i="19"/>
  <c r="A4" i="35"/>
  <c r="A3" i="30"/>
  <c r="A4" i="25"/>
  <c r="A3" i="24"/>
  <c r="A4" i="29"/>
  <c r="A3" i="3"/>
  <c r="A4" i="18"/>
  <c r="A4" i="34"/>
  <c r="A3" i="29"/>
  <c r="A2" i="21"/>
  <c r="A3" i="17"/>
  <c r="A2" i="31"/>
  <c r="A3" i="28"/>
  <c r="A4" i="26"/>
  <c r="A2" i="35"/>
  <c r="A3" i="35"/>
  <c r="A2" i="29"/>
  <c r="A4" i="3"/>
  <c r="A4" i="20"/>
  <c r="A2" i="22"/>
  <c r="A2" i="27"/>
  <c r="A2" i="24"/>
  <c r="A4" i="33"/>
  <c r="A3" i="16"/>
  <c r="A3" i="36"/>
  <c r="A4" i="30"/>
  <c r="A4" i="17"/>
  <c r="A2" i="19"/>
  <c r="A4" i="31"/>
  <c r="A3" i="21"/>
  <c r="A3" i="22"/>
  <c r="A3" i="23"/>
  <c r="A2" i="28"/>
  <c r="A2" i="36"/>
  <c r="A2" i="3"/>
  <c r="A4" i="27"/>
  <c r="A2" i="34"/>
  <c r="A3" i="26"/>
  <c r="A4" i="22"/>
  <c r="A2" i="26"/>
  <c r="A4" i="23"/>
  <c r="A2" i="18"/>
  <c r="A3" i="32"/>
  <c r="A2" i="33"/>
  <c r="A3" i="33"/>
  <c r="A4" i="28"/>
  <c r="A3" i="25"/>
  <c r="A2" i="17"/>
  <c r="A2" i="25"/>
  <c r="A3" i="34"/>
  <c r="A3" i="19"/>
  <c r="A3" i="18"/>
  <c r="A2" i="16"/>
  <c r="A3" i="27"/>
  <c r="A2" i="20"/>
  <c r="A2" i="23"/>
  <c r="A4" i="32"/>
  <c r="A3" i="31"/>
  <c r="A4" i="21"/>
  <c r="A4" i="16"/>
  <c r="A2" i="30"/>
  <c r="A4" i="24"/>
  <c r="A4" i="36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15" i="60"/>
  <c r="L37" i="53"/>
  <c r="L8" i="51"/>
  <c r="L84" i="51"/>
  <c r="L37" i="51"/>
  <c r="L89" i="51"/>
  <c r="L20" i="51"/>
  <c r="L27" i="49"/>
  <c r="L59" i="49"/>
  <c r="L27" i="51"/>
  <c r="L29" i="51"/>
  <c r="L42" i="51"/>
  <c r="L82" i="51"/>
  <c r="L16" i="51"/>
  <c r="L69" i="49"/>
  <c r="L15" i="51"/>
  <c r="L30" i="51"/>
  <c r="L76" i="49"/>
  <c r="L31" i="51"/>
  <c r="L60" i="51"/>
  <c r="L26" i="51"/>
  <c r="L31" i="49"/>
  <c r="L25" i="51"/>
  <c r="L78" i="49"/>
  <c r="L35" i="49"/>
  <c r="L75" i="49"/>
  <c r="L57" i="51"/>
  <c r="L32" i="51"/>
  <c r="L70" i="51"/>
  <c r="L16" i="49"/>
  <c r="L63" i="51"/>
  <c r="L66" i="51"/>
  <c r="L47" i="51"/>
  <c r="L34" i="49"/>
  <c r="L75" i="51"/>
  <c r="L19" i="52"/>
  <c r="L79" i="51"/>
  <c r="L19" i="49"/>
  <c r="L21" i="49"/>
  <c r="L15" i="49"/>
  <c r="L20" i="52"/>
  <c r="L76" i="51"/>
  <c r="L67" i="51"/>
  <c r="L25" i="49"/>
  <c r="L29" i="49"/>
  <c r="L51" i="49"/>
  <c r="L18" i="51"/>
  <c r="L106" i="49"/>
  <c r="L46" i="51"/>
  <c r="L12" i="49"/>
  <c r="L77" i="51"/>
  <c r="L30" i="49"/>
  <c r="L45" i="51"/>
  <c r="L65" i="49"/>
  <c r="L36" i="51"/>
  <c r="L41" i="51"/>
  <c r="L28" i="51"/>
  <c r="L35" i="51"/>
  <c r="L66" i="49"/>
  <c r="L37" i="52"/>
  <c r="L21" i="51"/>
  <c r="L67" i="49"/>
  <c r="L17" i="51"/>
  <c r="L65" i="51"/>
  <c r="L72" i="51"/>
  <c r="L10" i="51"/>
  <c r="L64" i="49"/>
  <c r="L17" i="49"/>
  <c r="L58" i="51"/>
  <c r="L61" i="49"/>
  <c r="L38" i="51"/>
  <c r="L79" i="49"/>
  <c r="L80" i="49"/>
  <c r="L81" i="51"/>
  <c r="L53" i="49"/>
  <c r="L14" i="60"/>
  <c r="L64" i="51"/>
  <c r="L90" i="51"/>
  <c r="L14" i="51"/>
  <c r="L71" i="49"/>
  <c r="L52" i="51"/>
  <c r="L13" i="49"/>
  <c r="L68" i="51"/>
  <c r="L70" i="49"/>
  <c r="L33" i="51"/>
  <c r="L40" i="51"/>
  <c r="L9" i="49"/>
  <c r="L59" i="51"/>
  <c r="L38" i="52"/>
  <c r="L34" i="51"/>
  <c r="L80" i="51"/>
  <c r="L69" i="51"/>
  <c r="L78" i="51"/>
  <c r="L33" i="49"/>
  <c r="L20" i="49"/>
  <c r="L10" i="49"/>
  <c r="L23" i="49"/>
  <c r="L72" i="49"/>
  <c r="L62" i="49"/>
  <c r="L74" i="49"/>
  <c r="L11" i="49"/>
  <c r="L87" i="51"/>
  <c r="L9" i="51"/>
  <c r="L52" i="49"/>
  <c r="L13" i="51"/>
  <c r="L8" i="49"/>
  <c r="L105" i="49"/>
  <c r="L77" i="49"/>
  <c r="L60" i="49"/>
  <c r="L54" i="49"/>
  <c r="L83" i="51"/>
  <c r="L26" i="49"/>
  <c r="L81" i="53"/>
  <c r="L82" i="53"/>
  <c r="L38" i="53"/>
  <c r="L88" i="51"/>
  <c r="L22" i="51"/>
  <c r="L24" i="49"/>
  <c r="L39" i="51"/>
  <c r="L28" i="49"/>
  <c r="L32" i="49"/>
  <c r="L19" i="51"/>
  <c r="L22" i="49"/>
  <c r="L18" i="49"/>
  <c r="L73" i="49"/>
  <c r="L48" i="51"/>
  <c r="L68" i="49"/>
  <c r="L14" i="49"/>
  <c r="L58" i="49"/>
  <c r="L104" i="49"/>
  <c r="L63" i="49"/>
  <c r="L71" i="51"/>
</calcChain>
</file>

<file path=xl/sharedStrings.xml><?xml version="1.0" encoding="utf-8"?>
<sst xmlns="http://schemas.openxmlformats.org/spreadsheetml/2006/main" count="2387" uniqueCount="388">
  <si>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</si>
  <si>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</si>
  <si>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</si>
  <si>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</si>
  <si>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</si>
  <si>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</si>
  <si>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</si>
  <si>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</si>
  <si>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</si>
  <si>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</si>
  <si>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</si>
  <si>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</si>
  <si>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</si>
  <si>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</si>
  <si>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</si>
  <si>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</si>
  <si>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</si>
  <si>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</si>
  <si>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</si>
  <si>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</si>
  <si>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</si>
  <si>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</si>
  <si>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</si>
  <si>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</si>
  <si>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</si>
  <si>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</si>
  <si>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</si>
  <si>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</si>
  <si>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</si>
  <si>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</si>
  <si>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</si>
  <si>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</si>
  <si>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</si>
  <si>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</si>
  <si>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</si>
  <si>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</si>
  <si>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</si>
  <si>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</si>
  <si>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</si>
  <si>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</si>
  <si>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</si>
  <si>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</si>
  <si>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</si>
  <si>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</si>
  <si>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</si>
  <si>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</si>
  <si>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</si>
  <si>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</si>
  <si>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</si>
  <si>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</si>
  <si>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</si>
  <si>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</si>
  <si>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</si>
  <si>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</si>
  <si>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</si>
  <si>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</si>
  <si>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</si>
  <si>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</si>
  <si>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</si>
  <si>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</si>
  <si>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</si>
  <si>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</si>
  <si>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</si>
  <si>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</si>
  <si>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</si>
  <si>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</si>
  <si>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</si>
  <si>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</si>
  <si>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</si>
  <si>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</si>
  <si>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</si>
  <si>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</si>
  <si>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</si>
  <si>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</si>
  <si>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</si>
  <si>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</si>
  <si>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</si>
  <si>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</si>
  <si>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</si>
  <si>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</si>
  <si>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</si>
  <si>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</si>
  <si>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</si>
  <si>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</si>
  <si>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</si>
  <si>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</si>
  <si>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</si>
  <si>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</si>
  <si>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</si>
  <si>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</si>
  <si>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</si>
  <si>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</si>
  <si>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</si>
  <si>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</si>
  <si>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</si>
  <si>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</si>
  <si>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</si>
  <si>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</si>
  <si>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</si>
  <si>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</si>
  <si>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</si>
  <si>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</si>
  <si>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</si>
  <si>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</si>
  <si>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</si>
  <si>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</si>
  <si>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</si>
  <si>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</si>
  <si>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</si>
  <si>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</si>
  <si>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</si>
  <si>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</si>
  <si>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</si>
  <si>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</si>
  <si>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</si>
  <si>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</si>
  <si>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</si>
  <si>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</si>
  <si>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</si>
  <si>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</si>
  <si>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</si>
  <si>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</si>
  <si>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</si>
  <si>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</si>
  <si>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</si>
  <si>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</si>
  <si>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</si>
  <si>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</si>
  <si>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</si>
  <si>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</si>
  <si>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</si>
  <si>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</si>
  <si>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</si>
  <si>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</si>
  <si>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</si>
  <si>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</si>
  <si>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</si>
  <si>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</si>
  <si>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</si>
  <si>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</si>
  <si>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</si>
  <si>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</si>
  <si>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</si>
  <si>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</si>
  <si>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</si>
  <si>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</si>
  <si>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</si>
  <si>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</si>
  <si>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</si>
  <si>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</si>
  <si>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</si>
  <si>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</si>
  <si>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</si>
  <si>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</si>
  <si>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</si>
  <si>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</si>
  <si>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</si>
  <si>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</si>
  <si>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</si>
  <si>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</si>
  <si>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</si>
  <si>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</si>
  <si>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</si>
  <si>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</si>
  <si>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</si>
  <si>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</si>
  <si>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</si>
  <si>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</si>
  <si>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</si>
  <si>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</si>
  <si>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</si>
  <si>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</si>
  <si>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</si>
  <si>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</si>
  <si>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</si>
  <si>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</si>
  <si>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</si>
  <si>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</si>
  <si>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</si>
  <si>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</si>
  <si>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</si>
  <si>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</si>
  <si>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</si>
  <si>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</si>
  <si>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</si>
  <si>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</si>
  <si>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</si>
  <si>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</si>
  <si>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</si>
  <si>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</si>
  <si>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</si>
  <si>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</si>
  <si>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</si>
  <si>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</si>
  <si>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</si>
  <si>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</si>
  <si>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</si>
  <si>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</si>
  <si>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</si>
  <si>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</si>
  <si>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</si>
  <si>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</si>
  <si>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</si>
  <si>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</si>
  <si>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</si>
  <si>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</si>
  <si>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</si>
  <si>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</si>
  <si>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</si>
  <si>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</si>
  <si>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</si>
  <si>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</si>
  <si>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</si>
  <si>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</si>
  <si>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</si>
  <si>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</si>
  <si>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</si>
  <si>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</si>
  <si>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</si>
  <si>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</si>
  <si>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</si>
  <si>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</si>
  <si>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</si>
  <si>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</si>
  <si>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</si>
  <si>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</si>
  <si>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</si>
  <si>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</si>
  <si>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</si>
  <si>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</si>
  <si>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</si>
  <si>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</si>
  <si>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</si>
  <si>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</si>
  <si>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</si>
  <si>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</si>
  <si>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</si>
  <si>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</si>
  <si>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</si>
  <si>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</si>
  <si>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</si>
  <si>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</si>
  <si>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</si>
  <si>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</si>
  <si>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</si>
  <si>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</si>
  <si>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</si>
  <si>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</si>
  <si>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</si>
  <si>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</si>
  <si>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</si>
  <si>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</si>
  <si>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</si>
  <si>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</si>
  <si>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</si>
  <si>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</si>
  <si>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</si>
  <si>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</si>
  <si>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</si>
  <si>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</si>
  <si>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</si>
  <si>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</si>
  <si>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</si>
  <si>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</si>
  <si>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</si>
  <si>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</si>
  <si>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</si>
  <si>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</si>
  <si>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</si>
  <si>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</si>
  <si>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</si>
  <si>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</si>
  <si>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</si>
  <si>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</si>
  <si>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</si>
  <si>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</si>
  <si>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</si>
  <si>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</si>
  <si>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</si>
  <si>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</si>
  <si>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</si>
  <si>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</si>
  <si>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</si>
  <si>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</si>
  <si>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</si>
  <si>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</si>
  <si>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</si>
  <si>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</si>
  <si>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</si>
  <si>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</si>
  <si>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</si>
  <si>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</si>
  <si>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</si>
  <si>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</si>
  <si>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</si>
  <si>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</si>
  <si>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</si>
  <si>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</si>
  <si>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</si>
  <si>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</si>
  <si>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</si>
  <si>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</si>
  <si>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</si>
  <si>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</si>
  <si>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</si>
  <si>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</si>
  <si>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</si>
  <si>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</si>
  <si>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</si>
  <si>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</si>
  <si>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</si>
  <si>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</si>
  <si>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</si>
  <si>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</si>
  <si>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</si>
  <si>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</si>
  <si>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</si>
  <si>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</si>
  <si>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</si>
  <si>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</si>
  <si>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</si>
  <si>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</si>
  <si>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</si>
  <si>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</si>
  <si>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</si>
  <si>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</si>
  <si>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</si>
  <si>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</si>
  <si>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</si>
  <si>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</si>
  <si>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</si>
  <si>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</si>
  <si>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</si>
  <si>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</si>
  <si>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</si>
  <si>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</si>
  <si>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</si>
  <si>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</si>
  <si>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</si>
  <si>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</si>
  <si>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</si>
  <si>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</si>
  <si>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</si>
  <si>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</si>
  <si>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</si>
  <si>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</si>
  <si>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</si>
  <si>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</si>
  <si>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</si>
  <si>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</si>
  <si>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</si>
  <si>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</si>
  <si>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</si>
  <si>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</si>
  <si>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</si>
  <si>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</si>
  <si>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</si>
  <si>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</si>
  <si>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</si>
  <si>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</si>
  <si>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</si>
  <si>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</si>
  <si>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</si>
  <si>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</si>
  <si>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</si>
  <si>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</si>
  <si>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</si>
  <si>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Пожарная</t>
  </si>
  <si>
    <t>Требуются</t>
  </si>
  <si>
    <t>Будьте внимательны</t>
  </si>
  <si>
    <t>Филиалу "Автопарк №18 г. Жодино на постоянную работу требуются в</t>
  </si>
  <si>
    <t>одители категории D. Зарплата от 800 до 1500 руб. Тел. 8 (01775)</t>
  </si>
  <si>
    <t>66014, 66007</t>
  </si>
  <si>
    <t>s 2, r 000 086 088 000</t>
  </si>
  <si>
    <t>s 2, r 000 090 091 000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</si>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</sst>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72</v>
      </c>
      <c r="B1">
        <v>0</v>
      </c>
    </row>
    <row r="2" spans="1:2" x14ac:dyDescent="0.25">
      <c r="A2" t="s">
        <v>73</v>
      </c>
      <c r="B2">
        <v>500</v>
      </c>
    </row>
    <row r="3" spans="1:2" x14ac:dyDescent="0.25">
      <c r="A3" t="s">
        <v>98</v>
      </c>
      <c r="B3" t="s">
        <v>100</v>
      </c>
    </row>
    <row r="4" spans="1:2" x14ac:dyDescent="0.25">
      <c r="A4" t="s">
        <v>99</v>
      </c>
      <c r="B4" t="s"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5"/>
  <sheetViews>
    <sheetView workbookViewId="0">
      <pane ySplit="1" topLeftCell="A2" activePane="bottomLeft" state="frozen"/>
      <selection pane="bottomLeft" activeCell="D15" sqref="D15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78</v>
      </c>
      <c r="B1" s="10" t="s">
        <v>77</v>
      </c>
      <c r="C1" s="7" t="s">
        <v>79</v>
      </c>
      <c r="D1" s="4" t="s">
        <v>8</v>
      </c>
    </row>
    <row r="2" spans="1:4" x14ac:dyDescent="0.25">
      <c r="A2" t="s">
        <v>82</v>
      </c>
      <c r="B2">
        <v>921</v>
      </c>
      <c r="C2" t="s">
        <v>90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83</v>
      </c>
      <c r="B3">
        <v>923</v>
      </c>
      <c r="C3" t="s">
        <v>92</v>
      </c>
      <c r="D3" s="16" t="str">
        <f t="shared" si="0"/>
        <v>&lt;unit923&gt; "Гостиница" {v "\mp3_knst\gos.mp3", w 01}</v>
      </c>
    </row>
    <row r="4" spans="1:4" x14ac:dyDescent="0.25">
      <c r="A4" t="s">
        <v>331</v>
      </c>
      <c r="B4">
        <v>922</v>
      </c>
      <c r="C4" t="s">
        <v>91</v>
      </c>
      <c r="D4" s="16" t="str">
        <f t="shared" si="0"/>
        <v>&lt;unit922&gt; "Дисп. станция" {v "\mp3_knst\ds.mp3", w 01}</v>
      </c>
    </row>
    <row r="5" spans="1:4" x14ac:dyDescent="0.25">
      <c r="A5" t="s">
        <v>332</v>
      </c>
      <c r="B5">
        <v>903</v>
      </c>
      <c r="C5" t="s">
        <v>89</v>
      </c>
      <c r="D5" s="16" t="str">
        <f t="shared" si="0"/>
        <v>&lt;unit903&gt; "Канцавая" {v "\mp3_knst\kanc.mp3", w 01}</v>
      </c>
    </row>
    <row r="6" spans="1:4" x14ac:dyDescent="0.25">
      <c r="A6" t="s">
        <v>81</v>
      </c>
      <c r="B6">
        <v>924</v>
      </c>
      <c r="C6" t="s">
        <v>93</v>
      </c>
      <c r="D6" s="16" t="str">
        <f t="shared" si="0"/>
        <v>&lt;unit924&gt; "Конечная" {v "\mp3_knst\ko.mp3", w 01}</v>
      </c>
    </row>
    <row r="7" spans="1:4" x14ac:dyDescent="0.25">
      <c r="A7" t="s">
        <v>80</v>
      </c>
      <c r="B7">
        <v>902</v>
      </c>
      <c r="C7" t="s">
        <v>102</v>
      </c>
      <c r="D7" s="16" t="str">
        <f t="shared" si="0"/>
        <v>&lt;unit902&gt; "Остановка" {v "\mp3_knst\ost.mp3", w 01}</v>
      </c>
    </row>
    <row r="8" spans="1:4" x14ac:dyDescent="0.25">
      <c r="A8" t="s">
        <v>330</v>
      </c>
      <c r="B8">
        <v>900</v>
      </c>
      <c r="C8" t="s">
        <v>88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84</v>
      </c>
      <c r="B9">
        <v>925</v>
      </c>
      <c r="C9" t="s">
        <v>94</v>
      </c>
      <c r="D9" s="16" t="str">
        <f t="shared" si="0"/>
        <v>&lt;unit925&gt; "Площадь" {v "\mp3_knst\pl.mp3", w 01}</v>
      </c>
    </row>
    <row r="10" spans="1:4" x14ac:dyDescent="0.25">
      <c r="A10" t="s">
        <v>85</v>
      </c>
      <c r="B10">
        <v>926</v>
      </c>
      <c r="C10" t="s">
        <v>95</v>
      </c>
      <c r="D10" s="16" t="str">
        <f t="shared" si="0"/>
        <v>&lt;unit926&gt; "Проспект" {v "\mp3_knst\pr.mp3", w 01}</v>
      </c>
    </row>
    <row r="11" spans="1:4" x14ac:dyDescent="0.25">
      <c r="A11" t="s">
        <v>86</v>
      </c>
      <c r="B11">
        <v>927</v>
      </c>
      <c r="C11" t="s">
        <v>96</v>
      </c>
      <c r="D11" s="16" t="str">
        <f t="shared" si="0"/>
        <v>&lt;unit927&gt; "Станция метро" {v "\mp3_knst\sm.mp3", w 01}</v>
      </c>
    </row>
    <row r="12" spans="1:4" x14ac:dyDescent="0.25">
      <c r="A12" t="s">
        <v>87</v>
      </c>
      <c r="B12">
        <v>928</v>
      </c>
      <c r="C12" t="s">
        <v>97</v>
      </c>
      <c r="D12" s="16" t="str">
        <f t="shared" si="0"/>
        <v>&lt;unit928&gt; "Улица" {v "\mp3_knst\ul.mp3", w 01}</v>
      </c>
    </row>
    <row r="14" spans="1:4" x14ac:dyDescent="0.25">
      <c r="A14" t="s">
        <v>368</v>
      </c>
      <c r="B14">
        <v>930</v>
      </c>
      <c r="C14" t="s">
        <v>373</v>
      </c>
      <c r="D14" s="16" t="str">
        <f>"&lt;unit"&amp;B14&amp;"&gt; """&amp;A14&amp;""""&amp;" {"&amp;C14&amp;"}"</f>
        <v>&lt;unit930&gt; "Требуются" {s 2, r 000 086 088 000}</v>
      </c>
    </row>
    <row r="15" spans="1:4" x14ac:dyDescent="0.25">
      <c r="A15" t="s">
        <v>367</v>
      </c>
      <c r="B15">
        <v>931</v>
      </c>
      <c r="C15" t="s">
        <v>374</v>
      </c>
      <c r="D15" s="16" t="str">
        <f>"&lt;unit"&amp;B15&amp;"&gt; """&amp;A15&amp;""""&amp;" {"&amp;C15&amp;"}"</f>
        <v>&lt;unit931&gt; "Пожарная" {s 2, r 000 090 091 000}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tabSelected="1" workbookViewId="0">
      <pane ySplit="1" topLeftCell="A2" activePane="bottomLeft" state="frozen"/>
      <selection pane="bottomLeft" activeCell="E8" sqref="E8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266</v>
      </c>
      <c r="B1" s="27" t="s">
        <v>161</v>
      </c>
      <c r="C1" s="28" t="s">
        <v>182</v>
      </c>
      <c r="D1" s="28" t="s">
        <v>185</v>
      </c>
      <c r="E1" s="29" t="s">
        <v>79</v>
      </c>
      <c r="F1" s="30"/>
      <c r="G1" s="28"/>
      <c r="H1" s="31"/>
    </row>
    <row r="2" spans="1:8" x14ac:dyDescent="0.25">
      <c r="B2" t="s">
        <v>174</v>
      </c>
      <c r="C2" t="s">
        <v>188</v>
      </c>
      <c r="D2" t="s">
        <v>187</v>
      </c>
      <c r="E2" s="9" t="s">
        <v>105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178</v>
      </c>
      <c r="C3" t="s">
        <v>195</v>
      </c>
      <c r="D3" t="s">
        <v>186</v>
      </c>
      <c r="E3" s="9" t="s">
        <v>109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179</v>
      </c>
      <c r="C4" t="s">
        <v>179</v>
      </c>
      <c r="D4" t="s">
        <v>186</v>
      </c>
      <c r="E4" s="9" t="s">
        <v>110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340</v>
      </c>
      <c r="C5" t="s">
        <v>208</v>
      </c>
      <c r="D5" t="s">
        <v>186</v>
      </c>
      <c r="E5" s="9" t="s">
        <v>120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341</v>
      </c>
      <c r="C6" t="s">
        <v>207</v>
      </c>
      <c r="D6" t="s">
        <v>186</v>
      </c>
      <c r="E6" s="9" t="s">
        <v>119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181</v>
      </c>
      <c r="C7" t="s">
        <v>198</v>
      </c>
      <c r="D7" t="s">
        <v>186</v>
      </c>
      <c r="E7" s="9" t="s">
        <v>387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259</v>
      </c>
      <c r="C8" t="s">
        <v>260</v>
      </c>
      <c r="D8" t="s">
        <v>186</v>
      </c>
      <c r="E8" s="9" t="s">
        <v>158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353</v>
      </c>
      <c r="E9" s="9" t="s">
        <v>339</v>
      </c>
      <c r="F9" s="17" t="str">
        <f t="shared" si="0"/>
        <v/>
      </c>
      <c r="G9" t="str">
        <f t="shared" si="1"/>
        <v>v "\mp3_ost\!_silent.mp3"</v>
      </c>
      <c r="H9" s="6" t="str">
        <f t="shared" si="2"/>
        <v>v "\mp3_ost\!_silent.mp3"</v>
      </c>
    </row>
    <row r="10" spans="1:8" x14ac:dyDescent="0.25">
      <c r="B10" t="s">
        <v>206</v>
      </c>
      <c r="C10" t="s">
        <v>205</v>
      </c>
      <c r="D10" t="s">
        <v>186</v>
      </c>
      <c r="E10" s="9" t="s">
        <v>118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164</v>
      </c>
      <c r="C11" t="s">
        <v>210</v>
      </c>
      <c r="D11" t="s">
        <v>186</v>
      </c>
      <c r="E11" s="9" t="s">
        <v>122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163</v>
      </c>
      <c r="C12" t="s">
        <v>211</v>
      </c>
      <c r="D12" t="s">
        <v>186</v>
      </c>
      <c r="E12" s="9" t="s">
        <v>123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162</v>
      </c>
      <c r="C13" t="s">
        <v>209</v>
      </c>
      <c r="D13" t="s">
        <v>186</v>
      </c>
      <c r="E13" s="9" t="s">
        <v>121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263</v>
      </c>
      <c r="C14" t="s">
        <v>264</v>
      </c>
      <c r="D14" t="s">
        <v>186</v>
      </c>
      <c r="E14" s="9" t="s">
        <v>160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214</v>
      </c>
      <c r="C15" t="s">
        <v>230</v>
      </c>
      <c r="D15" t="s">
        <v>186</v>
      </c>
      <c r="E15" s="9" t="s">
        <v>128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342</v>
      </c>
      <c r="C16" t="s">
        <v>244</v>
      </c>
      <c r="D16" t="s">
        <v>186</v>
      </c>
      <c r="E16" s="9" t="s">
        <v>126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343</v>
      </c>
      <c r="C17" t="s">
        <v>245</v>
      </c>
      <c r="D17" t="s">
        <v>186</v>
      </c>
      <c r="E17" s="9" t="s">
        <v>149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213</v>
      </c>
      <c r="C18" t="s">
        <v>228</v>
      </c>
      <c r="D18" t="s">
        <v>186</v>
      </c>
      <c r="E18" s="9" t="s">
        <v>125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289</v>
      </c>
      <c r="E19" s="9" t="s">
        <v>339</v>
      </c>
      <c r="F19" s="17" t="str">
        <f t="shared" si="0"/>
        <v/>
      </c>
      <c r="G19" t="str">
        <f t="shared" si="1"/>
        <v>v "\mp3_ost\!_silent.mp3"</v>
      </c>
      <c r="H19" s="6" t="str">
        <f t="shared" si="2"/>
        <v>v "\mp3_ost\!_silent.mp3"</v>
      </c>
    </row>
    <row r="20" spans="2:8" x14ac:dyDescent="0.25">
      <c r="B20" t="s">
        <v>219</v>
      </c>
      <c r="C20" t="s">
        <v>232</v>
      </c>
      <c r="D20" t="s">
        <v>186</v>
      </c>
      <c r="E20" s="9" t="s">
        <v>133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265</v>
      </c>
      <c r="C21" t="s">
        <v>220</v>
      </c>
      <c r="D21" t="s">
        <v>187</v>
      </c>
      <c r="E21" s="9" t="s">
        <v>134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176</v>
      </c>
      <c r="C22" t="s">
        <v>191</v>
      </c>
      <c r="D22" t="s">
        <v>193</v>
      </c>
      <c r="E22" s="9" t="s">
        <v>385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351</v>
      </c>
      <c r="E23" s="9" t="s">
        <v>339</v>
      </c>
      <c r="F23" s="17" t="str">
        <f t="shared" si="0"/>
        <v/>
      </c>
      <c r="G23" t="str">
        <f t="shared" si="1"/>
        <v>v "\mp3_ost\!_silent.mp3"</v>
      </c>
      <c r="H23" s="6" t="str">
        <f t="shared" si="2"/>
        <v>v "\mp3_ost\!_silent.mp3"</v>
      </c>
    </row>
    <row r="24" spans="2:8" x14ac:dyDescent="0.25">
      <c r="B24" t="s">
        <v>177</v>
      </c>
      <c r="C24" t="s">
        <v>192</v>
      </c>
      <c r="D24" t="s">
        <v>193</v>
      </c>
      <c r="E24" s="9" t="s">
        <v>386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360</v>
      </c>
      <c r="E25" s="9" t="s">
        <v>339</v>
      </c>
      <c r="F25" s="17" t="str">
        <f t="shared" si="0"/>
        <v/>
      </c>
      <c r="G25" t="str">
        <f t="shared" si="1"/>
        <v>v "\mp3_ost\!_silent.mp3"</v>
      </c>
      <c r="H25" s="6" t="str">
        <f t="shared" si="2"/>
        <v>v "\mp3_ost\!_silent.mp3"</v>
      </c>
    </row>
    <row r="26" spans="2:8" x14ac:dyDescent="0.25">
      <c r="B26" t="s">
        <v>355</v>
      </c>
      <c r="E26" s="9" t="s">
        <v>339</v>
      </c>
      <c r="F26" s="17" t="str">
        <f t="shared" si="0"/>
        <v/>
      </c>
      <c r="G26" t="str">
        <f t="shared" si="1"/>
        <v>v "\mp3_ost\!_silent.mp3"</v>
      </c>
      <c r="H26" s="6" t="str">
        <f t="shared" si="2"/>
        <v>v "\mp3_ost\!_silent.mp3"</v>
      </c>
    </row>
    <row r="27" spans="2:8" x14ac:dyDescent="0.25">
      <c r="B27" t="s">
        <v>288</v>
      </c>
      <c r="C27" t="s">
        <v>236</v>
      </c>
      <c r="D27" t="s">
        <v>186</v>
      </c>
      <c r="E27" s="9" t="s">
        <v>143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226</v>
      </c>
      <c r="C28" t="s">
        <v>227</v>
      </c>
      <c r="D28" t="s">
        <v>186</v>
      </c>
      <c r="E28" s="9" t="s">
        <v>140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234</v>
      </c>
      <c r="C29" t="s">
        <v>235</v>
      </c>
      <c r="D29" t="s">
        <v>186</v>
      </c>
      <c r="E29" s="9" t="s">
        <v>142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261</v>
      </c>
      <c r="C30" t="s">
        <v>262</v>
      </c>
      <c r="D30" t="s">
        <v>186</v>
      </c>
      <c r="E30" s="9" t="s">
        <v>159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215</v>
      </c>
      <c r="C31" t="s">
        <v>216</v>
      </c>
      <c r="D31" t="s">
        <v>186</v>
      </c>
      <c r="E31" s="9" t="s">
        <v>130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169</v>
      </c>
      <c r="C32" t="s">
        <v>222</v>
      </c>
      <c r="D32" t="s">
        <v>186</v>
      </c>
      <c r="E32" s="9" t="s">
        <v>136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242</v>
      </c>
      <c r="C33" t="s">
        <v>243</v>
      </c>
      <c r="D33" t="s">
        <v>186</v>
      </c>
      <c r="E33" s="9" t="s">
        <v>148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338</v>
      </c>
      <c r="C34" t="s">
        <v>375</v>
      </c>
      <c r="D34" t="s">
        <v>186</v>
      </c>
      <c r="E34" s="9" t="s">
        <v>376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241</v>
      </c>
      <c r="C35" t="s">
        <v>241</v>
      </c>
      <c r="D35" t="s">
        <v>186</v>
      </c>
      <c r="E35" s="9" t="s">
        <v>147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247</v>
      </c>
      <c r="C36" t="s">
        <v>248</v>
      </c>
      <c r="D36" t="s">
        <v>186</v>
      </c>
      <c r="E36" s="9" t="s">
        <v>151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239</v>
      </c>
      <c r="C37" t="s">
        <v>240</v>
      </c>
      <c r="D37" t="s">
        <v>186</v>
      </c>
      <c r="E37" s="9" t="s">
        <v>146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171</v>
      </c>
      <c r="C38" t="s">
        <v>183</v>
      </c>
      <c r="D38" t="s">
        <v>186</v>
      </c>
      <c r="E38" s="9" t="s">
        <v>103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175</v>
      </c>
      <c r="C39" t="s">
        <v>189</v>
      </c>
      <c r="D39" t="s">
        <v>186</v>
      </c>
      <c r="E39" s="9" t="s">
        <v>106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250</v>
      </c>
      <c r="C40" t="s">
        <v>251</v>
      </c>
      <c r="D40" t="s">
        <v>186</v>
      </c>
      <c r="E40" s="9" t="s">
        <v>153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252</v>
      </c>
      <c r="C41" t="s">
        <v>253</v>
      </c>
      <c r="D41" t="s">
        <v>186</v>
      </c>
      <c r="E41" s="9" t="s">
        <v>154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345</v>
      </c>
      <c r="C42" t="s">
        <v>196</v>
      </c>
      <c r="D42" t="s">
        <v>186</v>
      </c>
      <c r="E42" s="9" t="s">
        <v>112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254</v>
      </c>
      <c r="C43" t="s">
        <v>255</v>
      </c>
      <c r="D43" t="s">
        <v>186</v>
      </c>
      <c r="E43" s="9" t="s">
        <v>155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364</v>
      </c>
      <c r="E44" s="9" t="s">
        <v>339</v>
      </c>
      <c r="G44" t="str">
        <f t="shared" ref="G44:G45" si="6">"v ""\"&amp;mp3_ost&amp;"\"&amp;E44&amp;".mp3"""</f>
        <v>v "\mp3_ost\!_silent.mp3"</v>
      </c>
      <c r="H44" s="6" t="str">
        <f t="shared" ref="H44:H45" si="7">СцепитьМного(F44:G44,", ")</f>
        <v>v "\mp3_ost\!_silent.mp3"</v>
      </c>
    </row>
    <row r="45" spans="1:8" x14ac:dyDescent="0.25">
      <c r="B45" t="s">
        <v>365</v>
      </c>
      <c r="E45" s="9" t="s">
        <v>339</v>
      </c>
      <c r="G45" t="str">
        <f t="shared" si="6"/>
        <v>v "\mp3_ost\!_silent.mp3"</v>
      </c>
      <c r="H45" s="6" t="str">
        <f t="shared" si="7"/>
        <v>v "\mp3_ost\!_silent.mp3"</v>
      </c>
    </row>
    <row r="46" spans="1:8" x14ac:dyDescent="0.25">
      <c r="A46" t="s">
        <v>87</v>
      </c>
      <c r="B46" t="s">
        <v>267</v>
      </c>
      <c r="C46" t="s">
        <v>190</v>
      </c>
      <c r="D46" t="s">
        <v>186</v>
      </c>
      <c r="E46" s="9" t="s">
        <v>107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87</v>
      </c>
      <c r="B47" t="s">
        <v>268</v>
      </c>
      <c r="C47" t="s">
        <v>184</v>
      </c>
      <c r="D47" t="s">
        <v>186</v>
      </c>
      <c r="E47" s="9" t="s">
        <v>104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87</v>
      </c>
      <c r="B48" t="s">
        <v>269</v>
      </c>
      <c r="C48" t="s">
        <v>194</v>
      </c>
      <c r="D48" t="s">
        <v>186</v>
      </c>
      <c r="E48" s="9" t="s">
        <v>108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87</v>
      </c>
      <c r="B49" t="s">
        <v>173</v>
      </c>
      <c r="C49" t="s">
        <v>180</v>
      </c>
      <c r="D49" t="s">
        <v>186</v>
      </c>
      <c r="E49" s="9" t="s">
        <v>111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87</v>
      </c>
      <c r="B50" t="s">
        <v>270</v>
      </c>
      <c r="C50" t="s">
        <v>197</v>
      </c>
      <c r="D50" t="s">
        <v>186</v>
      </c>
      <c r="E50" s="9" t="s">
        <v>113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87</v>
      </c>
      <c r="B51" t="s">
        <v>349</v>
      </c>
      <c r="C51" t="s">
        <v>382</v>
      </c>
      <c r="D51" t="s">
        <v>186</v>
      </c>
      <c r="E51" s="9" t="s">
        <v>381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87</v>
      </c>
      <c r="B52" t="s">
        <v>357</v>
      </c>
      <c r="E52" s="9" t="s">
        <v>339</v>
      </c>
      <c r="F52" s="17" t="str">
        <f t="shared" si="3"/>
        <v>c 928</v>
      </c>
      <c r="G52" t="str">
        <f t="shared" si="4"/>
        <v>v "\mp3_ost\!_silent.mp3"</v>
      </c>
      <c r="H52" s="6" t="str">
        <f t="shared" si="5"/>
        <v>c 928, v "\mp3_ost\!_silent.mp3"</v>
      </c>
    </row>
    <row r="53" spans="1:8" x14ac:dyDescent="0.25">
      <c r="A53" t="s">
        <v>87</v>
      </c>
      <c r="B53" t="s">
        <v>170</v>
      </c>
      <c r="C53" t="s">
        <v>204</v>
      </c>
      <c r="D53" t="s">
        <v>186</v>
      </c>
      <c r="E53" s="9" t="s">
        <v>117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87</v>
      </c>
      <c r="B54" t="s">
        <v>271</v>
      </c>
      <c r="C54" t="s">
        <v>201</v>
      </c>
      <c r="D54" t="s">
        <v>186</v>
      </c>
      <c r="E54" s="9" t="s">
        <v>115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87</v>
      </c>
      <c r="B55" t="s">
        <v>348</v>
      </c>
      <c r="E55" s="9" t="s">
        <v>339</v>
      </c>
      <c r="F55" s="17" t="str">
        <f t="shared" si="3"/>
        <v>c 928</v>
      </c>
      <c r="G55" t="str">
        <f t="shared" si="4"/>
        <v>v "\mp3_ost\!_silent.mp3"</v>
      </c>
      <c r="H55" s="6" t="str">
        <f t="shared" si="5"/>
        <v>c 928, v "\mp3_ost\!_silent.mp3"</v>
      </c>
    </row>
    <row r="56" spans="1:8" x14ac:dyDescent="0.25">
      <c r="A56" t="s">
        <v>87</v>
      </c>
      <c r="B56" t="s">
        <v>165</v>
      </c>
      <c r="C56" t="s">
        <v>212</v>
      </c>
      <c r="D56" t="s">
        <v>186</v>
      </c>
      <c r="E56" s="9" t="s">
        <v>124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87</v>
      </c>
      <c r="B57" t="s">
        <v>272</v>
      </c>
      <c r="C57" t="s">
        <v>229</v>
      </c>
      <c r="D57" t="s">
        <v>186</v>
      </c>
      <c r="E57" s="9" t="s">
        <v>127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87</v>
      </c>
      <c r="B58" t="s">
        <v>362</v>
      </c>
      <c r="C58" t="s">
        <v>378</v>
      </c>
      <c r="D58" t="s">
        <v>186</v>
      </c>
      <c r="E58" s="9" t="s">
        <v>377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87</v>
      </c>
      <c r="B59" t="s">
        <v>273</v>
      </c>
      <c r="C59" t="s">
        <v>217</v>
      </c>
      <c r="D59" t="s">
        <v>187</v>
      </c>
      <c r="E59" s="9" t="s">
        <v>131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87</v>
      </c>
      <c r="B60" t="s">
        <v>274</v>
      </c>
      <c r="C60" t="s">
        <v>218</v>
      </c>
      <c r="D60" t="s">
        <v>186</v>
      </c>
      <c r="E60" s="9" t="s">
        <v>132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87</v>
      </c>
      <c r="B61" t="s">
        <v>275</v>
      </c>
      <c r="C61" t="s">
        <v>231</v>
      </c>
      <c r="D61" t="s">
        <v>187</v>
      </c>
      <c r="E61" s="9" t="s">
        <v>129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87</v>
      </c>
      <c r="B62" t="s">
        <v>346</v>
      </c>
      <c r="E62" s="9" t="s">
        <v>339</v>
      </c>
      <c r="F62" s="17" t="str">
        <f t="shared" si="3"/>
        <v>c 928</v>
      </c>
      <c r="G62" t="str">
        <f t="shared" si="4"/>
        <v>v "\mp3_ost\!_silent.mp3"</v>
      </c>
      <c r="H62" s="6" t="str">
        <f t="shared" si="5"/>
        <v>c 928, v "\mp3_ost\!_silent.mp3"</v>
      </c>
    </row>
    <row r="63" spans="1:8" x14ac:dyDescent="0.25">
      <c r="A63" t="s">
        <v>87</v>
      </c>
      <c r="B63" t="s">
        <v>347</v>
      </c>
      <c r="E63" s="9" t="s">
        <v>339</v>
      </c>
      <c r="F63" s="17" t="str">
        <f t="shared" si="3"/>
        <v>c 928</v>
      </c>
      <c r="G63" t="str">
        <f t="shared" si="4"/>
        <v>v "\mp3_ost\!_silent.mp3"</v>
      </c>
      <c r="H63" s="6" t="str">
        <f t="shared" si="5"/>
        <v>c 928, v "\mp3_ost\!_silent.mp3"</v>
      </c>
    </row>
    <row r="64" spans="1:8" x14ac:dyDescent="0.25">
      <c r="A64" t="s">
        <v>87</v>
      </c>
      <c r="B64" t="s">
        <v>276</v>
      </c>
      <c r="C64" t="s">
        <v>221</v>
      </c>
      <c r="D64" t="s">
        <v>186</v>
      </c>
      <c r="E64" s="9" t="s">
        <v>135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87</v>
      </c>
      <c r="B65" t="s">
        <v>166</v>
      </c>
      <c r="C65" t="s">
        <v>223</v>
      </c>
      <c r="D65" t="s">
        <v>186</v>
      </c>
      <c r="E65" s="9" t="s">
        <v>137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87</v>
      </c>
      <c r="B66" t="s">
        <v>277</v>
      </c>
      <c r="C66" t="s">
        <v>224</v>
      </c>
      <c r="D66" t="s">
        <v>186</v>
      </c>
      <c r="E66" s="9" t="s">
        <v>138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87</v>
      </c>
      <c r="B67" t="s">
        <v>354</v>
      </c>
      <c r="E67" s="9" t="s">
        <v>339</v>
      </c>
      <c r="F67" s="17" t="str">
        <f t="shared" si="3"/>
        <v>c 928</v>
      </c>
      <c r="G67" t="str">
        <f t="shared" si="4"/>
        <v>v "\mp3_ost\!_silent.mp3"</v>
      </c>
      <c r="H67" s="6" t="str">
        <f t="shared" si="5"/>
        <v>c 928, v "\mp3_ost\!_silent.mp3"</v>
      </c>
    </row>
    <row r="68" spans="1:8" x14ac:dyDescent="0.25">
      <c r="A68" t="s">
        <v>87</v>
      </c>
      <c r="B68" t="s">
        <v>337</v>
      </c>
      <c r="C68" t="s">
        <v>225</v>
      </c>
      <c r="D68" t="s">
        <v>186</v>
      </c>
      <c r="E68" s="9" t="s">
        <v>139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87</v>
      </c>
      <c r="B69" t="s">
        <v>167</v>
      </c>
      <c r="C69" t="s">
        <v>233</v>
      </c>
      <c r="D69" t="s">
        <v>186</v>
      </c>
      <c r="E69" s="9" t="s">
        <v>141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87</v>
      </c>
      <c r="B70" t="s">
        <v>278</v>
      </c>
      <c r="C70" t="s">
        <v>237</v>
      </c>
      <c r="D70" t="s">
        <v>186</v>
      </c>
      <c r="E70" s="9" t="s">
        <v>144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87</v>
      </c>
      <c r="B71" t="s">
        <v>350</v>
      </c>
      <c r="E71" s="9" t="s">
        <v>339</v>
      </c>
      <c r="F71" s="17" t="str">
        <f t="shared" si="8"/>
        <v>c 928</v>
      </c>
      <c r="G71" t="str">
        <f t="shared" si="9"/>
        <v>v "\mp3_ost\!_silent.mp3"</v>
      </c>
      <c r="H71" s="6" t="str">
        <f t="shared" si="10"/>
        <v>c 928, v "\mp3_ost\!_silent.mp3"</v>
      </c>
    </row>
    <row r="72" spans="1:8" x14ac:dyDescent="0.25">
      <c r="A72" t="s">
        <v>87</v>
      </c>
      <c r="B72" t="s">
        <v>172</v>
      </c>
      <c r="C72" t="s">
        <v>238</v>
      </c>
      <c r="D72" t="s">
        <v>186</v>
      </c>
      <c r="E72" s="9" t="s">
        <v>145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87</v>
      </c>
      <c r="B73" t="s">
        <v>358</v>
      </c>
      <c r="C73" t="s">
        <v>380</v>
      </c>
      <c r="D73" t="s">
        <v>186</v>
      </c>
      <c r="E73" s="9" t="s">
        <v>379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87</v>
      </c>
      <c r="B74" t="s">
        <v>361</v>
      </c>
      <c r="E74" s="9" t="s">
        <v>339</v>
      </c>
      <c r="F74" s="17" t="str">
        <f t="shared" si="8"/>
        <v>c 928</v>
      </c>
      <c r="G74" t="str">
        <f t="shared" si="9"/>
        <v>v "\mp3_ost\!_silent.mp3"</v>
      </c>
      <c r="H74" s="6" t="str">
        <f t="shared" si="10"/>
        <v>c 928, v "\mp3_ost\!_silent.mp3"</v>
      </c>
    </row>
    <row r="75" spans="1:8" x14ac:dyDescent="0.25">
      <c r="A75" t="s">
        <v>87</v>
      </c>
      <c r="B75" t="s">
        <v>356</v>
      </c>
      <c r="E75" s="9" t="s">
        <v>339</v>
      </c>
      <c r="F75" s="17" t="str">
        <f t="shared" si="8"/>
        <v>c 928</v>
      </c>
      <c r="G75" t="str">
        <f t="shared" si="9"/>
        <v>v "\mp3_ost\!_silent.mp3"</v>
      </c>
      <c r="H75" s="6" t="str">
        <f t="shared" si="10"/>
        <v>c 928, v "\mp3_ost\!_silent.mp3"</v>
      </c>
    </row>
    <row r="76" spans="1:8" x14ac:dyDescent="0.25">
      <c r="A76" t="s">
        <v>87</v>
      </c>
      <c r="B76" t="s">
        <v>359</v>
      </c>
      <c r="C76" t="s">
        <v>384</v>
      </c>
      <c r="D76" t="s">
        <v>186</v>
      </c>
      <c r="E76" s="9" t="s">
        <v>383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87</v>
      </c>
      <c r="B77" t="s">
        <v>279</v>
      </c>
      <c r="C77" t="s">
        <v>246</v>
      </c>
      <c r="D77" t="s">
        <v>186</v>
      </c>
      <c r="E77" s="9" t="s">
        <v>150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87</v>
      </c>
      <c r="B78" t="s">
        <v>168</v>
      </c>
      <c r="C78" t="s">
        <v>249</v>
      </c>
      <c r="D78" t="s">
        <v>186</v>
      </c>
      <c r="E78" s="9" t="s">
        <v>152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87</v>
      </c>
      <c r="B79" t="s">
        <v>280</v>
      </c>
      <c r="C79" t="s">
        <v>256</v>
      </c>
      <c r="D79" t="s">
        <v>186</v>
      </c>
      <c r="E79" s="9" t="s">
        <v>156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87</v>
      </c>
      <c r="B80" t="s">
        <v>352</v>
      </c>
      <c r="E80" s="9" t="s">
        <v>339</v>
      </c>
      <c r="F80" s="17" t="str">
        <f t="shared" si="8"/>
        <v>c 928</v>
      </c>
      <c r="G80" t="str">
        <f t="shared" si="9"/>
        <v>v "\mp3_ost\!_silent.mp3"</v>
      </c>
      <c r="H80" s="6" t="str">
        <f t="shared" si="10"/>
        <v>c 928, v "\mp3_ost\!_silent.mp3"</v>
      </c>
    </row>
    <row r="81" spans="2:8" x14ac:dyDescent="0.25">
      <c r="B81" t="s">
        <v>257</v>
      </c>
      <c r="C81" t="s">
        <v>258</v>
      </c>
      <c r="D81" t="s">
        <v>186</v>
      </c>
      <c r="E81" s="9" t="s">
        <v>157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363</v>
      </c>
      <c r="E82" s="9" t="s">
        <v>339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"\mp3_ost\!_silent.mp3"</v>
      </c>
      <c r="H82" s="6" t="str">
        <f t="shared" ref="H82" si="13">СцепитьМного(F82:G82,", ")</f>
        <v>v "\mp3_ost\!_silent.mp3"</v>
      </c>
    </row>
    <row r="83" spans="2:8" x14ac:dyDescent="0.25">
      <c r="B83" t="s">
        <v>200</v>
      </c>
      <c r="C83" t="s">
        <v>199</v>
      </c>
      <c r="D83" t="s">
        <v>187</v>
      </c>
      <c r="E83" s="9" t="s">
        <v>114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203</v>
      </c>
      <c r="C84" t="s">
        <v>202</v>
      </c>
      <c r="D84" t="s">
        <v>186</v>
      </c>
      <c r="E84" s="9" t="s">
        <v>116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294</v>
      </c>
      <c r="E85" s="9" t="s">
        <v>339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"\mp3_ost\!_silent.mp3"</v>
      </c>
      <c r="H85" s="6" t="str">
        <f t="shared" ref="H85" si="16">СцепитьМного(F85:G85,", ")</f>
        <v>v "\mp3_ost\!_silent.mp3"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330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214</v>
      </c>
      <c r="F54" s="44" t="s">
        <v>332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328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80</v>
      </c>
      <c r="D58" s="39" t="str">
        <f t="shared" ref="D58:D106" si="26">IF(I58="c 900","&gt;&gt;","")</f>
        <v/>
      </c>
      <c r="E58" s="44" t="s">
        <v>214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330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80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330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80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280</v>
      </c>
      <c r="F106" s="44" t="s">
        <v>332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329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327</v>
      </c>
      <c r="D1" s="21" t="s">
        <v>281</v>
      </c>
      <c r="E1" s="21" t="s">
        <v>282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283</v>
      </c>
      <c r="D2" s="19" t="s">
        <v>284</v>
      </c>
      <c r="E2" s="19" t="s">
        <v>214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285</v>
      </c>
      <c r="E3" s="19" t="s">
        <v>288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289</v>
      </c>
      <c r="E4" s="19" t="s">
        <v>290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286</v>
      </c>
      <c r="E5" s="19" t="s">
        <v>287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286</v>
      </c>
      <c r="E6" s="19" t="s">
        <v>292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293</v>
      </c>
      <c r="D7" s="19" t="s">
        <v>286</v>
      </c>
      <c r="E7" s="19" t="s">
        <v>294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291</v>
      </c>
      <c r="E8" s="19" t="s">
        <v>214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295</v>
      </c>
      <c r="D9" s="19" t="s">
        <v>291</v>
      </c>
      <c r="E9" s="19" t="s">
        <v>214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296</v>
      </c>
      <c r="E10" s="19" t="s">
        <v>297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285</v>
      </c>
      <c r="E11" s="19" t="s">
        <v>214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284</v>
      </c>
      <c r="E12" s="19" t="s">
        <v>298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283</v>
      </c>
      <c r="D14" s="19" t="s">
        <v>299</v>
      </c>
      <c r="E14" s="19" t="s">
        <v>300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301</v>
      </c>
      <c r="D16" s="19" t="s">
        <v>302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303</v>
      </c>
      <c r="D17" s="19" t="s">
        <v>302</v>
      </c>
      <c r="E17" s="19" t="s">
        <v>57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304</v>
      </c>
      <c r="D18" s="19" t="s">
        <v>302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306</v>
      </c>
      <c r="D19" s="19" t="s">
        <v>302</v>
      </c>
      <c r="E19" s="19" t="s">
        <v>71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309</v>
      </c>
      <c r="D20" s="19" t="s">
        <v>302</v>
      </c>
      <c r="E20" s="19" t="s">
        <v>61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305</v>
      </c>
      <c r="D21" s="19" t="s">
        <v>302</v>
      </c>
      <c r="E21" s="19" t="s">
        <v>60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308</v>
      </c>
      <c r="D22" s="19" t="s">
        <v>302</v>
      </c>
      <c r="E22" s="19" t="s">
        <v>62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311</v>
      </c>
      <c r="D23" s="19" t="s">
        <v>302</v>
      </c>
      <c r="E23" s="19" t="s">
        <v>66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307</v>
      </c>
      <c r="D24" s="19" t="s">
        <v>302</v>
      </c>
      <c r="E24" s="19" t="s">
        <v>310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312</v>
      </c>
      <c r="D25" s="19" t="s">
        <v>302</v>
      </c>
      <c r="E25" s="19" t="s">
        <v>68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313</v>
      </c>
      <c r="D26" s="19" t="s">
        <v>302</v>
      </c>
      <c r="E26" s="19" t="s">
        <v>59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314</v>
      </c>
      <c r="D28" s="19" t="s">
        <v>302</v>
      </c>
      <c r="E28" s="19" t="s">
        <v>319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315</v>
      </c>
      <c r="D29" s="19" t="s">
        <v>302</v>
      </c>
      <c r="E29" s="19" t="s">
        <v>55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315</v>
      </c>
      <c r="D30" s="19" t="s">
        <v>302</v>
      </c>
      <c r="E30" s="19" t="s">
        <v>320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316</v>
      </c>
      <c r="D31" s="19" t="s">
        <v>302</v>
      </c>
      <c r="E31" s="19" t="s">
        <v>53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317</v>
      </c>
      <c r="D32" s="19" t="s">
        <v>302</v>
      </c>
      <c r="E32" s="19" t="s">
        <v>63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318</v>
      </c>
      <c r="D33" s="19" t="s">
        <v>302</v>
      </c>
      <c r="E33" s="19" t="s">
        <v>54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64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70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65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58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321</v>
      </c>
      <c r="E39" s="19" t="s">
        <v>322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1"/>
  <sheetViews>
    <sheetView topLeftCell="A79" workbookViewId="0">
      <selection activeCell="E91" sqref="E1:E91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1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294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370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"Автопарк №18 г. Жодино на постоянную работу требуются в"</v>
      </c>
      <c r="E86" s="16" t="str">
        <f>"&lt;"&amp;B86&amp;"&gt;"&amp;LEFT(A86&amp;REPT(" ",20),64)</f>
        <v>&lt;086&gt;Филиалу "Автопарк №18 г. Жодино на постоянную работу требуются в</v>
      </c>
    </row>
    <row r="87" spans="1:5" x14ac:dyDescent="0.25">
      <c r="A87" s="24" t="s">
        <v>371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"одители категории D. Зарплата от 800 до 1500 руб. Тел. 8 (01775)"</v>
      </c>
      <c r="E87" s="16" t="str">
        <f>"&lt;"&amp;B87&amp;"&gt;"&amp;LEFT(A87&amp;REPT(" ",20),64)</f>
        <v>&lt;087&gt;одители категории D. Зарплата от 800 до 1500 руб. Тел. 8 (01775)</v>
      </c>
    </row>
    <row r="88" spans="1:5" x14ac:dyDescent="0.25">
      <c r="A88" s="24" t="s">
        <v>372</v>
      </c>
      <c r="B88" s="25" t="str">
        <f t="shared" si="8"/>
        <v>088</v>
      </c>
      <c r="C88" s="25">
        <f>LEN(A88)</f>
        <v>12</v>
      </c>
      <c r="D88" s="24" t="str">
        <f>""""&amp;LEFT(A88&amp;REPT(" ",20),64)&amp;""""</f>
        <v>"66014, 66007                    "</v>
      </c>
      <c r="E88" s="16" t="str">
        <f>"&lt;"&amp;B88&amp;"&gt;"&amp;LEFT(A88&amp;REPT(" ",20),64)</f>
        <v xml:space="preserve">&lt;088&gt;66014, 66007                    </v>
      </c>
    </row>
    <row r="90" spans="1:5" x14ac:dyDescent="0.25">
      <c r="A90" s="24" t="s">
        <v>367</v>
      </c>
      <c r="B90" s="25" t="str">
        <f t="shared" si="8"/>
        <v>090</v>
      </c>
      <c r="C90" s="25">
        <f>LEN(A90)</f>
        <v>8</v>
      </c>
      <c r="D90" s="24" t="str">
        <f>""""&amp;LEFT(A90&amp;REPT(" ",20),64)&amp;""""</f>
        <v>"Пожарная                    "</v>
      </c>
      <c r="E90" s="16" t="str">
        <f>"&lt;"&amp;B90&amp;"&gt;"&amp;LEFT(A90&amp;REPT(" ",20),64)</f>
        <v xml:space="preserve">&lt;090&gt;Пожарная                    </v>
      </c>
    </row>
    <row r="91" spans="1:5" x14ac:dyDescent="0.25">
      <c r="A91" s="24" t="s">
        <v>369</v>
      </c>
      <c r="B91" s="25" t="str">
        <f t="shared" si="8"/>
        <v>091</v>
      </c>
      <c r="C91" s="25">
        <f>LEN(A91)</f>
        <v>18</v>
      </c>
      <c r="D91" s="24" t="str">
        <f>""""&amp;LEFT(A91&amp;REPT(" ",20),64)&amp;""""</f>
        <v>"Будьте внимательны                    "</v>
      </c>
      <c r="E91" s="16" t="str">
        <f>"&lt;"&amp;B91&amp;"&gt;"&amp;LEFT(A91&amp;REPT(" ",20),64)</f>
        <v xml:space="preserve">&lt;091&gt;Будьте внимательны         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1" sqref="E1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74</v>
      </c>
      <c r="B2" s="3" t="s">
        <v>10</v>
      </c>
      <c r="C2" s="8" t="s">
        <v>9</v>
      </c>
      <c r="E2" s="5" t="s">
        <v>75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29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366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30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51</v>
      </c>
      <c r="C15" s="9" t="s">
        <v>34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57</v>
      </c>
      <c r="C18" s="9" t="s">
        <v>32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71</v>
      </c>
      <c r="C20" s="9" t="s">
        <v>49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61</v>
      </c>
      <c r="C21" s="9" t="s">
        <v>37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60</v>
      </c>
      <c r="C22" s="9" t="s">
        <v>36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62</v>
      </c>
      <c r="C23" s="9" t="s">
        <v>38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66</v>
      </c>
      <c r="C24" s="9" t="s">
        <v>44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67</v>
      </c>
      <c r="C25" s="9" t="s">
        <v>45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68</v>
      </c>
      <c r="C26" s="9" t="s">
        <v>46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59</v>
      </c>
      <c r="C27" s="9" t="s">
        <v>35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52</v>
      </c>
      <c r="C29" s="9" t="s">
        <v>31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55</v>
      </c>
      <c r="C30" s="9" t="s">
        <v>50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56</v>
      </c>
      <c r="C31" s="9" t="s">
        <v>39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53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63</v>
      </c>
      <c r="C33" s="9" t="s">
        <v>40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54</v>
      </c>
      <c r="C34" s="9" t="s">
        <v>43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64</v>
      </c>
      <c r="C36" s="9" t="s">
        <v>41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70</v>
      </c>
      <c r="C37" s="9" t="s">
        <v>48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65</v>
      </c>
      <c r="C38" s="9" t="s">
        <v>42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58</v>
      </c>
      <c r="C39" s="9" t="s">
        <v>33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69</v>
      </c>
      <c r="C40" s="9" t="s">
        <v>47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workbookViewId="0">
      <pane ySplit="2" topLeftCell="A3" activePane="bottomLeft" state="frozen"/>
      <selection activeCell="B1" sqref="B1"/>
      <selection pane="bottomLeft" activeCell="M8" sqref="M8"/>
    </sheetView>
  </sheetViews>
  <sheetFormatPr defaultColWidth="9" defaultRowHeight="14.3" x14ac:dyDescent="0.25"/>
  <cols>
    <col min="1" max="1" width="22.625" style="44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1" width="15.125" style="45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{"&amp;СцепитьМного(H8:L8,", ")&amp;", d 000, n "&amp;TEXT(G8,"000")&amp;"}"</f>
        <v>&lt;unit008&gt; "ул.Труда" {p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F9" s="44" t="s">
        <v>368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{p 083, c 900, v "\mp3_ost\elseti.mp3", c 930, d 000, n 010}</v>
      </c>
    </row>
    <row r="10" spans="1:13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{p 083, c 902, v "\mp3_ost\elseti.mp3", d 000, n 011}</v>
      </c>
    </row>
    <row r="11" spans="1:13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F11" s="44" t="s">
        <v>368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{p 056, c 900, c 928, v "\mp3_ost\kupriyan.mp3", c 930, d 000, n 012}</v>
      </c>
    </row>
    <row r="12" spans="1:13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{p 056, c 902, c 928, v "\mp3_ost\kupriyan.mp3", d 000, n 013}</v>
      </c>
    </row>
    <row r="13" spans="1:13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F13" s="44" t="s">
        <v>368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{p 042, c 900, v "\mp3_ost\tec.mp3", c 930, d 000, n 014}</v>
      </c>
    </row>
    <row r="14" spans="1:13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{p 042, c 902, v "\mp3_ost\tec.mp3", d 000, n 015}</v>
      </c>
    </row>
    <row r="15" spans="1:13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F15" s="44" t="s">
        <v>368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6"/>
      <c r="L15" s="40" t="str">
        <f t="shared" si="4"/>
        <v>c 930</v>
      </c>
      <c r="M15" s="42" t="str">
        <f t="shared" si="5"/>
        <v>&lt;unit015&gt; "&gt;&gt;ул.Жодинская" {p 054, c 900, c 928, v "\mp3_ost\!_silent.mp3", c 930, d 000, n 016}</v>
      </c>
    </row>
    <row r="16" spans="1:13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6"/>
      <c r="L16" s="40" t="str">
        <f t="shared" si="4"/>
        <v/>
      </c>
      <c r="M16" s="42" t="str">
        <f t="shared" si="5"/>
        <v>&lt;unit016&gt; "ул.Жодинская" {p 054, c 902, c 928, v "\mp3_ost\!_silent.mp3", d 000, n 017}</v>
      </c>
    </row>
    <row r="17" spans="2:13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F17" s="44" t="s">
        <v>368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{p 010, c 900, v "\mp3_ost\jd.mp3", c 930, d 000, n 018}</v>
      </c>
    </row>
    <row r="18" spans="2:13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{p 010, c 902, v "\mp3_ost\jd.mp3", d 000, n 019}</v>
      </c>
    </row>
    <row r="19" spans="2:13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F19" s="44" t="s">
        <v>368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{p 068, c 900, c 928, v "\mp3_ost\partizan.mp3", c 930, d 000, n 020}</v>
      </c>
    </row>
    <row r="20" spans="2:13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{p 068, c 902, c 928, v "\mp3_ost\partizan.mp3", d 000, n 021}</v>
      </c>
    </row>
    <row r="21" spans="2:13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F21" s="44" t="s">
        <v>368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{p 064, c 900, c 928, v "\mp3_ost\moskovsk.mp3", c 930, d 000, n 022}</v>
      </c>
    </row>
    <row r="22" spans="2:13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{p 064, c 902, c 928, v "\mp3_ost\moskovsk.mp3", d 000, n 023}</v>
      </c>
    </row>
    <row r="23" spans="2:13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F23" s="44" t="s">
        <v>368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{p 077, c 900, c 928, v "\mp3_ost\swrokvas.mp3", c 930, d 000, n 024}</v>
      </c>
    </row>
    <row r="24" spans="2:13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{p 077, c 902, c 928, v "\mp3_ost\swrokvas.mp3", d 000, n 025}</v>
      </c>
    </row>
    <row r="25" spans="2:13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F25" s="44" t="s">
        <v>368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{p 031, c 900, v "\mp3_ost\mira.mp3", c 930, d 000, n 026}</v>
      </c>
    </row>
    <row r="26" spans="2:13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{p 031, c 902, v "\mp3_ost\mira.mp3", d 000, n 027}</v>
      </c>
    </row>
    <row r="27" spans="2:13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F27" s="44" t="s">
        <v>368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{p 045, c 900, c 928, v "\mp3_ost\50letokt.mp3", c 930, d 000, n 028}</v>
      </c>
    </row>
    <row r="28" spans="2:13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{p 045, c 902, c 928, v "\mp3_ost\50letokt.mp3", d 000, n 029}</v>
      </c>
    </row>
    <row r="29" spans="2:13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F29" s="44" t="s">
        <v>368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{p 040, c 900, v "\mp3_ost\tc.mp3", c 930, d 000, n 030}</v>
      </c>
    </row>
    <row r="30" spans="2:13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{p 040, c 902, v "\mp3_ost\tc.mp3", d 000, n 031}</v>
      </c>
    </row>
    <row r="31" spans="2:13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363</v>
      </c>
      <c r="F31" s="44" t="s">
        <v>368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6"/>
      <c r="L31" s="40" t="str">
        <f t="shared" si="4"/>
        <v>c 930</v>
      </c>
      <c r="M31" s="42" t="str">
        <f t="shared" si="5"/>
        <v>&lt;unit031&gt; "&gt;&gt;Универмаг" {p 081, c 900, v "\mp3_ost\!_silent.mp3", c 930, d 000, n 032}</v>
      </c>
    </row>
    <row r="32" spans="2:13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363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6"/>
      <c r="L32" s="40" t="str">
        <f t="shared" si="4"/>
        <v/>
      </c>
      <c r="M32" s="42" t="str">
        <f t="shared" si="5"/>
        <v>&lt;unit032&gt; "Универмаг" {p 081, c 902, v "\mp3_ost\!_silent.mp3", d 000, n 033}</v>
      </c>
    </row>
    <row r="33" spans="2:13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F33" s="44" t="s">
        <v>368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{p 029, c 900, v "\mp3_ost\venis`e.mp3", c 930, d 000, n 034}</v>
      </c>
    </row>
    <row r="34" spans="2:13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{p 029, c 902, v "\mp3_ost\venis`e.mp3", d 000, n 035}</v>
      </c>
    </row>
    <row r="35" spans="2:13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349</v>
      </c>
      <c r="F35" s="44" t="s">
        <v>368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{p 050, c 900, c 928, v "\mp3_ost\borovaja.mp3", c 930, d 000, n 036}</v>
      </c>
    </row>
    <row r="36" spans="2:13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349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{p 050, c 902, c 928, v "\mp3_ost\borovaja.mp3", d 000, n 037}</v>
      </c>
    </row>
    <row r="37" spans="2:13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F37" s="44" t="s">
        <v>368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{p 006, c 900, v "\mp3_ost\bolnica.mp3", c 930, d 000, n 038}</v>
      </c>
    </row>
    <row r="38" spans="2:13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{p 006, c 902, v "\mp3_ost\bolnica.mp3", d 000, n 039}</v>
      </c>
    </row>
    <row r="39" spans="2:13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F39" s="44" t="s">
        <v>368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{p 038, c 900, v "\mp3_ost\8ssh.mp3", c 930, d 000, n 040}</v>
      </c>
    </row>
    <row r="40" spans="2:13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71" si="9">"&lt;unit"&amp;TEXT(B40,"000")&amp;"&gt; """&amp;СцепитьМного(D40:E40,"")&amp;""" {"&amp;СцепитьМного(H40:L40,", ")&amp;", d 000, n "&amp;TEXT(G40,"000")&amp;"}"</f>
        <v>&lt;unit040&gt; "СШ № 8" {p 038, c 902, v "\mp3_ost\8ssh.mp3", d 000, n 041}</v>
      </c>
    </row>
    <row r="41" spans="2:13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F41" s="44" t="s">
        <v>368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{p 063, c 900, c 928, v "\mp3_ost\magistra.mp3", c 930, d 000, n 042}</v>
      </c>
    </row>
    <row r="42" spans="2:13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{p 063, c 902, c 928, v "\mp3_ost\magistra.mp3", d 000, n 043}</v>
      </c>
    </row>
    <row r="43" spans="2:13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364</v>
      </c>
      <c r="F43" s="44" t="s">
        <v>368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"\mp3_ost\!_silent.mp3"</v>
      </c>
      <c r="K43" s="46"/>
      <c r="L43" s="40" t="str">
        <f t="shared" si="8"/>
        <v>c 930</v>
      </c>
      <c r="M43" s="42" t="str">
        <f t="shared" si="9"/>
        <v>&lt;unit043&gt; "&gt;&gt;Углы" {p 043, c 900, v "\mp3_ost\!_silent.mp3", c 930, d 000, n 044}</v>
      </c>
    </row>
    <row r="44" spans="2:13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364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"\mp3_ost\!_silent.mp3"</v>
      </c>
      <c r="K44" s="46"/>
      <c r="L44" s="40" t="str">
        <f t="shared" si="8"/>
        <v/>
      </c>
      <c r="M44" s="42" t="str">
        <f t="shared" si="9"/>
        <v>&lt;unit044&gt; "Углы" {p 043, c 902, v "\mp3_ost\!_silent.mp3", d 000, n 045}</v>
      </c>
    </row>
    <row r="45" spans="2:13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365</v>
      </c>
      <c r="F45" s="44" t="s">
        <v>368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"\mp3_ost\!_silent.mp3"</v>
      </c>
      <c r="K45" s="46"/>
      <c r="L45" s="40" t="str">
        <f t="shared" si="8"/>
        <v>c 930</v>
      </c>
      <c r="M45" s="42" t="str">
        <f t="shared" si="9"/>
        <v>&lt;unit045&gt; "&gt;&gt;Углы-2" {p 044, c 900, v "\mp3_ost\!_silent.mp3", c 930, d 000, n 046}</v>
      </c>
    </row>
    <row r="46" spans="2:13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365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"\mp3_ost\!_silent.mp3"</v>
      </c>
      <c r="K46" s="46"/>
      <c r="L46" s="40" t="str">
        <f t="shared" si="8"/>
        <v/>
      </c>
      <c r="M46" s="42" t="str">
        <f t="shared" si="9"/>
        <v>&lt;unit046&gt; "Углы-2" {p 044, c 902, v "\mp3_ost\!_silent.mp3", d 000, n 047}</v>
      </c>
    </row>
    <row r="47" spans="2:13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289</v>
      </c>
      <c r="F47" s="44" t="s">
        <v>368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"\mp3_ost\!_silent.mp3"</v>
      </c>
      <c r="K47" s="46"/>
      <c r="L47" s="40" t="str">
        <f t="shared" si="8"/>
        <v>c 930</v>
      </c>
      <c r="M47" s="42" t="str">
        <f t="shared" si="9"/>
        <v>&lt;unit047&gt; "&gt;&gt;Кузнечный-3" {p 018, c 900, v "\mp3_ost\!_silent.mp3", c 930, d 000, n 048}</v>
      </c>
    </row>
    <row r="48" spans="2:13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"\mp3_ost\!_silent.mp3"</v>
      </c>
      <c r="K48" s="46"/>
      <c r="L48" s="40" t="str">
        <f t="shared" si="8"/>
        <v/>
      </c>
      <c r="M48" s="42" t="str">
        <f t="shared" si="9"/>
        <v>&lt;unit048&gt; "Кузнечный-3" {p 018, c 902, v "\mp3_ost\!_silent.mp3", d 000, n 049}</v>
      </c>
    </row>
    <row r="49" spans="2:13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356</v>
      </c>
      <c r="F49" s="44" t="s">
        <v>368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"\mp3_ost\!_silent.mp3"</v>
      </c>
      <c r="K49" s="46"/>
      <c r="L49" s="40" t="str">
        <f t="shared" si="8"/>
        <v>c 930</v>
      </c>
      <c r="M49" s="42" t="str">
        <f t="shared" si="9"/>
        <v>&lt;unit049&gt; "&gt;&gt;ул.Солигорская" {p 074, c 900, c 928, v "\mp3_ost\!_silent.mp3", c 930, d 000, n 050}</v>
      </c>
    </row>
    <row r="50" spans="2:13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356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"\mp3_ost\!_silent.mp3"</v>
      </c>
      <c r="K50" s="46"/>
      <c r="L50" s="40" t="str">
        <f t="shared" si="8"/>
        <v/>
      </c>
      <c r="M50" s="42" t="str">
        <f t="shared" si="9"/>
        <v>&lt;unit050&gt; "ул.Солигорская" {p 074, c 902, c 928, v "\mp3_ost\!_silent.mp3", d 000, n 051}</v>
      </c>
    </row>
    <row r="51" spans="2:13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357</v>
      </c>
      <c r="F51" s="44" t="s">
        <v>368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"\mp3_ost\!_silent.mp3"</v>
      </c>
      <c r="K51" s="46"/>
      <c r="L51" s="40" t="str">
        <f t="shared" si="8"/>
        <v>c 930</v>
      </c>
      <c r="M51" s="42" t="str">
        <f t="shared" si="9"/>
        <v>&lt;unit051&gt; "&gt;&gt;ул.Витебская" {p 051, c 900, c 928, v "\mp3_ost\!_silent.mp3", c 930, d 000, n 052}</v>
      </c>
    </row>
    <row r="52" spans="2:13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357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"\mp3_ost\!_silent.mp3"</v>
      </c>
      <c r="K52" s="46"/>
      <c r="L52" s="40" t="str">
        <f t="shared" si="8"/>
        <v/>
      </c>
      <c r="M52" s="42" t="str">
        <f t="shared" si="9"/>
        <v>&lt;unit052&gt; "ул.Витебская" {p 051, c 902, c 928, v "\mp3_ost\!_silent.mp3", d 000, n 053}</v>
      </c>
    </row>
    <row r="53" spans="2:13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F53" s="44" t="s">
        <v>368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{p 058, c 900, c 928, v "\mp3_ost\leninska.mp3", c 930, d 000, n 054}</v>
      </c>
    </row>
    <row r="54" spans="2:13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{p 058, c 902, c 928, v "\mp3_ost\leninska.mp3", d 000, n 055}</v>
      </c>
    </row>
    <row r="55" spans="2:13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F55" s="44" t="s">
        <v>368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{p 014, c 900, v "\mp3_ost\kztsh.mp3", c 930, d 000, n 056}</v>
      </c>
    </row>
    <row r="56" spans="2:13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80</v>
      </c>
      <c r="D60" s="39" t="str">
        <f t="shared" ref="D60:D108" si="12">IF(I60="c 900","&gt;&gt;","")</f>
        <v/>
      </c>
      <c r="E60" s="44" t="s">
        <v>214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{"&amp;СцепитьМного(H60:L60,", ")&amp;", d 000, n "&amp;TEXT(G60,"000")&amp;"}"</f>
        <v>&lt;unit060&gt; "КЗТШ" {p 014, c 902, v "\mp3_ost\kztsh.mp3", d 000, n 061}</v>
      </c>
    </row>
    <row r="61" spans="2:13" x14ac:dyDescent="0.25">
      <c r="B61" s="44">
        <f t="shared" si="11"/>
        <v>61</v>
      </c>
      <c r="C61" s="44" t="s">
        <v>330</v>
      </c>
      <c r="D61" s="39" t="str">
        <f t="shared" si="12"/>
        <v>&gt;&gt;</v>
      </c>
      <c r="E61" s="44" t="s">
        <v>273</v>
      </c>
      <c r="F61" s="44" t="s">
        <v>368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{p 058, c 900, c 928, v "\mp3_ost\leninska.mp3", c 930, d 000, n 062}</v>
      </c>
    </row>
    <row r="62" spans="2:13" x14ac:dyDescent="0.25">
      <c r="B62" s="44">
        <f t="shared" si="11"/>
        <v>62</v>
      </c>
      <c r="C62" s="44" t="s">
        <v>80</v>
      </c>
      <c r="D62" s="39" t="str">
        <f t="shared" si="12"/>
        <v/>
      </c>
      <c r="E62" s="44" t="s">
        <v>273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{p 058, c 902, c 928, v "\mp3_ost\leninska.mp3", d 000, n 063}</v>
      </c>
    </row>
    <row r="63" spans="2:13" x14ac:dyDescent="0.25">
      <c r="B63" s="44">
        <f t="shared" si="11"/>
        <v>63</v>
      </c>
      <c r="C63" s="44" t="s">
        <v>330</v>
      </c>
      <c r="D63" s="39" t="str">
        <f t="shared" si="12"/>
        <v>&gt;&gt;</v>
      </c>
      <c r="E63" s="44" t="s">
        <v>357</v>
      </c>
      <c r="F63" s="44" t="s">
        <v>368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"\mp3_ost\!_silent.mp3"</v>
      </c>
      <c r="K63" s="46"/>
      <c r="L63" s="40" t="str">
        <f t="shared" si="16"/>
        <v>c 930</v>
      </c>
      <c r="M63" s="42" t="str">
        <f t="shared" si="17"/>
        <v>&lt;unit063&gt; "&gt;&gt;ул.Витебская" {p 051, c 900, c 928, v "\mp3_ost\!_silent.mp3", c 930, d 000, n 064}</v>
      </c>
    </row>
    <row r="64" spans="2:13" x14ac:dyDescent="0.25">
      <c r="B64" s="44">
        <f t="shared" si="11"/>
        <v>64</v>
      </c>
      <c r="C64" s="44" t="s">
        <v>80</v>
      </c>
      <c r="D64" s="39" t="str">
        <f t="shared" si="12"/>
        <v/>
      </c>
      <c r="E64" s="44" t="s">
        <v>357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"\mp3_ost\!_silent.mp3"</v>
      </c>
      <c r="K64" s="46"/>
      <c r="L64" s="40" t="str">
        <f t="shared" si="16"/>
        <v/>
      </c>
      <c r="M64" s="42" t="str">
        <f t="shared" si="17"/>
        <v>&lt;unit064&gt; "ул.Витебская" {p 051, c 902, c 928, v "\mp3_ost\!_silent.mp3", d 000, n 065}</v>
      </c>
    </row>
    <row r="65" spans="2:13" x14ac:dyDescent="0.25">
      <c r="B65" s="44">
        <f t="shared" si="11"/>
        <v>65</v>
      </c>
      <c r="C65" s="44" t="s">
        <v>330</v>
      </c>
      <c r="D65" s="39" t="str">
        <f t="shared" si="12"/>
        <v>&gt;&gt;</v>
      </c>
      <c r="E65" s="44" t="s">
        <v>356</v>
      </c>
      <c r="F65" s="44" t="s">
        <v>368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"\mp3_ost\!_silent.mp3"</v>
      </c>
      <c r="K65" s="46"/>
      <c r="L65" s="40" t="str">
        <f t="shared" si="16"/>
        <v>c 930</v>
      </c>
      <c r="M65" s="42" t="str">
        <f t="shared" si="17"/>
        <v>&lt;unit065&gt; "&gt;&gt;ул.Солигорская" {p 074, c 900, c 928, v "\mp3_ost\!_silent.mp3", c 930, d 000, n 066}</v>
      </c>
    </row>
    <row r="66" spans="2:13" x14ac:dyDescent="0.25">
      <c r="B66" s="44">
        <f t="shared" si="11"/>
        <v>66</v>
      </c>
      <c r="C66" s="44" t="s">
        <v>80</v>
      </c>
      <c r="D66" s="39" t="str">
        <f t="shared" si="12"/>
        <v/>
      </c>
      <c r="E66" s="44" t="s">
        <v>356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"\mp3_ost\!_silent.mp3"</v>
      </c>
      <c r="K66" s="46"/>
      <c r="L66" s="40" t="str">
        <f t="shared" si="16"/>
        <v/>
      </c>
      <c r="M66" s="42" t="str">
        <f t="shared" si="17"/>
        <v>&lt;unit066&gt; "ул.Солигорская" {p 074, c 902, c 928, v "\mp3_ost\!_silent.mp3", d 000, n 067}</v>
      </c>
    </row>
    <row r="67" spans="2:13" x14ac:dyDescent="0.25">
      <c r="B67" s="44">
        <f t="shared" si="11"/>
        <v>67</v>
      </c>
      <c r="C67" s="44" t="s">
        <v>330</v>
      </c>
      <c r="D67" s="39" t="str">
        <f t="shared" si="12"/>
        <v>&gt;&gt;</v>
      </c>
      <c r="E67" s="44" t="s">
        <v>358</v>
      </c>
      <c r="F67" s="44" t="s">
        <v>368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{p 072, c 900, c 928, v "\mp3_ost\sluchk.mp3", c 930, d 000, n 068}</v>
      </c>
    </row>
    <row r="68" spans="2:13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358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{p 072, c 902, c 928, v "\mp3_ost\sluchk.mp3", d 000, n 069}</v>
      </c>
    </row>
    <row r="69" spans="2:13" x14ac:dyDescent="0.25">
      <c r="B69" s="44">
        <f t="shared" si="11"/>
        <v>69</v>
      </c>
      <c r="C69" s="44" t="s">
        <v>330</v>
      </c>
      <c r="D69" s="39" t="str">
        <f t="shared" si="12"/>
        <v>&gt;&gt;</v>
      </c>
      <c r="E69" s="44" t="s">
        <v>365</v>
      </c>
      <c r="F69" s="44" t="s">
        <v>368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"\mp3_ost\!_silent.mp3"</v>
      </c>
      <c r="K69" s="46"/>
      <c r="L69" s="40" t="str">
        <f t="shared" si="16"/>
        <v>c 930</v>
      </c>
      <c r="M69" s="42" t="str">
        <f t="shared" si="17"/>
        <v>&lt;unit069&gt; "&gt;&gt;Углы-2" {p 044, c 900, v "\mp3_ost\!_silent.mp3", c 930, d 000, n 070}</v>
      </c>
    </row>
    <row r="70" spans="2:13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365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"\mp3_ost\!_silent.mp3"</v>
      </c>
      <c r="K70" s="46"/>
      <c r="L70" s="40" t="str">
        <f t="shared" si="16"/>
        <v/>
      </c>
      <c r="M70" s="42" t="str">
        <f t="shared" si="17"/>
        <v>&lt;unit070&gt; "Углы-2" {p 044, c 902, v "\mp3_ost\!_silent.mp3", d 000, n 071}</v>
      </c>
    </row>
    <row r="71" spans="2:13" x14ac:dyDescent="0.25">
      <c r="B71" s="44">
        <f t="shared" si="11"/>
        <v>71</v>
      </c>
      <c r="C71" s="44" t="s">
        <v>330</v>
      </c>
      <c r="D71" s="39" t="str">
        <f t="shared" si="12"/>
        <v>&gt;&gt;</v>
      </c>
      <c r="E71" s="44" t="s">
        <v>276</v>
      </c>
      <c r="F71" s="44" t="s">
        <v>368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{p 063, c 900, c 928, v "\mp3_ost\magistra.mp3", c 930, d 000, n 072}</v>
      </c>
    </row>
    <row r="72" spans="2:13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276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{p 063, c 902, c 928, v "\mp3_ost\magistra.mp3", d 000, n 073}</v>
      </c>
    </row>
    <row r="73" spans="2:13" x14ac:dyDescent="0.25">
      <c r="B73" s="44">
        <f t="shared" si="11"/>
        <v>73</v>
      </c>
      <c r="C73" s="44" t="s">
        <v>330</v>
      </c>
      <c r="D73" s="39" t="str">
        <f t="shared" si="12"/>
        <v>&gt;&gt;</v>
      </c>
      <c r="E73" s="44" t="s">
        <v>350</v>
      </c>
      <c r="F73" s="44" t="s">
        <v>368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"\mp3_ost\!_silent.mp3"</v>
      </c>
      <c r="K73" s="46"/>
      <c r="L73" s="40" t="str">
        <f t="shared" si="16"/>
        <v>c 930</v>
      </c>
      <c r="M73" s="42" t="str">
        <f t="shared" si="17"/>
        <v>&lt;unit073&gt; "&gt;&gt;ул.Родниковая" {p 070, c 900, c 928, v "\mp3_ost\!_silent.mp3", c 930, d 000, n 074}</v>
      </c>
    </row>
    <row r="74" spans="2:13" x14ac:dyDescent="0.25">
      <c r="B74" s="44">
        <f t="shared" si="11"/>
        <v>74</v>
      </c>
      <c r="C74" s="44" t="s">
        <v>80</v>
      </c>
      <c r="D74" s="39" t="str">
        <f t="shared" si="12"/>
        <v/>
      </c>
      <c r="E74" s="44" t="s">
        <v>350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"\mp3_ost\!_silent.mp3"</v>
      </c>
      <c r="K74" s="46"/>
      <c r="L74" s="40" t="str">
        <f t="shared" si="16"/>
        <v/>
      </c>
      <c r="M74" s="42" t="str">
        <f t="shared" si="17"/>
        <v>&lt;unit074&gt; "ул.Родниковая" {p 070, c 902, c 928, v "\mp3_ost\!_silent.mp3", d 000, n 075}</v>
      </c>
    </row>
    <row r="75" spans="2:13" x14ac:dyDescent="0.25">
      <c r="B75" s="44">
        <f t="shared" si="11"/>
        <v>75</v>
      </c>
      <c r="C75" s="44" t="s">
        <v>330</v>
      </c>
      <c r="D75" s="39" t="str">
        <f t="shared" si="12"/>
        <v>&gt;&gt;</v>
      </c>
      <c r="E75" s="44" t="s">
        <v>175</v>
      </c>
      <c r="F75" s="44" t="s">
        <v>368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{p 038, c 900, v "\mp3_ost\8ssh.mp3", c 930, d 000, n 076}</v>
      </c>
    </row>
    <row r="76" spans="2:13" x14ac:dyDescent="0.25">
      <c r="B76" s="44">
        <f t="shared" si="11"/>
        <v>76</v>
      </c>
      <c r="C76" s="44" t="s">
        <v>80</v>
      </c>
      <c r="D76" s="39" t="str">
        <f t="shared" si="12"/>
        <v/>
      </c>
      <c r="E76" s="44" t="s">
        <v>175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{p 038, c 902, v "\mp3_ost\8ssh.mp3", d 000, n 077}</v>
      </c>
    </row>
    <row r="77" spans="2:13" x14ac:dyDescent="0.25">
      <c r="B77" s="44">
        <f t="shared" si="11"/>
        <v>77</v>
      </c>
      <c r="C77" s="44" t="s">
        <v>330</v>
      </c>
      <c r="D77" s="39" t="str">
        <f t="shared" si="12"/>
        <v>&gt;&gt;</v>
      </c>
      <c r="E77" s="44" t="s">
        <v>181</v>
      </c>
      <c r="F77" s="44" t="s">
        <v>368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{p 006, c 900, v "\mp3_ost\bolnica.mp3", c 930, d 000, n 078}</v>
      </c>
    </row>
    <row r="78" spans="2:13" x14ac:dyDescent="0.25">
      <c r="B78" s="44">
        <f t="shared" si="11"/>
        <v>78</v>
      </c>
      <c r="C78" s="44" t="s">
        <v>80</v>
      </c>
      <c r="D78" s="39" t="str">
        <f t="shared" si="12"/>
        <v/>
      </c>
      <c r="E78" s="44" t="s">
        <v>181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{p 006, c 902, v "\mp3_ost\bolnica.mp3", d 000, n 079}</v>
      </c>
    </row>
    <row r="79" spans="2:13" x14ac:dyDescent="0.25">
      <c r="B79" s="44">
        <f t="shared" si="11"/>
        <v>79</v>
      </c>
      <c r="C79" s="44" t="s">
        <v>330</v>
      </c>
      <c r="D79" s="39" t="str">
        <f t="shared" si="12"/>
        <v>&gt;&gt;</v>
      </c>
      <c r="E79" s="44" t="s">
        <v>349</v>
      </c>
      <c r="F79" s="44" t="s">
        <v>368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{p 050, c 900, c 928, v "\mp3_ost\borovaja.mp3", c 930, d 000, n 080}</v>
      </c>
    </row>
    <row r="80" spans="2:13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349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{p 050, c 902, c 928, v "\mp3_ost\borovaja.mp3", d 000, n 081}</v>
      </c>
    </row>
    <row r="81" spans="2:13" x14ac:dyDescent="0.25">
      <c r="B81" s="44">
        <f t="shared" si="11"/>
        <v>81</v>
      </c>
      <c r="C81" s="44" t="s">
        <v>330</v>
      </c>
      <c r="D81" s="39" t="str">
        <f t="shared" si="12"/>
        <v>&gt;&gt;</v>
      </c>
      <c r="E81" s="44" t="s">
        <v>261</v>
      </c>
      <c r="F81" s="44" t="s">
        <v>368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{p 029, c 900, v "\mp3_ost\venis`e.mp3", c 930, d 000, n 082}</v>
      </c>
    </row>
    <row r="82" spans="2:13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261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{p 029, c 902, v "\mp3_ost\venis`e.mp3", d 000, n 083}</v>
      </c>
    </row>
    <row r="83" spans="2:13" x14ac:dyDescent="0.25">
      <c r="B83" s="44">
        <f t="shared" si="11"/>
        <v>83</v>
      </c>
      <c r="C83" s="44" t="s">
        <v>330</v>
      </c>
      <c r="D83" s="39" t="str">
        <f t="shared" si="12"/>
        <v>&gt;&gt;</v>
      </c>
      <c r="E83" s="44" t="s">
        <v>241</v>
      </c>
      <c r="F83" s="44" t="s">
        <v>368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{p 034, c 900, v "\mp3_ost\sberbank.mp3", c 930, d 000, n 084}</v>
      </c>
    </row>
    <row r="84" spans="2:13" x14ac:dyDescent="0.25">
      <c r="B84" s="44">
        <f t="shared" si="11"/>
        <v>84</v>
      </c>
      <c r="C84" s="44" t="s">
        <v>80</v>
      </c>
      <c r="D84" s="39" t="str">
        <f t="shared" si="12"/>
        <v/>
      </c>
      <c r="E84" s="44" t="s">
        <v>241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{p 034, c 902, v "\mp3_ost\sberbank.mp3", d 000, n 085}</v>
      </c>
    </row>
    <row r="85" spans="2:13" x14ac:dyDescent="0.25">
      <c r="B85" s="44">
        <f t="shared" si="11"/>
        <v>85</v>
      </c>
      <c r="C85" s="44" t="s">
        <v>330</v>
      </c>
      <c r="D85" s="39" t="str">
        <f t="shared" si="12"/>
        <v>&gt;&gt;</v>
      </c>
      <c r="E85" s="44" t="s">
        <v>226</v>
      </c>
      <c r="F85" s="44" t="s">
        <v>368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{p 027, c 900, v "\mp3_ost\paliklin.mp3", c 930, d 000, n 086}</v>
      </c>
    </row>
    <row r="86" spans="2:13" x14ac:dyDescent="0.25">
      <c r="B86" s="44">
        <f t="shared" si="11"/>
        <v>86</v>
      </c>
      <c r="C86" s="44" t="s">
        <v>80</v>
      </c>
      <c r="D86" s="39" t="str">
        <f t="shared" si="12"/>
        <v/>
      </c>
      <c r="E86" s="44" t="s">
        <v>226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{p 027, c 902, v "\mp3_ost\paliklin.mp3", d 000, n 087}</v>
      </c>
    </row>
    <row r="87" spans="2:13" x14ac:dyDescent="0.25">
      <c r="B87" s="44">
        <f t="shared" si="11"/>
        <v>87</v>
      </c>
      <c r="C87" s="44" t="s">
        <v>330</v>
      </c>
      <c r="D87" s="39" t="str">
        <f t="shared" si="12"/>
        <v>&gt;&gt;</v>
      </c>
      <c r="E87" s="44" t="s">
        <v>351</v>
      </c>
      <c r="F87" s="44" t="s">
        <v>368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"\mp3_ost\!_silent.mp3"</v>
      </c>
      <c r="K87" s="46"/>
      <c r="L87" s="40" t="str">
        <f t="shared" si="16"/>
        <v>c 930</v>
      </c>
      <c r="M87" s="42" t="str">
        <f t="shared" si="17"/>
        <v>&lt;unit087&gt; "&gt;&gt;Парк культуры" {p 022, c 900, v "\mp3_ost\!_silent.mp3", c 930, d 000, n 088}</v>
      </c>
    </row>
    <row r="88" spans="2:13" x14ac:dyDescent="0.25">
      <c r="B88" s="44">
        <f t="shared" si="11"/>
        <v>88</v>
      </c>
      <c r="C88" s="44" t="s">
        <v>80</v>
      </c>
      <c r="D88" s="39" t="str">
        <f t="shared" si="12"/>
        <v/>
      </c>
      <c r="E88" s="44" t="s">
        <v>351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"\mp3_ost\!_silent.mp3"</v>
      </c>
      <c r="K88" s="46"/>
      <c r="L88" s="40" t="str">
        <f t="shared" si="16"/>
        <v/>
      </c>
      <c r="M88" s="42" t="str">
        <f t="shared" si="17"/>
        <v>&lt;unit088&gt; "Парк культуры" {p 022, c 902, v "\mp3_ost\!_silent.mp3", d 000, n 089}</v>
      </c>
    </row>
    <row r="89" spans="2:13" x14ac:dyDescent="0.25">
      <c r="B89" s="44">
        <f t="shared" si="11"/>
        <v>89</v>
      </c>
      <c r="C89" s="44" t="s">
        <v>330</v>
      </c>
      <c r="D89" s="39" t="str">
        <f t="shared" si="12"/>
        <v>&gt;&gt;</v>
      </c>
      <c r="E89" s="44" t="s">
        <v>234</v>
      </c>
      <c r="F89" s="44" t="s">
        <v>368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{p 028, c 900, v "\mp3_ost\pochta.mp3", c 930, d 000, n 090}</v>
      </c>
    </row>
    <row r="90" spans="2:13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234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{p 028, c 902, v "\mp3_ost\pochta.mp3", d 000, n 091}</v>
      </c>
    </row>
    <row r="91" spans="2:13" x14ac:dyDescent="0.25">
      <c r="B91" s="44">
        <f t="shared" si="11"/>
        <v>91</v>
      </c>
      <c r="C91" s="44" t="s">
        <v>330</v>
      </c>
      <c r="D91" s="39" t="str">
        <f t="shared" si="12"/>
        <v>&gt;&gt;</v>
      </c>
      <c r="E91" s="44" t="s">
        <v>168</v>
      </c>
      <c r="F91" s="44" t="s">
        <v>368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{p 077, c 900, c 928, v "\mp3_ost\swrokvas.mp3", c 930, d 000, n 092}</v>
      </c>
    </row>
    <row r="92" spans="2:13" x14ac:dyDescent="0.25">
      <c r="B92" s="44">
        <f t="shared" si="11"/>
        <v>92</v>
      </c>
      <c r="C92" s="44" t="s">
        <v>80</v>
      </c>
      <c r="D92" s="39" t="str">
        <f t="shared" si="12"/>
        <v/>
      </c>
      <c r="E92" s="44" t="s">
        <v>168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23" si="21">"&lt;unit"&amp;TEXT(B92,"000")&amp;"&gt; """&amp;СцепитьМного(D92:E92,"")&amp;""" {"&amp;СцепитьМного(H92:L92,", ")&amp;", d 000, n "&amp;TEXT(G92,"000")&amp;"}"</f>
        <v>&lt;unit092&gt; "ул.Сырокваша" {p 077, c 902, c 928, v "\mp3_ost\swrokvas.mp3", d 000, n 093}</v>
      </c>
    </row>
    <row r="93" spans="2:13" x14ac:dyDescent="0.25">
      <c r="B93" s="44">
        <f t="shared" si="11"/>
        <v>93</v>
      </c>
      <c r="C93" s="44" t="s">
        <v>330</v>
      </c>
      <c r="D93" s="39" t="str">
        <f t="shared" si="12"/>
        <v>&gt;&gt;</v>
      </c>
      <c r="E93" s="44" t="s">
        <v>166</v>
      </c>
      <c r="F93" s="44" t="s">
        <v>368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{p 064, c 900, c 928, v "\mp3_ost\moskovsk.mp3", c 930, d 000, n 094}</v>
      </c>
    </row>
    <row r="94" spans="2:13" x14ac:dyDescent="0.25">
      <c r="B94" s="44">
        <f t="shared" si="11"/>
        <v>94</v>
      </c>
      <c r="C94" s="44" t="s">
        <v>80</v>
      </c>
      <c r="D94" s="39" t="str">
        <f t="shared" si="12"/>
        <v/>
      </c>
      <c r="E94" s="44" t="s">
        <v>166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{p 064, c 902, c 928, v "\mp3_ost\moskovsk.mp3", d 000, n 095}</v>
      </c>
    </row>
    <row r="95" spans="2:13" x14ac:dyDescent="0.25">
      <c r="B95" s="44">
        <f t="shared" si="11"/>
        <v>95</v>
      </c>
      <c r="C95" s="44" t="s">
        <v>330</v>
      </c>
      <c r="D95" s="39" t="str">
        <f t="shared" si="12"/>
        <v>&gt;&gt;</v>
      </c>
      <c r="E95" s="44" t="s">
        <v>167</v>
      </c>
      <c r="F95" s="44" t="s">
        <v>368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{p 068, c 900, c 928, v "\mp3_ost\partizan.mp3", c 930, d 000, n 096}</v>
      </c>
    </row>
    <row r="96" spans="2:13" x14ac:dyDescent="0.25">
      <c r="B96" s="44">
        <f t="shared" si="11"/>
        <v>96</v>
      </c>
      <c r="C96" s="44" t="s">
        <v>80</v>
      </c>
      <c r="D96" s="39" t="str">
        <f t="shared" si="12"/>
        <v/>
      </c>
      <c r="E96" s="44" t="s">
        <v>167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{p 068, c 902, c 928, v "\mp3_ost\partizan.mp3", d 000, n 097}</v>
      </c>
    </row>
    <row r="97" spans="2:13" x14ac:dyDescent="0.25">
      <c r="B97" s="44">
        <f t="shared" si="11"/>
        <v>97</v>
      </c>
      <c r="C97" s="44" t="s">
        <v>330</v>
      </c>
      <c r="D97" s="39" t="str">
        <f t="shared" si="12"/>
        <v>&gt;&gt;</v>
      </c>
      <c r="E97" s="44" t="s">
        <v>164</v>
      </c>
      <c r="F97" s="44" t="s">
        <v>368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{p 010, c 900, v "\mp3_ost\jd.mp3", c 930, d 000, n 098}</v>
      </c>
    </row>
    <row r="98" spans="2:13" x14ac:dyDescent="0.25">
      <c r="B98" s="44">
        <f t="shared" si="11"/>
        <v>98</v>
      </c>
      <c r="C98" s="44" t="s">
        <v>80</v>
      </c>
      <c r="D98" s="39" t="str">
        <f t="shared" si="12"/>
        <v/>
      </c>
      <c r="E98" s="44" t="s">
        <v>164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{p 010, c 902, v "\mp3_ost\jd.mp3", d 000, n 099}</v>
      </c>
    </row>
    <row r="99" spans="2:13" x14ac:dyDescent="0.25">
      <c r="B99" s="44">
        <f t="shared" si="11"/>
        <v>99</v>
      </c>
      <c r="C99" s="44" t="s">
        <v>330</v>
      </c>
      <c r="D99" s="39" t="str">
        <f t="shared" si="12"/>
        <v>&gt;&gt;</v>
      </c>
      <c r="E99" s="44" t="s">
        <v>348</v>
      </c>
      <c r="F99" s="44" t="s">
        <v>368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"\mp3_ost\!_silent.mp3"</v>
      </c>
      <c r="K99" s="46"/>
      <c r="L99" s="40" t="str">
        <f t="shared" si="20"/>
        <v>c 930</v>
      </c>
      <c r="M99" s="42" t="str">
        <f t="shared" si="21"/>
        <v>&lt;unit099&gt; "&gt;&gt;ул.Жодинская" {p 054, c 900, c 928, v "\mp3_ost\!_silent.mp3", c 930, d 000, n 100}</v>
      </c>
    </row>
    <row r="100" spans="2:13" x14ac:dyDescent="0.25">
      <c r="B100" s="44">
        <f t="shared" si="11"/>
        <v>100</v>
      </c>
      <c r="C100" s="44" t="s">
        <v>80</v>
      </c>
      <c r="D100" s="39" t="str">
        <f t="shared" si="12"/>
        <v/>
      </c>
      <c r="E100" s="44" t="s">
        <v>348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"\mp3_ost\!_silent.mp3"</v>
      </c>
      <c r="K100" s="46"/>
      <c r="L100" s="40" t="str">
        <f t="shared" si="20"/>
        <v/>
      </c>
      <c r="M100" s="42" t="str">
        <f t="shared" si="21"/>
        <v>&lt;unit100&gt; "ул.Жодинская" {p 054, c 902, c 928, v "\mp3_ost\!_silent.mp3", d 000, n 101}</v>
      </c>
    </row>
    <row r="101" spans="2:13" x14ac:dyDescent="0.25">
      <c r="B101" s="44">
        <f t="shared" si="11"/>
        <v>101</v>
      </c>
      <c r="C101" s="44" t="s">
        <v>330</v>
      </c>
      <c r="D101" s="39" t="str">
        <f t="shared" si="12"/>
        <v>&gt;&gt;</v>
      </c>
      <c r="E101" s="44" t="s">
        <v>254</v>
      </c>
      <c r="F101" s="44" t="s">
        <v>368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{p 042, c 900, v "\mp3_ost\tec.mp3", c 930, d 000, n 102}</v>
      </c>
    </row>
    <row r="102" spans="2:13" x14ac:dyDescent="0.25">
      <c r="B102" s="44">
        <f t="shared" si="11"/>
        <v>102</v>
      </c>
      <c r="C102" s="44" t="s">
        <v>80</v>
      </c>
      <c r="D102" s="39" t="str">
        <f t="shared" si="12"/>
        <v/>
      </c>
      <c r="E102" s="44" t="s">
        <v>254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{p 042, c 902, v "\mp3_ost\tec.mp3", d 000, n 103}</v>
      </c>
    </row>
    <row r="103" spans="2:13" x14ac:dyDescent="0.25">
      <c r="B103" s="44">
        <f t="shared" si="11"/>
        <v>103</v>
      </c>
      <c r="C103" s="44" t="s">
        <v>330</v>
      </c>
      <c r="D103" s="39" t="str">
        <f t="shared" si="12"/>
        <v>&gt;&gt;</v>
      </c>
      <c r="E103" s="44" t="s">
        <v>272</v>
      </c>
      <c r="F103" s="44" t="s">
        <v>368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80</v>
      </c>
      <c r="D104" s="39" t="str">
        <f t="shared" si="12"/>
        <v/>
      </c>
      <c r="E104" s="44" t="s">
        <v>272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{p 056, c 902, c 928, v "\mp3_ost\kupriyan.mp3", d 000, n 105}</v>
      </c>
    </row>
    <row r="105" spans="2:13" x14ac:dyDescent="0.25">
      <c r="B105" s="44">
        <f t="shared" si="11"/>
        <v>105</v>
      </c>
      <c r="C105" s="44" t="s">
        <v>330</v>
      </c>
      <c r="D105" s="39" t="str">
        <f t="shared" si="12"/>
        <v>&gt;&gt;</v>
      </c>
      <c r="E105" s="44" t="s">
        <v>203</v>
      </c>
      <c r="F105" s="44" t="s">
        <v>368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{p 083, c 900, v "\mp3_ost\elseti.mp3", c 930, d 000, n 106}</v>
      </c>
    </row>
    <row r="106" spans="2:13" x14ac:dyDescent="0.25">
      <c r="B106" s="44">
        <f t="shared" si="11"/>
        <v>106</v>
      </c>
      <c r="C106" s="44" t="s">
        <v>80</v>
      </c>
      <c r="D106" s="39" t="str">
        <f t="shared" si="12"/>
        <v/>
      </c>
      <c r="E106" s="44" t="s">
        <v>203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{p 083, c 902, v "\mp3_ost\elseti.mp3", d 000, n 107}</v>
      </c>
    </row>
    <row r="107" spans="2:13" x14ac:dyDescent="0.25">
      <c r="B107" s="44">
        <f t="shared" si="11"/>
        <v>107</v>
      </c>
      <c r="C107" s="44" t="s">
        <v>330</v>
      </c>
      <c r="D107" s="39" t="str">
        <f t="shared" si="12"/>
        <v>&gt;&gt;</v>
      </c>
      <c r="E107" s="44" t="s">
        <v>280</v>
      </c>
      <c r="F107" s="44" t="s">
        <v>368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{p 078, c 900, c 928, v "\mp3_ost\truda.mp3", c 930, d 000, n 108}</v>
      </c>
    </row>
    <row r="108" spans="2:13" x14ac:dyDescent="0.25">
      <c r="B108" s="44">
        <f t="shared" si="11"/>
        <v>108</v>
      </c>
      <c r="C108" s="44" t="s">
        <v>80</v>
      </c>
      <c r="D108" s="39" t="str">
        <f t="shared" si="12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"\mp3_knst\av.mp3", w 01}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"\mp3_knst\gos.mp3", w 01}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"\mp3_knst\ds.mp3", w 01}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"\mp3_knst\kanc.mp3", w 01}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"\mp3_knst\ko.mp3", w 01}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"\mp3_knst\ost.mp3", w 01}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"\mp3_knst\ostor.mp3", w 01}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"\mp3_knst\pl.mp3", w 01}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"\mp3_knst\pr.mp3", w 01}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"\mp3_knst\sm.mp3", w 01}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"\mp3_knst\ul.mp3", w 01}</v>
      </c>
    </row>
    <row r="124" spans="7:13" x14ac:dyDescent="0.25">
      <c r="M124" s="42" t="str">
        <f>Константы!D14</f>
        <v>&lt;unit930&gt; "Требуются" {s 2, r 000 086 088 000}</v>
      </c>
    </row>
    <row r="125" spans="7:13" x14ac:dyDescent="0.25">
      <c r="M125" s="42" t="str">
        <f>Константы!D15</f>
        <v>&lt;unit931&gt; "Пожарная" {s 2, r 000 090 091 000}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4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324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48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352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348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348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170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052, c 900, c 928, v "\mp3_ost\gagarina.mp3",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170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052, c 902, c 928, v "\mp3_ost\gagarina.mp3",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171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171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279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076, c 900, c 928, v "\mp3_ost\suhogrya.mp3",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ref="D42:D45" si="12">IF(I42="c 900","&gt;&gt;","")</f>
        <v/>
      </c>
      <c r="E42" s="44" t="s">
        <v>279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076, c 902, c 928, v "\mp3_ost\suhogrya.mp3",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12"/>
        <v>&gt;&gt;</v>
      </c>
      <c r="E43" s="44" t="s">
        <v>338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"\mp3_ost\rinok.mp3"</v>
      </c>
      <c r="L43" s="42" t="str">
        <f t="shared" si="11"/>
        <v>&lt;unit043&gt; "&gt;&gt;Рынок" {p 033, c 900, v "\mp3_ost\rinok.mp3",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12"/>
        <v/>
      </c>
      <c r="E44" s="44" t="s">
        <v>338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"\mp3_ost\rinok.mp3"</v>
      </c>
      <c r="L44" s="42" t="str">
        <f t="shared" si="11"/>
        <v>&lt;unit044&gt; "Рынок" {p 033, c 902, v "\mp3_ost\rinok.mp3",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12"/>
        <v>&gt;&gt;</v>
      </c>
      <c r="E45" s="44" t="s">
        <v>247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247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288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288</v>
      </c>
      <c r="F48" s="44" t="s">
        <v>332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328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80</v>
      </c>
      <c r="D52" s="39" t="str">
        <f t="shared" ref="D52:D90" si="14">IF(I52="c 900","&gt;&gt;","")</f>
        <v/>
      </c>
      <c r="E52" s="44" t="s">
        <v>288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25">
      <c r="B53" s="44">
        <f t="shared" si="13"/>
        <v>53</v>
      </c>
      <c r="C53" s="44" t="s">
        <v>330</v>
      </c>
      <c r="D53" s="39" t="str">
        <f t="shared" si="14"/>
        <v>&gt;&gt;</v>
      </c>
      <c r="E53" s="44" t="s">
        <v>338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"\mp3_ost\rinok.mp3"</v>
      </c>
      <c r="K53" s="40" t="str">
        <f t="shared" si="18"/>
        <v/>
      </c>
      <c r="L53" s="42" t="str">
        <f t="shared" si="19"/>
        <v>&lt;unit053&gt; "&gt;&gt;Рынок" {p 033, c 900, v "\mp3_ost\rinok.mp3", d 000, n 054}</v>
      </c>
    </row>
    <row r="54" spans="2:12" x14ac:dyDescent="0.25">
      <c r="B54" s="44">
        <f t="shared" si="13"/>
        <v>54</v>
      </c>
      <c r="C54" s="44" t="s">
        <v>80</v>
      </c>
      <c r="D54" s="39" t="str">
        <f t="shared" si="14"/>
        <v/>
      </c>
      <c r="E54" s="44" t="s">
        <v>338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"\mp3_ost\rinok.mp3"</v>
      </c>
      <c r="K54" s="40" t="str">
        <f t="shared" si="18"/>
        <v/>
      </c>
      <c r="L54" s="42" t="str">
        <f t="shared" si="19"/>
        <v>&lt;unit054&gt; "Рынок" {p 033, c 902, v "\mp3_ost\rinok.mp3", d 000, n 055}</v>
      </c>
    </row>
    <row r="55" spans="2:12" x14ac:dyDescent="0.25">
      <c r="B55" s="44">
        <f t="shared" si="13"/>
        <v>55</v>
      </c>
      <c r="C55" s="44" t="s">
        <v>330</v>
      </c>
      <c r="D55" s="39" t="str">
        <f t="shared" si="14"/>
        <v>&gt;&gt;</v>
      </c>
      <c r="E55" s="44" t="s">
        <v>353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80</v>
      </c>
      <c r="D56" s="39" t="str">
        <f t="shared" si="14"/>
        <v/>
      </c>
      <c r="E56" s="44" t="s">
        <v>353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330</v>
      </c>
      <c r="D57" s="39" t="str">
        <f t="shared" si="14"/>
        <v>&gt;&gt;</v>
      </c>
      <c r="E57" s="44" t="s">
        <v>171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037, c 900, v "\mp3_ost\5ssh.mp3", d 000, n 058}</v>
      </c>
    </row>
    <row r="58" spans="2:12" x14ac:dyDescent="0.25">
      <c r="B58" s="44">
        <f t="shared" si="13"/>
        <v>58</v>
      </c>
      <c r="C58" s="44" t="s">
        <v>80</v>
      </c>
      <c r="D58" s="39" t="str">
        <f t="shared" si="14"/>
        <v/>
      </c>
      <c r="E58" s="44" t="s">
        <v>171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25">
      <c r="B59" s="44">
        <f t="shared" si="13"/>
        <v>59</v>
      </c>
      <c r="C59" s="44" t="s">
        <v>330</v>
      </c>
      <c r="D59" s="39" t="str">
        <f t="shared" si="14"/>
        <v>&gt;&gt;</v>
      </c>
      <c r="E59" s="44" t="s">
        <v>226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027, c 900, v "\mp3_ost\paliklin.mp3", d 000, n 060}</v>
      </c>
    </row>
    <row r="60" spans="2:12" x14ac:dyDescent="0.25">
      <c r="B60" s="44">
        <f t="shared" si="13"/>
        <v>60</v>
      </c>
      <c r="C60" s="44" t="s">
        <v>80</v>
      </c>
      <c r="D60" s="39" t="str">
        <f t="shared" si="14"/>
        <v/>
      </c>
      <c r="E60" s="44" t="s">
        <v>226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si="14"/>
        <v>&gt;&gt;</v>
      </c>
      <c r="E61" s="44" t="s">
        <v>351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022, c 900, v "\mp3_ost\!_silent.mp3",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14"/>
        <v/>
      </c>
      <c r="E62" s="44" t="s">
        <v>351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022, c 902, v "\mp3_ost\!_silent.mp3",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14"/>
        <v>&gt;&gt;</v>
      </c>
      <c r="E63" s="44" t="s">
        <v>234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028, c 900, v "\mp3_ost\pochta.mp3",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14"/>
        <v/>
      </c>
      <c r="E64" s="44" t="s">
        <v>234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14"/>
        <v>&gt;&gt;</v>
      </c>
      <c r="E65" s="44" t="s">
        <v>168</v>
      </c>
      <c r="G65" s="45">
        <f t="shared" si="20"/>
        <v>66</v>
      </c>
      <c r="H65" s="40" t="str">
        <f t="shared" si="15"/>
        <v>p 077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077, c 900, c 928, v "\mp3_ost\swrokvas.mp3",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14"/>
        <v/>
      </c>
      <c r="E66" s="44" t="s">
        <v>168</v>
      </c>
      <c r="G66" s="45">
        <f t="shared" si="20"/>
        <v>67</v>
      </c>
      <c r="H66" s="40" t="str">
        <f t="shared" si="15"/>
        <v>p 077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077, c 902, c 928, v "\mp3_ost\swrokvas.mp3",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166</v>
      </c>
      <c r="G67" s="45">
        <f t="shared" si="20"/>
        <v>68</v>
      </c>
      <c r="H67" s="40" t="str">
        <f t="shared" si="15"/>
        <v>p 064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064, c 900, c 928, v "\mp3_ost\moskovsk.mp3",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166</v>
      </c>
      <c r="G68" s="45">
        <f t="shared" si="20"/>
        <v>69</v>
      </c>
      <c r="H68" s="40" t="str">
        <f t="shared" si="15"/>
        <v>p 064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064, c 902, c 928, v "\mp3_ost\moskovsk.mp3",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167</v>
      </c>
      <c r="G69" s="45">
        <f t="shared" si="20"/>
        <v>70</v>
      </c>
      <c r="H69" s="40" t="str">
        <f t="shared" si="15"/>
        <v>p 068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068, c 900, c 928, v "\mp3_ost\partizan.mp3",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167</v>
      </c>
      <c r="G70" s="45">
        <f t="shared" si="20"/>
        <v>71</v>
      </c>
      <c r="H70" s="40" t="str">
        <f t="shared" si="15"/>
        <v>p 068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068, c 902, c 928, v "\mp3_ost\partizan.mp3",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164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164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si="14"/>
        <v>&gt;&gt;</v>
      </c>
      <c r="E73" s="44" t="s">
        <v>348</v>
      </c>
      <c r="G73" s="45">
        <f t="shared" si="20"/>
        <v>74</v>
      </c>
      <c r="H73" s="40" t="str">
        <f t="shared" si="15"/>
        <v>p 054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054, c 900, c 928, v "\mp3_ost\!_silent.mp3",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14"/>
        <v/>
      </c>
      <c r="E74" s="44" t="s">
        <v>348</v>
      </c>
      <c r="G74" s="45">
        <f t="shared" si="20"/>
        <v>75</v>
      </c>
      <c r="H74" s="40" t="str">
        <f t="shared" si="15"/>
        <v>p 054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054, c 902, c 928, v "\mp3_ost\!_silent.mp3",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14"/>
        <v>&gt;&gt;</v>
      </c>
      <c r="E75" s="44" t="s">
        <v>254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042, c 900, v "\mp3_ost\tec.mp3",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14"/>
        <v/>
      </c>
      <c r="E76" s="44" t="s">
        <v>254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14"/>
        <v>&gt;&gt;</v>
      </c>
      <c r="E77" s="44" t="s">
        <v>272</v>
      </c>
      <c r="G77" s="45">
        <f t="shared" si="20"/>
        <v>78</v>
      </c>
      <c r="H77" s="40" t="str">
        <f t="shared" ref="H77:H88" si="21">IFERROR("p "&amp;VLOOKUP(E77,Tablo_Tab,2,FALSE),"")</f>
        <v>p 056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056, c 900, c 928, v "\mp3_ost\kupriyan.mp3",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14"/>
        <v/>
      </c>
      <c r="E78" s="44" t="s">
        <v>272</v>
      </c>
      <c r="G78" s="45">
        <f t="shared" si="20"/>
        <v>79</v>
      </c>
      <c r="H78" s="40" t="str">
        <f t="shared" si="21"/>
        <v>p 056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056, c 902, c 928, v "\mp3_ost\kupriyan.mp3",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269</v>
      </c>
      <c r="G79" s="45">
        <f t="shared" si="20"/>
        <v>80</v>
      </c>
      <c r="H79" s="40" t="str">
        <f t="shared" si="21"/>
        <v>p 047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047, c 900, c 928, v "\mp3_ost\avtomobi.mp3",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269</v>
      </c>
      <c r="G80" s="45">
        <f t="shared" si="20"/>
        <v>81</v>
      </c>
      <c r="H80" s="40" t="str">
        <f t="shared" si="21"/>
        <v>p 047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047, c 902, c 928, v "\mp3_ost\avtomobi.mp3",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271</v>
      </c>
      <c r="G81" s="45">
        <f t="shared" si="20"/>
        <v>82</v>
      </c>
      <c r="H81" s="40" t="str">
        <f t="shared" si="21"/>
        <v>p 053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053, c 900, c 928, v "\mp3_ost\darojnay.mp3",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271</v>
      </c>
      <c r="G82" s="45">
        <f t="shared" si="20"/>
        <v>83</v>
      </c>
      <c r="H82" s="40" t="str">
        <f t="shared" si="21"/>
        <v>p 053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053, c 902, c 928, v "\mp3_ost\darojnay.mp3", d 000, n 083}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si="14"/>
        <v>&gt;&gt;</v>
      </c>
      <c r="E83" s="44" t="s">
        <v>278</v>
      </c>
      <c r="G83" s="45">
        <f t="shared" si="20"/>
        <v>84</v>
      </c>
      <c r="H83" s="40" t="str">
        <f t="shared" si="21"/>
        <v>p 069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069, c 900, c 928, v "\mp3_ost\pyaschan.mp3",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14"/>
        <v/>
      </c>
      <c r="E84" s="44" t="s">
        <v>278</v>
      </c>
      <c r="G84" s="45">
        <f t="shared" si="20"/>
        <v>85</v>
      </c>
      <c r="H84" s="40" t="str">
        <f t="shared" si="21"/>
        <v>p 069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069, c 902, c 928, v "\mp3_ost\pyaschan.mp3",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352</v>
      </c>
      <c r="G85" s="45">
        <f t="shared" si="20"/>
        <v>86</v>
      </c>
      <c r="H85" s="40" t="str">
        <f t="shared" si="21"/>
        <v>p 079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079, c 900, c 928, v "\mp3_ost\!_silent.mp3",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ref="D86:D87" si="26">IF(I86="c 900","&gt;&gt;","")</f>
        <v/>
      </c>
      <c r="E86" s="44" t="s">
        <v>352</v>
      </c>
      <c r="G86" s="45">
        <f t="shared" si="20"/>
        <v>87</v>
      </c>
      <c r="H86" s="40" t="str">
        <f t="shared" si="21"/>
        <v>p 079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079, c 902, c 928, v "\mp3_ost\!_silent.mp3",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26"/>
        <v>&gt;&gt;</v>
      </c>
      <c r="E87" s="44" t="s">
        <v>277</v>
      </c>
      <c r="G87" s="45">
        <f t="shared" si="20"/>
        <v>88</v>
      </c>
      <c r="H87" s="40" t="str">
        <f t="shared" si="21"/>
        <v>p 065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065, c 900, c 928, v "\mp3_ost\nagornay.mp3",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ref="D88" si="27">IF(I88="c 900","&gt;&gt;","")</f>
        <v/>
      </c>
      <c r="E88" s="44" t="s">
        <v>277</v>
      </c>
      <c r="G88" s="45">
        <f t="shared" si="20"/>
        <v>89</v>
      </c>
      <c r="H88" s="40" t="str">
        <f t="shared" si="21"/>
        <v>p 065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065, c 902, c 928, v "\mp3_ost\nagornay.mp3",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173</v>
      </c>
      <c r="G89" s="45">
        <f t="shared" si="20"/>
        <v>90</v>
      </c>
      <c r="H89" s="40" t="str">
        <f t="shared" ref="H89" si="28">IFERROR("p "&amp;VLOOKUP(E89,Tablo_Tab,2,FALSE),"")</f>
        <v>p 048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048, c 900, c 928, v "\mp3_ost\bajora.mp3",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173</v>
      </c>
      <c r="F90" s="44" t="s">
        <v>332</v>
      </c>
      <c r="G90" s="45">
        <f>B92</f>
        <v>92</v>
      </c>
      <c r="H90" s="40" t="str">
        <f t="shared" si="15"/>
        <v>p 048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329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5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324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330</v>
      </c>
      <c r="D9" s="39" t="str">
        <f>IF(I9="c 900","&gt;&gt;","")</f>
        <v>&gt;&gt;</v>
      </c>
      <c r="E9" s="44" t="s">
        <v>241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/>
      </c>
      <c r="L9" s="42" t="str">
        <f t="shared" si="5"/>
        <v>&lt;unit009&gt; "&gt;&gt;Сбербанк" {p 034, c 900, v "\mp3_ost\sberbank.mp3",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24" si="7">IF(I10="c 900","&gt;&gt;","")</f>
        <v/>
      </c>
      <c r="E10" s="44" t="s">
        <v>241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{p 034, c 902, v "\mp3_ost\sberbank.mp3",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170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/>
      </c>
      <c r="L11" s="42" t="str">
        <f t="shared" si="5"/>
        <v>&lt;unit011&gt; "&gt;&gt;ул.Гагарина" {p 052, c 900, c 928, v "\mp3_ost\gagarina.mp3",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170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{p 052, c 902, c 928, v "\mp3_ost\gagarina.mp3", d 000, n 013}</v>
      </c>
    </row>
    <row r="13" spans="1:12" x14ac:dyDescent="0.25">
      <c r="B13" s="44">
        <f>ROW(B13)</f>
        <v>13</v>
      </c>
      <c r="C13" s="44" t="s">
        <v>330</v>
      </c>
      <c r="D13" s="39" t="str">
        <f t="shared" si="7"/>
        <v>&gt;&gt;</v>
      </c>
      <c r="E13" s="44" t="s">
        <v>171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/>
      </c>
      <c r="L13" s="42" t="str">
        <f t="shared" si="5"/>
        <v>&lt;unit013&gt; "&gt;&gt;СШ № 5" {p 037, c 900, v "\mp3_ost\5ssh.mp3",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{p 037, c 902, v "\mp3_ost\5ssh.mp3",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353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"\mp3_ost\!_silent.mp3"</v>
      </c>
      <c r="K15" s="40" t="str">
        <f t="shared" si="4"/>
        <v/>
      </c>
      <c r="L15" s="42" t="str">
        <f t="shared" si="5"/>
        <v>&lt;unit015&gt; "&gt;&gt;Гимназия № 1" {p 008, c 900,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353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"\mp3_ost\!_silent.mp3"</v>
      </c>
      <c r="L16" s="42" t="str">
        <f t="shared" si="5"/>
        <v>&lt;unit016&gt; "Гимназия № 1" {p 008, c 902,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215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L17" s="42" t="str">
        <f t="shared" si="5"/>
        <v>&lt;unit017&gt; "&gt;&gt;пр-т Ленина" {p 030, c 900, v "\mp3_ost\lenina.mp3",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215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L18" s="42" t="str">
        <f t="shared" si="5"/>
        <v>&lt;unit018&gt; "пр-т Ленина" {p 030, c 902, v "\mp3_ost\lenina.mp3",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174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L19" s="42" t="str">
        <f t="shared" si="5"/>
        <v>&lt;unit019&gt; "&gt;&gt;8 микрорайон" {p 001, c 900, v "\mp3_ost\8mikra.mp3",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174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L20" s="42" t="str">
        <f t="shared" si="5"/>
        <v>&lt;unit020&gt; "8 микрорайон" {p 001, c 902, v "\mp3_ost\8mikra.mp3",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355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"\mp3_ost\!_silent.mp3"</v>
      </c>
      <c r="L21" s="42" t="str">
        <f t="shared" si="5"/>
        <v>&lt;unit021&gt; "&gt;&gt;пов. с/т Заря" {p 025,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355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"пов. с/т Заря" {p 025,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354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"&gt;&gt;ул.Новогрядская" {p 066,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354</v>
      </c>
      <c r="F24" s="44" t="s">
        <v>332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>c 903</v>
      </c>
      <c r="L24" s="42" t="str">
        <f t="shared" si="5"/>
        <v>&lt;unit024&gt; "ул.Новогрядская" {p 066, c 902, c 928, v "\mp3_ost\!_silent.mp3",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328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80</v>
      </c>
      <c r="D28" s="39" t="str">
        <f t="shared" ref="D28:D50" si="9">IF(I28="c 900","&gt;&gt;","")</f>
        <v/>
      </c>
      <c r="E28" s="44" t="s">
        <v>354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"\mp3_ost\!_silent.mp3"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"\mp3_ost\!_silent.mp3", d 000, n 029}</v>
      </c>
    </row>
    <row r="29" spans="2:12" x14ac:dyDescent="0.25">
      <c r="B29" s="44">
        <f t="shared" si="8"/>
        <v>29</v>
      </c>
      <c r="C29" s="44" t="s">
        <v>330</v>
      </c>
      <c r="D29" s="39" t="str">
        <f t="shared" si="9"/>
        <v>&gt;&gt;</v>
      </c>
      <c r="E29" s="44" t="s">
        <v>359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"\mp3_ost\sosnov.mp3"</v>
      </c>
      <c r="K29" s="40" t="str">
        <f t="shared" si="14"/>
        <v/>
      </c>
      <c r="L29" s="42" t="str">
        <f t="shared" si="15"/>
        <v>&lt;unit029&gt; "&gt;&gt;ул.Сосновая" {p 075, c 900, c 928, v "\mp3_ost\sosnov.mp3", d 000, n 030}</v>
      </c>
    </row>
    <row r="30" spans="2:12" x14ac:dyDescent="0.25">
      <c r="B30" s="44">
        <f t="shared" si="8"/>
        <v>30</v>
      </c>
      <c r="C30" s="44" t="s">
        <v>80</v>
      </c>
      <c r="D30" s="39" t="str">
        <f t="shared" si="9"/>
        <v/>
      </c>
      <c r="E30" s="44" t="s">
        <v>359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"\mp3_ost\sosnov.mp3"</v>
      </c>
      <c r="K30" s="40" t="str">
        <f t="shared" si="14"/>
        <v/>
      </c>
      <c r="L30" s="42" t="str">
        <f t="shared" si="15"/>
        <v>&lt;unit030&gt; "ул.Сосновая" {p 075, c 902, c 928, v "\mp3_ost\sosnov.mp3", d 000, n 031}</v>
      </c>
    </row>
    <row r="31" spans="2:12" x14ac:dyDescent="0.25">
      <c r="B31" s="44">
        <f t="shared" si="8"/>
        <v>31</v>
      </c>
      <c r="C31" s="44" t="s">
        <v>330</v>
      </c>
      <c r="D31" s="39" t="str">
        <f t="shared" si="9"/>
        <v>&gt;&gt;</v>
      </c>
      <c r="E31" s="44" t="s">
        <v>360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"\mp3_ost\!_silent.mp3"</v>
      </c>
      <c r="K31" s="40" t="str">
        <f t="shared" si="14"/>
        <v/>
      </c>
      <c r="L31" s="42" t="str">
        <f t="shared" si="15"/>
        <v>&lt;unit031&gt; "&gt;&gt;пов. Нов. Грядки" {p 024, c 900, v "\mp3_ost\!_silent.mp3", d 000, n 032}</v>
      </c>
    </row>
    <row r="32" spans="2:12" x14ac:dyDescent="0.25">
      <c r="B32" s="44">
        <f t="shared" si="8"/>
        <v>32</v>
      </c>
      <c r="C32" s="44" t="s">
        <v>80</v>
      </c>
      <c r="D32" s="39" t="str">
        <f t="shared" si="9"/>
        <v/>
      </c>
      <c r="E32" s="44" t="s">
        <v>360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"\mp3_ost\!_silent.mp3"</v>
      </c>
      <c r="K32" s="40" t="str">
        <f t="shared" si="14"/>
        <v/>
      </c>
      <c r="L32" s="42" t="str">
        <f t="shared" si="15"/>
        <v>&lt;unit032&gt; "пов. Нов. Грядки" {p 024, c 902, v "\mp3_ost\!_silent.mp3", d 000, n 033}</v>
      </c>
    </row>
    <row r="33" spans="2:12" x14ac:dyDescent="0.25">
      <c r="B33" s="44">
        <f t="shared" si="8"/>
        <v>33</v>
      </c>
      <c r="C33" s="44" t="s">
        <v>330</v>
      </c>
      <c r="D33" s="39" t="str">
        <f t="shared" si="9"/>
        <v>&gt;&gt;</v>
      </c>
      <c r="E33" s="44" t="s">
        <v>355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"\mp3_ost\!_silent.mp3"</v>
      </c>
      <c r="K33" s="40" t="str">
        <f t="shared" si="14"/>
        <v/>
      </c>
      <c r="L33" s="42" t="str">
        <f t="shared" si="15"/>
        <v>&lt;unit033&gt; "&gt;&gt;пов. с/т Заря" {p 025, c 900, v "\mp3_ost\!_silent.mp3", d 000, n 034}</v>
      </c>
    </row>
    <row r="34" spans="2:12" x14ac:dyDescent="0.25">
      <c r="B34" s="44">
        <f t="shared" si="8"/>
        <v>34</v>
      </c>
      <c r="C34" s="44" t="s">
        <v>80</v>
      </c>
      <c r="D34" s="39" t="str">
        <f t="shared" si="9"/>
        <v/>
      </c>
      <c r="E34" s="44" t="s">
        <v>355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"\mp3_ost\!_silent.mp3"</v>
      </c>
      <c r="K34" s="40" t="str">
        <f t="shared" si="14"/>
        <v/>
      </c>
      <c r="L34" s="42" t="str">
        <f t="shared" si="15"/>
        <v>&lt;unit034&gt; "пов. с/т Заря" {p 025, c 902, v "\mp3_ost\!_silent.mp3", d 000, n 035}</v>
      </c>
    </row>
    <row r="35" spans="2:12" x14ac:dyDescent="0.25">
      <c r="B35" s="44">
        <f t="shared" si="8"/>
        <v>35</v>
      </c>
      <c r="C35" s="44" t="s">
        <v>330</v>
      </c>
      <c r="D35" s="39" t="str">
        <f t="shared" si="9"/>
        <v>&gt;&gt;</v>
      </c>
      <c r="E35" s="44" t="s">
        <v>347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"\mp3_ost\!_silent.mp3"</v>
      </c>
      <c r="K35" s="40" t="str">
        <f t="shared" si="14"/>
        <v/>
      </c>
      <c r="L35" s="42" t="str">
        <f t="shared" si="15"/>
        <v>&lt;unit035&gt; "&gt;&gt;ул.Логойская,23" {p 062, c 900, c 928, v "\mp3_ost\!_silent.mp3", d 000, n 036}</v>
      </c>
    </row>
    <row r="36" spans="2:12" x14ac:dyDescent="0.25">
      <c r="B36" s="44">
        <f t="shared" si="8"/>
        <v>36</v>
      </c>
      <c r="C36" s="44" t="s">
        <v>80</v>
      </c>
      <c r="D36" s="39" t="str">
        <f t="shared" si="9"/>
        <v/>
      </c>
      <c r="E36" s="44" t="s">
        <v>347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"\mp3_ost\!_silent.mp3"</v>
      </c>
      <c r="K36" s="40" t="str">
        <f t="shared" si="14"/>
        <v/>
      </c>
      <c r="L36" s="42" t="str">
        <f t="shared" si="15"/>
        <v>&lt;unit036&gt; "ул.Логойская,23" {p 062, c 902, c 928, v "\mp3_ost\!_silent.mp3",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174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/>
      </c>
      <c r="L37" s="42" t="str">
        <f t="shared" si="15"/>
        <v>&lt;unit037&gt; "&gt;&gt;8 микрорайон" {p 001, c 900, v "\mp3_ost\8mikra.mp3",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174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215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/>
      </c>
      <c r="L39" s="42" t="str">
        <f t="shared" si="15"/>
        <v>&lt;unit039&gt; "&gt;&gt;пр-т Ленина" {p 030, c 900, v "\mp3_ost\lenina.mp3",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215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353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"\mp3_ost\!_silent.mp3"</v>
      </c>
      <c r="K41" s="40" t="str">
        <f t="shared" si="14"/>
        <v/>
      </c>
      <c r="L41" s="42" t="str">
        <f t="shared" si="15"/>
        <v>&lt;unit041&gt; "&gt;&gt;Гимназия № 1" {p 008, c 900, v "\mp3_ost\!_silent.mp3",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353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"\mp3_ost\!_silent.mp3"</v>
      </c>
      <c r="K42" s="40" t="str">
        <f t="shared" si="14"/>
        <v/>
      </c>
      <c r="L42" s="42" t="str">
        <f t="shared" si="15"/>
        <v>&lt;unit042&gt; "Гимназия № 1" {p 008, c 902, v "\mp3_ost\!_silent.mp3",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171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/>
      </c>
      <c r="L43" s="42" t="str">
        <f t="shared" si="15"/>
        <v>&lt;unit043&gt; "&gt;&gt;СШ № 5" {p 037, c 900, v "\mp3_ost\5ssh.mp3",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171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252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/>
      </c>
      <c r="L45" s="42" t="str">
        <f t="shared" si="15"/>
        <v>&lt;unit045&gt; "&gt;&gt;Торг.центр" {p 040, c 900, v "\mp3_ost\tc.mp3",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252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363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"\mp3_ost\!_silent.mp3"</v>
      </c>
      <c r="K47" s="40" t="str">
        <f t="shared" si="14"/>
        <v/>
      </c>
      <c r="L47" s="42" t="str">
        <f t="shared" si="15"/>
        <v>&lt;unit047&gt; "&gt;&gt;Универмаг" {p 081,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363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"\mp3_ost\!_silent.mp3"</v>
      </c>
      <c r="K48" s="40" t="str">
        <f t="shared" si="14"/>
        <v/>
      </c>
      <c r="L48" s="42" t="str">
        <f t="shared" si="15"/>
        <v>&lt;unit048&gt; "Универмаг" {p 081, c 902, v "\mp3_ost\!_silent.mp3",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178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/>
      </c>
      <c r="L49" s="42" t="str">
        <f t="shared" si="15"/>
        <v>&lt;unit049&gt; "&gt;&gt;Автостанция" {p 002, c 900, v "\mp3_ost\avtostan.mp3",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178</v>
      </c>
      <c r="F50" s="44" t="s">
        <v>332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329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"\mp3_knst\av.mp3", w 01}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F8:F24 C8:C24 F28:F50 C28:C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28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361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"\mp3_ost\!_silent.mp3"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58" si="6">ROW(B9)</f>
        <v>9</v>
      </c>
      <c r="C9" s="44" t="s">
        <v>330</v>
      </c>
      <c r="D9" s="39" t="str">
        <f>IF(I9="c 900","&gt;&gt;","")</f>
        <v>&gt;&gt;</v>
      </c>
      <c r="E9" s="44" t="s">
        <v>362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/>
      </c>
      <c r="L9" s="42" t="str">
        <f t="shared" si="5"/>
        <v>&lt;unit009&gt; "&gt;&gt;ул.Ленинградская" {p 057, c 900, c 928, v "\mp3_ost\leningra.mp3",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8" si="7">IF(I10="c 900","&gt;&gt;","")</f>
        <v/>
      </c>
      <c r="E10" s="44" t="s">
        <v>362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340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340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170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/>
      </c>
      <c r="L29" s="42" t="str">
        <f t="shared" si="5"/>
        <v>&lt;unit029&gt; "&gt;&gt;ул.Гагарина" {p 052, c 900, c 928, v "\mp3_ost\gagarina.mp3",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170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052, c 902, c 928, v "\mp3_ost\gagarina.mp3",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171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/>
      </c>
      <c r="L31" s="42" t="str">
        <f t="shared" si="5"/>
        <v>&lt;unit031&gt; "&gt;&gt;СШ № 5" {p 037, c 900, v "\mp3_ost\5ssh.mp3",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171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353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"&gt;&gt;Гимназия № 1" {p 008,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353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"Гимназия № 1" {p 008, c 902, v "\mp3_ost\!_silent.mp3",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215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/>
      </c>
      <c r="L35" s="42" t="str">
        <f t="shared" si="5"/>
        <v>&lt;unit035&gt; "&gt;&gt;пр-т Ленина" {p 030, c 900, v "\mp3_ost\lenina.mp3",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215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174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174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347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"\mp3_ost\!_silent.mp3"</v>
      </c>
      <c r="L39" s="42" t="str">
        <f t="shared" si="5"/>
        <v>&lt;unit039&gt; "&gt;&gt;ул.Логойская,23" {p 062, c 900, c 928,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347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"\mp3_ost\!_silent.mp3"</v>
      </c>
      <c r="L40" s="42" t="str">
        <f t="shared" si="5"/>
        <v>&lt;unit040&gt; "ул.Логойская,23" {p 062, c 902, c 928, v "\mp3_ost\!_silent.mp3",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346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"\mp3_ost\!_silent.mp3"</v>
      </c>
      <c r="L41" s="42" t="str">
        <f t="shared" si="5"/>
        <v>&lt;unit041&gt; "&gt;&gt;ул.Логойская,21" {p 061, c 900, c 928, v "\mp3_ost\!_silent.mp3",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346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"\mp3_ost\!_silent.mp3"</v>
      </c>
      <c r="K42" s="40" t="str">
        <f t="shared" si="4"/>
        <v/>
      </c>
      <c r="L42" s="42" t="str">
        <f t="shared" si="5"/>
        <v>&lt;unit042&gt; "ул.Логойская,21" {p 061, c 902, c 928, v "\mp3_ost\!_silent.mp3", d 000, n 055}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275</v>
      </c>
      <c r="G43" s="45">
        <f t="shared" ref="G43" si="8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/>
      </c>
      <c r="L43" s="42" t="str">
        <f t="shared" si="5"/>
        <v>&lt;unit043&gt; "&gt;&gt;ул.Логойская" {p 060, c 900, c 928, v "\mp3_ost\lag.mp3",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275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060, c 902, c 928, v "\mp3_ost\lag.mp3",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363</v>
      </c>
      <c r="G45" s="45">
        <f t="shared" ref="G45" si="9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"&gt;&gt;Универмаг" {p 081,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363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"Универмаг" {p 081, c 902, v "\mp3_ost\!_silent.mp3",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261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/>
      </c>
      <c r="L47" s="42" t="str">
        <f t="shared" si="5"/>
        <v>&lt;unit047&gt; "&gt;&gt;пр-т Венисье" {p 029, c 900, v "\mp3_ost\venis`e.mp3",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261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349</v>
      </c>
      <c r="G49" s="45">
        <f t="shared" si="10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"\mp3_ost\borovaja.mp3"</v>
      </c>
      <c r="K49" s="40" t="str">
        <f t="shared" si="4"/>
        <v/>
      </c>
      <c r="L49" s="42" t="str">
        <f t="shared" si="5"/>
        <v>&lt;unit049&gt; "&gt;&gt;ул.Боровая" {p 050, c 900, c 928, v "\mp3_ost\borovaja.mp3",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349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"\mp3_ost\borovaja.mp3"</v>
      </c>
      <c r="K50" s="40" t="str">
        <f t="shared" si="4"/>
        <v/>
      </c>
      <c r="L50" s="42" t="str">
        <f t="shared" si="5"/>
        <v>&lt;unit050&gt; "ул.Боровая" {p 050, c 902, c 928, v "\mp3_ost\borovaja.mp3", d 000, n 055}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ref="D51:D52" si="11">IF(I51="c 900","&gt;&gt;","")</f>
        <v>&gt;&gt;</v>
      </c>
      <c r="E51" s="44" t="s">
        <v>181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"\mp3_ost\bolnica.mp3"</v>
      </c>
      <c r="K51" s="40" t="str">
        <f t="shared" ref="K51:K52" si="16">IFERROR("c "&amp;VLOOKUP(F51,Punkti,2,FALSE),"")</f>
        <v/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"\mp3_ost\bolnica.mp3",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11"/>
        <v/>
      </c>
      <c r="E52" s="44" t="s">
        <v>181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"\mp3_ost\bolnica.mp3"</v>
      </c>
      <c r="K52" s="40" t="str">
        <f t="shared" si="16"/>
        <v/>
      </c>
      <c r="L52" s="42" t="str">
        <f t="shared" si="17"/>
        <v>&lt;unit052&gt; "Больница" {p 006, c 902, v "\mp3_ost\bolnica.mp3",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18">IF(I53="c 900","&gt;&gt;","")</f>
        <v>&gt;&gt;</v>
      </c>
      <c r="E53" s="44" t="s">
        <v>175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/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18"/>
        <v/>
      </c>
      <c r="E54" s="44" t="s">
        <v>175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274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/>
      </c>
      <c r="L55" s="42" t="str">
        <f t="shared" si="5"/>
        <v>&lt;unit055&gt; "&gt;&gt;ул.Лесная" {p 059, c 900, c 928, v "\mp3_ost\lesnaya.mp3",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274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059, c 902, c 928, v "\mp3_ost\lesnaya.mp3", d 000, n 057}</v>
      </c>
    </row>
    <row r="57" spans="2:12" x14ac:dyDescent="0.25">
      <c r="B57" s="44">
        <f t="shared" si="6"/>
        <v>57</v>
      </c>
      <c r="C57" s="44" t="s">
        <v>330</v>
      </c>
      <c r="D57" s="39" t="str">
        <f t="shared" si="7"/>
        <v>&gt;&gt;</v>
      </c>
      <c r="E57" s="44" t="s">
        <v>276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/>
      </c>
      <c r="L57" s="42" t="str">
        <f t="shared" si="5"/>
        <v>&lt;unit057&gt; "&gt;&gt;ул.Магистральная" {p 063, c 900, c 928, v "\mp3_ost\magistra.mp3", d 000, n 058}</v>
      </c>
    </row>
    <row r="58" spans="2:12" x14ac:dyDescent="0.25">
      <c r="B58" s="44">
        <f t="shared" si="6"/>
        <v>58</v>
      </c>
      <c r="C58" s="44" t="s">
        <v>80</v>
      </c>
      <c r="D58" s="39" t="str">
        <f t="shared" si="7"/>
        <v/>
      </c>
      <c r="E58" s="44" t="s">
        <v>276</v>
      </c>
      <c r="F58" s="44" t="s">
        <v>332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5">ROW(B60)</f>
        <v>60</v>
      </c>
      <c r="E60" s="43" t="s">
        <v>328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5"/>
        <v>62</v>
      </c>
      <c r="C62" s="44" t="s">
        <v>80</v>
      </c>
      <c r="D62" s="39" t="str">
        <f t="shared" ref="D62:D114" si="26">IF(I62="c 900","&gt;&gt;","")</f>
        <v/>
      </c>
      <c r="E62" s="44" t="s">
        <v>276</v>
      </c>
      <c r="G62" s="45">
        <f>B63</f>
        <v>63</v>
      </c>
      <c r="H62" s="40" t="str">
        <f t="shared" ref="H62:H114" si="27">IFERROR("p "&amp;VLOOKUP(E62,Tablo_Tab,2,FALSE),"")</f>
        <v>p 063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063, c 902, c 928, v "\mp3_ost\magistra.mp3",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E63" s="44" t="s">
        <v>274</v>
      </c>
      <c r="G63" s="45">
        <f t="shared" ref="G63:G113" si="32">B64</f>
        <v>64</v>
      </c>
      <c r="H63" s="40" t="str">
        <f t="shared" si="27"/>
        <v>p 059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059, c 900, c 928, v "\mp3_ost\lesnaya.mp3",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E64" s="44" t="s">
        <v>274</v>
      </c>
      <c r="G64" s="45">
        <f t="shared" si="32"/>
        <v>65</v>
      </c>
      <c r="H64" s="40" t="str">
        <f t="shared" si="27"/>
        <v>p 059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059, c 902, c 928, v "\mp3_ost\lesnaya.mp3",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E65" s="44" t="s">
        <v>175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E66" s="44" t="s">
        <v>175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E67" s="44" t="s">
        <v>181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"\mp3_ost\bolnica.mp3"</v>
      </c>
      <c r="K67" s="40" t="str">
        <f t="shared" si="30"/>
        <v/>
      </c>
      <c r="L67" s="42" t="str">
        <f t="shared" si="31"/>
        <v>&lt;unit067&gt; "&gt;&gt;Больница" {p 006, c 900, v "\mp3_ost\bolnica.mp3",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E68" s="44" t="s">
        <v>181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"\mp3_ost\bolnica.mp3"</v>
      </c>
      <c r="K68" s="40" t="str">
        <f t="shared" si="30"/>
        <v/>
      </c>
      <c r="L68" s="42" t="str">
        <f t="shared" si="31"/>
        <v>&lt;unit068&gt; "Больница" {p 006, c 902, v "\mp3_ost\bolnica.mp3",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E69" s="44" t="s">
        <v>349</v>
      </c>
      <c r="G69" s="45">
        <f t="shared" si="32"/>
        <v>70</v>
      </c>
      <c r="H69" s="40" t="str">
        <f t="shared" si="27"/>
        <v>p 050</v>
      </c>
      <c r="I69" s="45" t="str">
        <f t="shared" si="28"/>
        <v>c 900</v>
      </c>
      <c r="J69" s="46" t="str">
        <f t="shared" si="29"/>
        <v>c 928, v "\mp3_ost\borovaja.mp3"</v>
      </c>
      <c r="K69" s="40" t="str">
        <f t="shared" si="30"/>
        <v/>
      </c>
      <c r="L69" s="42" t="str">
        <f t="shared" si="31"/>
        <v>&lt;unit069&gt; "&gt;&gt;ул.Боровая" {p 050, c 900, c 928, v "\mp3_ost\borovaja.mp3",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E70" s="44" t="s">
        <v>349</v>
      </c>
      <c r="G70" s="45">
        <f t="shared" si="32"/>
        <v>71</v>
      </c>
      <c r="H70" s="40" t="str">
        <f t="shared" si="27"/>
        <v>p 050</v>
      </c>
      <c r="I70" s="45" t="str">
        <f t="shared" si="28"/>
        <v>c 902</v>
      </c>
      <c r="J70" s="46" t="str">
        <f t="shared" si="29"/>
        <v>c 928, v "\mp3_ost\borovaja.mp3"</v>
      </c>
      <c r="K70" s="40" t="str">
        <f t="shared" si="30"/>
        <v/>
      </c>
      <c r="L70" s="42" t="str">
        <f t="shared" si="31"/>
        <v>&lt;unit070&gt; "ул.Боровая" {p 050, c 902, c 928, v "\mp3_ost\borovaja.mp3",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E71" s="44" t="s">
        <v>261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E72" s="44" t="s">
        <v>261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E73" s="44" t="s">
        <v>242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E74" s="44" t="s">
        <v>242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E75" s="44" t="s">
        <v>275</v>
      </c>
      <c r="G75" s="45">
        <f t="shared" si="32"/>
        <v>76</v>
      </c>
      <c r="H75" s="40" t="str">
        <f t="shared" si="27"/>
        <v>p 060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060, c 900, c 928, v "\mp3_ost\lag.mp3",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E76" s="44" t="s">
        <v>275</v>
      </c>
      <c r="G76" s="45">
        <f t="shared" si="32"/>
        <v>77</v>
      </c>
      <c r="H76" s="40" t="str">
        <f t="shared" si="27"/>
        <v>p 060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060, c 902, c 928, v "\mp3_ost\lag.mp3",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E77" s="44" t="s">
        <v>346</v>
      </c>
      <c r="G77" s="45">
        <f t="shared" si="32"/>
        <v>78</v>
      </c>
      <c r="H77" s="40" t="str">
        <f t="shared" si="27"/>
        <v>p 061</v>
      </c>
      <c r="I77" s="45" t="str">
        <f t="shared" si="28"/>
        <v>c 900</v>
      </c>
      <c r="J77" s="46" t="str">
        <f t="shared" si="29"/>
        <v>c 928, v "\mp3_ost\!_silent.mp3"</v>
      </c>
      <c r="K77" s="40" t="str">
        <f t="shared" si="30"/>
        <v/>
      </c>
      <c r="L77" s="42" t="str">
        <f t="shared" si="31"/>
        <v>&lt;unit077&gt; "&gt;&gt;ул.Логойская,21" {p 061, c 900, c 928, v "\mp3_ost\!_silent.mp3",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E78" s="44" t="s">
        <v>346</v>
      </c>
      <c r="G78" s="45">
        <f t="shared" si="32"/>
        <v>79</v>
      </c>
      <c r="H78" s="40" t="str">
        <f t="shared" si="27"/>
        <v>p 061</v>
      </c>
      <c r="I78" s="45" t="str">
        <f t="shared" si="28"/>
        <v>c 902</v>
      </c>
      <c r="J78" s="46" t="str">
        <f t="shared" si="29"/>
        <v>c 928, v "\mp3_ost\!_silent.mp3"</v>
      </c>
      <c r="K78" s="40" t="str">
        <f t="shared" si="30"/>
        <v/>
      </c>
      <c r="L78" s="42" t="str">
        <f t="shared" si="31"/>
        <v>&lt;unit078&gt; "ул.Логойская,21" {p 061, c 902, c 928, v "\mp3_ost\!_silent.mp3",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E79" s="44" t="s">
        <v>347</v>
      </c>
      <c r="G79" s="45">
        <f t="shared" si="32"/>
        <v>80</v>
      </c>
      <c r="H79" s="40" t="str">
        <f t="shared" si="27"/>
        <v>p 062</v>
      </c>
      <c r="I79" s="45" t="str">
        <f t="shared" si="28"/>
        <v>c 900</v>
      </c>
      <c r="J79" s="46" t="str">
        <f t="shared" si="29"/>
        <v>c 928, v "\mp3_ost\!_silent.mp3"</v>
      </c>
      <c r="K79" s="40" t="str">
        <f t="shared" si="30"/>
        <v/>
      </c>
      <c r="L79" s="42" t="str">
        <f t="shared" si="31"/>
        <v>&lt;unit079&gt; "&gt;&gt;ул.Логойская,23" {p 062, c 900, c 928, v "\mp3_ost\!_silent.mp3",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E80" s="44" t="s">
        <v>347</v>
      </c>
      <c r="G80" s="45">
        <f t="shared" si="32"/>
        <v>81</v>
      </c>
      <c r="H80" s="40" t="str">
        <f t="shared" si="27"/>
        <v>p 062</v>
      </c>
      <c r="I80" s="45" t="str">
        <f t="shared" si="28"/>
        <v>c 902</v>
      </c>
      <c r="J80" s="46" t="str">
        <f t="shared" si="29"/>
        <v>c 928, v "\mp3_ost\!_silent.mp3"</v>
      </c>
      <c r="K80" s="40" t="str">
        <f t="shared" si="30"/>
        <v/>
      </c>
      <c r="L80" s="42" t="str">
        <f t="shared" si="31"/>
        <v>&lt;unit080&gt; "ул.Логойская,23" {p 062, c 902, c 928, v "\mp3_ost\!_silent.mp3",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E81" s="44" t="s">
        <v>174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E82" s="44" t="s">
        <v>174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E83" s="44" t="s">
        <v>215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E84" s="44" t="s">
        <v>215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E85" s="44" t="s">
        <v>353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"\mp3_ost\!_silent.mp3"</v>
      </c>
      <c r="K85" s="40" t="str">
        <f t="shared" si="30"/>
        <v/>
      </c>
      <c r="L85" s="42" t="str">
        <f t="shared" si="31"/>
        <v>&lt;unit085&gt; "&gt;&gt;Гимназия № 1" {p 008, c 900, v "\mp3_ost\!_silent.mp3",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E86" s="44" t="s">
        <v>353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"\mp3_ost\!_silent.mp3"</v>
      </c>
      <c r="K86" s="40" t="str">
        <f t="shared" si="30"/>
        <v/>
      </c>
      <c r="L86" s="42" t="str">
        <f t="shared" si="31"/>
        <v>&lt;unit086&gt; "Гимназия № 1" {p 008, c 902, v "\mp3_ost\!_silent.mp3",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E87" s="44" t="s">
        <v>171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E88" s="44" t="s">
        <v>171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E89" s="44" t="s">
        <v>226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E90" s="44" t="s">
        <v>226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E91" s="44" t="s">
        <v>351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"\mp3_ost\!_silent.mp3"</v>
      </c>
      <c r="L91" s="42" t="str">
        <f t="shared" si="31"/>
        <v>&lt;unit091&gt; "&gt;&gt;Парк культуры" {p 022, c 900, v "\mp3_ost\!_silent.mp3",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E92" s="44" t="s">
        <v>351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"\mp3_ost\!_silent.mp3"</v>
      </c>
      <c r="K92" s="40" t="str">
        <f t="shared" si="30"/>
        <v/>
      </c>
      <c r="L92" s="42" t="str">
        <f t="shared" si="31"/>
        <v>&lt;unit092&gt; "Парк культуры" {p 022, c 902, v "\mp3_ost\!_silent.mp3", d 000, n 093}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si="26"/>
        <v>&gt;&gt;</v>
      </c>
      <c r="E93" s="44" t="s">
        <v>234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26"/>
        <v/>
      </c>
      <c r="E94" s="44" t="s">
        <v>234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26"/>
        <v>&gt;&gt;</v>
      </c>
      <c r="E95" s="44" t="s">
        <v>168</v>
      </c>
      <c r="G95" s="45">
        <f t="shared" si="32"/>
        <v>96</v>
      </c>
      <c r="H95" s="40" t="str">
        <f t="shared" si="27"/>
        <v>p 077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077, c 900, c 928, v "\mp3_ost\swrokvas.mp3",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26"/>
        <v/>
      </c>
      <c r="E96" s="44" t="s">
        <v>168</v>
      </c>
      <c r="G96" s="45">
        <f>B111</f>
        <v>111</v>
      </c>
      <c r="H96" s="40" t="str">
        <f t="shared" si="27"/>
        <v>p 077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077, c 902, c 928, v "\mp3_ost\swrokvas.mp3", d 000, n 111}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26"/>
        <v>&gt;&gt;</v>
      </c>
      <c r="E97" s="44" t="s">
        <v>166</v>
      </c>
      <c r="G97" s="45">
        <f t="shared" ref="G97" si="33">B98</f>
        <v>98</v>
      </c>
      <c r="H97" s="40" t="str">
        <f t="shared" si="27"/>
        <v>p 064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064, c 900, c 928, v "\mp3_ost\moskovsk.mp3",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26"/>
        <v/>
      </c>
      <c r="E98" s="44" t="s">
        <v>166</v>
      </c>
      <c r="G98" s="45">
        <f>B105</f>
        <v>105</v>
      </c>
      <c r="H98" s="40" t="str">
        <f t="shared" si="27"/>
        <v>p 064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064, c 902, c 928, v "\mp3_ost\moskovsk.mp3", d 000, n 105}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26"/>
        <v>&gt;&gt;</v>
      </c>
      <c r="E99" s="44" t="s">
        <v>167</v>
      </c>
      <c r="G99" s="45">
        <f t="shared" ref="G99" si="34">B100</f>
        <v>100</v>
      </c>
      <c r="H99" s="40" t="str">
        <f t="shared" si="27"/>
        <v>p 068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068, c 900, c 928, v "\mp3_ost\partizan.mp3",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26"/>
        <v/>
      </c>
      <c r="E100" s="44" t="s">
        <v>167</v>
      </c>
      <c r="G100" s="45">
        <f>B105</f>
        <v>105</v>
      </c>
      <c r="H100" s="40" t="str">
        <f t="shared" si="27"/>
        <v>p 068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068, c 902, c 928, v "\mp3_ost\partizan.mp3", d 000, n 105}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si="26"/>
        <v>&gt;&gt;</v>
      </c>
      <c r="E101" s="44" t="s">
        <v>164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26"/>
        <v/>
      </c>
      <c r="E102" s="44" t="s">
        <v>164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E103" s="44" t="s">
        <v>348</v>
      </c>
      <c r="G103" s="45">
        <f t="shared" ref="G103:G105" si="36">B104</f>
        <v>104</v>
      </c>
      <c r="H103" s="40" t="str">
        <f t="shared" si="27"/>
        <v>p 054</v>
      </c>
      <c r="I103" s="45" t="str">
        <f t="shared" si="28"/>
        <v>c 900</v>
      </c>
      <c r="J103" s="46" t="str">
        <f t="shared" si="29"/>
        <v>c 928, v "\mp3_ost\!_silent.mp3"</v>
      </c>
      <c r="K103" s="40" t="str">
        <f t="shared" si="30"/>
        <v/>
      </c>
      <c r="L103" s="42" t="str">
        <f t="shared" si="31"/>
        <v>&lt;unit103&gt; "&gt;&gt;ул.Жодинская" {p 054, c 900, c 928, v "\mp3_ost\!_silent.mp3",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E104" s="44" t="s">
        <v>348</v>
      </c>
      <c r="G104" s="45">
        <f t="shared" si="36"/>
        <v>105</v>
      </c>
      <c r="H104" s="40" t="str">
        <f t="shared" si="27"/>
        <v>p 054</v>
      </c>
      <c r="I104" s="45" t="str">
        <f t="shared" si="28"/>
        <v>c 902</v>
      </c>
      <c r="J104" s="46" t="str">
        <f t="shared" si="29"/>
        <v>c 928, v "\mp3_ost\!_silent.mp3"</v>
      </c>
      <c r="K104" s="40" t="str">
        <f t="shared" si="30"/>
        <v/>
      </c>
      <c r="L104" s="42" t="str">
        <f t="shared" si="31"/>
        <v>&lt;unit104&gt; "ул.Жодинская" {p 054, c 902, c 928, v "\mp3_ost\!_silent.mp3",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E105" s="44" t="s">
        <v>263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263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25">
      <c r="B107" s="44">
        <f t="shared" si="25"/>
        <v>107</v>
      </c>
      <c r="C107" s="44" t="s">
        <v>330</v>
      </c>
      <c r="D107" s="39" t="str">
        <f t="shared" ref="D107:D108" si="37">IF(I107="c 900","&gt;&gt;","")</f>
        <v>&gt;&gt;</v>
      </c>
      <c r="E107" s="44" t="s">
        <v>340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25">
      <c r="B108" s="44">
        <f t="shared" si="25"/>
        <v>108</v>
      </c>
      <c r="C108" s="44" t="s">
        <v>80</v>
      </c>
      <c r="D108" s="39" t="str">
        <f t="shared" si="37"/>
        <v/>
      </c>
      <c r="E108" s="44" t="s">
        <v>340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25">
      <c r="B109" s="44">
        <f t="shared" si="25"/>
        <v>109</v>
      </c>
      <c r="C109" s="44" t="s">
        <v>330</v>
      </c>
      <c r="D109" s="39" t="str">
        <f t="shared" ref="D109:D110" si="44">IF(I109="c 900","&gt;&gt;","")</f>
        <v>&gt;&gt;</v>
      </c>
      <c r="E109" s="44" t="s">
        <v>163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25">
      <c r="B110" s="44">
        <f t="shared" si="25"/>
        <v>110</v>
      </c>
      <c r="C110" s="44" t="s">
        <v>80</v>
      </c>
      <c r="D110" s="39" t="str">
        <f t="shared" si="44"/>
        <v/>
      </c>
      <c r="E110" s="44" t="s">
        <v>163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25">
      <c r="B111" s="44">
        <f t="shared" si="25"/>
        <v>111</v>
      </c>
      <c r="C111" s="44" t="s">
        <v>330</v>
      </c>
      <c r="D111" s="39" t="str">
        <f t="shared" si="26"/>
        <v>&gt;&gt;</v>
      </c>
      <c r="E111" s="44" t="s">
        <v>362</v>
      </c>
      <c r="G111" s="45">
        <f t="shared" si="32"/>
        <v>112</v>
      </c>
      <c r="H111" s="40" t="str">
        <f t="shared" si="27"/>
        <v>p 057</v>
      </c>
      <c r="I111" s="45" t="str">
        <f t="shared" si="28"/>
        <v>c 900</v>
      </c>
      <c r="J111" s="46" t="str">
        <f t="shared" si="29"/>
        <v>c 928, v "\mp3_ost\leningra.mp3"</v>
      </c>
      <c r="K111" s="40" t="str">
        <f t="shared" si="30"/>
        <v/>
      </c>
      <c r="L111" s="42" t="str">
        <f t="shared" si="31"/>
        <v>&lt;unit111&gt; "&gt;&gt;ул.Ленинградская" {p 057, c 900, c 928, v "\mp3_ost\leningra.mp3", d 000, n 112}</v>
      </c>
    </row>
    <row r="112" spans="2:12" x14ac:dyDescent="0.25">
      <c r="B112" s="44">
        <f t="shared" si="25"/>
        <v>112</v>
      </c>
      <c r="C112" s="44" t="s">
        <v>80</v>
      </c>
      <c r="D112" s="39" t="str">
        <f t="shared" si="26"/>
        <v/>
      </c>
      <c r="E112" s="44" t="s">
        <v>362</v>
      </c>
      <c r="G112" s="45">
        <f t="shared" si="32"/>
        <v>113</v>
      </c>
      <c r="H112" s="40" t="str">
        <f t="shared" si="27"/>
        <v>p 057</v>
      </c>
      <c r="I112" s="45" t="str">
        <f t="shared" si="28"/>
        <v>c 902</v>
      </c>
      <c r="J112" s="46" t="str">
        <f t="shared" si="29"/>
        <v>c 928, v "\mp3_ost\leningra.mp3"</v>
      </c>
      <c r="K112" s="40" t="str">
        <f t="shared" si="30"/>
        <v/>
      </c>
      <c r="L112" s="42" t="str">
        <f t="shared" si="31"/>
        <v>&lt;unit112&gt; "ул.Ленинградская" {p 057, c 902, c 928, v "\mp3_ost\leningra.mp3", d 000, n 113}</v>
      </c>
    </row>
    <row r="113" spans="2:12" x14ac:dyDescent="0.25">
      <c r="B113" s="44">
        <f t="shared" si="25"/>
        <v>113</v>
      </c>
      <c r="C113" s="44" t="s">
        <v>330</v>
      </c>
      <c r="D113" s="39" t="str">
        <f t="shared" si="26"/>
        <v>&gt;&gt;</v>
      </c>
      <c r="E113" s="44" t="s">
        <v>361</v>
      </c>
      <c r="G113" s="45">
        <f t="shared" si="32"/>
        <v>114</v>
      </c>
      <c r="H113" s="40" t="str">
        <f t="shared" si="27"/>
        <v>p 073</v>
      </c>
      <c r="I113" s="45" t="str">
        <f t="shared" si="28"/>
        <v>c 900</v>
      </c>
      <c r="J113" s="46" t="str">
        <f t="shared" si="29"/>
        <v>c 928, v "\mp3_ost\!_silent.mp3"</v>
      </c>
      <c r="K113" s="40" t="str">
        <f t="shared" si="30"/>
        <v/>
      </c>
      <c r="L113" s="42" t="str">
        <f t="shared" si="31"/>
        <v>&lt;unit113&gt; "&gt;&gt;ул.Советская" {p 073, c 900, c 928, v "\mp3_ost\!_silent.mp3", d 000, n 114}</v>
      </c>
    </row>
    <row r="114" spans="2:12" x14ac:dyDescent="0.25">
      <c r="B114" s="44">
        <f t="shared" si="25"/>
        <v>114</v>
      </c>
      <c r="C114" s="44" t="s">
        <v>80</v>
      </c>
      <c r="D114" s="39" t="str">
        <f t="shared" si="26"/>
        <v/>
      </c>
      <c r="E114" s="44" t="s">
        <v>361</v>
      </c>
      <c r="F114" s="44" t="s">
        <v>332</v>
      </c>
      <c r="G114" s="45">
        <f>B116</f>
        <v>116</v>
      </c>
      <c r="H114" s="40" t="str">
        <f t="shared" si="27"/>
        <v>p 073</v>
      </c>
      <c r="I114" s="45" t="str">
        <f t="shared" si="28"/>
        <v>c 902</v>
      </c>
      <c r="J114" s="46" t="str">
        <f t="shared" si="29"/>
        <v>c 928, v "\mp3_ost\!_silent.mp3"</v>
      </c>
      <c r="K114" s="40" t="str">
        <f t="shared" si="30"/>
        <v>c 903</v>
      </c>
      <c r="L114" s="42" t="str">
        <f t="shared" si="31"/>
        <v>&lt;unit114&gt; "ул.Советская" {p 073, c 902, c 928, v "\mp3_ost\!_silent.mp3",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5"/>
        <v>116</v>
      </c>
      <c r="E116" s="43" t="s">
        <v>329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F8:F58 F62:F114 C62:C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88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7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324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361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"\mp3_ost\!_silent.mp3"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38" si="6">ROW(B9)</f>
        <v>9</v>
      </c>
      <c r="C9" s="44" t="s">
        <v>330</v>
      </c>
      <c r="D9" s="39" t="str">
        <f>IF(I9="c 900","&gt;&gt;","")</f>
        <v>&gt;&gt;</v>
      </c>
      <c r="E9" s="44" t="s">
        <v>362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/>
      </c>
      <c r="L9" s="42" t="str">
        <f t="shared" si="5"/>
        <v>&lt;unit009&gt; "&gt;&gt;ул.Ленинградская" {p 057, c 900, c 928, v "\mp3_ost\leningra.mp3",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8" si="7">IF(I10="c 900","&gt;&gt;","")</f>
        <v/>
      </c>
      <c r="E10" s="44" t="s">
        <v>362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340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340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270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/>
      </c>
      <c r="L15" s="42" t="str">
        <f t="shared" si="5"/>
        <v>&lt;unit015&gt; "&gt;&gt;ул.Богуслав Поле" {p 049, c 900, c 928, v "\mp3_ost\boguslav.mp3",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{p 049, c 902, c 928, v "\mp3_ost\boguslav.mp3",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337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/>
      </c>
      <c r="L17" s="42" t="str">
        <f t="shared" si="5"/>
        <v>&lt;unit017&gt; "&gt;&gt;ул.Островского" {p 067, c 900, c 928, v "\mp3_ost\ostrovsk.mp3",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337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{p 067, c 902, c 928, v "\mp3_ost\ostrovsk.mp3",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276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/>
      </c>
      <c r="L19" s="42" t="str">
        <f t="shared" si="5"/>
        <v>&lt;unit019&gt; "&gt;&gt;ул.Магистральная" {p 063, c 900, c 928, v "\mp3_ost\magistra.mp3",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276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{p 063, c 902, c 928, v "\mp3_ost\magistra.mp3",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350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"\mp3_ost\!_silent.mp3"</v>
      </c>
      <c r="K21" s="40" t="str">
        <f t="shared" si="4"/>
        <v/>
      </c>
      <c r="L21" s="42" t="str">
        <f t="shared" si="5"/>
        <v>&lt;unit021&gt; "&gt;&gt;ул.Родниковая" {p 070, c 900, c 928,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350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"\mp3_ost\!_silent.mp3"</v>
      </c>
      <c r="K22" s="40" t="str">
        <f t="shared" si="4"/>
        <v/>
      </c>
      <c r="L22" s="42" t="str">
        <f t="shared" si="5"/>
        <v>&lt;unit022&gt; "ул.Родниковая" {p 070, c 902, c 928,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175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/>
      </c>
      <c r="L23" s="42" t="str">
        <f t="shared" si="5"/>
        <v>&lt;unit023&gt; "&gt;&gt;СШ № 8" {p 038, c 900, v "\mp3_ost\8ssh.mp3",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175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{p 038, c 902, v "\mp3_ost\8ssh.mp3",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181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/>
      </c>
      <c r="L25" s="42" t="str">
        <f t="shared" si="5"/>
        <v>&lt;unit025&gt; "&gt;&gt;Больница" {p 006, c 900, v "\mp3_ost\bolnica.mp3",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181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{p 006, c 902, v "\mp3_ost\bolnica.mp3",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349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/>
      </c>
      <c r="L27" s="42" t="str">
        <f t="shared" si="5"/>
        <v>&lt;unit027&gt; "&gt;&gt;ул.Боровая" {p 050, c 900, c 928, v "\mp3_ost\borovaja.mp3",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349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{p 050, c 902, c 928, v "\mp3_ost\borovaja.mp3",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"&gt;&gt;пр-т Венисье" {p 029, c 900, v "\mp3_ost\venis`e.mp3",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261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{p 029, c 902, v "\mp3_ost\venis`e.mp3",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169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/>
      </c>
      <c r="L31" s="42" t="str">
        <f t="shared" si="5"/>
        <v>&lt;unit031&gt; "&gt;&gt;пр-т Мира" {p 031, c 900, v "\mp3_ost\mira.mp3",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{p 031, c 902, v "\mp3_ost\mira.mp3",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351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"&gt;&gt;Парк культуры" {p 022,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351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"Парк культуры" {p 022, c 902, v "\mp3_ost\!_silent.mp3",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247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L35" s="42" t="str">
        <f t="shared" si="5"/>
        <v>&lt;unit035&gt; "&gt;&gt;Свитанок" {p 035, c 900, v "\mp3_ost\svitanak.mp3",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247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L36" s="42" t="str">
        <f t="shared" si="5"/>
        <v>&lt;unit036&gt; "Свитанок" {p 035, c 902, v "\mp3_ost\svitanak.mp3",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288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L37" s="42" t="str">
        <f t="shared" si="5"/>
        <v>&lt;unit037&gt; "&gt;&gt;Пожарная часть" {p 026, c 900, v "\mp3_ost\pojarnay.mp3",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288</v>
      </c>
      <c r="F38" s="44" t="s">
        <v>332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328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80</v>
      </c>
      <c r="D42" s="39" t="str">
        <f t="shared" ref="D42:D74" si="9">IF(I42="c 900","&gt;&gt;","")</f>
        <v/>
      </c>
      <c r="E42" s="44" t="s">
        <v>288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{"&amp;СцепитьМного(H42:K42,", ")&amp;", d 000, n "&amp;TEXT(G42,"000")&amp;"}"</f>
        <v>&lt;unit042&gt; "Пожарная часть" {p 026, c 902, v "\mp3_ost\pojarnay.mp3",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338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/>
      </c>
      <c r="L43" s="42" t="str">
        <f t="shared" si="14"/>
        <v>&lt;unit043&gt; "&gt;&gt;Рынок" {p 033, c 900, v "\mp3_ost\rinok.mp3",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338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{p 033, c 902, v "\mp3_ost\rinok.mp3",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268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/>
      </c>
      <c r="L45" s="42" t="str">
        <f t="shared" si="14"/>
        <v>&lt;unit045&gt; "&gt;&gt;ул.8 Марта" {p 046, c 900, c 928, v "\mp3_ost\8marta.mp3",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268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{p 046, c 902, c 928, v "\mp3_ost\8marta.mp3",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351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"\mp3_ost\!_silent.mp3"</v>
      </c>
      <c r="K47" s="40" t="str">
        <f t="shared" si="13"/>
        <v/>
      </c>
      <c r="L47" s="42" t="str">
        <f t="shared" si="14"/>
        <v>&lt;unit047&gt; "&gt;&gt;Парк культуры" {p 022,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351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"\mp3_ost\!_silent.mp3"</v>
      </c>
      <c r="K48" s="40" t="str">
        <f t="shared" si="13"/>
        <v/>
      </c>
      <c r="L48" s="42" t="str">
        <f t="shared" si="14"/>
        <v>&lt;unit048&gt; "Парк культуры" {p 022, c 902, v "\mp3_ost\!_silent.mp3",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234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/>
      </c>
      <c r="L49" s="42" t="str">
        <f t="shared" si="14"/>
        <v>&lt;unit049&gt; "&gt;&gt;Почта" {p 028, c 900, v "\mp3_ost\pochta.mp3",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234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{p 028, c 902, v "\mp3_ost\pochta.mp3",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261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/>
      </c>
      <c r="L51" s="42" t="str">
        <f t="shared" si="14"/>
        <v>&lt;unit051&gt; "&gt;&gt;пр-т Венисье" {p 029, c 900, v "\mp3_ost\venis`e.mp3",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261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{p 029, c 902, v "\mp3_ost\venis`e.mp3",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349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/>
      </c>
      <c r="L53" s="42" t="str">
        <f t="shared" si="14"/>
        <v>&lt;unit053&gt; "&gt;&gt;ул.Боровая" {p 050, c 900, c 928, v "\mp3_ost\borovaja.mp3",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349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{p 050, c 902, c 928, v "\mp3_ost\borovaja.mp3",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181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/>
      </c>
      <c r="L55" s="42" t="str">
        <f t="shared" si="14"/>
        <v>&lt;unit055&gt; "&gt;&gt;Больница" {p 006, c 900, v "\mp3_ost\bolnica.mp3",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181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{p 006, c 902, v "\mp3_ost\bolnica.mp3",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175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/>
      </c>
      <c r="L57" s="42" t="str">
        <f t="shared" si="14"/>
        <v>&lt;unit057&gt; "&gt;&gt;СШ № 8" {p 038, c 900, v "\mp3_ost\8ssh.mp3",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175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{p 038, c 902, v "\mp3_ost\8ssh.mp3",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276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/>
      </c>
      <c r="L59" s="42" t="str">
        <f t="shared" si="14"/>
        <v>&lt;unit059&gt; "&gt;&gt;ул.Магистральная" {p 063, c 900, c 928, v "\mp3_ost\magistra.mp3",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276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{p 063, c 902, c 928, v "\mp3_ost\magistra.mp3", d 000, n 061}</v>
      </c>
    </row>
    <row r="61" spans="2:12" x14ac:dyDescent="0.25">
      <c r="B61" s="44">
        <f t="shared" si="8"/>
        <v>61</v>
      </c>
      <c r="C61" s="44" t="s">
        <v>330</v>
      </c>
      <c r="D61" s="39" t="str">
        <f t="shared" si="9"/>
        <v>&gt;&gt;</v>
      </c>
      <c r="E61" s="44" t="s">
        <v>337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/>
      </c>
      <c r="L61" s="42" t="str">
        <f t="shared" si="14"/>
        <v>&lt;unit061&gt; "&gt;&gt;ул.Островского" {p 067, c 900, c 928, v "\mp3_ost\ostrovsk.mp3", d 000, n 062}</v>
      </c>
    </row>
    <row r="62" spans="2:12" x14ac:dyDescent="0.25">
      <c r="B62" s="44">
        <f t="shared" si="8"/>
        <v>62</v>
      </c>
      <c r="C62" s="44" t="s">
        <v>80</v>
      </c>
      <c r="D62" s="39" t="str">
        <f t="shared" si="9"/>
        <v/>
      </c>
      <c r="E62" s="44" t="s">
        <v>337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{p 067, c 902, c 928, v "\mp3_ost\ostrovsk.mp3", d 000, n 063}</v>
      </c>
    </row>
    <row r="63" spans="2:12" x14ac:dyDescent="0.25">
      <c r="B63" s="44">
        <f t="shared" si="8"/>
        <v>63</v>
      </c>
      <c r="C63" s="44" t="s">
        <v>330</v>
      </c>
      <c r="D63" s="39" t="str">
        <f t="shared" si="9"/>
        <v>&gt;&gt;</v>
      </c>
      <c r="E63" s="44" t="s">
        <v>345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/>
      </c>
      <c r="L63" s="42" t="str">
        <f t="shared" si="14"/>
        <v>&lt;unit063&gt; "&gt;&gt;Транс.прох.БелАЗ" {p 041, c 900, v "\mp3_ost\belaz.mp3", d 000, n 064}</v>
      </c>
    </row>
    <row r="64" spans="2:12" x14ac:dyDescent="0.25">
      <c r="B64" s="44">
        <f t="shared" si="8"/>
        <v>64</v>
      </c>
      <c r="C64" s="44" t="s">
        <v>80</v>
      </c>
      <c r="D64" s="39" t="str">
        <f t="shared" si="9"/>
        <v/>
      </c>
      <c r="E64" s="44" t="s">
        <v>345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{p 041, c 902, v "\mp3_ost\belaz.mp3", d 000, n 065}</v>
      </c>
    </row>
    <row r="65" spans="2:12" x14ac:dyDescent="0.25">
      <c r="B65" s="44">
        <f t="shared" si="8"/>
        <v>65</v>
      </c>
      <c r="C65" s="44" t="s">
        <v>330</v>
      </c>
      <c r="D65" s="39" t="str">
        <f t="shared" si="9"/>
        <v>&gt;&gt;</v>
      </c>
      <c r="E65" s="44" t="s">
        <v>270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/>
      </c>
      <c r="L65" s="42" t="str">
        <f t="shared" si="14"/>
        <v>&lt;unit065&gt; "&gt;&gt;ул.Богуслав Поле" {p 049, c 900, c 928, v "\mp3_ost\boguslav.mp3", d 000, n 066}</v>
      </c>
    </row>
    <row r="66" spans="2:12" x14ac:dyDescent="0.25">
      <c r="B66" s="44">
        <f t="shared" si="8"/>
        <v>66</v>
      </c>
      <c r="C66" s="44" t="s">
        <v>80</v>
      </c>
      <c r="D66" s="39" t="str">
        <f t="shared" si="9"/>
        <v/>
      </c>
      <c r="E66" s="44" t="s">
        <v>270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{p 049, c 902, c 928, v "\mp3_ost\boguslav.mp3", d 000, n 067}</v>
      </c>
    </row>
    <row r="67" spans="2:12" x14ac:dyDescent="0.25">
      <c r="B67" s="44">
        <f t="shared" si="8"/>
        <v>67</v>
      </c>
      <c r="C67" s="44" t="s">
        <v>330</v>
      </c>
      <c r="D67" s="39" t="str">
        <f t="shared" si="9"/>
        <v>&gt;&gt;</v>
      </c>
      <c r="E67" s="44" t="s">
        <v>340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/>
      </c>
      <c r="L67" s="42" t="str">
        <f t="shared" si="14"/>
        <v>&lt;unit067&gt; "&gt;&gt;БелНИИЖ" {p 004, c 900, v "\mp3_ost\inst-zve.mp3", d 000, n 068}</v>
      </c>
    </row>
    <row r="68" spans="2:12" x14ac:dyDescent="0.25">
      <c r="B68" s="44">
        <f t="shared" si="8"/>
        <v>68</v>
      </c>
      <c r="C68" s="44" t="s">
        <v>80</v>
      </c>
      <c r="D68" s="39" t="str">
        <f t="shared" si="9"/>
        <v/>
      </c>
      <c r="E68" s="44" t="s">
        <v>340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{p 004, c 902, v "\mp3_ost\inst-zve.mp3", d 000, n 069}</v>
      </c>
    </row>
    <row r="69" spans="2:12" x14ac:dyDescent="0.25">
      <c r="B69" s="44">
        <f t="shared" si="8"/>
        <v>69</v>
      </c>
      <c r="C69" s="44" t="s">
        <v>330</v>
      </c>
      <c r="D69" s="39" t="str">
        <f t="shared" si="9"/>
        <v>&gt;&gt;</v>
      </c>
      <c r="E69" s="44" t="s">
        <v>163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/>
      </c>
      <c r="L69" s="42" t="str">
        <f t="shared" si="14"/>
        <v>&lt;unit069&gt; "&gt;&gt;Женская гимназия" {p 011, c 900, v "\mp3_ost\jen-gimn.mp3", d 000, n 070}</v>
      </c>
    </row>
    <row r="70" spans="2:12" x14ac:dyDescent="0.25">
      <c r="B70" s="44">
        <f t="shared" si="8"/>
        <v>70</v>
      </c>
      <c r="C70" s="44" t="s">
        <v>80</v>
      </c>
      <c r="D70" s="39" t="str">
        <f t="shared" si="9"/>
        <v/>
      </c>
      <c r="E70" s="44" t="s">
        <v>163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{p 011, c 902, v "\mp3_ost\jen-gimn.mp3", d 000, n 071}</v>
      </c>
    </row>
    <row r="71" spans="2:12" x14ac:dyDescent="0.25">
      <c r="B71" s="44">
        <f t="shared" si="8"/>
        <v>71</v>
      </c>
      <c r="C71" s="44" t="s">
        <v>330</v>
      </c>
      <c r="D71" s="39" t="str">
        <f t="shared" si="9"/>
        <v>&gt;&gt;</v>
      </c>
      <c r="E71" s="44" t="s">
        <v>362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/>
      </c>
      <c r="L71" s="42" t="str">
        <f t="shared" si="14"/>
        <v>&lt;unit071&gt; "&gt;&gt;ул.Ленинградская" {p 057, c 900, c 928, v "\mp3_ost\leningra.mp3", d 000, n 072}</v>
      </c>
    </row>
    <row r="72" spans="2:12" x14ac:dyDescent="0.25">
      <c r="B72" s="44">
        <f t="shared" si="8"/>
        <v>72</v>
      </c>
      <c r="C72" s="44" t="s">
        <v>80</v>
      </c>
      <c r="D72" s="39" t="str">
        <f t="shared" si="9"/>
        <v/>
      </c>
      <c r="E72" s="44" t="s">
        <v>362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{p 057, c 902, c 928, v "\mp3_ost\leningra.mp3", d 000, n 073}</v>
      </c>
    </row>
    <row r="73" spans="2:12" x14ac:dyDescent="0.25">
      <c r="B73" s="44">
        <f t="shared" si="8"/>
        <v>73</v>
      </c>
      <c r="C73" s="44" t="s">
        <v>330</v>
      </c>
      <c r="D73" s="39" t="str">
        <f t="shared" si="9"/>
        <v>&gt;&gt;</v>
      </c>
      <c r="E73" s="44" t="s">
        <v>361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"\mp3_ost\!_silent.mp3"</v>
      </c>
      <c r="K73" s="40" t="str">
        <f t="shared" si="13"/>
        <v/>
      </c>
      <c r="L73" s="42" t="str">
        <f t="shared" si="14"/>
        <v>&lt;unit073&gt; "&gt;&gt;ул.Советская" {p 073, c 900, c 928, v "\mp3_ost\!_silent.mp3", d 000, n 074}</v>
      </c>
    </row>
    <row r="74" spans="2:12" x14ac:dyDescent="0.25">
      <c r="B74" s="44">
        <f t="shared" si="8"/>
        <v>74</v>
      </c>
      <c r="C74" s="44" t="s">
        <v>80</v>
      </c>
      <c r="D74" s="39" t="str">
        <f t="shared" si="9"/>
        <v/>
      </c>
      <c r="E74" s="44" t="s">
        <v>361</v>
      </c>
      <c r="F74" s="44" t="s">
        <v>332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"\mp3_ost\!_silent.mp3"</v>
      </c>
      <c r="K74" s="40" t="str">
        <f t="shared" si="13"/>
        <v>c 903</v>
      </c>
      <c r="L74" s="42" t="str">
        <f t="shared" si="14"/>
        <v>&lt;unit074&gt; "ул.Советская" {p 073, c 902, c 928, v "\mp3_ost\!_silent.mp3",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329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"\mp3_knst\av.mp3", w 01}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"\mp3_knst\gos.mp3", w 01}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"\mp3_knst\ds.mp3", w 01}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"\mp3_knst\kanc.mp3", w 01}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"\mp3_knst\ko.mp3", w 01}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"\mp3_knst\ost.mp3", w 01}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"\mp3_knst\ostor.mp3", w 01}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"\mp3_knst\pl.mp3", w 01}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"\mp3_knst\pr.mp3", w 01}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"\mp3_knst\sm.mp3", w 01}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5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8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323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326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80</v>
      </c>
      <c r="D7" s="39" t="str">
        <f>IF(I7="c 900","&gt;&gt;","")</f>
        <v/>
      </c>
      <c r="E7" s="44" t="s">
        <v>294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"\mp3_ost\!_silent.mp3"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{"&amp;СцепитьМного(H7:K7,", ")&amp;", d 000, n "&amp;TEXT(G7,"000")&amp;"}"</f>
        <v>&lt;unit007&gt; "9-й микрорайон" {p 084, c 902, v "\mp3_ost\!_silent.mp3", d 000, n 008}</v>
      </c>
    </row>
    <row r="8" spans="1:12" x14ac:dyDescent="0.25">
      <c r="B8" s="44">
        <f t="shared" ref="B8:B51" si="6">ROW(B8)</f>
        <v>8</v>
      </c>
      <c r="C8" s="44" t="s">
        <v>330</v>
      </c>
      <c r="D8" s="39" t="str">
        <f>IF(I8="c 900","&gt;&gt;","")</f>
        <v>&gt;&gt;</v>
      </c>
      <c r="E8" s="44" t="s">
        <v>275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/>
      </c>
      <c r="L8" s="42" t="str">
        <f t="shared" si="5"/>
        <v>&lt;unit008&gt; "&gt;&gt;ул.Логойская" {p 060, c 900, c 928, v "\mp3_ost\lag.mp3", d 000, n 009}</v>
      </c>
    </row>
    <row r="9" spans="1:12" x14ac:dyDescent="0.25">
      <c r="B9" s="44">
        <f t="shared" si="6"/>
        <v>9</v>
      </c>
      <c r="C9" s="44" t="s">
        <v>80</v>
      </c>
      <c r="D9" s="39" t="str">
        <f t="shared" ref="D9:D51" si="7">IF(I9="c 900","&gt;&gt;","")</f>
        <v/>
      </c>
      <c r="E9" s="44" t="s">
        <v>275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{p 060, c 902, c 928, v "\mp3_ost\lag.mp3", d 000, n 010}</v>
      </c>
    </row>
    <row r="10" spans="1:12" x14ac:dyDescent="0.25">
      <c r="B10" s="44">
        <f t="shared" si="6"/>
        <v>10</v>
      </c>
      <c r="C10" s="44" t="s">
        <v>330</v>
      </c>
      <c r="D10" s="39" t="str">
        <f t="shared" si="7"/>
        <v>&gt;&gt;</v>
      </c>
      <c r="E10" s="44" t="s">
        <v>346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"&gt;&gt;ул.Логойская,21" {p 061, c 900, c 928, v "\mp3_ost\!_silent.mp3", d 000, n 011}</v>
      </c>
    </row>
    <row r="11" spans="1:12" x14ac:dyDescent="0.25">
      <c r="B11" s="44">
        <f t="shared" si="6"/>
        <v>11</v>
      </c>
      <c r="C11" s="44" t="s">
        <v>80</v>
      </c>
      <c r="D11" s="39" t="str">
        <f t="shared" si="7"/>
        <v/>
      </c>
      <c r="E11" s="44" t="s">
        <v>346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"ул.Логойская,21" {p 061, c 902, c 928, v "\mp3_ost\!_silent.mp3", d 000, n 012}</v>
      </c>
    </row>
    <row r="12" spans="1:12" x14ac:dyDescent="0.25">
      <c r="B12" s="44">
        <f t="shared" si="6"/>
        <v>12</v>
      </c>
      <c r="C12" s="44" t="s">
        <v>330</v>
      </c>
      <c r="D12" s="39" t="str">
        <f t="shared" si="7"/>
        <v>&gt;&gt;</v>
      </c>
      <c r="E12" s="44" t="s">
        <v>347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"&gt;&gt;ул.Логойская,23" {p 062, c 900, c 928, v "\mp3_ost\!_silent.mp3", d 000, n 013}</v>
      </c>
    </row>
    <row r="13" spans="1:12" x14ac:dyDescent="0.25">
      <c r="B13" s="44">
        <f t="shared" si="6"/>
        <v>13</v>
      </c>
      <c r="C13" s="44" t="s">
        <v>80</v>
      </c>
      <c r="D13" s="39" t="str">
        <f t="shared" si="7"/>
        <v/>
      </c>
      <c r="E13" s="44" t="s">
        <v>347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"\mp3_ost\!_silent.mp3"</v>
      </c>
      <c r="K13" s="40" t="str">
        <f t="shared" si="4"/>
        <v/>
      </c>
      <c r="L13" s="42" t="str">
        <f t="shared" si="5"/>
        <v>&lt;unit013&gt; "ул.Логойская,23" {p 062, c 902, c 928, v "\mp3_ost\!_silent.mp3", d 000, n 014}</v>
      </c>
    </row>
    <row r="14" spans="1:12" x14ac:dyDescent="0.25">
      <c r="B14" s="44">
        <f t="shared" si="6"/>
        <v>14</v>
      </c>
      <c r="C14" s="44" t="s">
        <v>330</v>
      </c>
      <c r="D14" s="39" t="str">
        <f t="shared" si="7"/>
        <v>&gt;&gt;</v>
      </c>
      <c r="E14" s="44" t="s">
        <v>174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"&gt;&gt;8 микрорайон" {p 001, c 900, v "\mp3_ost\8mikra.mp3", d 000, n 015}</v>
      </c>
    </row>
    <row r="15" spans="1:12" x14ac:dyDescent="0.25">
      <c r="B15" s="44">
        <f t="shared" si="6"/>
        <v>15</v>
      </c>
      <c r="C15" s="44" t="s">
        <v>80</v>
      </c>
      <c r="D15" s="39" t="str">
        <f t="shared" si="7"/>
        <v/>
      </c>
      <c r="E15" s="44" t="s">
        <v>174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"8 микрорайон" {p 001, c 902, v "\mp3_ost\8mikra.mp3", d 000, n 016}</v>
      </c>
    </row>
    <row r="16" spans="1:12" x14ac:dyDescent="0.25">
      <c r="B16" s="44">
        <f t="shared" si="6"/>
        <v>16</v>
      </c>
      <c r="C16" s="44" t="s">
        <v>330</v>
      </c>
      <c r="D16" s="39" t="str">
        <f t="shared" si="7"/>
        <v>&gt;&gt;</v>
      </c>
      <c r="E16" s="44" t="s">
        <v>215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"&gt;&gt;пр-т Ленина" {p 030, c 900, v "\mp3_ost\lenina.mp3", d 000, n 017}</v>
      </c>
    </row>
    <row r="17" spans="2:12" x14ac:dyDescent="0.25">
      <c r="B17" s="44">
        <f t="shared" si="6"/>
        <v>17</v>
      </c>
      <c r="C17" s="44" t="s">
        <v>80</v>
      </c>
      <c r="D17" s="39" t="str">
        <f t="shared" si="7"/>
        <v/>
      </c>
      <c r="E17" s="44" t="s">
        <v>215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"пр-т Ленина" {p 030, c 902, v "\mp3_ost\lenina.mp3", d 000, n 018}</v>
      </c>
    </row>
    <row r="18" spans="2:12" x14ac:dyDescent="0.25">
      <c r="B18" s="44">
        <f t="shared" si="6"/>
        <v>18</v>
      </c>
      <c r="C18" s="44" t="s">
        <v>330</v>
      </c>
      <c r="D18" s="39" t="str">
        <f t="shared" si="7"/>
        <v>&gt;&gt;</v>
      </c>
      <c r="E18" s="44" t="s">
        <v>279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8"/>
        <v>c 900</v>
      </c>
      <c r="J18" s="46" t="str">
        <f>IFERROR(VLOOKUP(E18,Ostanovki,7,FALSE),"")</f>
        <v>c 928, v "\mp3_ost\suhogrya.mp3"</v>
      </c>
      <c r="K18" s="40" t="str">
        <f t="shared" si="9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"&gt;&gt;ул.Сухогрядская" {p 076, c 900, c 928, v "\mp3_ost\suhogrya.mp3", d 000, n 019}</v>
      </c>
    </row>
    <row r="19" spans="2:12" x14ac:dyDescent="0.25">
      <c r="B19" s="44">
        <f t="shared" si="6"/>
        <v>19</v>
      </c>
      <c r="C19" s="44" t="s">
        <v>80</v>
      </c>
      <c r="D19" s="39" t="str">
        <f t="shared" si="7"/>
        <v/>
      </c>
      <c r="E19" s="44" t="s">
        <v>279</v>
      </c>
      <c r="G19" s="45">
        <f t="shared" si="0"/>
        <v>20</v>
      </c>
      <c r="H19" s="40" t="str">
        <f t="shared" ref="H19:H24" si="10">IFERROR("p "&amp;VLOOKUP(E21,Tablo_Tab,2,FALSE),"")</f>
        <v>p 033</v>
      </c>
      <c r="I19" s="45" t="str">
        <f t="shared" si="2"/>
        <v>c 902</v>
      </c>
      <c r="J19" s="46" t="str">
        <f t="shared" ref="J19:J24" si="11">IFERROR(VLOOKUP(E21,Ostanovki,7,FALSE),"")</f>
        <v>v "\mp3_ost\rinok.mp3"</v>
      </c>
      <c r="K19" s="40" t="str">
        <f t="shared" si="4"/>
        <v/>
      </c>
      <c r="L19" s="42" t="str">
        <f t="shared" si="5"/>
        <v>&lt;unit019&gt; "ул.Сухогрядская" {p 033, c 902, v "\mp3_ost\rinok.mp3", d 000, n 020}</v>
      </c>
    </row>
    <row r="20" spans="2:12" x14ac:dyDescent="0.25">
      <c r="B20" s="44">
        <f t="shared" si="6"/>
        <v>20</v>
      </c>
      <c r="C20" s="44" t="s">
        <v>330</v>
      </c>
      <c r="D20" s="39" t="str">
        <f t="shared" si="7"/>
        <v>&gt;&gt;</v>
      </c>
      <c r="E20" s="44" t="s">
        <v>338</v>
      </c>
      <c r="G20" s="45">
        <f t="shared" si="0"/>
        <v>21</v>
      </c>
      <c r="H20" s="40" t="str">
        <f t="shared" si="10"/>
        <v>p 046</v>
      </c>
      <c r="I20" s="45" t="str">
        <f t="shared" si="2"/>
        <v>c 900</v>
      </c>
      <c r="J20" s="46" t="str">
        <f t="shared" si="11"/>
        <v>c 928, v "\mp3_ost\8marta.mp3"</v>
      </c>
      <c r="K20" s="40" t="str">
        <f t="shared" si="4"/>
        <v/>
      </c>
      <c r="L20" s="42" t="str">
        <f t="shared" si="5"/>
        <v>&lt;unit020&gt; "&gt;&gt;Рынок" {p 046, c 900, c 928, v "\mp3_ost\8marta.mp3", d 000, n 021}</v>
      </c>
    </row>
    <row r="21" spans="2:12" x14ac:dyDescent="0.25">
      <c r="B21" s="44">
        <f t="shared" si="6"/>
        <v>21</v>
      </c>
      <c r="C21" s="44" t="s">
        <v>80</v>
      </c>
      <c r="D21" s="39" t="str">
        <f t="shared" si="7"/>
        <v/>
      </c>
      <c r="E21" s="44" t="s">
        <v>338</v>
      </c>
      <c r="G21" s="45">
        <f t="shared" si="0"/>
        <v>22</v>
      </c>
      <c r="H21" s="40" t="str">
        <f t="shared" si="10"/>
        <v>p 046</v>
      </c>
      <c r="I21" s="45" t="str">
        <f t="shared" si="2"/>
        <v>c 902</v>
      </c>
      <c r="J21" s="46" t="str">
        <f t="shared" si="11"/>
        <v>c 928, v "\mp3_ost\8marta.mp3"</v>
      </c>
      <c r="K21" s="40" t="str">
        <f t="shared" si="4"/>
        <v/>
      </c>
      <c r="L21" s="42" t="str">
        <f t="shared" si="5"/>
        <v>&lt;unit021&gt; "Рынок" {p 046, c 902, c 928, v "\mp3_ost\8marta.mp3", d 000, n 022}</v>
      </c>
    </row>
    <row r="22" spans="2:12" x14ac:dyDescent="0.25">
      <c r="B22" s="44">
        <f t="shared" si="6"/>
        <v>22</v>
      </c>
      <c r="C22" s="44" t="s">
        <v>330</v>
      </c>
      <c r="D22" s="39" t="str">
        <f t="shared" si="7"/>
        <v>&gt;&gt;</v>
      </c>
      <c r="E22" s="44" t="s">
        <v>268</v>
      </c>
      <c r="G22" s="45">
        <f t="shared" si="0"/>
        <v>23</v>
      </c>
      <c r="H22" s="40" t="str">
        <f t="shared" si="10"/>
        <v>p 022</v>
      </c>
      <c r="I22" s="45" t="str">
        <f t="shared" si="2"/>
        <v>c 900</v>
      </c>
      <c r="J22" s="46" t="str">
        <f t="shared" si="11"/>
        <v>v "\mp3_ost\!_silent.mp3"</v>
      </c>
      <c r="K22" s="40" t="str">
        <f t="shared" si="4"/>
        <v/>
      </c>
      <c r="L22" s="42" t="str">
        <f t="shared" si="5"/>
        <v>&lt;unit022&gt; "&gt;&gt;ул.8 Марта" {p 022, c 900, v "\mp3_ost\!_silent.mp3", d 000, n 023}</v>
      </c>
    </row>
    <row r="23" spans="2:12" x14ac:dyDescent="0.25">
      <c r="B23" s="44">
        <f t="shared" si="6"/>
        <v>23</v>
      </c>
      <c r="C23" s="44" t="s">
        <v>80</v>
      </c>
      <c r="D23" s="39" t="str">
        <f t="shared" si="7"/>
        <v/>
      </c>
      <c r="E23" s="44" t="s">
        <v>268</v>
      </c>
      <c r="G23" s="45">
        <f t="shared" si="0"/>
        <v>24</v>
      </c>
      <c r="H23" s="40" t="str">
        <f t="shared" si="10"/>
        <v>p 022</v>
      </c>
      <c r="I23" s="45" t="str">
        <f t="shared" si="2"/>
        <v>c 902</v>
      </c>
      <c r="J23" s="46" t="str">
        <f t="shared" si="11"/>
        <v>v "\mp3_ost\!_silent.mp3"</v>
      </c>
      <c r="K23" s="40" t="str">
        <f t="shared" si="4"/>
        <v/>
      </c>
      <c r="L23" s="42" t="str">
        <f t="shared" si="5"/>
        <v>&lt;unit023&gt; "ул.8 Марта" {p 022, c 902, v "\mp3_ost\!_silent.mp3", d 000, n 024}</v>
      </c>
    </row>
    <row r="24" spans="2:12" x14ac:dyDescent="0.25">
      <c r="B24" s="44">
        <f t="shared" si="6"/>
        <v>24</v>
      </c>
      <c r="C24" s="44" t="s">
        <v>330</v>
      </c>
      <c r="D24" s="39" t="str">
        <f t="shared" si="7"/>
        <v>&gt;&gt;</v>
      </c>
      <c r="E24" s="44" t="s">
        <v>351</v>
      </c>
      <c r="G24" s="45">
        <f t="shared" si="0"/>
        <v>25</v>
      </c>
      <c r="H24" s="40" t="str">
        <f t="shared" si="10"/>
        <v>p 028</v>
      </c>
      <c r="I24" s="45" t="str">
        <f t="shared" si="2"/>
        <v>c 900</v>
      </c>
      <c r="J24" s="46" t="str">
        <f t="shared" si="11"/>
        <v>v "\mp3_ost\pochta.mp3"</v>
      </c>
      <c r="K24" s="40" t="str">
        <f t="shared" si="4"/>
        <v/>
      </c>
      <c r="L24" s="42" t="str">
        <f t="shared" si="5"/>
        <v>&lt;unit024&gt; "&gt;&gt;Парк культуры" {p 028, c 900, v "\mp3_ost\pochta.mp3", d 000, n 025}</v>
      </c>
    </row>
    <row r="25" spans="2:12" x14ac:dyDescent="0.25">
      <c r="B25" s="44">
        <f t="shared" si="6"/>
        <v>25</v>
      </c>
      <c r="C25" s="44" t="s">
        <v>80</v>
      </c>
      <c r="D25" s="39" t="str">
        <f t="shared" si="7"/>
        <v/>
      </c>
      <c r="E25" s="44" t="s">
        <v>351</v>
      </c>
      <c r="G25" s="45">
        <f t="shared" si="0"/>
        <v>26</v>
      </c>
      <c r="H25" s="40" t="str">
        <f>IFERROR("p "&amp;VLOOKUP(#REF!,Tablo_Tab,2,FALSE),"")</f>
        <v/>
      </c>
      <c r="I25" s="45" t="str">
        <f t="shared" si="2"/>
        <v>c 902</v>
      </c>
      <c r="J25" s="46" t="str">
        <f>IFERROR(VLOOKUP(#REF!,Ostanovki,7,FALSE),"")</f>
        <v/>
      </c>
      <c r="K25" s="40" t="str">
        <f t="shared" si="4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"Парк культуры" {c 902, d 000, n 026}</v>
      </c>
    </row>
    <row r="26" spans="2:12" x14ac:dyDescent="0.25">
      <c r="B26" s="44">
        <f t="shared" si="6"/>
        <v>26</v>
      </c>
      <c r="C26" s="44" t="s">
        <v>330</v>
      </c>
      <c r="D26" s="39" t="str">
        <f t="shared" si="7"/>
        <v>&gt;&gt;</v>
      </c>
      <c r="E26" s="44" t="s">
        <v>234</v>
      </c>
      <c r="G26" s="45">
        <f t="shared" si="0"/>
        <v>27</v>
      </c>
      <c r="H26" s="40" t="str">
        <f>IFERROR("p "&amp;VLOOKUP(#REF!,Tablo_Tab,2,FALSE),"")</f>
        <v/>
      </c>
      <c r="I26" s="45" t="str">
        <f t="shared" si="2"/>
        <v>c 900</v>
      </c>
      <c r="J26" s="46" t="str">
        <f>IFERROR(VLOOKUP(#REF!,Ostanovki,7,FALSE),"")</f>
        <v/>
      </c>
      <c r="K26" s="40" t="str">
        <f t="shared" si="4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"&gt;&gt;Почта" {c 900, d 000, n 027}</v>
      </c>
    </row>
    <row r="27" spans="2:12" x14ac:dyDescent="0.25">
      <c r="B27" s="44">
        <f t="shared" si="6"/>
        <v>27</v>
      </c>
      <c r="C27" s="44" t="s">
        <v>80</v>
      </c>
      <c r="D27" s="39" t="str">
        <f t="shared" si="7"/>
        <v/>
      </c>
      <c r="E27" s="44" t="s">
        <v>234</v>
      </c>
      <c r="G27" s="45">
        <f t="shared" si="0"/>
        <v>28</v>
      </c>
      <c r="H27" s="40" t="str">
        <f t="shared" si="1"/>
        <v>p 028</v>
      </c>
      <c r="I27" s="45" t="str">
        <f t="shared" si="2"/>
        <v>c 902</v>
      </c>
      <c r="J27" s="46" t="str">
        <f t="shared" si="3"/>
        <v>v "\mp3_ost\pochta.mp3"</v>
      </c>
      <c r="K27" s="40" t="str">
        <f t="shared" si="4"/>
        <v/>
      </c>
      <c r="L27" s="42" t="str">
        <f t="shared" si="5"/>
        <v>&lt;unit027&gt; "Почта" {p 028, c 902, v "\mp3_ost\pochta.mp3", d 000, n 028}</v>
      </c>
    </row>
    <row r="28" spans="2:12" x14ac:dyDescent="0.25">
      <c r="B28" s="44">
        <f t="shared" si="6"/>
        <v>28</v>
      </c>
      <c r="C28" s="44" t="s">
        <v>330</v>
      </c>
      <c r="D28" s="39" t="str">
        <f t="shared" si="7"/>
        <v>&gt;&gt;</v>
      </c>
      <c r="E28" s="44" t="s">
        <v>261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/>
      </c>
      <c r="L28" s="42" t="str">
        <f t="shared" si="5"/>
        <v>&lt;unit028&gt; "&gt;&gt;пр-т Венисье" {p 029, c 900, v "\mp3_ost\venis`e.mp3", d 000, n 029}</v>
      </c>
    </row>
    <row r="29" spans="2:12" x14ac:dyDescent="0.25">
      <c r="B29" s="44">
        <f t="shared" si="6"/>
        <v>29</v>
      </c>
      <c r="C29" s="44" t="s">
        <v>80</v>
      </c>
      <c r="D29" s="39" t="str">
        <f t="shared" si="7"/>
        <v/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"пр-т Венисье" {p 029, c 902, v "\mp3_ost\venis`e.mp3", d 000, n 030}</v>
      </c>
    </row>
    <row r="30" spans="2:12" x14ac:dyDescent="0.25">
      <c r="B30" s="44">
        <f t="shared" si="6"/>
        <v>30</v>
      </c>
      <c r="C30" s="44" t="s">
        <v>330</v>
      </c>
      <c r="D30" s="39" t="str">
        <f t="shared" si="7"/>
        <v>&gt;&gt;</v>
      </c>
      <c r="E30" s="44" t="s">
        <v>349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"\mp3_ost\borovaja.mp3"</v>
      </c>
      <c r="K30" s="40" t="str">
        <f t="shared" si="4"/>
        <v/>
      </c>
      <c r="L30" s="42" t="str">
        <f t="shared" si="5"/>
        <v>&lt;unit030&gt; "&gt;&gt;ул.Боровая" {p 050, c 900, c 928, v "\mp3_ost\borovaja.mp3", d 000, n 045}</v>
      </c>
    </row>
    <row r="31" spans="2:12" x14ac:dyDescent="0.25">
      <c r="B31" s="44">
        <f t="shared" si="6"/>
        <v>31</v>
      </c>
      <c r="C31" s="44" t="s">
        <v>80</v>
      </c>
      <c r="D31" s="39" t="str">
        <f t="shared" si="7"/>
        <v/>
      </c>
      <c r="E31" s="44" t="s">
        <v>349</v>
      </c>
      <c r="G31" s="45">
        <f t="shared" ref="G31:G34" si="12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"\mp3_ost\borovaja.mp3"</v>
      </c>
      <c r="K31" s="40" t="str">
        <f t="shared" si="4"/>
        <v/>
      </c>
      <c r="L31" s="42" t="str">
        <f t="shared" si="5"/>
        <v>&lt;unit031&gt; "ул.Боровая" {p 050, c 902, c 928, v "\mp3_ost\borovaja.mp3", d 000, n 032}</v>
      </c>
    </row>
    <row r="32" spans="2:12" x14ac:dyDescent="0.25">
      <c r="B32" s="44">
        <f>ROW(B32)</f>
        <v>32</v>
      </c>
      <c r="C32" s="44" t="s">
        <v>330</v>
      </c>
      <c r="D32" s="39" t="str">
        <f t="shared" si="7"/>
        <v>&gt;&gt;</v>
      </c>
      <c r="E32" s="44" t="s">
        <v>181</v>
      </c>
      <c r="G32" s="45">
        <f t="shared" si="12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/>
      </c>
      <c r="L32" s="42" t="str">
        <f t="shared" si="5"/>
        <v>&lt;unit032&gt; "&gt;&gt;Больница" {p 006, c 900, v "\mp3_ost\bolnica.mp3", d 000, n 033}</v>
      </c>
    </row>
    <row r="33" spans="2:12" x14ac:dyDescent="0.25">
      <c r="B33" s="44">
        <f t="shared" si="6"/>
        <v>33</v>
      </c>
      <c r="C33" s="44" t="s">
        <v>80</v>
      </c>
      <c r="D33" s="39" t="str">
        <f t="shared" si="7"/>
        <v/>
      </c>
      <c r="E33" s="44" t="s">
        <v>181</v>
      </c>
      <c r="G33" s="45">
        <f t="shared" si="12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{p 006, c 902, v "\mp3_ost\bolnica.mp3", d 000, n 034}</v>
      </c>
    </row>
    <row r="34" spans="2:12" x14ac:dyDescent="0.25">
      <c r="B34" s="44">
        <f t="shared" si="6"/>
        <v>34</v>
      </c>
      <c r="C34" s="44" t="s">
        <v>330</v>
      </c>
      <c r="D34" s="39" t="str">
        <f t="shared" si="7"/>
        <v>&gt;&gt;</v>
      </c>
      <c r="E34" s="44" t="s">
        <v>175</v>
      </c>
      <c r="G34" s="45">
        <f t="shared" si="12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L34" s="42" t="str">
        <f t="shared" si="5"/>
        <v>&lt;unit034&gt; "&gt;&gt;СШ № 8" {p 038, c 900, v "\mp3_ost\8ssh.mp3", d 000, n 035}</v>
      </c>
    </row>
    <row r="35" spans="2:12" x14ac:dyDescent="0.25">
      <c r="B35" s="44">
        <f t="shared" si="6"/>
        <v>35</v>
      </c>
      <c r="C35" s="44" t="s">
        <v>80</v>
      </c>
      <c r="D35" s="39" t="str">
        <f t="shared" ref="D35:D44" si="13">IF(I35="c 900","&gt;&gt;","")</f>
        <v/>
      </c>
      <c r="E35" s="44" t="s">
        <v>175</v>
      </c>
      <c r="G35" s="45">
        <f t="shared" ref="G35:G44" si="14">B36</f>
        <v>36</v>
      </c>
      <c r="H35" s="40" t="str">
        <f t="shared" ref="H35:H44" si="15">IFERROR("p "&amp;VLOOKUP(E35,Tablo_Tab,2,FALSE),"")</f>
        <v>p 038</v>
      </c>
      <c r="I35" s="45" t="str">
        <f t="shared" ref="I35:I44" si="16">IFERROR("c "&amp;VLOOKUP(C35,Punkti,2,FALSE),"")</f>
        <v>c 902</v>
      </c>
      <c r="J35" s="46" t="str">
        <f t="shared" ref="J35:J44" si="17">IFERROR(VLOOKUP(E35,Ostanovki,7,FALSE),"")</f>
        <v>v "\mp3_ost\8ssh.mp3"</v>
      </c>
      <c r="K35" s="40" t="str">
        <f t="shared" ref="K35:K43" si="18">IFERROR("c "&amp;VLOOKUP(F35,Punkti,2,FALSE),"")</f>
        <v/>
      </c>
      <c r="L35" s="42" t="str">
        <f t="shared" ref="L35:L44" si="19">"&lt;unit"&amp;TEXT(B35,"000")&amp;"&gt; """&amp;СцепитьМного(D35:E35,"")&amp;""" {"&amp;СцепитьМного(H35:K35,", ")&amp;", d 000, n "&amp;TEXT(G35,"000")&amp;"}"</f>
        <v>&lt;unit035&gt; "СШ № 8" {p 038, c 902, v "\mp3_ost\8ssh.mp3", d 000, n 036}</v>
      </c>
    </row>
    <row r="36" spans="2:12" x14ac:dyDescent="0.25">
      <c r="B36" s="44">
        <f>ROW(B36)</f>
        <v>36</v>
      </c>
      <c r="C36" s="44" t="s">
        <v>330</v>
      </c>
      <c r="D36" s="39" t="str">
        <f t="shared" si="13"/>
        <v>&gt;&gt;</v>
      </c>
      <c r="E36" s="44" t="s">
        <v>276</v>
      </c>
      <c r="G36" s="45">
        <f>B43</f>
        <v>43</v>
      </c>
      <c r="H36" s="40" t="str">
        <f t="shared" si="15"/>
        <v>p 063</v>
      </c>
      <c r="I36" s="45" t="str">
        <f t="shared" si="16"/>
        <v>c 900</v>
      </c>
      <c r="J36" s="46" t="str">
        <f t="shared" si="17"/>
        <v>c 928, v "\mp3_ost\magistra.mp3"</v>
      </c>
      <c r="K36" s="40" t="str">
        <f t="shared" si="18"/>
        <v/>
      </c>
      <c r="L36" s="42" t="str">
        <f t="shared" si="19"/>
        <v>&lt;unit036&gt; "&gt;&gt;ул.Магистральная" {p 063, c 900, c 928, v "\mp3_ost\magistra.mp3", d 000, n 043}</v>
      </c>
    </row>
    <row r="37" spans="2:12" x14ac:dyDescent="0.25">
      <c r="B37" s="44">
        <f t="shared" si="6"/>
        <v>37</v>
      </c>
      <c r="C37" s="44" t="s">
        <v>80</v>
      </c>
      <c r="D37" s="39" t="str">
        <f t="shared" ref="D37:D42" si="20">IF(I37="c 900","&gt;&gt;","")</f>
        <v/>
      </c>
      <c r="E37" s="44" t="s">
        <v>276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ref="K37" si="25">IFERROR("c "&amp;VLOOKUP(F37,Punkti,2,FALSE),"")</f>
        <v/>
      </c>
      <c r="L37" s="42" t="str">
        <f t="shared" ref="L37:L42" si="26">"&lt;unit"&amp;TEXT(B37,"000")&amp;"&gt; """&amp;СцепитьМного(D37:E37,"")&amp;""" {"&amp;СцепитьМного(H37:K37,", ")&amp;", d 000, n "&amp;TEXT(G37,"000")&amp;"}"</f>
        <v>&lt;unit037&gt; "ул.Магистральная" {p 063, c 902, c 928, v "\mp3_ost\magistra.mp3", d 000, n 038}</v>
      </c>
    </row>
    <row r="38" spans="2:12" x14ac:dyDescent="0.25">
      <c r="B38" s="44">
        <f t="shared" si="6"/>
        <v>38</v>
      </c>
      <c r="C38" s="44" t="s">
        <v>330</v>
      </c>
      <c r="D38" s="39" t="str">
        <f t="shared" si="20"/>
        <v>&gt;&gt;</v>
      </c>
      <c r="E38" s="44" t="s">
        <v>337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L38" s="42" t="str">
        <f t="shared" si="26"/>
        <v>&lt;unit038&gt; "&gt;&gt;ул.Островского" {p 067, c 900, c 928, v "\mp3_ost\ostrovsk.mp3", d 000, n 039}</v>
      </c>
    </row>
    <row r="39" spans="2:12" x14ac:dyDescent="0.25">
      <c r="B39" s="44">
        <f t="shared" si="6"/>
        <v>39</v>
      </c>
      <c r="C39" s="44" t="s">
        <v>80</v>
      </c>
      <c r="D39" s="39" t="str">
        <f t="shared" si="20"/>
        <v/>
      </c>
      <c r="E39" s="44" t="s">
        <v>337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ref="K39:K41" si="27">IFERROR("c "&amp;VLOOKUP(F39,Punkti,2,FALSE),"")</f>
        <v/>
      </c>
      <c r="L39" s="42" t="str">
        <f t="shared" si="26"/>
        <v>&lt;unit039&gt; "ул.Островского" {p 067, c 902, c 928, v "\mp3_ost\ostrovsk.mp3", d 000, n 040}</v>
      </c>
    </row>
    <row r="40" spans="2:12" x14ac:dyDescent="0.25">
      <c r="B40" s="44">
        <f>ROW(B40)</f>
        <v>40</v>
      </c>
      <c r="C40" s="44" t="s">
        <v>330</v>
      </c>
      <c r="D40" s="39" t="str">
        <f t="shared" si="20"/>
        <v>&gt;&gt;</v>
      </c>
      <c r="E40" s="44" t="s">
        <v>345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27"/>
        <v/>
      </c>
      <c r="L40" s="42" t="str">
        <f t="shared" si="26"/>
        <v>&lt;unit040&gt; "&gt;&gt;Транс.прох.БелАЗ" {p 041, c 900, v "\mp3_ost\belaz.mp3", d 000, n 041}</v>
      </c>
    </row>
    <row r="41" spans="2:12" x14ac:dyDescent="0.25">
      <c r="B41" s="44">
        <f t="shared" si="6"/>
        <v>41</v>
      </c>
      <c r="C41" s="44" t="s">
        <v>80</v>
      </c>
      <c r="D41" s="39" t="str">
        <f t="shared" si="20"/>
        <v/>
      </c>
      <c r="E41" s="44" t="s">
        <v>345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27"/>
        <v/>
      </c>
      <c r="L41" s="42" t="str">
        <f t="shared" si="26"/>
        <v>&lt;unit041&gt; "Транс.прох.БелАЗ" {p 041, c 902, v "\mp3_ost\belaz.mp3", d 000, n 042}</v>
      </c>
    </row>
    <row r="42" spans="2:12" x14ac:dyDescent="0.25">
      <c r="B42" s="44">
        <f t="shared" si="6"/>
        <v>42</v>
      </c>
      <c r="C42" s="44" t="s">
        <v>330</v>
      </c>
      <c r="D42" s="39" t="str">
        <f t="shared" si="20"/>
        <v>&gt;&gt;</v>
      </c>
      <c r="E42" s="44" t="s">
        <v>270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L42" s="42" t="str">
        <f t="shared" si="26"/>
        <v>&lt;unit042&gt; "&gt;&gt;ул.Богуслав Поле" {p 049, c 900, c 928, v "\mp3_ost\boguslav.mp3", d 000, n 043}</v>
      </c>
    </row>
    <row r="43" spans="2:12" x14ac:dyDescent="0.25">
      <c r="B43" s="44">
        <f t="shared" si="6"/>
        <v>43</v>
      </c>
      <c r="C43" s="44" t="s">
        <v>80</v>
      </c>
      <c r="D43" s="39" t="str">
        <f t="shared" si="13"/>
        <v/>
      </c>
      <c r="E43" s="44" t="s">
        <v>270</v>
      </c>
      <c r="G43" s="45">
        <f t="shared" si="14"/>
        <v>44</v>
      </c>
      <c r="H43" s="40" t="str">
        <f t="shared" si="15"/>
        <v>p 049</v>
      </c>
      <c r="I43" s="45" t="str">
        <f t="shared" si="16"/>
        <v>c 902</v>
      </c>
      <c r="J43" s="46" t="str">
        <f t="shared" si="17"/>
        <v>c 928, v "\mp3_ost\boguslav.mp3"</v>
      </c>
      <c r="K43" s="40" t="str">
        <f t="shared" si="18"/>
        <v/>
      </c>
      <c r="L43" s="42" t="str">
        <f t="shared" si="19"/>
        <v>&lt;unit043&gt; "ул.Богуслав Поле" {p 049, c 902, c 928, v "\mp3_ost\boguslav.mp3", d 000, n 044}</v>
      </c>
    </row>
    <row r="44" spans="2:12" x14ac:dyDescent="0.25">
      <c r="B44" s="44">
        <f t="shared" si="6"/>
        <v>44</v>
      </c>
      <c r="C44" s="44" t="s">
        <v>330</v>
      </c>
      <c r="D44" s="39" t="str">
        <f t="shared" si="13"/>
        <v>&gt;&gt;</v>
      </c>
      <c r="E44" s="44" t="s">
        <v>340</v>
      </c>
      <c r="G44" s="45">
        <f t="shared" si="14"/>
        <v>45</v>
      </c>
      <c r="H44" s="40" t="str">
        <f t="shared" si="15"/>
        <v>p 004</v>
      </c>
      <c r="I44" s="45" t="str">
        <f t="shared" si="16"/>
        <v>c 900</v>
      </c>
      <c r="J44" s="46" t="str">
        <f t="shared" si="17"/>
        <v>v "\mp3_ost\inst-zve.mp3"</v>
      </c>
      <c r="L44" s="42" t="str">
        <f t="shared" si="19"/>
        <v>&lt;unit044&gt; "&gt;&gt;БелНИИЖ" {p 004, c 900, v "\mp3_ost\inst-zve.mp3", d 000, n 045}</v>
      </c>
    </row>
    <row r="45" spans="2:12" x14ac:dyDescent="0.25">
      <c r="B45" s="44">
        <f t="shared" si="6"/>
        <v>45</v>
      </c>
      <c r="C45" s="44" t="s">
        <v>80</v>
      </c>
      <c r="D45" s="39" t="str">
        <f t="shared" si="7"/>
        <v/>
      </c>
      <c r="E45" s="44" t="s">
        <v>340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{p 004, c 902, v "\mp3_ost\inst-zve.mp3", d 000, n 046}</v>
      </c>
    </row>
    <row r="46" spans="2:12" x14ac:dyDescent="0.25">
      <c r="B46" s="44">
        <f>ROW(B46)</f>
        <v>46</v>
      </c>
      <c r="C46" s="44" t="s">
        <v>330</v>
      </c>
      <c r="D46" s="39" t="str">
        <f t="shared" si="7"/>
        <v>&gt;&gt;</v>
      </c>
      <c r="E46" s="44" t="s">
        <v>163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/>
      </c>
      <c r="L46" s="42" t="str">
        <f t="shared" si="5"/>
        <v>&lt;unit046&gt; "&gt;&gt;Женская гимназия" {p 011, c 900, v "\mp3_ost\jen-gimn.mp3", d 000, n 047}</v>
      </c>
    </row>
    <row r="47" spans="2:12" x14ac:dyDescent="0.25">
      <c r="B47" s="44">
        <f t="shared" si="6"/>
        <v>47</v>
      </c>
      <c r="C47" s="44" t="s">
        <v>80</v>
      </c>
      <c r="D47" s="39" t="str">
        <f t="shared" si="7"/>
        <v/>
      </c>
      <c r="E47" s="44" t="s">
        <v>163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{p 011, c 902, v "\mp3_ost\jen-gimn.mp3", d 000, n 048}</v>
      </c>
    </row>
    <row r="48" spans="2:12" x14ac:dyDescent="0.25">
      <c r="B48" s="44">
        <f t="shared" si="6"/>
        <v>48</v>
      </c>
      <c r="C48" s="44" t="s">
        <v>330</v>
      </c>
      <c r="D48" s="39" t="str">
        <f t="shared" si="7"/>
        <v>&gt;&gt;</v>
      </c>
      <c r="E48" s="44" t="s">
        <v>362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L48" s="42" t="str">
        <f t="shared" si="5"/>
        <v>&lt;unit048&gt; "&gt;&gt;ул.Ленинградская" {p 057, c 900, c 928, v "\mp3_ost\leningra.mp3", d 000, n 049}</v>
      </c>
    </row>
    <row r="49" spans="2:12" x14ac:dyDescent="0.25">
      <c r="B49" s="44">
        <f t="shared" si="6"/>
        <v>49</v>
      </c>
      <c r="C49" s="44" t="s">
        <v>80</v>
      </c>
      <c r="D49" s="39" t="str">
        <f t="shared" si="7"/>
        <v/>
      </c>
      <c r="E49" s="44" t="s">
        <v>362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L49" s="42" t="str">
        <f t="shared" si="5"/>
        <v>&lt;unit049&gt; "ул.Ленинградская" {p 057, c 902, c 928, v "\mp3_ost\leningra.mp3", d 000, n 050}</v>
      </c>
    </row>
    <row r="50" spans="2:12" x14ac:dyDescent="0.25">
      <c r="B50" s="44">
        <f t="shared" si="6"/>
        <v>50</v>
      </c>
      <c r="C50" s="44" t="s">
        <v>330</v>
      </c>
      <c r="D50" s="39" t="str">
        <f t="shared" si="7"/>
        <v>&gt;&gt;</v>
      </c>
      <c r="E50" s="44" t="s">
        <v>361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"\mp3_ost\!_silent.mp3"</v>
      </c>
      <c r="L50" s="42" t="str">
        <f t="shared" si="5"/>
        <v>&lt;unit050&gt; "&gt;&gt;ул.Советская" {p 073, c 900, c 928, v "\mp3_ost\!_silent.mp3", d 000, n 051}</v>
      </c>
    </row>
    <row r="51" spans="2:12" x14ac:dyDescent="0.25">
      <c r="B51" s="44">
        <f t="shared" si="6"/>
        <v>51</v>
      </c>
      <c r="C51" s="44" t="s">
        <v>80</v>
      </c>
      <c r="D51" s="39" t="str">
        <f t="shared" si="7"/>
        <v/>
      </c>
      <c r="E51" s="44" t="s">
        <v>361</v>
      </c>
      <c r="F51" s="44" t="s">
        <v>332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"\mp3_ost\!_silent.mp3"</v>
      </c>
      <c r="K51" s="40" t="str">
        <f t="shared" si="4"/>
        <v>c 903</v>
      </c>
      <c r="L51" s="42" t="str">
        <f t="shared" si="5"/>
        <v>&lt;unit051&gt; "ул.Советская" {p 073, c 902, c 928, v "\mp3_ost\!_silent.mp3",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8">ROW(B53)</f>
        <v>53</v>
      </c>
      <c r="E53" s="43" t="s">
        <v>329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9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353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353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363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363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341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353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353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351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F8:F32 F36:F60 C36:C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10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353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353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363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363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341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353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353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351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2 F8:F32 F36:F60 C36:C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12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352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348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348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252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/>
      </c>
      <c r="L37" s="42" t="str">
        <f t="shared" ref="L37:L51" si="10">"&lt;unit"&amp;TEXT(B37,"000")&amp;"&gt; """&amp;СцепитьМного(D37:E37,"")&amp;""" {"&amp;СцепитьМного(H37:K37,", ")&amp;", d 000, n "&amp;TEXT(G37,"000")&amp;"}"</f>
        <v>&lt;unit037&gt; "&gt;&gt;Торг.центр" {p 040, c 900, v "\mp3_ost\tc.mp3",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252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10"/>
        <v>&lt;unit038&gt; "Торг.центр" {p 040, c 902, v "\mp3_ost\tc.mp3",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363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"\mp3_ost\!_silent.mp3"</v>
      </c>
      <c r="K39" s="40" t="str">
        <f t="shared" si="4"/>
        <v/>
      </c>
      <c r="L39" s="42" t="str">
        <f t="shared" si="10"/>
        <v>&lt;unit039&gt; "&gt;&gt;Универмаг" {p 081, c 900,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363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"\mp3_ost\!_silent.mp3"</v>
      </c>
      <c r="K40" s="40" t="str">
        <f t="shared" si="4"/>
        <v/>
      </c>
      <c r="L40" s="42" t="str">
        <f t="shared" si="10"/>
        <v>&lt;unit040&gt; "Универмаг" {p 081, c 902, v "\mp3_ost\!_silent.mp3",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261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/>
      </c>
      <c r="L41" s="42" t="str">
        <f t="shared" si="10"/>
        <v>&lt;unit041&gt; "&gt;&gt;пр-т Венисье" {p 029, c 900, v "\mp3_ost\venis`e.mp3",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261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{p 029, c 902, v "\mp3_ost\venis`e.mp3",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349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/>
      </c>
      <c r="L43" s="42" t="str">
        <f t="shared" si="10"/>
        <v>&lt;unit043&gt; "&gt;&gt;ул.Боровая" {p 050, c 900, c 928, v "\mp3_ost\borovaja.mp3",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349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{p 050, c 902, c 928, v "\mp3_ost\borovaja.mp3",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181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/>
      </c>
      <c r="L45" s="42" t="str">
        <f t="shared" si="10"/>
        <v>&lt;unit045&gt; "&gt;&gt;Больница" {p 006, c 900, v "\mp3_ost\bolnica.mp3",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181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{p 006, c 902, v "\mp3_ost\bolnica.mp3",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175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/>
      </c>
      <c r="L47" s="42" t="str">
        <f t="shared" si="10"/>
        <v>&lt;unit047&gt; "&gt;&gt;СШ № 8" {p 038, c 900, v "\mp3_ost\8ssh.mp3",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175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{p 038, c 902, v "\mp3_ost\8ssh.mp3",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276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/>
      </c>
      <c r="L49" s="42" t="str">
        <f t="shared" si="10"/>
        <v>&lt;unit049&gt; "&gt;&gt;ул.Магистральная" {p 063, c 900, c 928, v "\mp3_ost\magistra.mp3",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276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{p 063, c 902, c 928, v "\mp3_ost\magistra.mp3",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337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/>
      </c>
      <c r="L51" s="42" t="str">
        <f t="shared" si="10"/>
        <v>&lt;unit051&gt; "&gt;&gt;ул.Островского" {p 067, c 900, c 928, v "\mp3_ost\ostrovsk.mp3",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337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5"/>
        <v>&lt;unit052&gt; "ул.Островского" {p 067, c 902, c 928, v "\mp3_ost\ostrovsk.mp3",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/>
      </c>
      <c r="L53" s="42" t="str">
        <f t="shared" si="5"/>
        <v>&lt;unit053&gt; "&gt;&gt;ул.Ленинская" {p 058, c 900, c 928, v "\mp3_ost\leninska.mp3",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/>
      </c>
      <c r="L55" s="42" t="str">
        <f t="shared" si="5"/>
        <v>&lt;unit055&gt; "&gt;&gt;КЗТШ" {p 014, c 900, v "\mp3_ost\kztsh.mp3",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80</v>
      </c>
      <c r="D60" s="39" t="str">
        <f t="shared" ref="D60:D110" si="14">IF(I60="c 900","&gt;&gt;","")</f>
        <v/>
      </c>
      <c r="E60" s="44" t="s">
        <v>214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110" si="20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ref="D61:D66" si="21">IF(I61="c 900","&gt;&gt;","")</f>
        <v>&gt;&gt;</v>
      </c>
      <c r="E61" s="44" t="s">
        <v>273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/>
      </c>
      <c r="L61" s="42" t="str">
        <f t="shared" ref="L61:L66" si="26">"&lt;unit"&amp;TEXT(B61,"000")&amp;"&gt; """&amp;СцепитьМного(D61:E61,"")&amp;""" {"&amp;СцепитьМного(H61:K61,", ")&amp;", d 000, n "&amp;TEXT(G61,"000")&amp;"}"</f>
        <v>&lt;unit061&gt; "&gt;&gt;ул.Ленинская" {p 058, c 900, c 928, v "\mp3_ost\leninska.mp3",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21"/>
        <v/>
      </c>
      <c r="E62" s="44" t="s">
        <v>273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6"/>
        <v>&lt;unit062&gt; "ул.Ленинская" {p 058, c 902, c 928, v "\mp3_ost\leninska.mp3",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21"/>
        <v>&gt;&gt;</v>
      </c>
      <c r="E63" s="44" t="s">
        <v>337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/>
      </c>
      <c r="L63" s="42" t="str">
        <f t="shared" si="26"/>
        <v>&lt;unit063&gt; "&gt;&gt;ул.Островского" {p 067, c 900, c 928, v "\mp3_ost\ostrovsk.mp3",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21"/>
        <v/>
      </c>
      <c r="E64" s="44" t="s">
        <v>337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6"/>
        <v>&lt;unit064&gt; "ул.Островского" {p 067, c 902, c 928, v "\mp3_ost\ostrovsk.mp3",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21"/>
        <v>&gt;&gt;</v>
      </c>
      <c r="E65" s="44" t="s">
        <v>357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"\mp3_ost\!_silent.mp3"</v>
      </c>
      <c r="K65" s="40" t="str">
        <f t="shared" si="25"/>
        <v/>
      </c>
      <c r="L65" s="42" t="str">
        <f t="shared" si="26"/>
        <v>&lt;unit065&gt; "&gt;&gt;ул.Витебская" {p 051, c 900, c 928, v "\mp3_ost\!_silent.mp3",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21"/>
        <v/>
      </c>
      <c r="E66" s="44" t="s">
        <v>357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"\mp3_ost\!_silent.mp3"</v>
      </c>
      <c r="K66" s="40" t="str">
        <f t="shared" si="25"/>
        <v/>
      </c>
      <c r="L66" s="42" t="str">
        <f t="shared" si="26"/>
        <v>&lt;unit066&gt; "ул.Витебская" {p 051, c 902, c 928, v "\mp3_ost\!_silent.mp3",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356</v>
      </c>
      <c r="G67" s="45">
        <f t="shared" ref="G67:G72" si="27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"\mp3_ost\!_silent.mp3"</v>
      </c>
      <c r="K67" s="40" t="str">
        <f t="shared" si="19"/>
        <v/>
      </c>
      <c r="L67" s="42" t="str">
        <f t="shared" si="20"/>
        <v>&lt;unit067&gt; "&gt;&gt;ул.Солигорская" {p 074, c 900, c 928, v "\mp3_ost\!_silent.mp3",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356</v>
      </c>
      <c r="G68" s="45">
        <f t="shared" si="27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"\mp3_ost\!_silent.mp3"</v>
      </c>
      <c r="K68" s="40" t="str">
        <f t="shared" si="19"/>
        <v/>
      </c>
      <c r="L68" s="42" t="str">
        <f t="shared" si="20"/>
        <v>&lt;unit068&gt; "ул.Солигорская" {p 074, c 902, c 928, v "\mp3_ost\!_silent.mp3",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358</v>
      </c>
      <c r="G69" s="45">
        <f t="shared" si="27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/>
      </c>
      <c r="L69" s="42" t="str">
        <f t="shared" si="20"/>
        <v>&lt;unit069&gt; "&gt;&gt;ул.Слуцкая" {p 072, c 900, c 928, v "\mp3_ost\sluchk.mp3",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358</v>
      </c>
      <c r="G70" s="45">
        <f t="shared" si="27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{p 072, c 902, c 928, v "\mp3_ost\sluchk.mp3",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365</v>
      </c>
      <c r="G71" s="45">
        <f t="shared" si="27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"\mp3_ost\!_silent.mp3"</v>
      </c>
      <c r="K71" s="40" t="str">
        <f t="shared" si="19"/>
        <v/>
      </c>
      <c r="L71" s="42" t="str">
        <f t="shared" si="20"/>
        <v>&lt;unit071&gt; "&gt;&gt;Углы-2" {p 044, c 900, v "\mp3_ost\!_silent.mp3",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365</v>
      </c>
      <c r="G72" s="45">
        <f t="shared" si="27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"\mp3_ost\!_silent.mp3"</v>
      </c>
      <c r="K72" s="40" t="str">
        <f t="shared" si="19"/>
        <v/>
      </c>
      <c r="L72" s="42" t="str">
        <f t="shared" si="20"/>
        <v>&lt;unit072&gt; "Углы-2" {p 044, c 902, v "\mp3_ost\!_silent.mp3",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ref="D73:D78" si="28">IF(I73="c 900","&gt;&gt;","")</f>
        <v>&gt;&gt;</v>
      </c>
      <c r="E73" s="44" t="s">
        <v>276</v>
      </c>
      <c r="G73" s="45">
        <f t="shared" ref="G73:G78" si="29">B74</f>
        <v>74</v>
      </c>
      <c r="H73" s="40" t="str">
        <f t="shared" ref="H73:H78" si="30">IFERROR("p "&amp;VLOOKUP(E73,Tablo_Tab,2,FALSE),"")</f>
        <v>p 063</v>
      </c>
      <c r="I73" s="45" t="str">
        <f t="shared" ref="I73:I78" si="31">IFERROR("c "&amp;VLOOKUP(C73,Punkti,2,FALSE),"")</f>
        <v>c 900</v>
      </c>
      <c r="J73" s="46" t="str">
        <f t="shared" ref="J73:J78" si="32">IFERROR(VLOOKUP(E73,Ostanovki,7,FALSE),"")</f>
        <v>c 928, v "\mp3_ost\magistra.mp3"</v>
      </c>
      <c r="K73" s="40" t="str">
        <f t="shared" ref="K73:K78" si="33">IFERROR("c "&amp;VLOOKUP(F73,Punkti,2,FALSE),"")</f>
        <v/>
      </c>
      <c r="L73" s="42" t="str">
        <f t="shared" ref="L73:L78" si="34">"&lt;unit"&amp;TEXT(B73,"000")&amp;"&gt; """&amp;СцепитьМного(D73:E73,"")&amp;""" {"&amp;СцепитьМного(H73:K73,", ")&amp;", d 000, n "&amp;TEXT(G73,"000")&amp;"}"</f>
        <v>&lt;unit073&gt; "&gt;&gt;ул.Магистральная" {p 063, c 900, c 928, v "\mp3_ost\magistra.mp3",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28"/>
        <v/>
      </c>
      <c r="E74" s="44" t="s">
        <v>276</v>
      </c>
      <c r="G74" s="45">
        <f t="shared" si="29"/>
        <v>75</v>
      </c>
      <c r="H74" s="40" t="str">
        <f t="shared" si="30"/>
        <v>p 063</v>
      </c>
      <c r="I74" s="45" t="str">
        <f t="shared" si="31"/>
        <v>c 902</v>
      </c>
      <c r="J74" s="46" t="str">
        <f t="shared" si="32"/>
        <v>c 928, v "\mp3_ost\magistra.mp3"</v>
      </c>
      <c r="K74" s="40" t="str">
        <f t="shared" si="33"/>
        <v/>
      </c>
      <c r="L74" s="42" t="str">
        <f t="shared" si="34"/>
        <v>&lt;unit074&gt; "ул.Магистральная" {p 063, c 902, c 928, v "\mp3_ost\magistra.mp3",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28"/>
        <v>&gt;&gt;</v>
      </c>
      <c r="E75" s="44" t="s">
        <v>350</v>
      </c>
      <c r="G75" s="45">
        <f t="shared" si="29"/>
        <v>76</v>
      </c>
      <c r="H75" s="40" t="str">
        <f t="shared" si="30"/>
        <v>p 070</v>
      </c>
      <c r="I75" s="45" t="str">
        <f t="shared" si="31"/>
        <v>c 900</v>
      </c>
      <c r="J75" s="46" t="str">
        <f t="shared" si="32"/>
        <v>c 928, v "\mp3_ost\!_silent.mp3"</v>
      </c>
      <c r="K75" s="40" t="str">
        <f t="shared" si="33"/>
        <v/>
      </c>
      <c r="L75" s="42" t="str">
        <f t="shared" si="34"/>
        <v>&lt;unit075&gt; "&gt;&gt;ул.Родниковая" {p 070, c 900, c 928, v "\mp3_ost\!_silent.mp3",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28"/>
        <v/>
      </c>
      <c r="E76" s="44" t="s">
        <v>350</v>
      </c>
      <c r="G76" s="45">
        <f t="shared" si="29"/>
        <v>77</v>
      </c>
      <c r="H76" s="40" t="str">
        <f t="shared" si="30"/>
        <v>p 070</v>
      </c>
      <c r="I76" s="45" t="str">
        <f t="shared" si="31"/>
        <v>c 902</v>
      </c>
      <c r="J76" s="46" t="str">
        <f t="shared" si="32"/>
        <v>c 928, v "\mp3_ost\!_silent.mp3"</v>
      </c>
      <c r="K76" s="40" t="str">
        <f t="shared" si="33"/>
        <v/>
      </c>
      <c r="L76" s="42" t="str">
        <f t="shared" si="34"/>
        <v>&lt;unit076&gt; "ул.Родниковая" {p 070, c 902, c 928, v "\mp3_ost\!_silent.mp3",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28"/>
        <v>&gt;&gt;</v>
      </c>
      <c r="E77" s="44" t="s">
        <v>175</v>
      </c>
      <c r="G77" s="45">
        <f t="shared" si="29"/>
        <v>78</v>
      </c>
      <c r="H77" s="40" t="str">
        <f t="shared" si="30"/>
        <v>p 038</v>
      </c>
      <c r="I77" s="45" t="str">
        <f t="shared" si="31"/>
        <v>c 900</v>
      </c>
      <c r="J77" s="46" t="str">
        <f t="shared" si="32"/>
        <v>v "\mp3_ost\8ssh.mp3"</v>
      </c>
      <c r="K77" s="40" t="str">
        <f t="shared" si="33"/>
        <v/>
      </c>
      <c r="L77" s="42" t="str">
        <f t="shared" si="34"/>
        <v>&lt;unit077&gt; "&gt;&gt;СШ № 8" {p 038, c 900, v "\mp3_ost\8ssh.mp3",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28"/>
        <v/>
      </c>
      <c r="E78" s="44" t="s">
        <v>175</v>
      </c>
      <c r="G78" s="45">
        <f t="shared" si="29"/>
        <v>79</v>
      </c>
      <c r="H78" s="40" t="str">
        <f t="shared" si="30"/>
        <v>p 038</v>
      </c>
      <c r="I78" s="45" t="str">
        <f t="shared" si="31"/>
        <v>c 902</v>
      </c>
      <c r="J78" s="46" t="str">
        <f t="shared" si="32"/>
        <v>v "\mp3_ost\8ssh.mp3"</v>
      </c>
      <c r="K78" s="40" t="str">
        <f t="shared" si="33"/>
        <v/>
      </c>
      <c r="L78" s="42" t="str">
        <f t="shared" si="34"/>
        <v>&lt;unit078&gt; "СШ № 8" {p 038, c 902, v "\mp3_ost\8ssh.mp3",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181</v>
      </c>
      <c r="G79" s="45">
        <f t="shared" ref="G79:G109" si="35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/>
      </c>
      <c r="L79" s="42" t="str">
        <f t="shared" si="20"/>
        <v>&lt;unit079&gt; "&gt;&gt;Больница" {p 006, c 900, v "\mp3_ost\bolnica.mp3",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181</v>
      </c>
      <c r="G80" s="45">
        <f t="shared" si="3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{p 006, c 902, v "\mp3_ost\bolnica.mp3",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349</v>
      </c>
      <c r="G81" s="45">
        <f t="shared" si="3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/>
      </c>
      <c r="L81" s="42" t="str">
        <f t="shared" si="20"/>
        <v>&lt;unit081&gt; "&gt;&gt;ул.Боровая" {p 050, c 900, c 928, v "\mp3_ost\borovaja.mp3",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349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{p 050, c 902, c 928, v "\mp3_ost\borovaja.mp3", d 000, n 085}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ref="D83:D84" si="36">IF(I83="c 900","&gt;&gt;","")</f>
        <v>&gt;&gt;</v>
      </c>
      <c r="E83" s="44" t="s">
        <v>261</v>
      </c>
      <c r="G83" s="45">
        <f t="shared" ref="G83:G84" si="37">B84</f>
        <v>84</v>
      </c>
      <c r="H83" s="40" t="str">
        <f t="shared" ref="H83:H84" si="38">IFERROR("p "&amp;VLOOKUP(E83,Tablo_Tab,2,FALSE),"")</f>
        <v>p 029</v>
      </c>
      <c r="I83" s="45" t="str">
        <f t="shared" ref="I83:I84" si="39">IFERROR("c "&amp;VLOOKUP(C83,Punkti,2,FALSE),"")</f>
        <v>c 900</v>
      </c>
      <c r="J83" s="46" t="str">
        <f t="shared" ref="J83:J84" si="40">IFERROR(VLOOKUP(E83,Ostanovki,7,FALSE),"")</f>
        <v>v "\mp3_ost\venis`e.mp3"</v>
      </c>
      <c r="K83" s="40" t="str">
        <f t="shared" ref="K83:K84" si="41">IFERROR("c "&amp;VLOOKUP(F83,Punkti,2,FALSE),"")</f>
        <v/>
      </c>
      <c r="L83" s="42" t="str">
        <f t="shared" ref="L83:L84" si="42">"&lt;unit"&amp;TEXT(B83,"000")&amp;"&gt; """&amp;СцепитьМного(D83:E83,"")&amp;""" {"&amp;СцепитьМного(H83:K83,", ")&amp;", d 000, n "&amp;TEXT(G83,"000")&amp;"}"</f>
        <v>&lt;unit083&gt; "&gt;&gt;пр-т Венисье" {p 029, c 900, v "\mp3_ost\venis`e.mp3",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36"/>
        <v/>
      </c>
      <c r="E84" s="44" t="s">
        <v>261</v>
      </c>
      <c r="G84" s="45">
        <f t="shared" si="37"/>
        <v>85</v>
      </c>
      <c r="H84" s="40" t="str">
        <f t="shared" si="38"/>
        <v>p 029</v>
      </c>
      <c r="I84" s="45" t="str">
        <f t="shared" si="39"/>
        <v>c 902</v>
      </c>
      <c r="J84" s="46" t="str">
        <f t="shared" si="40"/>
        <v>v "\mp3_ost\venis`e.mp3"</v>
      </c>
      <c r="K84" s="40" t="str">
        <f t="shared" si="41"/>
        <v/>
      </c>
      <c r="L84" s="42" t="str">
        <f t="shared" si="42"/>
        <v>&lt;unit084&gt; "пр-т Венисье" {p 029, c 902, v "\mp3_ost\venis`e.mp3",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241</v>
      </c>
      <c r="G85" s="45">
        <f t="shared" si="3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/>
      </c>
      <c r="L85" s="42" t="str">
        <f t="shared" si="20"/>
        <v>&lt;unit085&gt; "&gt;&gt;Сбербанк" {p 034, c 900, v "\mp3_ost\sberbank.mp3",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si="14"/>
        <v/>
      </c>
      <c r="E86" s="44" t="s">
        <v>241</v>
      </c>
      <c r="G86" s="45">
        <f t="shared" si="3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{p 034, c 902, v "\mp3_ost\sberbank.mp3",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14"/>
        <v>&gt;&gt;</v>
      </c>
      <c r="E87" s="44" t="s">
        <v>226</v>
      </c>
      <c r="G87" s="45">
        <f t="shared" si="3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/>
      </c>
      <c r="L87" s="42" t="str">
        <f t="shared" si="20"/>
        <v>&lt;unit087&gt; "&gt;&gt;Поликлиника" {p 027, c 900, v "\mp3_ost\paliklin.mp3",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si="14"/>
        <v/>
      </c>
      <c r="E88" s="44" t="s">
        <v>226</v>
      </c>
      <c r="G88" s="45">
        <f t="shared" si="3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{p 027, c 902, v "\mp3_ost\paliklin.mp3",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351</v>
      </c>
      <c r="G89" s="45">
        <f t="shared" si="3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"\mp3_ost\!_silent.mp3"</v>
      </c>
      <c r="K89" s="40" t="str">
        <f t="shared" si="19"/>
        <v/>
      </c>
      <c r="L89" s="42" t="str">
        <f t="shared" si="20"/>
        <v>&lt;unit089&gt; "&gt;&gt;Парк культуры" {p 022, c 900, v "\mp3_ost\!_silent.mp3",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351</v>
      </c>
      <c r="G90" s="45">
        <f t="shared" si="3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"\mp3_ost\!_silent.mp3"</v>
      </c>
      <c r="K90" s="40" t="str">
        <f t="shared" si="19"/>
        <v/>
      </c>
      <c r="L90" s="42" t="str">
        <f t="shared" si="20"/>
        <v>&lt;unit090&gt; "Парк культуры" {p 022, c 902, v "\mp3_ost\!_silent.mp3", d 000, n 091}</v>
      </c>
    </row>
    <row r="91" spans="2:12" x14ac:dyDescent="0.25">
      <c r="B91" s="44">
        <f t="shared" si="13"/>
        <v>91</v>
      </c>
      <c r="C91" s="44" t="s">
        <v>330</v>
      </c>
      <c r="D91" s="39" t="str">
        <f t="shared" si="14"/>
        <v>&gt;&gt;</v>
      </c>
      <c r="E91" s="44" t="s">
        <v>234</v>
      </c>
      <c r="G91" s="45">
        <f t="shared" si="3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/>
      </c>
      <c r="L91" s="42" t="str">
        <f t="shared" si="20"/>
        <v>&lt;unit091&gt; "&gt;&gt;Почта" {p 028, c 900, v "\mp3_ost\pochta.mp3", d 000, n 092}</v>
      </c>
    </row>
    <row r="92" spans="2:12" x14ac:dyDescent="0.25">
      <c r="B92" s="44">
        <f t="shared" si="13"/>
        <v>92</v>
      </c>
      <c r="C92" s="44" t="s">
        <v>80</v>
      </c>
      <c r="D92" s="39" t="str">
        <f t="shared" si="14"/>
        <v/>
      </c>
      <c r="E92" s="44" t="s">
        <v>234</v>
      </c>
      <c r="G92" s="45">
        <f t="shared" si="3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si="20"/>
        <v>&lt;unit092&gt; "Почта" {p 028, c 902, v "\mp3_ost\pochta.mp3", d 000, n 093}</v>
      </c>
    </row>
    <row r="93" spans="2:12" x14ac:dyDescent="0.25">
      <c r="B93" s="44">
        <f t="shared" si="13"/>
        <v>93</v>
      </c>
      <c r="C93" s="44" t="s">
        <v>330</v>
      </c>
      <c r="D93" s="39" t="str">
        <f t="shared" si="14"/>
        <v>&gt;&gt;</v>
      </c>
      <c r="E93" s="44" t="s">
        <v>168</v>
      </c>
      <c r="G93" s="45">
        <f t="shared" si="3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/>
      </c>
      <c r="L93" s="42" t="str">
        <f t="shared" si="20"/>
        <v>&lt;unit093&gt; "&gt;&gt;ул.Сырокваша" {p 077, c 900, c 928, v "\mp3_ost\swrokvas.mp3", d 000, n 094}</v>
      </c>
    </row>
    <row r="94" spans="2:12" x14ac:dyDescent="0.25">
      <c r="B94" s="44">
        <f t="shared" si="13"/>
        <v>94</v>
      </c>
      <c r="C94" s="44" t="s">
        <v>80</v>
      </c>
      <c r="D94" s="39" t="str">
        <f t="shared" si="14"/>
        <v/>
      </c>
      <c r="E94" s="44" t="s">
        <v>168</v>
      </c>
      <c r="G94" s="45">
        <f t="shared" si="3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20"/>
        <v>&lt;unit094&gt; "ул.Сырокваша" {p 077, c 902, c 928, v "\mp3_ost\swrokvas.mp3", d 000, n 095}</v>
      </c>
    </row>
    <row r="95" spans="2:12" x14ac:dyDescent="0.25">
      <c r="B95" s="44">
        <f t="shared" si="13"/>
        <v>95</v>
      </c>
      <c r="C95" s="44" t="s">
        <v>330</v>
      </c>
      <c r="D95" s="39" t="str">
        <f t="shared" si="14"/>
        <v>&gt;&gt;</v>
      </c>
      <c r="E95" s="44" t="s">
        <v>166</v>
      </c>
      <c r="G95" s="45">
        <f t="shared" si="3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/>
      </c>
      <c r="L95" s="42" t="str">
        <f t="shared" si="20"/>
        <v>&lt;unit095&gt; "&gt;&gt;ул.Московская" {p 064, c 900, c 928, v "\mp3_ost\moskovsk.mp3", d 000, n 096}</v>
      </c>
    </row>
    <row r="96" spans="2:12" x14ac:dyDescent="0.25">
      <c r="B96" s="44">
        <f t="shared" si="13"/>
        <v>96</v>
      </c>
      <c r="C96" s="44" t="s">
        <v>80</v>
      </c>
      <c r="D96" s="39" t="str">
        <f t="shared" si="14"/>
        <v/>
      </c>
      <c r="E96" s="44" t="s">
        <v>166</v>
      </c>
      <c r="G96" s="45">
        <f t="shared" si="3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20"/>
        <v>&lt;unit096&gt; "ул.Московская" {p 064, c 902, c 928, v "\mp3_ost\moskovsk.mp3", d 000, n 097}</v>
      </c>
    </row>
    <row r="97" spans="2:12" x14ac:dyDescent="0.25">
      <c r="B97" s="44">
        <f t="shared" si="13"/>
        <v>97</v>
      </c>
      <c r="C97" s="44" t="s">
        <v>330</v>
      </c>
      <c r="D97" s="39" t="str">
        <f t="shared" si="14"/>
        <v>&gt;&gt;</v>
      </c>
      <c r="E97" s="44" t="s">
        <v>167</v>
      </c>
      <c r="G97" s="45">
        <f t="shared" si="3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/>
      </c>
      <c r="L97" s="42" t="str">
        <f t="shared" si="20"/>
        <v>&lt;unit097&gt; "&gt;&gt;ул.Партизанская" {p 068, c 900, c 928, v "\mp3_ost\partizan.mp3", d 000, n 098}</v>
      </c>
    </row>
    <row r="98" spans="2:12" x14ac:dyDescent="0.25">
      <c r="B98" s="44">
        <f t="shared" si="13"/>
        <v>98</v>
      </c>
      <c r="C98" s="44" t="s">
        <v>80</v>
      </c>
      <c r="D98" s="39" t="str">
        <f t="shared" si="14"/>
        <v/>
      </c>
      <c r="E98" s="44" t="s">
        <v>167</v>
      </c>
      <c r="G98" s="45">
        <f t="shared" si="3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20"/>
        <v>&lt;unit098&gt; "ул.Партизанская" {p 068, c 902, c 928, v "\mp3_ost\partizan.mp3", d 000, n 099}</v>
      </c>
    </row>
    <row r="99" spans="2:12" x14ac:dyDescent="0.25">
      <c r="B99" s="44">
        <f t="shared" si="13"/>
        <v>99</v>
      </c>
      <c r="C99" s="44" t="s">
        <v>330</v>
      </c>
      <c r="D99" s="39" t="str">
        <f t="shared" si="14"/>
        <v>&gt;&gt;</v>
      </c>
      <c r="E99" s="44" t="s">
        <v>164</v>
      </c>
      <c r="G99" s="45">
        <f t="shared" si="3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/>
      </c>
      <c r="L99" s="42" t="str">
        <f t="shared" si="20"/>
        <v>&lt;unit099&gt; "&gt;&gt;ЖД Вокзал" {p 010, c 900, v "\mp3_ost\jd.mp3", d 000, n 100}</v>
      </c>
    </row>
    <row r="100" spans="2:12" x14ac:dyDescent="0.25">
      <c r="B100" s="44">
        <f t="shared" si="13"/>
        <v>100</v>
      </c>
      <c r="C100" s="44" t="s">
        <v>80</v>
      </c>
      <c r="D100" s="39" t="str">
        <f t="shared" si="14"/>
        <v/>
      </c>
      <c r="E100" s="44" t="s">
        <v>164</v>
      </c>
      <c r="G100" s="45">
        <f t="shared" si="3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20"/>
        <v>&lt;unit100&gt; "ЖД Вокзал" {p 010, c 902, v "\mp3_ost\jd.mp3", d 000, n 101}</v>
      </c>
    </row>
    <row r="101" spans="2:12" x14ac:dyDescent="0.25">
      <c r="B101" s="44">
        <f t="shared" si="13"/>
        <v>101</v>
      </c>
      <c r="C101" s="44" t="s">
        <v>330</v>
      </c>
      <c r="D101" s="39" t="str">
        <f t="shared" si="14"/>
        <v>&gt;&gt;</v>
      </c>
      <c r="E101" s="44" t="s">
        <v>348</v>
      </c>
      <c r="G101" s="45">
        <f t="shared" si="3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"\mp3_ost\!_silent.mp3"</v>
      </c>
      <c r="K101" s="40" t="str">
        <f t="shared" si="19"/>
        <v/>
      </c>
      <c r="L101" s="42" t="str">
        <f t="shared" si="20"/>
        <v>&lt;unit101&gt; "&gt;&gt;ул.Жодинская" {p 054, c 900, c 928, v "\mp3_ost\!_silent.mp3", d 000, n 102}</v>
      </c>
    </row>
    <row r="102" spans="2:12" x14ac:dyDescent="0.25">
      <c r="B102" s="44">
        <f t="shared" si="13"/>
        <v>102</v>
      </c>
      <c r="C102" s="44" t="s">
        <v>80</v>
      </c>
      <c r="D102" s="39" t="str">
        <f t="shared" si="14"/>
        <v/>
      </c>
      <c r="E102" s="44" t="s">
        <v>348</v>
      </c>
      <c r="G102" s="45">
        <f t="shared" si="3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"\mp3_ost\!_silent.mp3"</v>
      </c>
      <c r="K102" s="40" t="str">
        <f t="shared" si="19"/>
        <v/>
      </c>
      <c r="L102" s="42" t="str">
        <f t="shared" si="20"/>
        <v>&lt;unit102&gt; "ул.Жодинская" {p 054, c 902, c 928, v "\mp3_ost\!_silent.mp3", d 000, n 103}</v>
      </c>
    </row>
    <row r="103" spans="2:12" x14ac:dyDescent="0.25">
      <c r="B103" s="44">
        <f t="shared" si="13"/>
        <v>103</v>
      </c>
      <c r="C103" s="44" t="s">
        <v>330</v>
      </c>
      <c r="D103" s="39" t="str">
        <f t="shared" si="14"/>
        <v>&gt;&gt;</v>
      </c>
      <c r="E103" s="44" t="s">
        <v>254</v>
      </c>
      <c r="G103" s="45">
        <f t="shared" si="3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/>
      </c>
      <c r="L103" s="42" t="str">
        <f t="shared" si="20"/>
        <v>&lt;unit103&gt; "&gt;&gt;ТЭЦ" {p 042, c 900, v "\mp3_ost\tec.mp3", d 000, n 104}</v>
      </c>
    </row>
    <row r="104" spans="2:12" x14ac:dyDescent="0.25">
      <c r="B104" s="44">
        <f t="shared" si="13"/>
        <v>104</v>
      </c>
      <c r="C104" s="44" t="s">
        <v>80</v>
      </c>
      <c r="D104" s="39" t="str">
        <f t="shared" si="14"/>
        <v/>
      </c>
      <c r="E104" s="44" t="s">
        <v>254</v>
      </c>
      <c r="G104" s="45">
        <f t="shared" si="3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20"/>
        <v>&lt;unit104&gt; "ТЭЦ" {p 042, c 902, v "\mp3_ost\tec.mp3", d 000, n 105}</v>
      </c>
    </row>
    <row r="105" spans="2:12" x14ac:dyDescent="0.25">
      <c r="B105" s="44">
        <f t="shared" si="13"/>
        <v>105</v>
      </c>
      <c r="C105" s="44" t="s">
        <v>330</v>
      </c>
      <c r="D105" s="39" t="str">
        <f t="shared" si="14"/>
        <v>&gt;&gt;</v>
      </c>
      <c r="E105" s="44" t="s">
        <v>272</v>
      </c>
      <c r="G105" s="45">
        <f t="shared" si="3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/>
      </c>
      <c r="L105" s="42" t="str">
        <f t="shared" si="20"/>
        <v>&lt;unit105&gt; "&gt;&gt;ул.Куприянова" {p 056, c 900, c 928, v "\mp3_ost\kupriyan.mp3", d 000, n 106}</v>
      </c>
    </row>
    <row r="106" spans="2:12" x14ac:dyDescent="0.25">
      <c r="B106" s="44">
        <f t="shared" si="13"/>
        <v>106</v>
      </c>
      <c r="C106" s="44" t="s">
        <v>80</v>
      </c>
      <c r="D106" s="39" t="str">
        <f t="shared" si="14"/>
        <v/>
      </c>
      <c r="E106" s="44" t="s">
        <v>272</v>
      </c>
      <c r="G106" s="45">
        <f t="shared" si="3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20"/>
        <v>&lt;unit106&gt; "ул.Куприянова" {p 056, c 902, c 928, v "\mp3_ost\kupriyan.mp3", d 000, n 107}</v>
      </c>
    </row>
    <row r="107" spans="2:12" x14ac:dyDescent="0.25">
      <c r="B107" s="44">
        <f t="shared" si="13"/>
        <v>107</v>
      </c>
      <c r="C107" s="44" t="s">
        <v>330</v>
      </c>
      <c r="D107" s="39" t="str">
        <f t="shared" si="14"/>
        <v>&gt;&gt;</v>
      </c>
      <c r="E107" s="44" t="s">
        <v>203</v>
      </c>
      <c r="G107" s="45">
        <f t="shared" si="3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/>
      </c>
      <c r="L107" s="42" t="str">
        <f t="shared" si="20"/>
        <v>&lt;unit107&gt; "&gt;&gt;Электросети" {p 083, c 900, v "\mp3_ost\elseti.mp3", d 000, n 108}</v>
      </c>
    </row>
    <row r="108" spans="2:12" x14ac:dyDescent="0.25">
      <c r="B108" s="44">
        <f t="shared" si="13"/>
        <v>108</v>
      </c>
      <c r="C108" s="44" t="s">
        <v>80</v>
      </c>
      <c r="D108" s="39" t="str">
        <f t="shared" si="14"/>
        <v/>
      </c>
      <c r="E108" s="44" t="s">
        <v>203</v>
      </c>
      <c r="G108" s="45">
        <f t="shared" si="3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20"/>
        <v>&lt;unit108&gt; "Электросети" {p 083, c 902, v "\mp3_ost\elseti.mp3", d 000, n 109}</v>
      </c>
    </row>
    <row r="109" spans="2:12" x14ac:dyDescent="0.25">
      <c r="B109" s="44">
        <f t="shared" si="13"/>
        <v>109</v>
      </c>
      <c r="C109" s="44" t="s">
        <v>330</v>
      </c>
      <c r="D109" s="39" t="str">
        <f t="shared" si="14"/>
        <v>&gt;&gt;</v>
      </c>
      <c r="E109" s="44" t="s">
        <v>280</v>
      </c>
      <c r="G109" s="45">
        <f t="shared" si="3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/>
      </c>
      <c r="L109" s="42" t="str">
        <f t="shared" si="20"/>
        <v>&lt;unit109&gt; "&gt;&gt;ул.Труда" {p 078, c 900, c 928, v "\mp3_ost\truda.mp3", d 000, n 110}</v>
      </c>
    </row>
    <row r="110" spans="2:12" x14ac:dyDescent="0.25">
      <c r="B110" s="44">
        <f t="shared" si="13"/>
        <v>110</v>
      </c>
      <c r="C110" s="44" t="s">
        <v>80</v>
      </c>
      <c r="D110" s="39" t="str">
        <f t="shared" si="14"/>
        <v/>
      </c>
      <c r="E110" s="44" t="s">
        <v>280</v>
      </c>
      <c r="F110" s="44" t="s">
        <v>332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20"/>
        <v>&lt;unit110&gt; "ул.Труда" {p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329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"\mp3_knst\pr.mp3", w 01}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"\mp3_knst\sm.mp3", w 01}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6 C8:C56 F60:F110 C60:C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2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083, c 900, v "\mp3_ost\elseti.mp3",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056, c 900, c 928, v "\mp3_ost\kupriyan.mp3",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/>
      </c>
      <c r="L29" s="42" t="str">
        <f t="shared" si="5"/>
        <v>&lt;unit029&gt; "&gt;&gt;Торг.центр" {p 040, c 900, v "\mp3_ost\tc.mp3",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363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0" t="str">
        <f t="shared" si="4"/>
        <v/>
      </c>
      <c r="L31" s="42" t="str">
        <f t="shared" si="5"/>
        <v>&lt;unit031&gt; "&gt;&gt;Универмаг" {p 081, c 900, v "\mp3_ost\!_silent.mp3",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363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0" t="str">
        <f t="shared" si="4"/>
        <v/>
      </c>
      <c r="L32" s="42" t="str">
        <f t="shared" si="5"/>
        <v>&lt;unit032&gt; "Универмаг" {p 081, c 902, v "\mp3_ost\!_silent.mp3", d 000, n 033}</v>
      </c>
    </row>
    <row r="33" spans="2:12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/>
      </c>
      <c r="L33" s="42" t="str">
        <f t="shared" si="5"/>
        <v>&lt;unit033&gt; "&gt;&gt;пр-т Венисье" {p 029, c 900, v "\mp3_ost\venis`e.mp3",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349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/>
      </c>
      <c r="L35" s="42" t="str">
        <f t="shared" si="5"/>
        <v>&lt;unit035&gt; "&gt;&gt;ул.Боровая" {p 050, c 900, c 928, v "\mp3_ost\borovaja.mp3",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349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{p 050, c 902, c 928, v "\mp3_ost\borovaja.mp3",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/>
      </c>
      <c r="L37" s="42" t="str">
        <f t="shared" si="5"/>
        <v>&lt;unit037&gt; "&gt;&gt;Больница" {p 006, c 900, v "\mp3_ost\bolnica.mp3",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{p 006, c 902, v "\mp3_ost\bolnica.mp3",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/>
      </c>
      <c r="L39" s="42" t="str">
        <f t="shared" si="5"/>
        <v>&lt;unit039&gt; "&gt;&gt;СШ № 8" {p 038, c 900, v "\mp3_ost\8ssh.mp3",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/>
      </c>
      <c r="L41" s="42" t="str">
        <f t="shared" si="5"/>
        <v>&lt;unit041&gt; "&gt;&gt;ул.Магистральная" {p 063, c 900, c 928, v "\mp3_ost\magistra.mp3",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5"/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330</v>
      </c>
      <c r="E43" s="44" t="s">
        <v>364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"\mp3_ost\!_silent.mp3"</v>
      </c>
      <c r="K43" s="40" t="str">
        <f t="shared" si="4"/>
        <v/>
      </c>
      <c r="L43" s="42" t="str">
        <f t="shared" si="5"/>
        <v>&lt;unit043&gt; "Углы" {p 043,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364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"\mp3_ost\!_silent.mp3"</v>
      </c>
      <c r="K44" s="40" t="str">
        <f t="shared" si="4"/>
        <v/>
      </c>
      <c r="L44" s="42" t="str">
        <f t="shared" si="5"/>
        <v>&lt;unit044&gt; "Углы" {p 043, c 902, v "\mp3_ost\!_silent.mp3", d 000, n 045}</v>
      </c>
    </row>
    <row r="45" spans="2:12" x14ac:dyDescent="0.25">
      <c r="B45" s="44">
        <f t="shared" si="6"/>
        <v>45</v>
      </c>
      <c r="C45" s="44" t="s">
        <v>330</v>
      </c>
      <c r="E45" s="44" t="s">
        <v>365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"Углы-2" {p 044,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365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"Углы-2" {p 044, c 902, v "\mp3_ost\!_silent.mp3", d 000, n 047}</v>
      </c>
    </row>
    <row r="47" spans="2:12" x14ac:dyDescent="0.25">
      <c r="B47" s="44">
        <f t="shared" si="6"/>
        <v>47</v>
      </c>
      <c r="C47" s="44" t="s">
        <v>330</v>
      </c>
      <c r="E47" s="44" t="s">
        <v>289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"\mp3_ost\!_silent.mp3"</v>
      </c>
      <c r="K47" s="40" t="str">
        <f t="shared" si="4"/>
        <v/>
      </c>
      <c r="L47" s="42" t="str">
        <f t="shared" si="5"/>
        <v>&lt;unit047&gt; "Кузнечный-3" {p 018, c 900, v "\mp3_ost\!_silent.mp3",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"\mp3_ost\!_silent.mp3"</v>
      </c>
      <c r="K48" s="40" t="str">
        <f t="shared" si="4"/>
        <v/>
      </c>
      <c r="L48" s="42" t="str">
        <f t="shared" si="5"/>
        <v>&lt;unit048&gt; "Кузнечный-3" {p 018, c 902, v "\mp3_ost\!_silent.mp3", d 000, n 049}</v>
      </c>
    </row>
    <row r="49" spans="2:12" x14ac:dyDescent="0.25">
      <c r="B49" s="44">
        <f t="shared" si="6"/>
        <v>49</v>
      </c>
      <c r="C49" s="44" t="s">
        <v>330</v>
      </c>
      <c r="E49" s="44" t="s">
        <v>356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"ул.Солигорская" {p 074,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356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"ул.Солигорская" {p 074, c 902, c 928, v "\mp3_ost\!_silent.mp3", d 000, n 051}</v>
      </c>
    </row>
    <row r="51" spans="2:12" x14ac:dyDescent="0.25">
      <c r="B51" s="44">
        <f t="shared" si="6"/>
        <v>51</v>
      </c>
      <c r="C51" s="44" t="s">
        <v>330</v>
      </c>
      <c r="E51" s="44" t="s">
        <v>357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"\mp3_ost\!_silent.mp3"</v>
      </c>
      <c r="K51" s="40" t="str">
        <f t="shared" si="4"/>
        <v/>
      </c>
      <c r="L51" s="42" t="str">
        <f t="shared" si="5"/>
        <v>&lt;unit051&gt; "ул.Витебская" {p 051, c 900, c 928, v "\mp3_ost\!_silent.mp3",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357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"\mp3_ost\!_silent.mp3"</v>
      </c>
      <c r="K52" s="40" t="str">
        <f t="shared" si="4"/>
        <v/>
      </c>
      <c r="L52" s="42" t="str">
        <f t="shared" si="5"/>
        <v>&lt;unit052&gt; "ул.Витебская" {p 051, c 902, c 928, v "\mp3_ost\!_silent.mp3",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8">IF(I53="c 900","&gt;&gt;","")</f>
        <v>&gt;&gt;</v>
      </c>
      <c r="E53" s="44" t="s">
        <v>214</v>
      </c>
      <c r="G53" s="45">
        <f t="shared" si="0"/>
        <v>54</v>
      </c>
      <c r="H53" s="40" t="str">
        <f t="shared" ref="H53:H54" si="9">IFERROR("p "&amp;VLOOKUP(E53,Tablo_Tab,2,FALSE),"")</f>
        <v>p 014</v>
      </c>
      <c r="I53" s="45" t="str">
        <f t="shared" ref="I53:I54" si="10">IFERROR("c "&amp;VLOOKUP(C53,Punkti,2,FALSE),"")</f>
        <v>c 900</v>
      </c>
      <c r="J53" s="46" t="str">
        <f t="shared" ref="J53:J54" si="11">IFERROR(VLOOKUP(E53,Ostanovki,7,FALSE),"")</f>
        <v>v "\mp3_ost\kztsh.mp3"</v>
      </c>
      <c r="K53" s="40" t="str">
        <f t="shared" ref="K53:K54" si="12">IFERROR("c "&amp;VLOOKUP(F53,Punkti,2,FALSE),"")</f>
        <v/>
      </c>
      <c r="L53" s="42" t="str">
        <f t="shared" ref="L53:L54" si="13">"&lt;unit"&amp;TEXT(B53,"000")&amp;"&gt; """&amp;СцепитьМного(D53:E53,"")&amp;""" {"&amp;СцепитьМного(H53:K53,", ")&amp;", d 000, n "&amp;TEXT(G53,"000")&amp;"}"</f>
        <v>&lt;unit053&gt; "&gt;&gt;КЗТШ" {p 014, c 900, v "\mp3_ost\kztsh.mp3",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8"/>
        <v/>
      </c>
      <c r="E54" s="44" t="s">
        <v>214</v>
      </c>
      <c r="G54" s="45">
        <f t="shared" si="0"/>
        <v>55</v>
      </c>
      <c r="H54" s="40" t="str">
        <f t="shared" si="9"/>
        <v>p 014</v>
      </c>
      <c r="I54" s="45" t="str">
        <f t="shared" si="10"/>
        <v>c 902</v>
      </c>
      <c r="J54" s="46" t="str">
        <f t="shared" si="11"/>
        <v>v "\mp3_ost\kztsh.mp3"</v>
      </c>
      <c r="K54" s="40" t="str">
        <f t="shared" si="12"/>
        <v/>
      </c>
      <c r="L54" s="42" t="str">
        <f t="shared" si="13"/>
        <v>&lt;unit054&gt; "КЗТШ" {p 014, c 902, v "\mp3_ost\kztsh.mp3",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342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/>
      </c>
      <c r="L55" s="42" t="str">
        <f t="shared" si="5"/>
        <v>&lt;unit055&gt; "&gt;&gt;кл. Восточное" {p 015, c 900, v "\mp3_ost\kladbvos.mp3",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342</v>
      </c>
      <c r="F56" s="44" t="s">
        <v>332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5"/>
        <v>&lt;unit056&gt; "кл. Восточное" {p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80</v>
      </c>
      <c r="D60" s="39" t="str">
        <f t="shared" ref="D60:D108" si="15">IF(I60="c 900","&gt;&gt;","")</f>
        <v/>
      </c>
      <c r="E60" s="44" t="s">
        <v>342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108" si="20">"&lt;unit"&amp;TEXT(B60,"000")&amp;"&gt; """&amp;СцепитьМного(D60:E60,"")&amp;""" {"&amp;СцепитьМного(H60:K60,", ")&amp;", d 000, n "&amp;TEXT(G60,"000")&amp;"}"</f>
        <v>&lt;unit060&gt; "кл. Восточное" {p 015, c 902, v "\mp3_ost\kladbvos.mp3", d 000, n 061}</v>
      </c>
    </row>
    <row r="61" spans="2:12" x14ac:dyDescent="0.25">
      <c r="B61" s="44">
        <f t="shared" si="14"/>
        <v>61</v>
      </c>
      <c r="C61" s="44" t="s">
        <v>330</v>
      </c>
      <c r="D61" s="39" t="str">
        <f t="shared" si="15"/>
        <v>&gt;&gt;</v>
      </c>
      <c r="E61" s="44" t="s">
        <v>214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/>
      </c>
      <c r="L61" s="42" t="str">
        <f t="shared" si="20"/>
        <v>&lt;unit061&gt; "&gt;&gt;КЗТШ" {p 014, c 900, v "\mp3_ost\kztsh.mp3", d 000, n 062}</v>
      </c>
    </row>
    <row r="62" spans="2:12" x14ac:dyDescent="0.25">
      <c r="B62" s="44">
        <f t="shared" si="14"/>
        <v>62</v>
      </c>
      <c r="C62" s="44" t="s">
        <v>80</v>
      </c>
      <c r="D62" s="39" t="str">
        <f t="shared" si="15"/>
        <v/>
      </c>
      <c r="E62" s="44" t="s">
        <v>214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{p 014, c 902, v "\mp3_ost\kztsh.mp3", d 000, n 063}</v>
      </c>
    </row>
    <row r="63" spans="2:12" x14ac:dyDescent="0.25">
      <c r="B63" s="44">
        <f t="shared" si="14"/>
        <v>63</v>
      </c>
      <c r="C63" s="44" t="s">
        <v>330</v>
      </c>
      <c r="D63" s="39" t="str">
        <f t="shared" si="15"/>
        <v>&gt;&gt;</v>
      </c>
      <c r="E63" s="44" t="s">
        <v>357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"\mp3_ost\!_silent.mp3"</v>
      </c>
      <c r="K63" s="40" t="str">
        <f t="shared" si="19"/>
        <v/>
      </c>
      <c r="L63" s="42" t="str">
        <f t="shared" si="20"/>
        <v>&lt;unit063&gt; "&gt;&gt;ул.Витебская" {p 051, c 900, c 928, v "\mp3_ost\!_silent.mp3", d 000, n 064}</v>
      </c>
    </row>
    <row r="64" spans="2:12" x14ac:dyDescent="0.25">
      <c r="B64" s="44">
        <f t="shared" si="14"/>
        <v>64</v>
      </c>
      <c r="C64" s="44" t="s">
        <v>80</v>
      </c>
      <c r="D64" s="39" t="str">
        <f t="shared" si="15"/>
        <v/>
      </c>
      <c r="E64" s="44" t="s">
        <v>357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"\mp3_ost\!_silent.mp3"</v>
      </c>
      <c r="K64" s="40" t="str">
        <f t="shared" si="19"/>
        <v/>
      </c>
      <c r="L64" s="42" t="str">
        <f t="shared" si="20"/>
        <v>&lt;unit064&gt; "ул.Витебская" {p 051, c 902, c 928, v "\mp3_ost\!_silent.mp3", d 000, n 065}</v>
      </c>
    </row>
    <row r="65" spans="2:12" x14ac:dyDescent="0.25">
      <c r="B65" s="44">
        <f t="shared" si="14"/>
        <v>65</v>
      </c>
      <c r="C65" s="44" t="s">
        <v>330</v>
      </c>
      <c r="D65" s="39" t="str">
        <f t="shared" si="15"/>
        <v>&gt;&gt;</v>
      </c>
      <c r="E65" s="44" t="s">
        <v>356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"\mp3_ost\!_silent.mp3"</v>
      </c>
      <c r="K65" s="40" t="str">
        <f t="shared" si="19"/>
        <v/>
      </c>
      <c r="L65" s="42" t="str">
        <f t="shared" si="20"/>
        <v>&lt;unit065&gt; "&gt;&gt;ул.Солигорская" {p 074, c 900, c 928, v "\mp3_ost\!_silent.mp3", d 000, n 066}</v>
      </c>
    </row>
    <row r="66" spans="2:12" x14ac:dyDescent="0.25">
      <c r="B66" s="44">
        <f t="shared" si="14"/>
        <v>66</v>
      </c>
      <c r="C66" s="44" t="s">
        <v>80</v>
      </c>
      <c r="D66" s="39" t="str">
        <f t="shared" si="15"/>
        <v/>
      </c>
      <c r="E66" s="44" t="s">
        <v>356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"\mp3_ost\!_silent.mp3"</v>
      </c>
      <c r="K66" s="40" t="str">
        <f t="shared" si="19"/>
        <v/>
      </c>
      <c r="L66" s="42" t="str">
        <f t="shared" si="20"/>
        <v>&lt;unit066&gt; "ул.Солигорская" {p 074, c 902, c 928, v "\mp3_ost\!_silent.mp3", d 000, n 067}</v>
      </c>
    </row>
    <row r="67" spans="2:12" x14ac:dyDescent="0.25">
      <c r="B67" s="44">
        <f t="shared" si="14"/>
        <v>67</v>
      </c>
      <c r="C67" s="44" t="s">
        <v>330</v>
      </c>
      <c r="D67" s="39" t="str">
        <f t="shared" si="15"/>
        <v>&gt;&gt;</v>
      </c>
      <c r="E67" s="44" t="s">
        <v>358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/>
      </c>
      <c r="L67" s="42" t="str">
        <f t="shared" si="20"/>
        <v>&lt;unit067&gt; "&gt;&gt;ул.Слуцкая" {p 072, c 900, c 928, v "\mp3_ost\sluchk.mp3", d 000, n 068}</v>
      </c>
    </row>
    <row r="68" spans="2:12" x14ac:dyDescent="0.25">
      <c r="B68" s="44">
        <f t="shared" si="14"/>
        <v>68</v>
      </c>
      <c r="C68" s="44" t="s">
        <v>80</v>
      </c>
      <c r="D68" s="39" t="str">
        <f t="shared" si="15"/>
        <v/>
      </c>
      <c r="E68" s="44" t="s">
        <v>358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{p 072, c 902, c 928, v "\mp3_ost\sluchk.mp3", d 000, n 069}</v>
      </c>
    </row>
    <row r="69" spans="2:12" x14ac:dyDescent="0.25">
      <c r="B69" s="44">
        <f t="shared" si="14"/>
        <v>69</v>
      </c>
      <c r="C69" s="44" t="s">
        <v>330</v>
      </c>
      <c r="D69" s="39" t="str">
        <f t="shared" si="15"/>
        <v>&gt;&gt;</v>
      </c>
      <c r="E69" s="44" t="s">
        <v>365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"\mp3_ost\!_silent.mp3"</v>
      </c>
      <c r="K69" s="40" t="str">
        <f t="shared" si="19"/>
        <v/>
      </c>
      <c r="L69" s="42" t="str">
        <f t="shared" si="20"/>
        <v>&lt;unit069&gt; "&gt;&gt;Углы-2" {p 044, c 900, v "\mp3_ost\!_silent.mp3", d 000, n 070}</v>
      </c>
    </row>
    <row r="70" spans="2:12" x14ac:dyDescent="0.25">
      <c r="B70" s="44">
        <f t="shared" si="14"/>
        <v>70</v>
      </c>
      <c r="C70" s="44" t="s">
        <v>80</v>
      </c>
      <c r="D70" s="39" t="str">
        <f t="shared" si="15"/>
        <v/>
      </c>
      <c r="E70" s="44" t="s">
        <v>365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"\mp3_ost\!_silent.mp3"</v>
      </c>
      <c r="K70" s="40" t="str">
        <f t="shared" si="19"/>
        <v/>
      </c>
      <c r="L70" s="42" t="str">
        <f t="shared" si="20"/>
        <v>&lt;unit070&gt; "Углы-2" {p 044, c 902, v "\mp3_ost\!_silent.mp3", d 000, n 071}</v>
      </c>
    </row>
    <row r="71" spans="2:12" x14ac:dyDescent="0.25">
      <c r="B71" s="44">
        <f t="shared" si="14"/>
        <v>71</v>
      </c>
      <c r="C71" s="44" t="s">
        <v>330</v>
      </c>
      <c r="D71" s="39" t="str">
        <f t="shared" si="15"/>
        <v>&gt;&gt;</v>
      </c>
      <c r="E71" s="44" t="s">
        <v>276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/>
      </c>
      <c r="L71" s="42" t="str">
        <f t="shared" si="20"/>
        <v>&lt;unit071&gt; "&gt;&gt;ул.Магистральная" {p 063, c 900, c 928, v "\mp3_ost\magistra.mp3", d 000, n 072}</v>
      </c>
    </row>
    <row r="72" spans="2:12" x14ac:dyDescent="0.25">
      <c r="B72" s="44">
        <f t="shared" si="14"/>
        <v>72</v>
      </c>
      <c r="C72" s="44" t="s">
        <v>80</v>
      </c>
      <c r="D72" s="39" t="str">
        <f t="shared" si="15"/>
        <v/>
      </c>
      <c r="E72" s="44" t="s">
        <v>276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{p 063, c 902, c 928, v "\mp3_ost\magistra.mp3", d 000, n 073}</v>
      </c>
    </row>
    <row r="73" spans="2:12" x14ac:dyDescent="0.25">
      <c r="B73" s="44">
        <f t="shared" si="14"/>
        <v>73</v>
      </c>
      <c r="C73" s="44" t="s">
        <v>330</v>
      </c>
      <c r="D73" s="39" t="str">
        <f t="shared" si="15"/>
        <v>&gt;&gt;</v>
      </c>
      <c r="E73" s="44" t="s">
        <v>350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"\mp3_ost\!_silent.mp3"</v>
      </c>
      <c r="K73" s="40" t="str">
        <f t="shared" si="19"/>
        <v/>
      </c>
      <c r="L73" s="42" t="str">
        <f t="shared" si="20"/>
        <v>&lt;unit073&gt; "&gt;&gt;ул.Родниковая" {p 070, c 900, c 928, v "\mp3_ost\!_silent.mp3", d 000, n 074}</v>
      </c>
    </row>
    <row r="74" spans="2:12" x14ac:dyDescent="0.25">
      <c r="B74" s="44">
        <f t="shared" si="14"/>
        <v>74</v>
      </c>
      <c r="C74" s="44" t="s">
        <v>80</v>
      </c>
      <c r="D74" s="39" t="str">
        <f t="shared" si="15"/>
        <v/>
      </c>
      <c r="E74" s="44" t="s">
        <v>350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"\mp3_ost\!_silent.mp3"</v>
      </c>
      <c r="K74" s="40" t="str">
        <f t="shared" si="19"/>
        <v/>
      </c>
      <c r="L74" s="42" t="str">
        <f t="shared" si="20"/>
        <v>&lt;unit074&gt; "ул.Родниковая" {p 070, c 902, c 928, v "\mp3_ost\!_silent.mp3", d 000, n 075}</v>
      </c>
    </row>
    <row r="75" spans="2:12" x14ac:dyDescent="0.25">
      <c r="B75" s="44">
        <f t="shared" si="14"/>
        <v>75</v>
      </c>
      <c r="C75" s="44" t="s">
        <v>330</v>
      </c>
      <c r="D75" s="39" t="str">
        <f t="shared" si="15"/>
        <v>&gt;&gt;</v>
      </c>
      <c r="E75" s="44" t="s">
        <v>175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/>
      </c>
      <c r="L75" s="42" t="str">
        <f t="shared" si="20"/>
        <v>&lt;unit075&gt; "&gt;&gt;СШ № 8" {p 038, c 900, v "\mp3_ost\8ssh.mp3", d 000, n 076}</v>
      </c>
    </row>
    <row r="76" spans="2:12" x14ac:dyDescent="0.25">
      <c r="B76" s="44">
        <f t="shared" si="14"/>
        <v>76</v>
      </c>
      <c r="C76" s="44" t="s">
        <v>80</v>
      </c>
      <c r="D76" s="39" t="str">
        <f t="shared" si="15"/>
        <v/>
      </c>
      <c r="E76" s="44" t="s">
        <v>175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{p 038, c 902, v "\mp3_ost\8ssh.mp3", d 000, n 077}</v>
      </c>
    </row>
    <row r="77" spans="2:12" x14ac:dyDescent="0.25">
      <c r="B77" s="44">
        <f t="shared" si="14"/>
        <v>77</v>
      </c>
      <c r="C77" s="44" t="s">
        <v>330</v>
      </c>
      <c r="D77" s="39" t="str">
        <f t="shared" si="15"/>
        <v>&gt;&gt;</v>
      </c>
      <c r="E77" s="44" t="s">
        <v>181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/>
      </c>
      <c r="L77" s="42" t="str">
        <f t="shared" si="20"/>
        <v>&lt;unit077&gt; "&gt;&gt;Больница" {p 006, c 900, v "\mp3_ost\bolnica.mp3", d 000, n 078}</v>
      </c>
    </row>
    <row r="78" spans="2:12" x14ac:dyDescent="0.25">
      <c r="B78" s="44">
        <f t="shared" si="14"/>
        <v>78</v>
      </c>
      <c r="C78" s="44" t="s">
        <v>80</v>
      </c>
      <c r="D78" s="39" t="str">
        <f t="shared" si="15"/>
        <v/>
      </c>
      <c r="E78" s="44" t="s">
        <v>181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{p 006, c 902, v "\mp3_ost\bolnica.mp3", d 000, n 079}</v>
      </c>
    </row>
    <row r="79" spans="2:12" x14ac:dyDescent="0.25">
      <c r="B79" s="44">
        <f t="shared" si="14"/>
        <v>79</v>
      </c>
      <c r="C79" s="44" t="s">
        <v>330</v>
      </c>
      <c r="D79" s="39" t="str">
        <f t="shared" si="15"/>
        <v>&gt;&gt;</v>
      </c>
      <c r="E79" s="44" t="s">
        <v>349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/>
      </c>
      <c r="L79" s="42" t="str">
        <f t="shared" si="20"/>
        <v>&lt;unit079&gt; "&gt;&gt;ул.Боровая" {p 050, c 900, c 928, v "\mp3_ost\borovaja.mp3", d 000, n 080}</v>
      </c>
    </row>
    <row r="80" spans="2:12" x14ac:dyDescent="0.25">
      <c r="B80" s="44">
        <f t="shared" si="14"/>
        <v>80</v>
      </c>
      <c r="C80" s="44" t="s">
        <v>80</v>
      </c>
      <c r="D80" s="39" t="str">
        <f t="shared" si="15"/>
        <v/>
      </c>
      <c r="E80" s="44" t="s">
        <v>349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{p 050, c 902, c 928, v "\mp3_ost\borovaja.mp3", d 000, n 081}</v>
      </c>
    </row>
    <row r="81" spans="2:12" x14ac:dyDescent="0.25">
      <c r="B81" s="44">
        <f t="shared" si="14"/>
        <v>81</v>
      </c>
      <c r="C81" s="44" t="s">
        <v>330</v>
      </c>
      <c r="D81" s="39" t="str">
        <f t="shared" si="15"/>
        <v>&gt;&gt;</v>
      </c>
      <c r="E81" s="44" t="s">
        <v>261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/>
      </c>
      <c r="L81" s="42" t="str">
        <f t="shared" si="20"/>
        <v>&lt;unit081&gt; "&gt;&gt;пр-т Венисье" {p 029, c 900, v "\mp3_ost\venis`e.mp3", d 000, n 082}</v>
      </c>
    </row>
    <row r="82" spans="2:12" x14ac:dyDescent="0.25">
      <c r="B82" s="44">
        <f t="shared" si="14"/>
        <v>82</v>
      </c>
      <c r="C82" s="44" t="s">
        <v>80</v>
      </c>
      <c r="D82" s="39" t="str">
        <f t="shared" si="15"/>
        <v/>
      </c>
      <c r="E82" s="44" t="s">
        <v>261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{p 029, c 902, v "\mp3_ost\venis`e.mp3", d 000, n 083}</v>
      </c>
    </row>
    <row r="83" spans="2:12" x14ac:dyDescent="0.25">
      <c r="B83" s="44">
        <f t="shared" si="14"/>
        <v>83</v>
      </c>
      <c r="C83" s="44" t="s">
        <v>330</v>
      </c>
      <c r="D83" s="39" t="str">
        <f t="shared" si="15"/>
        <v>&gt;&gt;</v>
      </c>
      <c r="E83" s="44" t="s">
        <v>241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/>
      </c>
      <c r="L83" s="42" t="str">
        <f t="shared" si="20"/>
        <v>&lt;unit083&gt; "&gt;&gt;Сбербанк" {p 034, c 900, v "\mp3_ost\sberbank.mp3", d 000, n 084}</v>
      </c>
    </row>
    <row r="84" spans="2:12" x14ac:dyDescent="0.25">
      <c r="B84" s="44">
        <f t="shared" si="14"/>
        <v>84</v>
      </c>
      <c r="C84" s="44" t="s">
        <v>80</v>
      </c>
      <c r="D84" s="39" t="str">
        <f t="shared" si="15"/>
        <v/>
      </c>
      <c r="E84" s="44" t="s">
        <v>241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{p 034, c 902, v "\mp3_ost\sberbank.mp3", d 000, n 085}</v>
      </c>
    </row>
    <row r="85" spans="2:12" x14ac:dyDescent="0.25">
      <c r="B85" s="44">
        <f t="shared" si="14"/>
        <v>85</v>
      </c>
      <c r="C85" s="44" t="s">
        <v>330</v>
      </c>
      <c r="D85" s="39" t="str">
        <f t="shared" si="15"/>
        <v>&gt;&gt;</v>
      </c>
      <c r="E85" s="44" t="s">
        <v>226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/>
      </c>
      <c r="L85" s="42" t="str">
        <f t="shared" si="20"/>
        <v>&lt;unit085&gt; "&gt;&gt;Поликлиника" {p 027, c 900, v "\mp3_ost\paliklin.mp3", d 000, n 086}</v>
      </c>
    </row>
    <row r="86" spans="2:12" x14ac:dyDescent="0.25">
      <c r="B86" s="44">
        <f t="shared" si="14"/>
        <v>86</v>
      </c>
      <c r="C86" s="44" t="s">
        <v>80</v>
      </c>
      <c r="D86" s="39" t="str">
        <f t="shared" si="15"/>
        <v/>
      </c>
      <c r="E86" s="44" t="s">
        <v>226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{p 027, c 902, v "\mp3_ost\paliklin.mp3", d 000, n 087}</v>
      </c>
    </row>
    <row r="87" spans="2:12" x14ac:dyDescent="0.25">
      <c r="B87" s="44">
        <f t="shared" si="14"/>
        <v>87</v>
      </c>
      <c r="C87" s="44" t="s">
        <v>330</v>
      </c>
      <c r="D87" s="39" t="str">
        <f t="shared" si="15"/>
        <v>&gt;&gt;</v>
      </c>
      <c r="E87" s="44" t="s">
        <v>351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"\mp3_ost\!_silent.mp3"</v>
      </c>
      <c r="K87" s="40" t="str">
        <f t="shared" si="19"/>
        <v/>
      </c>
      <c r="L87" s="42" t="str">
        <f t="shared" si="20"/>
        <v>&lt;unit087&gt; "&gt;&gt;Парк культуры" {p 022, c 900, v "\mp3_ost\!_silent.mp3", d 000, n 088}</v>
      </c>
    </row>
    <row r="88" spans="2:12" x14ac:dyDescent="0.25">
      <c r="B88" s="44">
        <f t="shared" si="14"/>
        <v>88</v>
      </c>
      <c r="C88" s="44" t="s">
        <v>80</v>
      </c>
      <c r="D88" s="39" t="str">
        <f t="shared" si="15"/>
        <v/>
      </c>
      <c r="E88" s="44" t="s">
        <v>351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"\mp3_ost\!_silent.mp3"</v>
      </c>
      <c r="K88" s="40" t="str">
        <f t="shared" si="19"/>
        <v/>
      </c>
      <c r="L88" s="42" t="str">
        <f t="shared" si="20"/>
        <v>&lt;unit088&gt; "Парк культуры" {p 022, c 902, v "\mp3_ost\!_silent.mp3", d 000, n 089}</v>
      </c>
    </row>
    <row r="89" spans="2:12" x14ac:dyDescent="0.25">
      <c r="B89" s="44">
        <f t="shared" si="14"/>
        <v>89</v>
      </c>
      <c r="C89" s="44" t="s">
        <v>330</v>
      </c>
      <c r="D89" s="39" t="str">
        <f t="shared" si="15"/>
        <v>&gt;&gt;</v>
      </c>
      <c r="E89" s="44" t="s">
        <v>234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/>
      </c>
      <c r="L89" s="42" t="str">
        <f t="shared" si="20"/>
        <v>&lt;unit089&gt; "&gt;&gt;Почта" {p 028, c 900, v "\mp3_ost\pochta.mp3", d 000, n 090}</v>
      </c>
    </row>
    <row r="90" spans="2:12" x14ac:dyDescent="0.25">
      <c r="B90" s="44">
        <f t="shared" si="14"/>
        <v>90</v>
      </c>
      <c r="C90" s="44" t="s">
        <v>80</v>
      </c>
      <c r="D90" s="39" t="str">
        <f t="shared" si="15"/>
        <v/>
      </c>
      <c r="E90" s="44" t="s">
        <v>234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{p 028, c 902, v "\mp3_ost\pochta.mp3", d 000, n 091}</v>
      </c>
    </row>
    <row r="91" spans="2:12" x14ac:dyDescent="0.25">
      <c r="B91" s="44">
        <f t="shared" si="14"/>
        <v>91</v>
      </c>
      <c r="C91" s="44" t="s">
        <v>330</v>
      </c>
      <c r="D91" s="39" t="str">
        <f t="shared" si="15"/>
        <v>&gt;&gt;</v>
      </c>
      <c r="E91" s="44" t="s">
        <v>168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/>
      </c>
      <c r="L91" s="42" t="str">
        <f t="shared" si="20"/>
        <v>&lt;unit091&gt; "&gt;&gt;ул.Сырокваша" {p 077, c 900, c 928, v "\mp3_ost\swrokvas.mp3", d 000, n 092}</v>
      </c>
    </row>
    <row r="92" spans="2:12" x14ac:dyDescent="0.25">
      <c r="B92" s="44">
        <f t="shared" si="14"/>
        <v>92</v>
      </c>
      <c r="C92" s="44" t="s">
        <v>80</v>
      </c>
      <c r="D92" s="39" t="str">
        <f t="shared" si="15"/>
        <v/>
      </c>
      <c r="E92" s="44" t="s">
        <v>168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si="20"/>
        <v>&lt;unit092&gt; "ул.Сырокваша" {p 077, c 902, c 928, v "\mp3_ost\swrokvas.mp3", d 000, n 093}</v>
      </c>
    </row>
    <row r="93" spans="2:12" x14ac:dyDescent="0.25">
      <c r="B93" s="44">
        <f t="shared" si="14"/>
        <v>93</v>
      </c>
      <c r="C93" s="44" t="s">
        <v>330</v>
      </c>
      <c r="D93" s="39" t="str">
        <f t="shared" si="15"/>
        <v>&gt;&gt;</v>
      </c>
      <c r="E93" s="44" t="s">
        <v>166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/>
      </c>
      <c r="L93" s="42" t="str">
        <f t="shared" si="20"/>
        <v>&lt;unit093&gt; "&gt;&gt;ул.Московская" {p 064, c 900, c 928, v "\mp3_ost\moskovsk.mp3", d 000, n 094}</v>
      </c>
    </row>
    <row r="94" spans="2:12" x14ac:dyDescent="0.25">
      <c r="B94" s="44">
        <f t="shared" si="14"/>
        <v>94</v>
      </c>
      <c r="C94" s="44" t="s">
        <v>80</v>
      </c>
      <c r="D94" s="39" t="str">
        <f t="shared" si="15"/>
        <v/>
      </c>
      <c r="E94" s="44" t="s">
        <v>166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0"/>
        <v>&lt;unit094&gt; "ул.Московская" {p 064, c 902, c 928, v "\mp3_ost\moskovsk.mp3", d 000, n 095}</v>
      </c>
    </row>
    <row r="95" spans="2:12" x14ac:dyDescent="0.25">
      <c r="B95" s="44">
        <f t="shared" si="14"/>
        <v>95</v>
      </c>
      <c r="C95" s="44" t="s">
        <v>330</v>
      </c>
      <c r="D95" s="39" t="str">
        <f t="shared" si="15"/>
        <v>&gt;&gt;</v>
      </c>
      <c r="E95" s="44" t="s">
        <v>167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/>
      </c>
      <c r="L95" s="42" t="str">
        <f t="shared" si="20"/>
        <v>&lt;unit095&gt; "&gt;&gt;ул.Партизанская" {p 068, c 900, c 928, v "\mp3_ost\partizan.mp3", d 000, n 096}</v>
      </c>
    </row>
    <row r="96" spans="2:12" x14ac:dyDescent="0.25">
      <c r="B96" s="44">
        <f t="shared" si="14"/>
        <v>96</v>
      </c>
      <c r="C96" s="44" t="s">
        <v>80</v>
      </c>
      <c r="D96" s="39" t="str">
        <f t="shared" si="15"/>
        <v/>
      </c>
      <c r="E96" s="44" t="s">
        <v>167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0"/>
        <v>&lt;unit096&gt; "ул.Партизанская" {p 068, c 902, c 928, v "\mp3_ost\partizan.mp3", d 000, n 097}</v>
      </c>
    </row>
    <row r="97" spans="2:12" x14ac:dyDescent="0.25">
      <c r="B97" s="44">
        <f t="shared" si="14"/>
        <v>97</v>
      </c>
      <c r="C97" s="44" t="s">
        <v>330</v>
      </c>
      <c r="D97" s="39" t="str">
        <f t="shared" si="15"/>
        <v>&gt;&gt;</v>
      </c>
      <c r="E97" s="44" t="s">
        <v>164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/>
      </c>
      <c r="L97" s="42" t="str">
        <f t="shared" si="20"/>
        <v>&lt;unit097&gt; "&gt;&gt;ЖД Вокзал" {p 010, c 900, v "\mp3_ost\jd.mp3", d 000, n 098}</v>
      </c>
    </row>
    <row r="98" spans="2:12" x14ac:dyDescent="0.25">
      <c r="B98" s="44">
        <f t="shared" si="14"/>
        <v>98</v>
      </c>
      <c r="C98" s="44" t="s">
        <v>80</v>
      </c>
      <c r="D98" s="39" t="str">
        <f t="shared" si="15"/>
        <v/>
      </c>
      <c r="E98" s="44" t="s">
        <v>164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0"/>
        <v>&lt;unit098&gt; "ЖД Вокзал" {p 010, c 902, v "\mp3_ost\jd.mp3", d 000, n 099}</v>
      </c>
    </row>
    <row r="99" spans="2:12" x14ac:dyDescent="0.25">
      <c r="B99" s="44">
        <f t="shared" si="14"/>
        <v>99</v>
      </c>
      <c r="C99" s="44" t="s">
        <v>330</v>
      </c>
      <c r="D99" s="39" t="str">
        <f t="shared" si="15"/>
        <v>&gt;&gt;</v>
      </c>
      <c r="E99" s="44" t="s">
        <v>348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"\mp3_ost\!_silent.mp3"</v>
      </c>
      <c r="K99" s="40" t="str">
        <f t="shared" si="19"/>
        <v/>
      </c>
      <c r="L99" s="42" t="str">
        <f t="shared" si="20"/>
        <v>&lt;unit099&gt; "&gt;&gt;ул.Жодинская" {p 054, c 900, c 928, v "\mp3_ost\!_silent.mp3", d 000, n 100}</v>
      </c>
    </row>
    <row r="100" spans="2:12" x14ac:dyDescent="0.25">
      <c r="B100" s="44">
        <f t="shared" si="14"/>
        <v>100</v>
      </c>
      <c r="C100" s="44" t="s">
        <v>80</v>
      </c>
      <c r="D100" s="39" t="str">
        <f t="shared" si="15"/>
        <v/>
      </c>
      <c r="E100" s="44" t="s">
        <v>348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"\mp3_ost\!_silent.mp3"</v>
      </c>
      <c r="K100" s="40" t="str">
        <f t="shared" si="19"/>
        <v/>
      </c>
      <c r="L100" s="42" t="str">
        <f t="shared" si="20"/>
        <v>&lt;unit100&gt; "ул.Жодинская" {p 054, c 902, c 928, v "\mp3_ost\!_silent.mp3", d 000, n 101}</v>
      </c>
    </row>
    <row r="101" spans="2:12" x14ac:dyDescent="0.25">
      <c r="B101" s="44">
        <f t="shared" si="14"/>
        <v>101</v>
      </c>
      <c r="C101" s="44" t="s">
        <v>330</v>
      </c>
      <c r="D101" s="39" t="str">
        <f t="shared" si="15"/>
        <v>&gt;&gt;</v>
      </c>
      <c r="E101" s="44" t="s">
        <v>254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/>
      </c>
      <c r="L101" s="42" t="str">
        <f t="shared" si="20"/>
        <v>&lt;unit101&gt; "&gt;&gt;ТЭЦ" {p 042, c 900, v "\mp3_ost\tec.mp3", d 000, n 102}</v>
      </c>
    </row>
    <row r="102" spans="2:12" x14ac:dyDescent="0.25">
      <c r="B102" s="44">
        <f t="shared" si="14"/>
        <v>102</v>
      </c>
      <c r="C102" s="44" t="s">
        <v>80</v>
      </c>
      <c r="D102" s="39" t="str">
        <f t="shared" si="15"/>
        <v/>
      </c>
      <c r="E102" s="44" t="s">
        <v>254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0"/>
        <v>&lt;unit102&gt; "ТЭЦ" {p 042, c 902, v "\mp3_ost\tec.mp3", d 000, n 103}</v>
      </c>
    </row>
    <row r="103" spans="2:12" x14ac:dyDescent="0.25">
      <c r="B103" s="44">
        <f t="shared" si="14"/>
        <v>103</v>
      </c>
      <c r="C103" s="44" t="s">
        <v>330</v>
      </c>
      <c r="D103" s="39" t="str">
        <f t="shared" si="15"/>
        <v>&gt;&gt;</v>
      </c>
      <c r="E103" s="44" t="s">
        <v>272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/>
      </c>
      <c r="L103" s="42" t="str">
        <f t="shared" si="20"/>
        <v>&lt;unit103&gt; "&gt;&gt;ул.Куприянова" {p 056, c 900, c 928, v "\mp3_ost\kupriyan.mp3", d 000, n 104}</v>
      </c>
    </row>
    <row r="104" spans="2:12" x14ac:dyDescent="0.25">
      <c r="B104" s="44">
        <f t="shared" si="14"/>
        <v>104</v>
      </c>
      <c r="C104" s="44" t="s">
        <v>80</v>
      </c>
      <c r="D104" s="39" t="str">
        <f t="shared" si="15"/>
        <v/>
      </c>
      <c r="E104" s="44" t="s">
        <v>272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0"/>
        <v>&lt;unit104&gt; "ул.Куприянова" {p 056, c 902, c 928, v "\mp3_ost\kupriyan.mp3", d 000, n 105}</v>
      </c>
    </row>
    <row r="105" spans="2:12" x14ac:dyDescent="0.25">
      <c r="B105" s="44">
        <f t="shared" si="14"/>
        <v>105</v>
      </c>
      <c r="C105" s="44" t="s">
        <v>330</v>
      </c>
      <c r="D105" s="39" t="str">
        <f t="shared" si="15"/>
        <v>&gt;&gt;</v>
      </c>
      <c r="E105" s="44" t="s">
        <v>203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/>
      </c>
      <c r="L105" s="42" t="str">
        <f t="shared" si="20"/>
        <v>&lt;unit105&gt; "&gt;&gt;Электросети" {p 083, c 900, v "\mp3_ost\elseti.mp3", d 000, n 106}</v>
      </c>
    </row>
    <row r="106" spans="2:12" x14ac:dyDescent="0.25">
      <c r="B106" s="44">
        <f t="shared" si="14"/>
        <v>106</v>
      </c>
      <c r="C106" s="44" t="s">
        <v>80</v>
      </c>
      <c r="D106" s="39" t="str">
        <f t="shared" si="15"/>
        <v/>
      </c>
      <c r="E106" s="44" t="s">
        <v>203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0"/>
        <v>&lt;unit106&gt; "Электросети" {p 083, c 902, v "\mp3_ost\elseti.mp3", d 000, n 107}</v>
      </c>
    </row>
    <row r="107" spans="2:12" x14ac:dyDescent="0.25">
      <c r="B107" s="44">
        <f t="shared" si="14"/>
        <v>107</v>
      </c>
      <c r="C107" s="44" t="s">
        <v>330</v>
      </c>
      <c r="D107" s="39" t="str">
        <f t="shared" si="15"/>
        <v>&gt;&gt;</v>
      </c>
      <c r="E107" s="44" t="s">
        <v>280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/>
      </c>
      <c r="L107" s="42" t="str">
        <f t="shared" si="20"/>
        <v>&lt;unit107&gt; "&gt;&gt;ул.Труда" {p 078, c 900, c 928, v "\mp3_ost\truda.mp3", d 000, n 108}</v>
      </c>
    </row>
    <row r="108" spans="2:12" x14ac:dyDescent="0.25">
      <c r="B108" s="44">
        <f t="shared" si="14"/>
        <v>108</v>
      </c>
      <c r="C108" s="44" t="s">
        <v>80</v>
      </c>
      <c r="D108" s="39" t="str">
        <f t="shared" si="15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0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60:F108 C60:C108 C8:C56 F8:F5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2019-09-23T11:55:57Z</cp:lastPrinted>
  <dcterms:created xsi:type="dcterms:W3CDTF">2015-06-05T18:19:34Z</dcterms:created>
  <dcterms:modified xsi:type="dcterms:W3CDTF">2019-09-24T12:02:10Z</dcterms:modified>
</cp:coreProperties>
</file>