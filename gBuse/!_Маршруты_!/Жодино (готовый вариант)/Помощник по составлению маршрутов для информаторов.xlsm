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gBuse\!_Маршруты_!\Жодино (готовый вариант)\"/>
    </mc:Choice>
  </mc:AlternateContent>
  <bookViews>
    <workbookView xWindow="-122" yWindow="-122" windowWidth="19087" windowHeight="11398" firstSheet="4" activeTab="16"/>
  </bookViews>
  <sheets>
    <sheet name="Настройки" sheetId="2" r:id="rId1"/>
    <sheet name="Константы" sheetId="37" r:id="rId2"/>
    <sheet name="Остановки" sheetId="38" r:id="rId3"/>
    <sheet name="Шаблон маршрута" sheetId="49" r:id="rId4"/>
    <sheet name="Табло" sheetId="40" r:id="rId5"/>
    <sheet name="route.txt" sheetId="47" r:id="rId6"/>
    <sheet name="route" sheetId="1" r:id="rId7"/>
    <sheet name="1" sheetId="55" r:id="rId8"/>
    <sheet name="2" sheetId="51" r:id="rId9"/>
    <sheet name="3" sheetId="52" r:id="rId10"/>
    <sheet name="4" sheetId="53" r:id="rId11"/>
    <sheet name="6" sheetId="59" r:id="rId12"/>
    <sheet name="6a" sheetId="60" r:id="rId13"/>
    <sheet name="8" sheetId="54" r:id="rId14"/>
    <sheet name="8a" sheetId="56" r:id="rId15"/>
    <sheet name="9" sheetId="57" r:id="rId16"/>
    <sheet name="11" sheetId="58" r:id="rId17"/>
    <sheet name="barsuki" sheetId="3" r:id="rId18"/>
    <sheet name="budagovo" sheetId="16" r:id="rId19"/>
    <sheet name="zamlinie" sheetId="17" r:id="rId20"/>
    <sheet name="zel_bor" sheetId="18" r:id="rId21"/>
    <sheet name="logoisk" sheetId="19" r:id="rId22"/>
    <sheet name="ljutka" sheetId="20" r:id="rId23"/>
    <sheet name="napalki" sheetId="21" r:id="rId24"/>
    <sheet name="sutoki" sheetId="22" r:id="rId25"/>
    <sheet name="tochil" sheetId="23" r:id="rId26"/>
    <sheet name="uzefovo" sheetId="24" r:id="rId27"/>
    <sheet name="jalov" sheetId="25" r:id="rId28"/>
    <sheet name="automob" sheetId="26" r:id="rId29"/>
    <sheet name="zhurav" sheetId="27" r:id="rId30"/>
    <sheet name="pov_zur" sheetId="28" r:id="rId31"/>
    <sheet name="raduga" sheetId="29" r:id="rId32"/>
    <sheet name="rodnik" sheetId="30" r:id="rId33"/>
    <sheet name="stroit" sheetId="31" r:id="rId34"/>
    <sheet name="sluzhebn" sheetId="32" r:id="rId35"/>
    <sheet name="zakaz" sheetId="33" r:id="rId36"/>
    <sheet name="snekpro" sheetId="34" r:id="rId37"/>
    <sheet name="deti" sheetId="35" r:id="rId38"/>
    <sheet name="v_park" sheetId="36" r:id="rId39"/>
  </sheets>
  <functionGroups builtInGroupCount="18"/>
  <definedNames>
    <definedName name="_xlnm._FilterDatabase" localSheetId="2" hidden="1">Остановки!$E$1:$E$85</definedName>
    <definedName name="File_Footer">Константы!$D$2:$D$12</definedName>
    <definedName name="mp3_knst">Настройки!$B$3</definedName>
    <definedName name="mp3_ost">Настройки!$B$4</definedName>
    <definedName name="NomZagMar">Настройки!$B$2</definedName>
    <definedName name="NumRoute">Настройки!$B$1</definedName>
    <definedName name="Ostanovki">Остановки!$B$2:$H$85</definedName>
    <definedName name="Pref_Punktov">Константы!$A$2:$A$14</definedName>
    <definedName name="Punkti">Константы!$A$2:$B$14</definedName>
    <definedName name="Tablo_Tab">'route.txt'!$A$1:$B$84</definedName>
    <definedName name="Tablo_Zag">'route.txt'!$A$1:$A$84</definedName>
    <definedName name="Zag_Ost">Остановки!$B$2:$B$85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62" i="58" l="1"/>
  <c r="G63" i="58"/>
  <c r="G64" i="58"/>
  <c r="G65" i="58"/>
  <c r="G66" i="58"/>
  <c r="G67" i="58"/>
  <c r="G68" i="58"/>
  <c r="G69" i="58"/>
  <c r="G70" i="58"/>
  <c r="G71" i="58"/>
  <c r="G72" i="58"/>
  <c r="G73" i="58"/>
  <c r="G74" i="58"/>
  <c r="G75" i="58"/>
  <c r="G76" i="58"/>
  <c r="G77" i="58"/>
  <c r="G78" i="58"/>
  <c r="G79" i="58"/>
  <c r="G80" i="58"/>
  <c r="G81" i="58"/>
  <c r="G82" i="58"/>
  <c r="G83" i="58"/>
  <c r="G84" i="58"/>
  <c r="G85" i="58"/>
  <c r="G86" i="58"/>
  <c r="G87" i="58"/>
  <c r="G88" i="58"/>
  <c r="G89" i="58"/>
  <c r="G90" i="58"/>
  <c r="G91" i="58"/>
  <c r="G92" i="58"/>
  <c r="G93" i="58"/>
  <c r="G94" i="58"/>
  <c r="G95" i="58"/>
  <c r="G96" i="58"/>
  <c r="G97" i="58"/>
  <c r="G98" i="58"/>
  <c r="G99" i="58"/>
  <c r="G100" i="58"/>
  <c r="G101" i="58"/>
  <c r="G102" i="58"/>
  <c r="G103" i="58"/>
  <c r="G104" i="58"/>
  <c r="G105" i="58"/>
  <c r="G106" i="58"/>
  <c r="G107" i="58"/>
  <c r="G10" i="58"/>
  <c r="G11" i="58"/>
  <c r="G12" i="58"/>
  <c r="G13" i="58"/>
  <c r="G14" i="58"/>
  <c r="G15" i="58"/>
  <c r="G16" i="58"/>
  <c r="G17" i="58"/>
  <c r="G18" i="58"/>
  <c r="G19" i="58"/>
  <c r="G20" i="58"/>
  <c r="G21" i="58"/>
  <c r="G22" i="58"/>
  <c r="G23" i="58"/>
  <c r="G24" i="58"/>
  <c r="G25" i="58"/>
  <c r="G26" i="58"/>
  <c r="G27" i="58"/>
  <c r="G28" i="58"/>
  <c r="G29" i="58"/>
  <c r="G30" i="58"/>
  <c r="G31" i="58"/>
  <c r="G32" i="58"/>
  <c r="G33" i="58"/>
  <c r="G34" i="58"/>
  <c r="G35" i="58"/>
  <c r="G36" i="58"/>
  <c r="G37" i="58"/>
  <c r="G38" i="58"/>
  <c r="G39" i="58"/>
  <c r="G40" i="58"/>
  <c r="G41" i="58"/>
  <c r="G42" i="58"/>
  <c r="G43" i="58"/>
  <c r="G44" i="58"/>
  <c r="G45" i="58"/>
  <c r="G46" i="58"/>
  <c r="G47" i="58"/>
  <c r="G48" i="58"/>
  <c r="G49" i="58"/>
  <c r="G50" i="58"/>
  <c r="G51" i="58"/>
  <c r="G52" i="58"/>
  <c r="G53" i="58"/>
  <c r="G54" i="58"/>
  <c r="G55" i="58"/>
  <c r="G62" i="57"/>
  <c r="G63" i="57"/>
  <c r="G64" i="57"/>
  <c r="G65" i="57"/>
  <c r="G66" i="57"/>
  <c r="G67" i="57"/>
  <c r="G68" i="57"/>
  <c r="G69" i="57"/>
  <c r="G70" i="57"/>
  <c r="G71" i="57"/>
  <c r="G72" i="57"/>
  <c r="G73" i="57"/>
  <c r="G74" i="57"/>
  <c r="G75" i="57"/>
  <c r="G76" i="57"/>
  <c r="G77" i="57"/>
  <c r="G78" i="57"/>
  <c r="G79" i="57"/>
  <c r="G80" i="57"/>
  <c r="G81" i="57"/>
  <c r="G82" i="57"/>
  <c r="G83" i="57"/>
  <c r="G84" i="57"/>
  <c r="G85" i="57"/>
  <c r="G86" i="57"/>
  <c r="G87" i="57"/>
  <c r="G88" i="57"/>
  <c r="G89" i="57"/>
  <c r="G90" i="57"/>
  <c r="G91" i="57"/>
  <c r="G92" i="57"/>
  <c r="G93" i="57"/>
  <c r="G94" i="57"/>
  <c r="G95" i="57"/>
  <c r="G96" i="57"/>
  <c r="G97" i="57"/>
  <c r="G98" i="57"/>
  <c r="G99" i="57"/>
  <c r="G100" i="57"/>
  <c r="G101" i="57"/>
  <c r="G102" i="57"/>
  <c r="G103" i="57"/>
  <c r="G104" i="57"/>
  <c r="G105" i="57"/>
  <c r="G106" i="57"/>
  <c r="G107" i="57"/>
  <c r="G108" i="57"/>
  <c r="G109" i="57"/>
  <c r="G10" i="57"/>
  <c r="G11" i="57"/>
  <c r="G12" i="57"/>
  <c r="G13" i="57"/>
  <c r="G14" i="57"/>
  <c r="G15" i="57"/>
  <c r="G16" i="57"/>
  <c r="G17" i="57"/>
  <c r="G18" i="57"/>
  <c r="G19" i="57"/>
  <c r="G20" i="57"/>
  <c r="G21" i="57"/>
  <c r="G22" i="57"/>
  <c r="G23" i="57"/>
  <c r="G24" i="57"/>
  <c r="G25" i="57"/>
  <c r="G26" i="57"/>
  <c r="G27" i="57"/>
  <c r="G28" i="57"/>
  <c r="G29" i="57"/>
  <c r="G30" i="57"/>
  <c r="G31" i="57"/>
  <c r="G32" i="57"/>
  <c r="G33" i="57"/>
  <c r="G34" i="57"/>
  <c r="G35" i="57"/>
  <c r="G36" i="57"/>
  <c r="G37" i="57"/>
  <c r="G38" i="57"/>
  <c r="G39" i="57"/>
  <c r="G40" i="57"/>
  <c r="G41" i="57"/>
  <c r="G42" i="57"/>
  <c r="G43" i="57"/>
  <c r="G44" i="57"/>
  <c r="G45" i="57"/>
  <c r="G46" i="57"/>
  <c r="G47" i="57"/>
  <c r="G48" i="57"/>
  <c r="G49" i="57"/>
  <c r="G50" i="57"/>
  <c r="G51" i="57"/>
  <c r="G52" i="57"/>
  <c r="G53" i="57"/>
  <c r="G54" i="57"/>
  <c r="G55" i="57"/>
  <c r="G38" i="56"/>
  <c r="G39" i="56"/>
  <c r="G40" i="56"/>
  <c r="G41" i="56"/>
  <c r="G42" i="56"/>
  <c r="G43" i="56"/>
  <c r="G44" i="56"/>
  <c r="G45" i="56"/>
  <c r="G46" i="56"/>
  <c r="G47" i="56"/>
  <c r="G48" i="56"/>
  <c r="G49" i="56"/>
  <c r="G50" i="56"/>
  <c r="G51" i="56"/>
  <c r="G52" i="56"/>
  <c r="G53" i="56"/>
  <c r="G54" i="56"/>
  <c r="G55" i="56"/>
  <c r="G56" i="56"/>
  <c r="G57" i="56"/>
  <c r="G58" i="56"/>
  <c r="G59" i="56"/>
  <c r="G10" i="56"/>
  <c r="G11" i="56"/>
  <c r="G12" i="56"/>
  <c r="G13" i="56"/>
  <c r="G14" i="56"/>
  <c r="G15" i="56"/>
  <c r="G16" i="56"/>
  <c r="G17" i="56"/>
  <c r="G18" i="56"/>
  <c r="G19" i="56"/>
  <c r="G20" i="56"/>
  <c r="G21" i="56"/>
  <c r="G22" i="56"/>
  <c r="G23" i="56"/>
  <c r="G24" i="56"/>
  <c r="G25" i="56"/>
  <c r="G26" i="56"/>
  <c r="G27" i="56"/>
  <c r="G28" i="56"/>
  <c r="G29" i="56"/>
  <c r="G30" i="56"/>
  <c r="G31" i="56"/>
  <c r="G38" i="54"/>
  <c r="G39" i="54"/>
  <c r="G40" i="54"/>
  <c r="G41" i="54"/>
  <c r="G42" i="54"/>
  <c r="G43" i="54"/>
  <c r="G44" i="54"/>
  <c r="G45" i="54"/>
  <c r="G46" i="54"/>
  <c r="G47" i="54"/>
  <c r="G48" i="54"/>
  <c r="G49" i="54"/>
  <c r="G50" i="54"/>
  <c r="G51" i="54"/>
  <c r="G52" i="54"/>
  <c r="G53" i="54"/>
  <c r="G54" i="54"/>
  <c r="G55" i="54"/>
  <c r="G56" i="54"/>
  <c r="G57" i="54"/>
  <c r="G58" i="54"/>
  <c r="G59" i="54"/>
  <c r="G10" i="54"/>
  <c r="G11" i="54"/>
  <c r="G12" i="54"/>
  <c r="G13" i="54"/>
  <c r="G14" i="54"/>
  <c r="G15" i="54"/>
  <c r="G16" i="54"/>
  <c r="G17" i="54"/>
  <c r="G18" i="54"/>
  <c r="G19" i="54"/>
  <c r="G20" i="54"/>
  <c r="G21" i="54"/>
  <c r="G22" i="54"/>
  <c r="G23" i="54"/>
  <c r="G24" i="54"/>
  <c r="G25" i="54"/>
  <c r="G26" i="54"/>
  <c r="G27" i="54"/>
  <c r="G28" i="54"/>
  <c r="G29" i="54"/>
  <c r="G30" i="54"/>
  <c r="G31" i="54"/>
  <c r="G9" i="60"/>
  <c r="G10" i="60"/>
  <c r="G11" i="60"/>
  <c r="G12" i="60"/>
  <c r="G13" i="60"/>
  <c r="G14" i="60"/>
  <c r="G15" i="60"/>
  <c r="G16" i="60"/>
  <c r="G17" i="60"/>
  <c r="G18" i="60"/>
  <c r="G19" i="60"/>
  <c r="G20" i="60"/>
  <c r="G21" i="60"/>
  <c r="G22" i="60"/>
  <c r="G23" i="60"/>
  <c r="G24" i="60"/>
  <c r="G25" i="60"/>
  <c r="G26" i="60"/>
  <c r="G27" i="60"/>
  <c r="G28" i="60"/>
  <c r="G29" i="60"/>
  <c r="G30" i="60"/>
  <c r="G31" i="60"/>
  <c r="G32" i="60"/>
  <c r="G33" i="60"/>
  <c r="G34" i="60"/>
  <c r="G35" i="60"/>
  <c r="G36" i="60"/>
  <c r="G37" i="60"/>
  <c r="G38" i="60"/>
  <c r="G39" i="60"/>
  <c r="G40" i="60"/>
  <c r="G41" i="60"/>
  <c r="G42" i="60"/>
  <c r="G43" i="60"/>
  <c r="G44" i="60"/>
  <c r="G45" i="60"/>
  <c r="G46" i="60"/>
  <c r="G47" i="60"/>
  <c r="G48" i="60"/>
  <c r="G49" i="60"/>
  <c r="G50" i="60"/>
  <c r="G44" i="59"/>
  <c r="G45" i="59"/>
  <c r="G46" i="59"/>
  <c r="G47" i="59"/>
  <c r="G48" i="59"/>
  <c r="G49" i="59"/>
  <c r="G50" i="59"/>
  <c r="G51" i="59"/>
  <c r="G52" i="59"/>
  <c r="G53" i="59"/>
  <c r="G54" i="59"/>
  <c r="G55" i="59"/>
  <c r="G56" i="59"/>
  <c r="G57" i="59"/>
  <c r="G58" i="59"/>
  <c r="G59" i="59"/>
  <c r="G60" i="59"/>
  <c r="G61" i="59"/>
  <c r="G62" i="59"/>
  <c r="G63" i="59"/>
  <c r="G64" i="59"/>
  <c r="G65" i="59"/>
  <c r="G66" i="59"/>
  <c r="G67" i="59"/>
  <c r="G68" i="59"/>
  <c r="G69" i="59"/>
  <c r="G70" i="59"/>
  <c r="G71" i="59"/>
  <c r="G72" i="59"/>
  <c r="G73" i="59"/>
  <c r="G10" i="59"/>
  <c r="G11" i="59"/>
  <c r="G12" i="59"/>
  <c r="G13" i="59"/>
  <c r="G14" i="59"/>
  <c r="G15" i="59"/>
  <c r="G16" i="59"/>
  <c r="G17" i="59"/>
  <c r="G18" i="59"/>
  <c r="G19" i="59"/>
  <c r="G20" i="59"/>
  <c r="G21" i="59"/>
  <c r="G22" i="59"/>
  <c r="G23" i="59"/>
  <c r="G24" i="59"/>
  <c r="G25" i="59"/>
  <c r="G26" i="59"/>
  <c r="G27" i="59"/>
  <c r="G28" i="59"/>
  <c r="G29" i="59"/>
  <c r="G30" i="59"/>
  <c r="G31" i="59"/>
  <c r="G32" i="59"/>
  <c r="G33" i="59"/>
  <c r="G34" i="59"/>
  <c r="G35" i="59"/>
  <c r="G36" i="59"/>
  <c r="G37" i="59"/>
  <c r="G66" i="53"/>
  <c r="G67" i="53"/>
  <c r="G68" i="53"/>
  <c r="G69" i="53"/>
  <c r="G70" i="53"/>
  <c r="G71" i="53"/>
  <c r="G72" i="53"/>
  <c r="G73" i="53"/>
  <c r="G74" i="53"/>
  <c r="G75" i="53"/>
  <c r="G76" i="53"/>
  <c r="G77" i="53"/>
  <c r="G78" i="53"/>
  <c r="G79" i="53"/>
  <c r="G80" i="53"/>
  <c r="G81" i="53"/>
  <c r="G82" i="53"/>
  <c r="G83" i="53"/>
  <c r="G84" i="53"/>
  <c r="G85" i="53"/>
  <c r="G86" i="53"/>
  <c r="G87" i="53"/>
  <c r="G88" i="53"/>
  <c r="G89" i="53"/>
  <c r="G90" i="53"/>
  <c r="G91" i="53"/>
  <c r="G92" i="53"/>
  <c r="G93" i="53"/>
  <c r="G94" i="53"/>
  <c r="G95" i="53"/>
  <c r="G96" i="53"/>
  <c r="G97" i="53"/>
  <c r="G98" i="53"/>
  <c r="G99" i="53"/>
  <c r="G100" i="53"/>
  <c r="G101" i="53"/>
  <c r="G102" i="53"/>
  <c r="G103" i="53"/>
  <c r="G104" i="53"/>
  <c r="G105" i="53"/>
  <c r="G106" i="53"/>
  <c r="G107" i="53"/>
  <c r="G108" i="53"/>
  <c r="G109" i="53"/>
  <c r="G110" i="53"/>
  <c r="G111" i="53"/>
  <c r="G112" i="53"/>
  <c r="G113" i="53"/>
  <c r="G10" i="53"/>
  <c r="G11" i="53"/>
  <c r="G12" i="53"/>
  <c r="G13" i="53"/>
  <c r="G14" i="53"/>
  <c r="G15" i="53"/>
  <c r="G16" i="53"/>
  <c r="G17" i="53"/>
  <c r="G18" i="53"/>
  <c r="G19" i="53"/>
  <c r="G20" i="53"/>
  <c r="G21" i="53"/>
  <c r="G22" i="53"/>
  <c r="G23" i="53"/>
  <c r="G24" i="53"/>
  <c r="G25" i="53"/>
  <c r="G26" i="53"/>
  <c r="G27" i="53"/>
  <c r="G28" i="53"/>
  <c r="G29" i="53"/>
  <c r="G30" i="53"/>
  <c r="G31" i="53"/>
  <c r="G32" i="53"/>
  <c r="G33" i="53"/>
  <c r="G34" i="53"/>
  <c r="G35" i="53"/>
  <c r="G36" i="53"/>
  <c r="G37" i="53"/>
  <c r="G38" i="53"/>
  <c r="G39" i="53"/>
  <c r="G40" i="53"/>
  <c r="G41" i="53"/>
  <c r="G42" i="53"/>
  <c r="G43" i="53"/>
  <c r="G44" i="53"/>
  <c r="G45" i="53"/>
  <c r="G46" i="53"/>
  <c r="G47" i="53"/>
  <c r="G48" i="53"/>
  <c r="G49" i="53"/>
  <c r="G50" i="53"/>
  <c r="G51" i="53"/>
  <c r="G52" i="53"/>
  <c r="G53" i="53"/>
  <c r="G54" i="53"/>
  <c r="G55" i="53"/>
  <c r="G56" i="53"/>
  <c r="G57" i="53"/>
  <c r="G58" i="53"/>
  <c r="G59" i="53"/>
  <c r="G32" i="52"/>
  <c r="G33" i="52"/>
  <c r="G34" i="52"/>
  <c r="G35" i="52"/>
  <c r="G36" i="52"/>
  <c r="G37" i="52"/>
  <c r="G38" i="52"/>
  <c r="G39" i="52"/>
  <c r="G40" i="52"/>
  <c r="G41" i="52"/>
  <c r="G42" i="52"/>
  <c r="G43" i="52"/>
  <c r="G44" i="52"/>
  <c r="G45" i="52"/>
  <c r="G46" i="52"/>
  <c r="G47" i="52"/>
  <c r="G48" i="52"/>
  <c r="G49" i="52"/>
  <c r="G50" i="52"/>
  <c r="G51" i="52"/>
  <c r="G10" i="52"/>
  <c r="G11" i="52"/>
  <c r="G12" i="52"/>
  <c r="G13" i="52"/>
  <c r="G14" i="52"/>
  <c r="G15" i="52"/>
  <c r="G16" i="52"/>
  <c r="G17" i="52"/>
  <c r="G18" i="52"/>
  <c r="G19" i="52"/>
  <c r="G20" i="52"/>
  <c r="G21" i="52"/>
  <c r="G22" i="52"/>
  <c r="G23" i="52"/>
  <c r="G24" i="52"/>
  <c r="G25" i="52"/>
  <c r="G62" i="55"/>
  <c r="G63" i="55"/>
  <c r="G64" i="55"/>
  <c r="G65" i="55"/>
  <c r="G66" i="55"/>
  <c r="G67" i="55"/>
  <c r="G68" i="55"/>
  <c r="G69" i="55"/>
  <c r="G70" i="55"/>
  <c r="G71" i="55"/>
  <c r="G72" i="55"/>
  <c r="G73" i="55"/>
  <c r="G74" i="55"/>
  <c r="G75" i="55"/>
  <c r="G76" i="55"/>
  <c r="G77" i="55"/>
  <c r="G78" i="55"/>
  <c r="G79" i="55"/>
  <c r="G80" i="55"/>
  <c r="G81" i="55"/>
  <c r="G82" i="55"/>
  <c r="G83" i="55"/>
  <c r="G84" i="55"/>
  <c r="G85" i="55"/>
  <c r="G86" i="55"/>
  <c r="G87" i="55"/>
  <c r="G88" i="55"/>
  <c r="G89" i="55"/>
  <c r="G90" i="55"/>
  <c r="G91" i="55"/>
  <c r="G92" i="55"/>
  <c r="G93" i="55"/>
  <c r="G94" i="55"/>
  <c r="G95" i="55"/>
  <c r="G96" i="55"/>
  <c r="G97" i="55"/>
  <c r="G98" i="55"/>
  <c r="G99" i="55"/>
  <c r="G100" i="55"/>
  <c r="G101" i="55"/>
  <c r="G102" i="55"/>
  <c r="G103" i="55"/>
  <c r="G104" i="55"/>
  <c r="G105" i="55"/>
  <c r="G106" i="55"/>
  <c r="G107" i="55"/>
  <c r="G10" i="55"/>
  <c r="G11" i="55"/>
  <c r="G12" i="55"/>
  <c r="G13" i="55"/>
  <c r="G14" i="55"/>
  <c r="G15" i="55"/>
  <c r="G16" i="55"/>
  <c r="G17" i="55"/>
  <c r="G18" i="55"/>
  <c r="G19" i="55"/>
  <c r="G20" i="55"/>
  <c r="G21" i="55"/>
  <c r="G22" i="55"/>
  <c r="G23" i="55"/>
  <c r="G24" i="55"/>
  <c r="G25" i="55"/>
  <c r="G26" i="55"/>
  <c r="G27" i="55"/>
  <c r="G28" i="55"/>
  <c r="G29" i="55"/>
  <c r="G30" i="55"/>
  <c r="G31" i="55"/>
  <c r="G32" i="55"/>
  <c r="G33" i="55"/>
  <c r="G34" i="55"/>
  <c r="G35" i="55"/>
  <c r="G36" i="55"/>
  <c r="G37" i="55"/>
  <c r="G38" i="55"/>
  <c r="G39" i="55"/>
  <c r="G40" i="55"/>
  <c r="G41" i="55"/>
  <c r="G42" i="55"/>
  <c r="G43" i="55"/>
  <c r="G44" i="55"/>
  <c r="G45" i="55"/>
  <c r="G46" i="55"/>
  <c r="G47" i="55"/>
  <c r="G48" i="55"/>
  <c r="G49" i="55"/>
  <c r="G50" i="55"/>
  <c r="G51" i="55"/>
  <c r="G52" i="55"/>
  <c r="G53" i="55"/>
  <c r="G54" i="55"/>
  <c r="G55" i="55"/>
  <c r="G55" i="51"/>
  <c r="G56" i="51"/>
  <c r="G57" i="51"/>
  <c r="G58" i="51"/>
  <c r="G59" i="51"/>
  <c r="G60" i="51"/>
  <c r="G61" i="51"/>
  <c r="G62" i="51"/>
  <c r="G63" i="51"/>
  <c r="G64" i="51"/>
  <c r="G65" i="51"/>
  <c r="G66" i="51"/>
  <c r="G67" i="51"/>
  <c r="G68" i="51"/>
  <c r="G69" i="51"/>
  <c r="G70" i="51"/>
  <c r="G71" i="51"/>
  <c r="G72" i="51"/>
  <c r="G73" i="51"/>
  <c r="G74" i="51"/>
  <c r="G75" i="51"/>
  <c r="G76" i="51"/>
  <c r="G77" i="51"/>
  <c r="G78" i="51"/>
  <c r="G79" i="51"/>
  <c r="G80" i="51"/>
  <c r="G81" i="51"/>
  <c r="G82" i="51"/>
  <c r="G83" i="51"/>
  <c r="G84" i="51"/>
  <c r="G85" i="51"/>
  <c r="G86" i="51"/>
  <c r="G87" i="51"/>
  <c r="G88" i="51"/>
  <c r="G89" i="51"/>
  <c r="G90" i="51"/>
  <c r="G91" i="51"/>
  <c r="G54" i="51"/>
  <c r="G9" i="51"/>
  <c r="G10" i="51"/>
  <c r="G11" i="51"/>
  <c r="G12" i="51"/>
  <c r="G13" i="51"/>
  <c r="G14" i="51"/>
  <c r="G15" i="51"/>
  <c r="G16" i="51"/>
  <c r="G17" i="51"/>
  <c r="G18" i="51"/>
  <c r="G19" i="51"/>
  <c r="G20" i="51"/>
  <c r="G21" i="51"/>
  <c r="G22" i="51"/>
  <c r="G23" i="51"/>
  <c r="G24" i="51"/>
  <c r="G25" i="51"/>
  <c r="G26" i="51"/>
  <c r="G27" i="51"/>
  <c r="G28" i="51"/>
  <c r="G29" i="51"/>
  <c r="G30" i="51"/>
  <c r="G31" i="51"/>
  <c r="G32" i="51"/>
  <c r="G33" i="51"/>
  <c r="G34" i="51"/>
  <c r="G35" i="51"/>
  <c r="G36" i="51"/>
  <c r="G37" i="51"/>
  <c r="G38" i="51"/>
  <c r="G39" i="51"/>
  <c r="G40" i="51"/>
  <c r="G41" i="51"/>
  <c r="G42" i="51"/>
  <c r="G43" i="51"/>
  <c r="G44" i="51"/>
  <c r="G45" i="51"/>
  <c r="G46" i="51"/>
  <c r="G47" i="51"/>
  <c r="G48" i="51"/>
  <c r="G49" i="51"/>
  <c r="G50" i="51"/>
  <c r="H11" i="52" l="1"/>
  <c r="I11" i="52"/>
  <c r="J11" i="52"/>
  <c r="K11" i="52"/>
  <c r="H12" i="52"/>
  <c r="I12" i="52"/>
  <c r="J12" i="52"/>
  <c r="K12" i="52"/>
  <c r="H13" i="52"/>
  <c r="I13" i="52"/>
  <c r="J13" i="52"/>
  <c r="K13" i="52"/>
  <c r="D10" i="52"/>
  <c r="D11" i="52"/>
  <c r="D12" i="52"/>
  <c r="B11" i="52"/>
  <c r="B12" i="52"/>
  <c r="B13" i="52"/>
  <c r="B14" i="52"/>
  <c r="L12" i="52"/>
  <c r="L11" i="52"/>
  <c r="H37" i="51" l="1"/>
  <c r="I37" i="51"/>
  <c r="J37" i="51"/>
  <c r="K37" i="51"/>
  <c r="H38" i="51"/>
  <c r="I38" i="51"/>
  <c r="J38" i="51"/>
  <c r="K38" i="51"/>
  <c r="H39" i="51"/>
  <c r="I39" i="51"/>
  <c r="J39" i="51"/>
  <c r="K39" i="51"/>
  <c r="B37" i="51"/>
  <c r="B38" i="51"/>
  <c r="B39" i="51"/>
  <c r="B40" i="51"/>
  <c r="L38" i="51"/>
  <c r="L37" i="51"/>
  <c r="H29" i="53" l="1"/>
  <c r="I29" i="53"/>
  <c r="J29" i="53"/>
  <c r="K29" i="53"/>
  <c r="H30" i="53"/>
  <c r="I30" i="53"/>
  <c r="J30" i="53"/>
  <c r="K30" i="53"/>
  <c r="H31" i="53"/>
  <c r="I31" i="53"/>
  <c r="J31" i="53"/>
  <c r="K31" i="53"/>
  <c r="B29" i="53"/>
  <c r="B30" i="53"/>
  <c r="B31" i="53"/>
  <c r="B32" i="53"/>
  <c r="L29" i="53"/>
  <c r="L30" i="53"/>
  <c r="I18" i="60" l="1"/>
  <c r="J18" i="60"/>
  <c r="I19" i="60"/>
  <c r="J19" i="60"/>
  <c r="I20" i="60"/>
  <c r="J20" i="60"/>
  <c r="I21" i="60"/>
  <c r="J21" i="60"/>
  <c r="I22" i="60"/>
  <c r="J22" i="60"/>
  <c r="I23" i="60"/>
  <c r="J23" i="60"/>
  <c r="I24" i="60"/>
  <c r="J24" i="60"/>
  <c r="I25" i="60"/>
  <c r="J25" i="60"/>
  <c r="I26" i="60"/>
  <c r="J26" i="60"/>
  <c r="I27" i="60"/>
  <c r="J27" i="60"/>
  <c r="I28" i="60"/>
  <c r="J28" i="60"/>
  <c r="I29" i="60"/>
  <c r="J29" i="60"/>
  <c r="I30" i="60"/>
  <c r="J30" i="60"/>
  <c r="I31" i="60"/>
  <c r="J31" i="60"/>
  <c r="H24" i="60" l="1"/>
  <c r="H25" i="60"/>
  <c r="H26" i="60"/>
  <c r="H27" i="60"/>
  <c r="K33" i="60"/>
  <c r="K34" i="60"/>
  <c r="K35" i="60"/>
  <c r="K36" i="60"/>
  <c r="K37" i="60"/>
  <c r="K38" i="60"/>
  <c r="K39" i="60"/>
  <c r="K40" i="60"/>
  <c r="K41" i="60"/>
  <c r="K42" i="60"/>
  <c r="K43" i="60"/>
  <c r="K44" i="60"/>
  <c r="K45" i="60"/>
  <c r="K46" i="60"/>
  <c r="K47" i="60"/>
  <c r="K48" i="60"/>
  <c r="K49" i="60"/>
  <c r="K50" i="60"/>
  <c r="K34" i="59"/>
  <c r="K35" i="59"/>
  <c r="K36" i="59"/>
  <c r="K37" i="59"/>
  <c r="K90" i="53"/>
  <c r="K91" i="53"/>
  <c r="K92" i="53"/>
  <c r="K93" i="53"/>
  <c r="K94" i="53"/>
  <c r="K95" i="53"/>
  <c r="K38" i="53"/>
  <c r="K39" i="53"/>
  <c r="K40" i="53"/>
  <c r="K41" i="53"/>
  <c r="K42" i="53"/>
  <c r="K43" i="53"/>
  <c r="K44" i="53"/>
  <c r="K45" i="53"/>
  <c r="K18" i="52"/>
  <c r="K19" i="52"/>
  <c r="K20" i="52"/>
  <c r="K21" i="52"/>
  <c r="K22" i="52"/>
  <c r="K23" i="52"/>
  <c r="K24" i="52"/>
  <c r="K25" i="52"/>
  <c r="K36" i="51"/>
  <c r="K40" i="51"/>
  <c r="K41" i="51"/>
  <c r="K42" i="51"/>
  <c r="K43" i="51"/>
  <c r="K44" i="51"/>
  <c r="K45" i="51"/>
  <c r="K46" i="51"/>
  <c r="K47" i="51"/>
  <c r="K48" i="51"/>
  <c r="K49" i="51"/>
  <c r="D3" i="37"/>
  <c r="D4" i="37"/>
  <c r="D5" i="37"/>
  <c r="D6" i="37"/>
  <c r="D7" i="37"/>
  <c r="D8" i="37"/>
  <c r="D9" i="37"/>
  <c r="D10" i="37"/>
  <c r="D11" i="37"/>
  <c r="D12" i="37"/>
  <c r="D2" i="37"/>
  <c r="M125" i="55" l="1"/>
  <c r="D14" i="37" l="1"/>
  <c r="B90" i="47"/>
  <c r="E90" i="47" s="1"/>
  <c r="C90" i="47"/>
  <c r="D90" i="47"/>
  <c r="D89" i="47"/>
  <c r="C89" i="47"/>
  <c r="B89" i="47"/>
  <c r="E89" i="47" s="1"/>
  <c r="B88" i="47"/>
  <c r="E88" i="47" s="1"/>
  <c r="C88" i="47"/>
  <c r="D88" i="47"/>
  <c r="B87" i="47"/>
  <c r="E87" i="47" s="1"/>
  <c r="C87" i="47"/>
  <c r="D87" i="47"/>
  <c r="C86" i="47"/>
  <c r="D86" i="47"/>
  <c r="B86" i="47"/>
  <c r="E86" i="47" s="1"/>
  <c r="M124" i="55" l="1"/>
  <c r="L124" i="58"/>
  <c r="L76" i="56"/>
  <c r="L67" i="60"/>
  <c r="L130" i="53"/>
  <c r="L108" i="51"/>
  <c r="L126" i="57"/>
  <c r="L76" i="54"/>
  <c r="L90" i="59"/>
  <c r="L68" i="52"/>
  <c r="G51" i="60"/>
  <c r="I42" i="60"/>
  <c r="D42" i="60" s="1"/>
  <c r="B42" i="60"/>
  <c r="I41" i="60"/>
  <c r="D41" i="60" s="1"/>
  <c r="B41" i="60"/>
  <c r="I40" i="60"/>
  <c r="D40" i="60" s="1"/>
  <c r="B40" i="60"/>
  <c r="I39" i="60"/>
  <c r="D39" i="60" s="1"/>
  <c r="B39" i="60"/>
  <c r="I38" i="60"/>
  <c r="D38" i="60" s="1"/>
  <c r="B38" i="60"/>
  <c r="I37" i="60"/>
  <c r="D37" i="60" s="1"/>
  <c r="B37" i="60"/>
  <c r="I34" i="60"/>
  <c r="D34" i="60" s="1"/>
  <c r="B34" i="60"/>
  <c r="I33" i="60"/>
  <c r="D33" i="60" s="1"/>
  <c r="B33" i="60"/>
  <c r="K32" i="60"/>
  <c r="I32" i="60"/>
  <c r="D32" i="60" s="1"/>
  <c r="B32" i="60"/>
  <c r="K31" i="60"/>
  <c r="D31" i="60"/>
  <c r="B31" i="60"/>
  <c r="I44" i="60"/>
  <c r="D44" i="60" s="1"/>
  <c r="B44" i="60"/>
  <c r="I43" i="60"/>
  <c r="D43" i="60" s="1"/>
  <c r="B43" i="60"/>
  <c r="I36" i="60"/>
  <c r="D36" i="60" s="1"/>
  <c r="B36" i="60"/>
  <c r="I35" i="60"/>
  <c r="D35" i="60" s="1"/>
  <c r="B35" i="60"/>
  <c r="I15" i="60"/>
  <c r="D15" i="60" s="1"/>
  <c r="K15" i="60"/>
  <c r="I16" i="60"/>
  <c r="D16" i="60" s="1"/>
  <c r="K16" i="60"/>
  <c r="I17" i="60"/>
  <c r="D17" i="60" s="1"/>
  <c r="K17" i="60"/>
  <c r="D18" i="60"/>
  <c r="K18" i="60"/>
  <c r="B16" i="60"/>
  <c r="B17" i="60"/>
  <c r="B18" i="60"/>
  <c r="B19" i="60"/>
  <c r="F85" i="38"/>
  <c r="G85" i="38"/>
  <c r="D84" i="47"/>
  <c r="B84" i="47"/>
  <c r="E84" i="47" s="1"/>
  <c r="B53" i="60"/>
  <c r="K51" i="60"/>
  <c r="I51" i="60"/>
  <c r="D51" i="60" s="1"/>
  <c r="B51" i="60"/>
  <c r="I50" i="60"/>
  <c r="D50" i="60" s="1"/>
  <c r="B50" i="60"/>
  <c r="I49" i="60"/>
  <c r="D49" i="60" s="1"/>
  <c r="B49" i="60"/>
  <c r="I48" i="60"/>
  <c r="D48" i="60" s="1"/>
  <c r="B48" i="60"/>
  <c r="I47" i="60"/>
  <c r="D47" i="60" s="1"/>
  <c r="B47" i="60"/>
  <c r="I46" i="60"/>
  <c r="D46" i="60" s="1"/>
  <c r="B46" i="60"/>
  <c r="I45" i="60"/>
  <c r="D45" i="60" s="1"/>
  <c r="B45" i="60"/>
  <c r="K30" i="60"/>
  <c r="D30" i="60"/>
  <c r="B30" i="60"/>
  <c r="K29" i="60"/>
  <c r="D29" i="60"/>
  <c r="B29" i="60"/>
  <c r="K28" i="60"/>
  <c r="D28" i="60"/>
  <c r="B28" i="60"/>
  <c r="K27" i="60"/>
  <c r="D27" i="60"/>
  <c r="B27" i="60"/>
  <c r="K26" i="60"/>
  <c r="D26" i="60"/>
  <c r="B26" i="60"/>
  <c r="K25" i="60"/>
  <c r="D25" i="60"/>
  <c r="B25" i="60"/>
  <c r="K24" i="60"/>
  <c r="D24" i="60"/>
  <c r="B24" i="60"/>
  <c r="K23" i="60"/>
  <c r="D23" i="60"/>
  <c r="B23" i="60"/>
  <c r="K22" i="60"/>
  <c r="D22" i="60"/>
  <c r="B22" i="60"/>
  <c r="K21" i="60"/>
  <c r="D21" i="60"/>
  <c r="B21" i="60"/>
  <c r="K20" i="60"/>
  <c r="D20" i="60"/>
  <c r="B20" i="60"/>
  <c r="K19" i="60"/>
  <c r="D19" i="60"/>
  <c r="B15" i="60"/>
  <c r="K14" i="60"/>
  <c r="I14" i="60"/>
  <c r="D14" i="60" s="1"/>
  <c r="B14" i="60"/>
  <c r="K13" i="60"/>
  <c r="I13" i="60"/>
  <c r="D13" i="60" s="1"/>
  <c r="B13" i="60"/>
  <c r="K12" i="60"/>
  <c r="I12" i="60"/>
  <c r="D12" i="60" s="1"/>
  <c r="B12" i="60"/>
  <c r="K11" i="60"/>
  <c r="I11" i="60"/>
  <c r="D11" i="60" s="1"/>
  <c r="B11" i="60"/>
  <c r="K10" i="60"/>
  <c r="I10" i="60"/>
  <c r="D10" i="60" s="1"/>
  <c r="B10" i="60"/>
  <c r="K9" i="60"/>
  <c r="I9" i="60"/>
  <c r="D9" i="60" s="1"/>
  <c r="B9" i="60"/>
  <c r="G8" i="60" s="1"/>
  <c r="K8" i="60"/>
  <c r="I8" i="60"/>
  <c r="D8" i="60" s="1"/>
  <c r="B8" i="60"/>
  <c r="K7" i="60"/>
  <c r="I7" i="60"/>
  <c r="D7" i="60" s="1"/>
  <c r="G7" i="60"/>
  <c r="B7" i="60"/>
  <c r="G5" i="60" s="1"/>
  <c r="B5" i="60"/>
  <c r="B3" i="60"/>
  <c r="G53" i="60" s="1"/>
  <c r="B76" i="59"/>
  <c r="K74" i="59"/>
  <c r="I74" i="59"/>
  <c r="D74" i="59" s="1"/>
  <c r="G74" i="59"/>
  <c r="B74" i="59"/>
  <c r="K73" i="59"/>
  <c r="I73" i="59"/>
  <c r="D73" i="59" s="1"/>
  <c r="B73" i="59"/>
  <c r="K72" i="59"/>
  <c r="I72" i="59"/>
  <c r="D72" i="59" s="1"/>
  <c r="B72" i="59"/>
  <c r="K71" i="59"/>
  <c r="I71" i="59"/>
  <c r="D71" i="59" s="1"/>
  <c r="B71" i="59"/>
  <c r="K70" i="59"/>
  <c r="I70" i="59"/>
  <c r="D70" i="59" s="1"/>
  <c r="B70" i="59"/>
  <c r="K69" i="59"/>
  <c r="I69" i="59"/>
  <c r="D69" i="59" s="1"/>
  <c r="B69" i="59"/>
  <c r="K68" i="59"/>
  <c r="I68" i="59"/>
  <c r="D68" i="59" s="1"/>
  <c r="B68" i="59"/>
  <c r="K67" i="59"/>
  <c r="I67" i="59"/>
  <c r="D67" i="59" s="1"/>
  <c r="B67" i="59"/>
  <c r="K66" i="59"/>
  <c r="I66" i="59"/>
  <c r="D66" i="59" s="1"/>
  <c r="B66" i="59"/>
  <c r="K65" i="59"/>
  <c r="I65" i="59"/>
  <c r="D65" i="59" s="1"/>
  <c r="B65" i="59"/>
  <c r="K64" i="59"/>
  <c r="I64" i="59"/>
  <c r="D64" i="59" s="1"/>
  <c r="B64" i="59"/>
  <c r="K63" i="59"/>
  <c r="I63" i="59"/>
  <c r="D63" i="59" s="1"/>
  <c r="B63" i="59"/>
  <c r="K62" i="59"/>
  <c r="I62" i="59"/>
  <c r="D62" i="59" s="1"/>
  <c r="B62" i="59"/>
  <c r="K61" i="59"/>
  <c r="I61" i="59"/>
  <c r="D61" i="59" s="1"/>
  <c r="B61" i="59"/>
  <c r="K60" i="59"/>
  <c r="I60" i="59"/>
  <c r="D60" i="59" s="1"/>
  <c r="B60" i="59"/>
  <c r="K59" i="59"/>
  <c r="I59" i="59"/>
  <c r="D59" i="59" s="1"/>
  <c r="B59" i="59"/>
  <c r="K58" i="59"/>
  <c r="I58" i="59"/>
  <c r="D58" i="59" s="1"/>
  <c r="B58" i="59"/>
  <c r="K57" i="59"/>
  <c r="I57" i="59"/>
  <c r="D57" i="59" s="1"/>
  <c r="B57" i="59"/>
  <c r="K56" i="59"/>
  <c r="I56" i="59"/>
  <c r="D56" i="59" s="1"/>
  <c r="B56" i="59"/>
  <c r="K55" i="59"/>
  <c r="I55" i="59"/>
  <c r="D55" i="59" s="1"/>
  <c r="B55" i="59"/>
  <c r="K54" i="59"/>
  <c r="I54" i="59"/>
  <c r="D54" i="59" s="1"/>
  <c r="B54" i="59"/>
  <c r="K53" i="59"/>
  <c r="I53" i="59"/>
  <c r="D53" i="59" s="1"/>
  <c r="B53" i="59"/>
  <c r="K52" i="59"/>
  <c r="I52" i="59"/>
  <c r="D52" i="59" s="1"/>
  <c r="B52" i="59"/>
  <c r="K51" i="59"/>
  <c r="I51" i="59"/>
  <c r="D51" i="59" s="1"/>
  <c r="B51" i="59"/>
  <c r="K50" i="59"/>
  <c r="I50" i="59"/>
  <c r="D50" i="59" s="1"/>
  <c r="B50" i="59"/>
  <c r="K49" i="59"/>
  <c r="I49" i="59"/>
  <c r="D49" i="59" s="1"/>
  <c r="B49" i="59"/>
  <c r="K48" i="59"/>
  <c r="I48" i="59"/>
  <c r="D48" i="59" s="1"/>
  <c r="B48" i="59"/>
  <c r="K47" i="59"/>
  <c r="I47" i="59"/>
  <c r="D47" i="59" s="1"/>
  <c r="B47" i="59"/>
  <c r="K46" i="59"/>
  <c r="I46" i="59"/>
  <c r="D46" i="59" s="1"/>
  <c r="B46" i="59"/>
  <c r="K45" i="59"/>
  <c r="I45" i="59"/>
  <c r="D45" i="59" s="1"/>
  <c r="B45" i="59"/>
  <c r="K44" i="59"/>
  <c r="I44" i="59"/>
  <c r="D44" i="59" s="1"/>
  <c r="B44" i="59"/>
  <c r="K43" i="59"/>
  <c r="I43" i="59"/>
  <c r="G43" i="59"/>
  <c r="D43" i="59"/>
  <c r="B43" i="59"/>
  <c r="K42" i="59"/>
  <c r="I42" i="59"/>
  <c r="G42" i="59"/>
  <c r="D42" i="59"/>
  <c r="B42" i="59"/>
  <c r="G40" i="59"/>
  <c r="B40" i="59"/>
  <c r="K38" i="59"/>
  <c r="I38" i="59"/>
  <c r="D38" i="59" s="1"/>
  <c r="G38" i="59"/>
  <c r="B38" i="59"/>
  <c r="I37" i="59"/>
  <c r="D37" i="59" s="1"/>
  <c r="B37" i="59"/>
  <c r="I36" i="59"/>
  <c r="D36" i="59" s="1"/>
  <c r="B36" i="59"/>
  <c r="I35" i="59"/>
  <c r="D35" i="59" s="1"/>
  <c r="B35" i="59"/>
  <c r="I34" i="59"/>
  <c r="D34" i="59" s="1"/>
  <c r="B34" i="59"/>
  <c r="K33" i="59"/>
  <c r="I33" i="59"/>
  <c r="D33" i="59" s="1"/>
  <c r="B33" i="59"/>
  <c r="K32" i="59"/>
  <c r="I32" i="59"/>
  <c r="D32" i="59" s="1"/>
  <c r="B32" i="59"/>
  <c r="K31" i="59"/>
  <c r="I31" i="59"/>
  <c r="D31" i="59" s="1"/>
  <c r="B31" i="59"/>
  <c r="K30" i="59"/>
  <c r="I30" i="59"/>
  <c r="D30" i="59" s="1"/>
  <c r="B30" i="59"/>
  <c r="K29" i="59"/>
  <c r="I29" i="59"/>
  <c r="D29" i="59" s="1"/>
  <c r="B29" i="59"/>
  <c r="K28" i="59"/>
  <c r="I28" i="59"/>
  <c r="D28" i="59" s="1"/>
  <c r="B28" i="59"/>
  <c r="K27" i="59"/>
  <c r="I27" i="59"/>
  <c r="D27" i="59" s="1"/>
  <c r="B27" i="59"/>
  <c r="K26" i="59"/>
  <c r="I26" i="59"/>
  <c r="D26" i="59" s="1"/>
  <c r="B26" i="59"/>
  <c r="K25" i="59"/>
  <c r="I25" i="59"/>
  <c r="D25" i="59" s="1"/>
  <c r="B25" i="59"/>
  <c r="K24" i="59"/>
  <c r="I24" i="59"/>
  <c r="D24" i="59" s="1"/>
  <c r="B24" i="59"/>
  <c r="K23" i="59"/>
  <c r="I23" i="59"/>
  <c r="D23" i="59" s="1"/>
  <c r="B23" i="59"/>
  <c r="K22" i="59"/>
  <c r="I22" i="59"/>
  <c r="D22" i="59" s="1"/>
  <c r="B22" i="59"/>
  <c r="K21" i="59"/>
  <c r="I21" i="59"/>
  <c r="D21" i="59" s="1"/>
  <c r="B21" i="59"/>
  <c r="K20" i="59"/>
  <c r="I20" i="59"/>
  <c r="D20" i="59" s="1"/>
  <c r="B20" i="59"/>
  <c r="K19" i="59"/>
  <c r="I19" i="59"/>
  <c r="D19" i="59" s="1"/>
  <c r="B19" i="59"/>
  <c r="K18" i="59"/>
  <c r="I18" i="59"/>
  <c r="D18" i="59" s="1"/>
  <c r="B18" i="59"/>
  <c r="K17" i="59"/>
  <c r="I17" i="59"/>
  <c r="D17" i="59" s="1"/>
  <c r="B17" i="59"/>
  <c r="K16" i="59"/>
  <c r="I16" i="59"/>
  <c r="D16" i="59" s="1"/>
  <c r="B16" i="59"/>
  <c r="K15" i="59"/>
  <c r="I15" i="59"/>
  <c r="D15" i="59" s="1"/>
  <c r="B15" i="59"/>
  <c r="K14" i="59"/>
  <c r="I14" i="59"/>
  <c r="D14" i="59" s="1"/>
  <c r="B14" i="59"/>
  <c r="K13" i="59"/>
  <c r="I13" i="59"/>
  <c r="D13" i="59" s="1"/>
  <c r="B13" i="59"/>
  <c r="K12" i="59"/>
  <c r="I12" i="59"/>
  <c r="D12" i="59" s="1"/>
  <c r="B12" i="59"/>
  <c r="K11" i="59"/>
  <c r="I11" i="59"/>
  <c r="D11" i="59" s="1"/>
  <c r="B11" i="59"/>
  <c r="K10" i="59"/>
  <c r="I10" i="59"/>
  <c r="D10" i="59" s="1"/>
  <c r="B10" i="59"/>
  <c r="K9" i="59"/>
  <c r="I9" i="59"/>
  <c r="D9" i="59" s="1"/>
  <c r="G9" i="59"/>
  <c r="B9" i="59"/>
  <c r="K8" i="59"/>
  <c r="I8" i="59"/>
  <c r="D8" i="59" s="1"/>
  <c r="G8" i="59"/>
  <c r="B8" i="59"/>
  <c r="G6" i="59" s="1"/>
  <c r="B6" i="59"/>
  <c r="G4" i="59"/>
  <c r="B4" i="59"/>
  <c r="B3" i="59"/>
  <c r="G76" i="59" s="1"/>
  <c r="K54" i="58"/>
  <c r="I54" i="58"/>
  <c r="D54" i="58" s="1"/>
  <c r="B54" i="58"/>
  <c r="K53" i="58"/>
  <c r="I53" i="58"/>
  <c r="D53" i="58" s="1"/>
  <c r="B53" i="58"/>
  <c r="B110" i="58"/>
  <c r="K108" i="58"/>
  <c r="I108" i="58"/>
  <c r="D108" i="58" s="1"/>
  <c r="G108" i="58"/>
  <c r="B108" i="58"/>
  <c r="K107" i="58"/>
  <c r="I107" i="58"/>
  <c r="D107" i="58" s="1"/>
  <c r="B107" i="58"/>
  <c r="K106" i="58"/>
  <c r="I106" i="58"/>
  <c r="D106" i="58" s="1"/>
  <c r="B106" i="58"/>
  <c r="K105" i="58"/>
  <c r="I105" i="58"/>
  <c r="D105" i="58" s="1"/>
  <c r="B105" i="58"/>
  <c r="K104" i="58"/>
  <c r="I104" i="58"/>
  <c r="D104" i="58" s="1"/>
  <c r="B104" i="58"/>
  <c r="K103" i="58"/>
  <c r="I103" i="58"/>
  <c r="D103" i="58" s="1"/>
  <c r="B103" i="58"/>
  <c r="K102" i="58"/>
  <c r="I102" i="58"/>
  <c r="D102" i="58" s="1"/>
  <c r="B102" i="58"/>
  <c r="K101" i="58"/>
  <c r="I101" i="58"/>
  <c r="D101" i="58" s="1"/>
  <c r="B101" i="58"/>
  <c r="K100" i="58"/>
  <c r="I100" i="58"/>
  <c r="D100" i="58" s="1"/>
  <c r="B100" i="58"/>
  <c r="K99" i="58"/>
  <c r="I99" i="58"/>
  <c r="D99" i="58" s="1"/>
  <c r="B99" i="58"/>
  <c r="K98" i="58"/>
  <c r="I98" i="58"/>
  <c r="D98" i="58" s="1"/>
  <c r="B98" i="58"/>
  <c r="K97" i="58"/>
  <c r="I97" i="58"/>
  <c r="D97" i="58" s="1"/>
  <c r="B97" i="58"/>
  <c r="K96" i="58"/>
  <c r="I96" i="58"/>
  <c r="D96" i="58" s="1"/>
  <c r="B96" i="58"/>
  <c r="K95" i="58"/>
  <c r="I95" i="58"/>
  <c r="D95" i="58" s="1"/>
  <c r="B95" i="58"/>
  <c r="K94" i="58"/>
  <c r="I94" i="58"/>
  <c r="D94" i="58" s="1"/>
  <c r="B94" i="58"/>
  <c r="K93" i="58"/>
  <c r="I93" i="58"/>
  <c r="D93" i="58" s="1"/>
  <c r="B93" i="58"/>
  <c r="K92" i="58"/>
  <c r="I92" i="58"/>
  <c r="D92" i="58" s="1"/>
  <c r="B92" i="58"/>
  <c r="K91" i="58"/>
  <c r="I91" i="58"/>
  <c r="D91" i="58"/>
  <c r="B91" i="58"/>
  <c r="K90" i="58"/>
  <c r="I90" i="58"/>
  <c r="D90" i="58" s="1"/>
  <c r="B90" i="58"/>
  <c r="K89" i="58"/>
  <c r="I89" i="58"/>
  <c r="D89" i="58"/>
  <c r="B89" i="58"/>
  <c r="K88" i="58"/>
  <c r="I88" i="58"/>
  <c r="D88" i="58" s="1"/>
  <c r="B88" i="58"/>
  <c r="K87" i="58"/>
  <c r="I87" i="58"/>
  <c r="D87" i="58"/>
  <c r="B87" i="58"/>
  <c r="K86" i="58"/>
  <c r="I86" i="58"/>
  <c r="D86" i="58" s="1"/>
  <c r="B86" i="58"/>
  <c r="K85" i="58"/>
  <c r="I85" i="58"/>
  <c r="D85" i="58"/>
  <c r="B85" i="58"/>
  <c r="K84" i="58"/>
  <c r="I84" i="58"/>
  <c r="D84" i="58" s="1"/>
  <c r="B84" i="58"/>
  <c r="K83" i="58"/>
  <c r="I83" i="58"/>
  <c r="D83" i="58"/>
  <c r="B83" i="58"/>
  <c r="K82" i="58"/>
  <c r="I82" i="58"/>
  <c r="D82" i="58" s="1"/>
  <c r="B82" i="58"/>
  <c r="K81" i="58"/>
  <c r="I81" i="58"/>
  <c r="D81" i="58"/>
  <c r="B81" i="58"/>
  <c r="K80" i="58"/>
  <c r="I80" i="58"/>
  <c r="D80" i="58" s="1"/>
  <c r="B80" i="58"/>
  <c r="K79" i="58"/>
  <c r="I79" i="58"/>
  <c r="D79" i="58"/>
  <c r="B79" i="58"/>
  <c r="K78" i="58"/>
  <c r="I78" i="58"/>
  <c r="D78" i="58" s="1"/>
  <c r="B78" i="58"/>
  <c r="K77" i="58"/>
  <c r="I77" i="58"/>
  <c r="D77" i="58"/>
  <c r="B77" i="58"/>
  <c r="K76" i="58"/>
  <c r="I76" i="58"/>
  <c r="D76" i="58" s="1"/>
  <c r="B76" i="58"/>
  <c r="K75" i="58"/>
  <c r="I75" i="58"/>
  <c r="D75" i="58"/>
  <c r="B75" i="58"/>
  <c r="K74" i="58"/>
  <c r="I74" i="58"/>
  <c r="D74" i="58" s="1"/>
  <c r="B74" i="58"/>
  <c r="K73" i="58"/>
  <c r="I73" i="58"/>
  <c r="D73" i="58"/>
  <c r="B73" i="58"/>
  <c r="K72" i="58"/>
  <c r="I72" i="58"/>
  <c r="D72" i="58" s="1"/>
  <c r="B72" i="58"/>
  <c r="K71" i="58"/>
  <c r="I71" i="58"/>
  <c r="D71" i="58"/>
  <c r="B71" i="58"/>
  <c r="K70" i="58"/>
  <c r="I70" i="58"/>
  <c r="D70" i="58" s="1"/>
  <c r="B70" i="58"/>
  <c r="K69" i="58"/>
  <c r="I69" i="58"/>
  <c r="D69" i="58"/>
  <c r="B69" i="58"/>
  <c r="K68" i="58"/>
  <c r="I68" i="58"/>
  <c r="D68" i="58" s="1"/>
  <c r="B68" i="58"/>
  <c r="K67" i="58"/>
  <c r="I67" i="58"/>
  <c r="D67" i="58"/>
  <c r="B67" i="58"/>
  <c r="K66" i="58"/>
  <c r="I66" i="58"/>
  <c r="D66" i="58" s="1"/>
  <c r="B66" i="58"/>
  <c r="K65" i="58"/>
  <c r="I65" i="58"/>
  <c r="D65" i="58"/>
  <c r="B65" i="58"/>
  <c r="K64" i="58"/>
  <c r="I64" i="58"/>
  <c r="D64" i="58" s="1"/>
  <c r="B64" i="58"/>
  <c r="K63" i="58"/>
  <c r="I63" i="58"/>
  <c r="D63" i="58"/>
  <c r="B63" i="58"/>
  <c r="K62" i="58"/>
  <c r="I62" i="58"/>
  <c r="D62" i="58" s="1"/>
  <c r="B62" i="58"/>
  <c r="K61" i="58"/>
  <c r="I61" i="58"/>
  <c r="G61" i="58"/>
  <c r="D61" i="58"/>
  <c r="B61" i="58"/>
  <c r="K60" i="58"/>
  <c r="I60" i="58"/>
  <c r="D60" i="58" s="1"/>
  <c r="G60" i="58"/>
  <c r="B60" i="58"/>
  <c r="G58" i="58"/>
  <c r="B58" i="58"/>
  <c r="K56" i="58"/>
  <c r="I56" i="58"/>
  <c r="D56" i="58" s="1"/>
  <c r="G56" i="58"/>
  <c r="B56" i="58"/>
  <c r="K55" i="58"/>
  <c r="I55" i="58"/>
  <c r="D55" i="58" s="1"/>
  <c r="B55" i="58"/>
  <c r="K52" i="58"/>
  <c r="I52" i="58"/>
  <c r="B52" i="58"/>
  <c r="K51" i="58"/>
  <c r="I51" i="58"/>
  <c r="B51" i="58"/>
  <c r="K50" i="58"/>
  <c r="I50" i="58"/>
  <c r="B50" i="58"/>
  <c r="K49" i="58"/>
  <c r="I49" i="58"/>
  <c r="B49" i="58"/>
  <c r="K48" i="58"/>
  <c r="I48" i="58"/>
  <c r="B48" i="58"/>
  <c r="K47" i="58"/>
  <c r="I47" i="58"/>
  <c r="B47" i="58"/>
  <c r="K46" i="58"/>
  <c r="I46" i="58"/>
  <c r="B46" i="58"/>
  <c r="K45" i="58"/>
  <c r="I45" i="58"/>
  <c r="B45" i="58"/>
  <c r="K44" i="58"/>
  <c r="I44" i="58"/>
  <c r="B44" i="58"/>
  <c r="K43" i="58"/>
  <c r="I43" i="58"/>
  <c r="B43" i="58"/>
  <c r="K42" i="58"/>
  <c r="I42" i="58"/>
  <c r="D42" i="58" s="1"/>
  <c r="B42" i="58"/>
  <c r="K41" i="58"/>
  <c r="I41" i="58"/>
  <c r="D41" i="58" s="1"/>
  <c r="B41" i="58"/>
  <c r="K40" i="58"/>
  <c r="I40" i="58"/>
  <c r="D40" i="58" s="1"/>
  <c r="B40" i="58"/>
  <c r="K39" i="58"/>
  <c r="I39" i="58"/>
  <c r="D39" i="58" s="1"/>
  <c r="B39" i="58"/>
  <c r="K38" i="58"/>
  <c r="I38" i="58"/>
  <c r="D38" i="58" s="1"/>
  <c r="B38" i="58"/>
  <c r="K37" i="58"/>
  <c r="I37" i="58"/>
  <c r="D37" i="58" s="1"/>
  <c r="B37" i="58"/>
  <c r="K36" i="58"/>
  <c r="I36" i="58"/>
  <c r="D36" i="58" s="1"/>
  <c r="B36" i="58"/>
  <c r="K35" i="58"/>
  <c r="I35" i="58"/>
  <c r="D35" i="58" s="1"/>
  <c r="B35" i="58"/>
  <c r="K34" i="58"/>
  <c r="I34" i="58"/>
  <c r="D34" i="58" s="1"/>
  <c r="B34" i="58"/>
  <c r="K33" i="58"/>
  <c r="I33" i="58"/>
  <c r="D33" i="58" s="1"/>
  <c r="B33" i="58"/>
  <c r="K32" i="58"/>
  <c r="I32" i="58"/>
  <c r="D32" i="58" s="1"/>
  <c r="B32" i="58"/>
  <c r="K31" i="58"/>
  <c r="I31" i="58"/>
  <c r="D31" i="58" s="1"/>
  <c r="B31" i="58"/>
  <c r="K30" i="58"/>
  <c r="I30" i="58"/>
  <c r="D30" i="58" s="1"/>
  <c r="B30" i="58"/>
  <c r="K29" i="58"/>
  <c r="I29" i="58"/>
  <c r="D29" i="58" s="1"/>
  <c r="B29" i="58"/>
  <c r="K28" i="58"/>
  <c r="I28" i="58"/>
  <c r="D28" i="58" s="1"/>
  <c r="B28" i="58"/>
  <c r="K27" i="58"/>
  <c r="I27" i="58"/>
  <c r="D27" i="58" s="1"/>
  <c r="B27" i="58"/>
  <c r="K26" i="58"/>
  <c r="I26" i="58"/>
  <c r="D26" i="58" s="1"/>
  <c r="B26" i="58"/>
  <c r="K25" i="58"/>
  <c r="I25" i="58"/>
  <c r="D25" i="58" s="1"/>
  <c r="B25" i="58"/>
  <c r="K24" i="58"/>
  <c r="I24" i="58"/>
  <c r="D24" i="58" s="1"/>
  <c r="B24" i="58"/>
  <c r="K23" i="58"/>
  <c r="I23" i="58"/>
  <c r="D23" i="58" s="1"/>
  <c r="B23" i="58"/>
  <c r="K22" i="58"/>
  <c r="I22" i="58"/>
  <c r="D22" i="58" s="1"/>
  <c r="B22" i="58"/>
  <c r="K21" i="58"/>
  <c r="I21" i="58"/>
  <c r="D21" i="58" s="1"/>
  <c r="B21" i="58"/>
  <c r="K20" i="58"/>
  <c r="I20" i="58"/>
  <c r="D20" i="58" s="1"/>
  <c r="B20" i="58"/>
  <c r="K19" i="58"/>
  <c r="I19" i="58"/>
  <c r="D19" i="58" s="1"/>
  <c r="B19" i="58"/>
  <c r="K18" i="58"/>
  <c r="I18" i="58"/>
  <c r="D18" i="58" s="1"/>
  <c r="B18" i="58"/>
  <c r="K17" i="58"/>
  <c r="I17" i="58"/>
  <c r="D17" i="58" s="1"/>
  <c r="B17" i="58"/>
  <c r="K16" i="58"/>
  <c r="I16" i="58"/>
  <c r="D16" i="58" s="1"/>
  <c r="B16" i="58"/>
  <c r="K15" i="58"/>
  <c r="I15" i="58"/>
  <c r="D15" i="58" s="1"/>
  <c r="B15" i="58"/>
  <c r="K14" i="58"/>
  <c r="I14" i="58"/>
  <c r="D14" i="58" s="1"/>
  <c r="B14" i="58"/>
  <c r="K13" i="58"/>
  <c r="I13" i="58"/>
  <c r="D13" i="58" s="1"/>
  <c r="B13" i="58"/>
  <c r="K12" i="58"/>
  <c r="I12" i="58"/>
  <c r="D12" i="58" s="1"/>
  <c r="B12" i="58"/>
  <c r="K11" i="58"/>
  <c r="I11" i="58"/>
  <c r="D11" i="58" s="1"/>
  <c r="B11" i="58"/>
  <c r="K10" i="58"/>
  <c r="I10" i="58"/>
  <c r="D10" i="58" s="1"/>
  <c r="B10" i="58"/>
  <c r="K9" i="58"/>
  <c r="I9" i="58"/>
  <c r="D9" i="58" s="1"/>
  <c r="G9" i="58"/>
  <c r="B9" i="58"/>
  <c r="K8" i="58"/>
  <c r="I8" i="58"/>
  <c r="D8" i="58" s="1"/>
  <c r="G8" i="58"/>
  <c r="B8" i="58"/>
  <c r="G6" i="58" s="1"/>
  <c r="B6" i="58"/>
  <c r="G4" i="58"/>
  <c r="B4" i="58"/>
  <c r="B3" i="58"/>
  <c r="G110" i="58" s="1"/>
  <c r="K84" i="57"/>
  <c r="I84" i="57"/>
  <c r="D84" i="57" s="1"/>
  <c r="B84" i="57"/>
  <c r="K83" i="57"/>
  <c r="I83" i="57"/>
  <c r="D83" i="57" s="1"/>
  <c r="B83" i="57"/>
  <c r="K66" i="57"/>
  <c r="I66" i="57"/>
  <c r="D66" i="57" s="1"/>
  <c r="B66" i="57"/>
  <c r="K65" i="57"/>
  <c r="I65" i="57"/>
  <c r="D65" i="57" s="1"/>
  <c r="B65" i="57"/>
  <c r="K64" i="57"/>
  <c r="I64" i="57"/>
  <c r="D64" i="57" s="1"/>
  <c r="B64" i="57"/>
  <c r="K63" i="57"/>
  <c r="I63" i="57"/>
  <c r="D63" i="57" s="1"/>
  <c r="B63" i="57"/>
  <c r="K62" i="57"/>
  <c r="I62" i="57"/>
  <c r="D62" i="57" s="1"/>
  <c r="B62" i="57"/>
  <c r="K61" i="57"/>
  <c r="I61" i="57"/>
  <c r="D61" i="57" s="1"/>
  <c r="G61" i="57"/>
  <c r="B61" i="57"/>
  <c r="G60" i="57" s="1"/>
  <c r="K72" i="57"/>
  <c r="I72" i="57"/>
  <c r="D72" i="57" s="1"/>
  <c r="B72" i="57"/>
  <c r="K71" i="57"/>
  <c r="I71" i="57"/>
  <c r="D71" i="57" s="1"/>
  <c r="B71" i="57"/>
  <c r="K70" i="57"/>
  <c r="I70" i="57"/>
  <c r="D70" i="57" s="1"/>
  <c r="B70" i="57"/>
  <c r="K69" i="57"/>
  <c r="I69" i="57"/>
  <c r="D69" i="57" s="1"/>
  <c r="B69" i="57"/>
  <c r="K68" i="57"/>
  <c r="I68" i="57"/>
  <c r="D68" i="57" s="1"/>
  <c r="B68" i="57"/>
  <c r="K67" i="57"/>
  <c r="I67" i="57"/>
  <c r="D67" i="57" s="1"/>
  <c r="B67" i="57"/>
  <c r="K78" i="57"/>
  <c r="I78" i="57"/>
  <c r="D78" i="57" s="1"/>
  <c r="B78" i="57"/>
  <c r="K77" i="57"/>
  <c r="I77" i="57"/>
  <c r="D77" i="57" s="1"/>
  <c r="B77" i="57"/>
  <c r="K76" i="57"/>
  <c r="I76" i="57"/>
  <c r="D76" i="57" s="1"/>
  <c r="B76" i="57"/>
  <c r="K75" i="57"/>
  <c r="I75" i="57"/>
  <c r="D75" i="57" s="1"/>
  <c r="B75" i="57"/>
  <c r="K74" i="57"/>
  <c r="I74" i="57"/>
  <c r="D74" i="57" s="1"/>
  <c r="B74" i="57"/>
  <c r="K73" i="57"/>
  <c r="I73" i="57"/>
  <c r="D73" i="57" s="1"/>
  <c r="B73" i="57"/>
  <c r="K35" i="57"/>
  <c r="K36" i="57"/>
  <c r="K37" i="57"/>
  <c r="K38" i="57"/>
  <c r="K39" i="57"/>
  <c r="K40" i="57"/>
  <c r="K41" i="57"/>
  <c r="K42" i="57"/>
  <c r="K43" i="57"/>
  <c r="K44" i="57"/>
  <c r="K45" i="57"/>
  <c r="K46" i="57"/>
  <c r="K47" i="57"/>
  <c r="K48" i="57"/>
  <c r="K49" i="57"/>
  <c r="K50" i="57"/>
  <c r="K51" i="57"/>
  <c r="K52" i="57"/>
  <c r="K53" i="57"/>
  <c r="K54" i="57"/>
  <c r="K55" i="57"/>
  <c r="B35" i="57"/>
  <c r="B36" i="57"/>
  <c r="B37" i="57"/>
  <c r="B38" i="57"/>
  <c r="B39" i="57"/>
  <c r="B40" i="57"/>
  <c r="B41" i="57"/>
  <c r="B42" i="57"/>
  <c r="B43" i="57"/>
  <c r="B44" i="57"/>
  <c r="B45" i="57"/>
  <c r="B46" i="57"/>
  <c r="I46" i="57"/>
  <c r="D46" i="57" s="1"/>
  <c r="I47" i="57"/>
  <c r="D47" i="57" s="1"/>
  <c r="I48" i="57"/>
  <c r="I49" i="57"/>
  <c r="D49" i="57" s="1"/>
  <c r="I50" i="57"/>
  <c r="D50" i="57" s="1"/>
  <c r="I37" i="57"/>
  <c r="D37" i="57" s="1"/>
  <c r="I38" i="57"/>
  <c r="D38" i="57" s="1"/>
  <c r="I39" i="57"/>
  <c r="D39" i="57" s="1"/>
  <c r="I40" i="57"/>
  <c r="D40" i="57" s="1"/>
  <c r="I41" i="57"/>
  <c r="D41" i="57" s="1"/>
  <c r="I42" i="57"/>
  <c r="D42" i="57" s="1"/>
  <c r="I43" i="57"/>
  <c r="D43" i="57" s="1"/>
  <c r="I44" i="57"/>
  <c r="D44" i="57" s="1"/>
  <c r="I45" i="57"/>
  <c r="D45" i="57" s="1"/>
  <c r="B112" i="57"/>
  <c r="K110" i="57"/>
  <c r="I110" i="57"/>
  <c r="D110" i="57" s="1"/>
  <c r="G110" i="57"/>
  <c r="B110" i="57"/>
  <c r="K109" i="57"/>
  <c r="I109" i="57"/>
  <c r="D109" i="57" s="1"/>
  <c r="B109" i="57"/>
  <c r="K108" i="57"/>
  <c r="I108" i="57"/>
  <c r="D108" i="57" s="1"/>
  <c r="B108" i="57"/>
  <c r="K107" i="57"/>
  <c r="I107" i="57"/>
  <c r="D107" i="57" s="1"/>
  <c r="B107" i="57"/>
  <c r="K106" i="57"/>
  <c r="I106" i="57"/>
  <c r="D106" i="57" s="1"/>
  <c r="B106" i="57"/>
  <c r="K105" i="57"/>
  <c r="I105" i="57"/>
  <c r="D105" i="57" s="1"/>
  <c r="B105" i="57"/>
  <c r="K104" i="57"/>
  <c r="I104" i="57"/>
  <c r="D104" i="57" s="1"/>
  <c r="B104" i="57"/>
  <c r="K103" i="57"/>
  <c r="I103" i="57"/>
  <c r="D103" i="57" s="1"/>
  <c r="B103" i="57"/>
  <c r="K102" i="57"/>
  <c r="I102" i="57"/>
  <c r="D102" i="57" s="1"/>
  <c r="B102" i="57"/>
  <c r="K101" i="57"/>
  <c r="I101" i="57"/>
  <c r="D101" i="57" s="1"/>
  <c r="B101" i="57"/>
  <c r="K100" i="57"/>
  <c r="I100" i="57"/>
  <c r="D100" i="57" s="1"/>
  <c r="B100" i="57"/>
  <c r="K99" i="57"/>
  <c r="I99" i="57"/>
  <c r="D99" i="57" s="1"/>
  <c r="B99" i="57"/>
  <c r="K98" i="57"/>
  <c r="I98" i="57"/>
  <c r="D98" i="57" s="1"/>
  <c r="B98" i="57"/>
  <c r="K97" i="57"/>
  <c r="I97" i="57"/>
  <c r="D97" i="57" s="1"/>
  <c r="B97" i="57"/>
  <c r="K96" i="57"/>
  <c r="I96" i="57"/>
  <c r="D96" i="57" s="1"/>
  <c r="B96" i="57"/>
  <c r="K95" i="57"/>
  <c r="I95" i="57"/>
  <c r="D95" i="57" s="1"/>
  <c r="B95" i="57"/>
  <c r="K94" i="57"/>
  <c r="I94" i="57"/>
  <c r="D94" i="57" s="1"/>
  <c r="B94" i="57"/>
  <c r="K93" i="57"/>
  <c r="I93" i="57"/>
  <c r="D93" i="57" s="1"/>
  <c r="B93" i="57"/>
  <c r="K92" i="57"/>
  <c r="I92" i="57"/>
  <c r="D92" i="57" s="1"/>
  <c r="B92" i="57"/>
  <c r="K91" i="57"/>
  <c r="I91" i="57"/>
  <c r="D91" i="57" s="1"/>
  <c r="B91" i="57"/>
  <c r="K90" i="57"/>
  <c r="I90" i="57"/>
  <c r="D90" i="57" s="1"/>
  <c r="B90" i="57"/>
  <c r="K89" i="57"/>
  <c r="I89" i="57"/>
  <c r="D89" i="57" s="1"/>
  <c r="B89" i="57"/>
  <c r="K88" i="57"/>
  <c r="I88" i="57"/>
  <c r="D88" i="57" s="1"/>
  <c r="B88" i="57"/>
  <c r="K87" i="57"/>
  <c r="I87" i="57"/>
  <c r="D87" i="57" s="1"/>
  <c r="B87" i="57"/>
  <c r="K86" i="57"/>
  <c r="I86" i="57"/>
  <c r="D86" i="57" s="1"/>
  <c r="B86" i="57"/>
  <c r="K85" i="57"/>
  <c r="I85" i="57"/>
  <c r="D85" i="57" s="1"/>
  <c r="B85" i="57"/>
  <c r="K82" i="57"/>
  <c r="I82" i="57"/>
  <c r="D82" i="57" s="1"/>
  <c r="B82" i="57"/>
  <c r="K81" i="57"/>
  <c r="I81" i="57"/>
  <c r="D81" i="57" s="1"/>
  <c r="B81" i="57"/>
  <c r="K80" i="57"/>
  <c r="I80" i="57"/>
  <c r="D80" i="57" s="1"/>
  <c r="B80" i="57"/>
  <c r="K79" i="57"/>
  <c r="I79" i="57"/>
  <c r="D79" i="57" s="1"/>
  <c r="B79" i="57"/>
  <c r="K60" i="57"/>
  <c r="I60" i="57"/>
  <c r="D60" i="57" s="1"/>
  <c r="B60" i="57"/>
  <c r="G58" i="57" s="1"/>
  <c r="B58" i="57"/>
  <c r="K56" i="57"/>
  <c r="I56" i="57"/>
  <c r="D56" i="57" s="1"/>
  <c r="G56" i="57"/>
  <c r="B56" i="57"/>
  <c r="I55" i="57"/>
  <c r="D55" i="57" s="1"/>
  <c r="B55" i="57"/>
  <c r="I54" i="57"/>
  <c r="D54" i="57" s="1"/>
  <c r="B54" i="57"/>
  <c r="I53" i="57"/>
  <c r="D53" i="57" s="1"/>
  <c r="B53" i="57"/>
  <c r="I52" i="57"/>
  <c r="D52" i="57" s="1"/>
  <c r="B52" i="57"/>
  <c r="I51" i="57"/>
  <c r="D51" i="57" s="1"/>
  <c r="B51" i="57"/>
  <c r="B50" i="57"/>
  <c r="B49" i="57"/>
  <c r="D48" i="57"/>
  <c r="B48" i="57"/>
  <c r="B47" i="57"/>
  <c r="I36" i="57"/>
  <c r="D36" i="57" s="1"/>
  <c r="I35" i="57"/>
  <c r="D35" i="57" s="1"/>
  <c r="K34" i="57"/>
  <c r="I34" i="57"/>
  <c r="D34" i="57" s="1"/>
  <c r="B34" i="57"/>
  <c r="K33" i="57"/>
  <c r="I33" i="57"/>
  <c r="D33" i="57" s="1"/>
  <c r="B33" i="57"/>
  <c r="K32" i="57"/>
  <c r="I32" i="57"/>
  <c r="D32" i="57" s="1"/>
  <c r="B32" i="57"/>
  <c r="K31" i="57"/>
  <c r="I31" i="57"/>
  <c r="D31" i="57" s="1"/>
  <c r="B31" i="57"/>
  <c r="K30" i="57"/>
  <c r="I30" i="57"/>
  <c r="D30" i="57" s="1"/>
  <c r="B30" i="57"/>
  <c r="K29" i="57"/>
  <c r="I29" i="57"/>
  <c r="D29" i="57" s="1"/>
  <c r="B29" i="57"/>
  <c r="K28" i="57"/>
  <c r="I28" i="57"/>
  <c r="D28" i="57" s="1"/>
  <c r="B28" i="57"/>
  <c r="K27" i="57"/>
  <c r="I27" i="57"/>
  <c r="D27" i="57" s="1"/>
  <c r="B27" i="57"/>
  <c r="K26" i="57"/>
  <c r="I26" i="57"/>
  <c r="D26" i="57" s="1"/>
  <c r="B26" i="57"/>
  <c r="K25" i="57"/>
  <c r="I25" i="57"/>
  <c r="D25" i="57" s="1"/>
  <c r="B25" i="57"/>
  <c r="K24" i="57"/>
  <c r="I24" i="57"/>
  <c r="D24" i="57" s="1"/>
  <c r="B24" i="57"/>
  <c r="K23" i="57"/>
  <c r="I23" i="57"/>
  <c r="D23" i="57" s="1"/>
  <c r="B23" i="57"/>
  <c r="K22" i="57"/>
  <c r="I22" i="57"/>
  <c r="D22" i="57" s="1"/>
  <c r="B22" i="57"/>
  <c r="K21" i="57"/>
  <c r="I21" i="57"/>
  <c r="D21" i="57" s="1"/>
  <c r="B21" i="57"/>
  <c r="K20" i="57"/>
  <c r="I20" i="57"/>
  <c r="D20" i="57" s="1"/>
  <c r="B20" i="57"/>
  <c r="K19" i="57"/>
  <c r="I19" i="57"/>
  <c r="D19" i="57" s="1"/>
  <c r="B19" i="57"/>
  <c r="K18" i="57"/>
  <c r="I18" i="57"/>
  <c r="D18" i="57" s="1"/>
  <c r="B18" i="57"/>
  <c r="K17" i="57"/>
  <c r="I17" i="57"/>
  <c r="D17" i="57" s="1"/>
  <c r="B17" i="57"/>
  <c r="K16" i="57"/>
  <c r="I16" i="57"/>
  <c r="D16" i="57" s="1"/>
  <c r="B16" i="57"/>
  <c r="K15" i="57"/>
  <c r="I15" i="57"/>
  <c r="D15" i="57" s="1"/>
  <c r="B15" i="57"/>
  <c r="K14" i="57"/>
  <c r="I14" i="57"/>
  <c r="D14" i="57" s="1"/>
  <c r="B14" i="57"/>
  <c r="K13" i="57"/>
  <c r="I13" i="57"/>
  <c r="D13" i="57" s="1"/>
  <c r="B13" i="57"/>
  <c r="K12" i="57"/>
  <c r="I12" i="57"/>
  <c r="D12" i="57" s="1"/>
  <c r="B12" i="57"/>
  <c r="K11" i="57"/>
  <c r="I11" i="57"/>
  <c r="D11" i="57" s="1"/>
  <c r="B11" i="57"/>
  <c r="K10" i="57"/>
  <c r="I10" i="57"/>
  <c r="D10" i="57" s="1"/>
  <c r="B10" i="57"/>
  <c r="K9" i="57"/>
  <c r="I9" i="57"/>
  <c r="D9" i="57" s="1"/>
  <c r="G9" i="57"/>
  <c r="B9" i="57"/>
  <c r="K8" i="57"/>
  <c r="I8" i="57"/>
  <c r="D8" i="57" s="1"/>
  <c r="G8" i="57"/>
  <c r="B8" i="57"/>
  <c r="G6" i="57" s="1"/>
  <c r="B6" i="57"/>
  <c r="B4" i="57"/>
  <c r="B3" i="57"/>
  <c r="G112" i="57" s="1"/>
  <c r="B62" i="56"/>
  <c r="K60" i="56"/>
  <c r="I60" i="56"/>
  <c r="D60" i="56" s="1"/>
  <c r="G60" i="56"/>
  <c r="B60" i="56"/>
  <c r="K59" i="56"/>
  <c r="I59" i="56"/>
  <c r="D59" i="56" s="1"/>
  <c r="B59" i="56"/>
  <c r="K58" i="56"/>
  <c r="I58" i="56"/>
  <c r="D58" i="56" s="1"/>
  <c r="B58" i="56"/>
  <c r="K57" i="56"/>
  <c r="I57" i="56"/>
  <c r="D57" i="56" s="1"/>
  <c r="B57" i="56"/>
  <c r="K56" i="56"/>
  <c r="I56" i="56"/>
  <c r="D56" i="56" s="1"/>
  <c r="B56" i="56"/>
  <c r="K55" i="56"/>
  <c r="I55" i="56"/>
  <c r="D55" i="56" s="1"/>
  <c r="B55" i="56"/>
  <c r="K54" i="56"/>
  <c r="I54" i="56"/>
  <c r="D54" i="56" s="1"/>
  <c r="B54" i="56"/>
  <c r="K53" i="56"/>
  <c r="I53" i="56"/>
  <c r="D53" i="56" s="1"/>
  <c r="B53" i="56"/>
  <c r="K52" i="56"/>
  <c r="I52" i="56"/>
  <c r="D52" i="56" s="1"/>
  <c r="B52" i="56"/>
  <c r="K51" i="56"/>
  <c r="I51" i="56"/>
  <c r="D51" i="56" s="1"/>
  <c r="B51" i="56"/>
  <c r="K50" i="56"/>
  <c r="I50" i="56"/>
  <c r="D50" i="56" s="1"/>
  <c r="B50" i="56"/>
  <c r="K49" i="56"/>
  <c r="I49" i="56"/>
  <c r="D49" i="56" s="1"/>
  <c r="B49" i="56"/>
  <c r="K48" i="56"/>
  <c r="I48" i="56"/>
  <c r="D48" i="56" s="1"/>
  <c r="B48" i="56"/>
  <c r="K47" i="56"/>
  <c r="I47" i="56"/>
  <c r="D47" i="56" s="1"/>
  <c r="B47" i="56"/>
  <c r="K46" i="56"/>
  <c r="I46" i="56"/>
  <c r="D46" i="56" s="1"/>
  <c r="B46" i="56"/>
  <c r="K45" i="56"/>
  <c r="I45" i="56"/>
  <c r="D45" i="56" s="1"/>
  <c r="B45" i="56"/>
  <c r="K44" i="56"/>
  <c r="I44" i="56"/>
  <c r="D44" i="56" s="1"/>
  <c r="B44" i="56"/>
  <c r="K43" i="56"/>
  <c r="I43" i="56"/>
  <c r="D43" i="56" s="1"/>
  <c r="B43" i="56"/>
  <c r="K42" i="56"/>
  <c r="I42" i="56"/>
  <c r="D42" i="56" s="1"/>
  <c r="B42" i="56"/>
  <c r="K41" i="56"/>
  <c r="I41" i="56"/>
  <c r="D41" i="56" s="1"/>
  <c r="B41" i="56"/>
  <c r="K40" i="56"/>
  <c r="I40" i="56"/>
  <c r="D40" i="56" s="1"/>
  <c r="B40" i="56"/>
  <c r="K39" i="56"/>
  <c r="I39" i="56"/>
  <c r="D39" i="56" s="1"/>
  <c r="B39" i="56"/>
  <c r="K38" i="56"/>
  <c r="I38" i="56"/>
  <c r="D38" i="56" s="1"/>
  <c r="B38" i="56"/>
  <c r="K37" i="56"/>
  <c r="I37" i="56"/>
  <c r="D37" i="56" s="1"/>
  <c r="G37" i="56"/>
  <c r="B37" i="56"/>
  <c r="K36" i="56"/>
  <c r="I36" i="56"/>
  <c r="D36" i="56" s="1"/>
  <c r="G36" i="56"/>
  <c r="B36" i="56"/>
  <c r="G34" i="56"/>
  <c r="B34" i="56"/>
  <c r="K32" i="56"/>
  <c r="I32" i="56"/>
  <c r="D32" i="56" s="1"/>
  <c r="G32" i="56"/>
  <c r="B32" i="56"/>
  <c r="K31" i="56"/>
  <c r="I31" i="56"/>
  <c r="D31" i="56" s="1"/>
  <c r="B31" i="56"/>
  <c r="K30" i="56"/>
  <c r="I30" i="56"/>
  <c r="D30" i="56" s="1"/>
  <c r="B30" i="56"/>
  <c r="K29" i="56"/>
  <c r="I29" i="56"/>
  <c r="D29" i="56" s="1"/>
  <c r="B29" i="56"/>
  <c r="K28" i="56"/>
  <c r="I28" i="56"/>
  <c r="D28" i="56" s="1"/>
  <c r="B28" i="56"/>
  <c r="K27" i="56"/>
  <c r="I27" i="56"/>
  <c r="D27" i="56" s="1"/>
  <c r="B27" i="56"/>
  <c r="K26" i="56"/>
  <c r="I26" i="56"/>
  <c r="D26" i="56" s="1"/>
  <c r="B26" i="56"/>
  <c r="K25" i="56"/>
  <c r="I25" i="56"/>
  <c r="D25" i="56" s="1"/>
  <c r="B25" i="56"/>
  <c r="K24" i="56"/>
  <c r="I24" i="56"/>
  <c r="D24" i="56" s="1"/>
  <c r="B24" i="56"/>
  <c r="K23" i="56"/>
  <c r="I23" i="56"/>
  <c r="D23" i="56" s="1"/>
  <c r="B23" i="56"/>
  <c r="K22" i="56"/>
  <c r="I22" i="56"/>
  <c r="D22" i="56" s="1"/>
  <c r="B22" i="56"/>
  <c r="K21" i="56"/>
  <c r="I21" i="56"/>
  <c r="D21" i="56" s="1"/>
  <c r="B21" i="56"/>
  <c r="K20" i="56"/>
  <c r="I20" i="56"/>
  <c r="D20" i="56" s="1"/>
  <c r="B20" i="56"/>
  <c r="K19" i="56"/>
  <c r="I19" i="56"/>
  <c r="D19" i="56" s="1"/>
  <c r="B19" i="56"/>
  <c r="K18" i="56"/>
  <c r="I18" i="56"/>
  <c r="D18" i="56" s="1"/>
  <c r="B18" i="56"/>
  <c r="K17" i="56"/>
  <c r="I17" i="56"/>
  <c r="D17" i="56" s="1"/>
  <c r="B17" i="56"/>
  <c r="K16" i="56"/>
  <c r="I16" i="56"/>
  <c r="D16" i="56" s="1"/>
  <c r="B16" i="56"/>
  <c r="K15" i="56"/>
  <c r="I15" i="56"/>
  <c r="D15" i="56" s="1"/>
  <c r="B15" i="56"/>
  <c r="K14" i="56"/>
  <c r="I14" i="56"/>
  <c r="D14" i="56" s="1"/>
  <c r="B14" i="56"/>
  <c r="K13" i="56"/>
  <c r="I13" i="56"/>
  <c r="D13" i="56" s="1"/>
  <c r="B13" i="56"/>
  <c r="K12" i="56"/>
  <c r="I12" i="56"/>
  <c r="D12" i="56" s="1"/>
  <c r="B12" i="56"/>
  <c r="K11" i="56"/>
  <c r="I11" i="56"/>
  <c r="D11" i="56" s="1"/>
  <c r="B11" i="56"/>
  <c r="K10" i="56"/>
  <c r="I10" i="56"/>
  <c r="D10" i="56" s="1"/>
  <c r="B10" i="56"/>
  <c r="K9" i="56"/>
  <c r="I9" i="56"/>
  <c r="D9" i="56" s="1"/>
  <c r="G9" i="56"/>
  <c r="B9" i="56"/>
  <c r="K8" i="56"/>
  <c r="I8" i="56"/>
  <c r="D8" i="56" s="1"/>
  <c r="G8" i="56"/>
  <c r="B8" i="56"/>
  <c r="G6" i="56"/>
  <c r="B6" i="56"/>
  <c r="L6" i="56" s="1"/>
  <c r="G4" i="56"/>
  <c r="B4" i="56"/>
  <c r="L4" i="56" s="1"/>
  <c r="G3" i="56"/>
  <c r="B3" i="56"/>
  <c r="D13" i="52"/>
  <c r="I14" i="52"/>
  <c r="D14" i="52" s="1"/>
  <c r="K14" i="52"/>
  <c r="H85" i="38"/>
  <c r="L19" i="60"/>
  <c r="L13" i="52"/>
  <c r="A4" i="56"/>
  <c r="A3" i="58"/>
  <c r="A2" i="60"/>
  <c r="A4" i="59"/>
  <c r="A4" i="57"/>
  <c r="A3" i="57"/>
  <c r="A4" i="60"/>
  <c r="A2" i="59"/>
  <c r="A3" i="60"/>
  <c r="A3" i="59"/>
  <c r="A3" i="56"/>
  <c r="A2" i="58"/>
  <c r="A2" i="56"/>
  <c r="A4" i="58"/>
  <c r="A2" i="57"/>
  <c r="L2" i="60" l="1"/>
  <c r="L53" i="60"/>
  <c r="L5" i="60"/>
  <c r="G3" i="60"/>
  <c r="L3" i="60" s="1"/>
  <c r="G3" i="59"/>
  <c r="L4" i="59"/>
  <c r="L6" i="59"/>
  <c r="L40" i="59"/>
  <c r="L76" i="59"/>
  <c r="L2" i="59"/>
  <c r="L3" i="59"/>
  <c r="L4" i="58"/>
  <c r="L6" i="58"/>
  <c r="L58" i="58"/>
  <c r="L2" i="58"/>
  <c r="G3" i="58"/>
  <c r="L3" i="58" s="1"/>
  <c r="L110" i="58"/>
  <c r="L6" i="57"/>
  <c r="L58" i="57"/>
  <c r="G3" i="57"/>
  <c r="G4" i="57"/>
  <c r="L4" i="57" s="1"/>
  <c r="L112" i="57"/>
  <c r="L2" i="57"/>
  <c r="L3" i="57"/>
  <c r="L2" i="56"/>
  <c r="G62" i="56"/>
  <c r="L62" i="56" s="1"/>
  <c r="L3" i="56"/>
  <c r="L34" i="56"/>
  <c r="L63" i="55"/>
  <c r="L64" i="55"/>
  <c r="L65" i="55"/>
  <c r="L66" i="55"/>
  <c r="L67" i="55"/>
  <c r="L68" i="55"/>
  <c r="L69" i="55"/>
  <c r="L70" i="55"/>
  <c r="L71" i="55"/>
  <c r="I64" i="55"/>
  <c r="D64" i="55" s="1"/>
  <c r="I65" i="55"/>
  <c r="D65" i="55" s="1"/>
  <c r="I66" i="55"/>
  <c r="D66" i="55" s="1"/>
  <c r="I67" i="55"/>
  <c r="D67" i="55" s="1"/>
  <c r="I68" i="55"/>
  <c r="D68" i="55" s="1"/>
  <c r="I69" i="55"/>
  <c r="D69" i="55" s="1"/>
  <c r="I70" i="55"/>
  <c r="D70" i="55" s="1"/>
  <c r="I71" i="55"/>
  <c r="D71" i="55" s="1"/>
  <c r="I72" i="55"/>
  <c r="D72" i="55" s="1"/>
  <c r="B64" i="55"/>
  <c r="B65" i="55"/>
  <c r="B66" i="55"/>
  <c r="B67" i="55"/>
  <c r="B68" i="55"/>
  <c r="B69" i="55"/>
  <c r="B70" i="55"/>
  <c r="B71" i="55"/>
  <c r="B72" i="55"/>
  <c r="B80" i="47"/>
  <c r="B81" i="47"/>
  <c r="B82" i="47"/>
  <c r="B83" i="47"/>
  <c r="A80" i="47"/>
  <c r="A81" i="47"/>
  <c r="E81" i="47" s="1"/>
  <c r="A82" i="47"/>
  <c r="A83" i="47"/>
  <c r="A43" i="47"/>
  <c r="A44" i="47"/>
  <c r="A45" i="47"/>
  <c r="D45" i="47" s="1"/>
  <c r="B43" i="47"/>
  <c r="D43" i="47"/>
  <c r="B44" i="47"/>
  <c r="B45" i="47"/>
  <c r="E45" i="47" s="1"/>
  <c r="G44" i="38"/>
  <c r="G45" i="38"/>
  <c r="L42" i="55"/>
  <c r="L43" i="55"/>
  <c r="L44" i="55"/>
  <c r="L45" i="55"/>
  <c r="L46" i="55"/>
  <c r="L47" i="55"/>
  <c r="L48" i="55"/>
  <c r="L49" i="55"/>
  <c r="L50" i="55"/>
  <c r="L51" i="55"/>
  <c r="L52" i="55"/>
  <c r="I42" i="55"/>
  <c r="D42" i="55" s="1"/>
  <c r="I43" i="55"/>
  <c r="D43" i="55" s="1"/>
  <c r="I44" i="55"/>
  <c r="D44" i="55" s="1"/>
  <c r="I45" i="55"/>
  <c r="D45" i="55" s="1"/>
  <c r="I46" i="55"/>
  <c r="D46" i="55" s="1"/>
  <c r="I47" i="55"/>
  <c r="D47" i="55" s="1"/>
  <c r="I48" i="55"/>
  <c r="D48" i="55" s="1"/>
  <c r="I49" i="55"/>
  <c r="D49" i="55" s="1"/>
  <c r="I50" i="55"/>
  <c r="D50" i="55" s="1"/>
  <c r="I51" i="55"/>
  <c r="D51" i="55" s="1"/>
  <c r="I52" i="55"/>
  <c r="D52" i="55" s="1"/>
  <c r="B43" i="55"/>
  <c r="B44" i="55"/>
  <c r="B45" i="55"/>
  <c r="B46" i="55"/>
  <c r="B47" i="55"/>
  <c r="B48" i="55"/>
  <c r="B49" i="55"/>
  <c r="B50" i="55"/>
  <c r="B51" i="55"/>
  <c r="B52" i="55"/>
  <c r="F82" i="38"/>
  <c r="G82" i="38"/>
  <c r="B110" i="55"/>
  <c r="G108" i="55" s="1"/>
  <c r="L108" i="55"/>
  <c r="I108" i="55"/>
  <c r="D108" i="55" s="1"/>
  <c r="B108" i="55"/>
  <c r="L107" i="55"/>
  <c r="I107" i="55"/>
  <c r="D107" i="55" s="1"/>
  <c r="B107" i="55"/>
  <c r="L106" i="55"/>
  <c r="I106" i="55"/>
  <c r="D106" i="55" s="1"/>
  <c r="B106" i="55"/>
  <c r="L105" i="55"/>
  <c r="I105" i="55"/>
  <c r="D105" i="55" s="1"/>
  <c r="B105" i="55"/>
  <c r="L104" i="55"/>
  <c r="I104" i="55"/>
  <c r="D104" i="55" s="1"/>
  <c r="B104" i="55"/>
  <c r="L103" i="55"/>
  <c r="I103" i="55"/>
  <c r="D103" i="55" s="1"/>
  <c r="B103" i="55"/>
  <c r="L102" i="55"/>
  <c r="I102" i="55"/>
  <c r="D102" i="55" s="1"/>
  <c r="B102" i="55"/>
  <c r="L101" i="55"/>
  <c r="I101" i="55"/>
  <c r="D101" i="55" s="1"/>
  <c r="B101" i="55"/>
  <c r="L100" i="55"/>
  <c r="I100" i="55"/>
  <c r="D100" i="55" s="1"/>
  <c r="B100" i="55"/>
  <c r="L99" i="55"/>
  <c r="I99" i="55"/>
  <c r="D99" i="55" s="1"/>
  <c r="B99" i="55"/>
  <c r="L98" i="55"/>
  <c r="I98" i="55"/>
  <c r="D98" i="55" s="1"/>
  <c r="B98" i="55"/>
  <c r="L97" i="55"/>
  <c r="I97" i="55"/>
  <c r="D97" i="55" s="1"/>
  <c r="B97" i="55"/>
  <c r="L96" i="55"/>
  <c r="I96" i="55"/>
  <c r="D96" i="55" s="1"/>
  <c r="B96" i="55"/>
  <c r="L95" i="55"/>
  <c r="I95" i="55"/>
  <c r="D95" i="55" s="1"/>
  <c r="B95" i="55"/>
  <c r="L94" i="55"/>
  <c r="I94" i="55"/>
  <c r="D94" i="55" s="1"/>
  <c r="B94" i="55"/>
  <c r="L93" i="55"/>
  <c r="I93" i="55"/>
  <c r="D93" i="55" s="1"/>
  <c r="B93" i="55"/>
  <c r="L92" i="55"/>
  <c r="I92" i="55"/>
  <c r="D92" i="55" s="1"/>
  <c r="B92" i="55"/>
  <c r="L91" i="55"/>
  <c r="I91" i="55"/>
  <c r="D91" i="55" s="1"/>
  <c r="B91" i="55"/>
  <c r="L90" i="55"/>
  <c r="I90" i="55"/>
  <c r="D90" i="55" s="1"/>
  <c r="B90" i="55"/>
  <c r="L89" i="55"/>
  <c r="I89" i="55"/>
  <c r="D89" i="55" s="1"/>
  <c r="B89" i="55"/>
  <c r="L88" i="55"/>
  <c r="I88" i="55"/>
  <c r="D88" i="55" s="1"/>
  <c r="B88" i="55"/>
  <c r="L87" i="55"/>
  <c r="I87" i="55"/>
  <c r="D87" i="55" s="1"/>
  <c r="B87" i="55"/>
  <c r="L86" i="55"/>
  <c r="I86" i="55"/>
  <c r="D86" i="55" s="1"/>
  <c r="B86" i="55"/>
  <c r="L85" i="55"/>
  <c r="I85" i="55"/>
  <c r="D85" i="55" s="1"/>
  <c r="B85" i="55"/>
  <c r="L84" i="55"/>
  <c r="I84" i="55"/>
  <c r="D84" i="55" s="1"/>
  <c r="B84" i="55"/>
  <c r="L83" i="55"/>
  <c r="I83" i="55"/>
  <c r="D83" i="55" s="1"/>
  <c r="B83" i="55"/>
  <c r="L82" i="55"/>
  <c r="I82" i="55"/>
  <c r="D82" i="55" s="1"/>
  <c r="B82" i="55"/>
  <c r="L81" i="55"/>
  <c r="I81" i="55"/>
  <c r="D81" i="55" s="1"/>
  <c r="B81" i="55"/>
  <c r="L80" i="55"/>
  <c r="I80" i="55"/>
  <c r="D80" i="55" s="1"/>
  <c r="B80" i="55"/>
  <c r="L79" i="55"/>
  <c r="I79" i="55"/>
  <c r="D79" i="55" s="1"/>
  <c r="B79" i="55"/>
  <c r="L78" i="55"/>
  <c r="I78" i="55"/>
  <c r="D78" i="55" s="1"/>
  <c r="B78" i="55"/>
  <c r="L77" i="55"/>
  <c r="I77" i="55"/>
  <c r="D77" i="55" s="1"/>
  <c r="B77" i="55"/>
  <c r="L76" i="55"/>
  <c r="I76" i="55"/>
  <c r="D76" i="55" s="1"/>
  <c r="B76" i="55"/>
  <c r="L75" i="55"/>
  <c r="I75" i="55"/>
  <c r="D75" i="55" s="1"/>
  <c r="B75" i="55"/>
  <c r="L74" i="55"/>
  <c r="I74" i="55"/>
  <c r="D74" i="55" s="1"/>
  <c r="B74" i="55"/>
  <c r="L73" i="55"/>
  <c r="I73" i="55"/>
  <c r="D73" i="55" s="1"/>
  <c r="B73" i="55"/>
  <c r="L72" i="55"/>
  <c r="I63" i="55"/>
  <c r="D63" i="55" s="1"/>
  <c r="B63" i="55"/>
  <c r="L62" i="55"/>
  <c r="I62" i="55"/>
  <c r="D62" i="55" s="1"/>
  <c r="B62" i="55"/>
  <c r="G61" i="55" s="1"/>
  <c r="L61" i="55"/>
  <c r="I61" i="55"/>
  <c r="D61" i="55" s="1"/>
  <c r="B61" i="55"/>
  <c r="G60" i="55" s="1"/>
  <c r="L60" i="55"/>
  <c r="I60" i="55"/>
  <c r="D60" i="55" s="1"/>
  <c r="B60" i="55"/>
  <c r="G58" i="55" s="1"/>
  <c r="B58" i="55"/>
  <c r="L56" i="55"/>
  <c r="I56" i="55"/>
  <c r="D56" i="55" s="1"/>
  <c r="B56" i="55"/>
  <c r="L55" i="55"/>
  <c r="I55" i="55"/>
  <c r="D55" i="55" s="1"/>
  <c r="B55" i="55"/>
  <c r="L54" i="55"/>
  <c r="I54" i="55"/>
  <c r="D54" i="55" s="1"/>
  <c r="B54" i="55"/>
  <c r="L53" i="55"/>
  <c r="I53" i="55"/>
  <c r="D53" i="55" s="1"/>
  <c r="B53" i="55"/>
  <c r="B42" i="55"/>
  <c r="L41" i="55"/>
  <c r="I41" i="55"/>
  <c r="D41" i="55" s="1"/>
  <c r="B41" i="55"/>
  <c r="L40" i="55"/>
  <c r="I40" i="55"/>
  <c r="D40" i="55" s="1"/>
  <c r="B40" i="55"/>
  <c r="L39" i="55"/>
  <c r="I39" i="55"/>
  <c r="D39" i="55" s="1"/>
  <c r="B39" i="55"/>
  <c r="L38" i="55"/>
  <c r="I38" i="55"/>
  <c r="D38" i="55" s="1"/>
  <c r="B38" i="55"/>
  <c r="L37" i="55"/>
  <c r="I37" i="55"/>
  <c r="D37" i="55" s="1"/>
  <c r="B37" i="55"/>
  <c r="L36" i="55"/>
  <c r="I36" i="55"/>
  <c r="D36" i="55" s="1"/>
  <c r="B36" i="55"/>
  <c r="L35" i="55"/>
  <c r="I35" i="55"/>
  <c r="D35" i="55" s="1"/>
  <c r="B35" i="55"/>
  <c r="L34" i="55"/>
  <c r="I34" i="55"/>
  <c r="D34" i="55" s="1"/>
  <c r="B34" i="55"/>
  <c r="L33" i="55"/>
  <c r="I33" i="55"/>
  <c r="D33" i="55" s="1"/>
  <c r="B33" i="55"/>
  <c r="L32" i="55"/>
  <c r="I32" i="55"/>
  <c r="D32" i="55" s="1"/>
  <c r="B32" i="55"/>
  <c r="L31" i="55"/>
  <c r="I31" i="55"/>
  <c r="D31" i="55" s="1"/>
  <c r="B31" i="55"/>
  <c r="L30" i="55"/>
  <c r="I30" i="55"/>
  <c r="D30" i="55" s="1"/>
  <c r="B30" i="55"/>
  <c r="L29" i="55"/>
  <c r="I29" i="55"/>
  <c r="D29" i="55" s="1"/>
  <c r="B29" i="55"/>
  <c r="L28" i="55"/>
  <c r="I28" i="55"/>
  <c r="D28" i="55" s="1"/>
  <c r="B28" i="55"/>
  <c r="L27" i="55"/>
  <c r="I27" i="55"/>
  <c r="D27" i="55" s="1"/>
  <c r="B27" i="55"/>
  <c r="L26" i="55"/>
  <c r="I26" i="55"/>
  <c r="D26" i="55" s="1"/>
  <c r="B26" i="55"/>
  <c r="L25" i="55"/>
  <c r="I25" i="55"/>
  <c r="D25" i="55" s="1"/>
  <c r="B25" i="55"/>
  <c r="L24" i="55"/>
  <c r="I24" i="55"/>
  <c r="D24" i="55" s="1"/>
  <c r="B24" i="55"/>
  <c r="L23" i="55"/>
  <c r="I23" i="55"/>
  <c r="D23" i="55" s="1"/>
  <c r="B23" i="55"/>
  <c r="L22" i="55"/>
  <c r="I22" i="55"/>
  <c r="D22" i="55" s="1"/>
  <c r="B22" i="55"/>
  <c r="L21" i="55"/>
  <c r="I21" i="55"/>
  <c r="D21" i="55" s="1"/>
  <c r="B21" i="55"/>
  <c r="L20" i="55"/>
  <c r="I20" i="55"/>
  <c r="D20" i="55" s="1"/>
  <c r="B20" i="55"/>
  <c r="L19" i="55"/>
  <c r="I19" i="55"/>
  <c r="D19" i="55" s="1"/>
  <c r="B19" i="55"/>
  <c r="L18" i="55"/>
  <c r="I18" i="55"/>
  <c r="D18" i="55" s="1"/>
  <c r="B18" i="55"/>
  <c r="L17" i="55"/>
  <c r="I17" i="55"/>
  <c r="D17" i="55" s="1"/>
  <c r="B17" i="55"/>
  <c r="L16" i="55"/>
  <c r="I16" i="55"/>
  <c r="D16" i="55" s="1"/>
  <c r="B16" i="55"/>
  <c r="L15" i="55"/>
  <c r="I15" i="55"/>
  <c r="D15" i="55" s="1"/>
  <c r="B15" i="55"/>
  <c r="L14" i="55"/>
  <c r="I14" i="55"/>
  <c r="D14" i="55" s="1"/>
  <c r="B14" i="55"/>
  <c r="L13" i="55"/>
  <c r="I13" i="55"/>
  <c r="D13" i="55" s="1"/>
  <c r="B13" i="55"/>
  <c r="L12" i="55"/>
  <c r="I12" i="55"/>
  <c r="D12" i="55" s="1"/>
  <c r="B12" i="55"/>
  <c r="L11" i="55"/>
  <c r="I11" i="55"/>
  <c r="D11" i="55" s="1"/>
  <c r="B11" i="55"/>
  <c r="L10" i="55"/>
  <c r="I10" i="55"/>
  <c r="D10" i="55" s="1"/>
  <c r="B10" i="55"/>
  <c r="G9" i="55" s="1"/>
  <c r="L9" i="55"/>
  <c r="I9" i="55"/>
  <c r="D9" i="55" s="1"/>
  <c r="B9" i="55"/>
  <c r="G8" i="55" s="1"/>
  <c r="L8" i="55"/>
  <c r="I8" i="55"/>
  <c r="D8" i="55" s="1"/>
  <c r="B8" i="55"/>
  <c r="G6" i="55" s="1"/>
  <c r="B6" i="55"/>
  <c r="B4" i="55"/>
  <c r="B3" i="55"/>
  <c r="G110" i="55" s="1"/>
  <c r="H45" i="38"/>
  <c r="H82" i="38"/>
  <c r="H44" i="38"/>
  <c r="A4" i="55"/>
  <c r="A3" i="55"/>
  <c r="A2" i="55"/>
  <c r="E82" i="47" l="1"/>
  <c r="D81" i="47"/>
  <c r="E44" i="47"/>
  <c r="E83" i="47"/>
  <c r="D44" i="47"/>
  <c r="E43" i="47"/>
  <c r="E80" i="47"/>
  <c r="D83" i="47"/>
  <c r="D82" i="47"/>
  <c r="D80" i="47"/>
  <c r="J32" i="58"/>
  <c r="J31" i="58"/>
  <c r="J39" i="57"/>
  <c r="J40" i="57"/>
  <c r="J46" i="58"/>
  <c r="J70" i="58"/>
  <c r="J69" i="58"/>
  <c r="J45" i="58"/>
  <c r="J72" i="57"/>
  <c r="J71" i="57"/>
  <c r="J44" i="58"/>
  <c r="J43" i="58"/>
  <c r="J22" i="56"/>
  <c r="J21" i="56"/>
  <c r="J69" i="55"/>
  <c r="J70" i="55"/>
  <c r="J45" i="55"/>
  <c r="J46" i="55"/>
  <c r="J43" i="55"/>
  <c r="J44" i="55"/>
  <c r="M6" i="55"/>
  <c r="M58" i="55"/>
  <c r="G3" i="55"/>
  <c r="G4" i="55"/>
  <c r="M4" i="55" s="1"/>
  <c r="G56" i="55"/>
  <c r="M2" i="55"/>
  <c r="M3" i="55"/>
  <c r="M110" i="55"/>
  <c r="B62" i="54"/>
  <c r="G60" i="54" s="1"/>
  <c r="K60" i="54"/>
  <c r="I60" i="54"/>
  <c r="D60" i="54" s="1"/>
  <c r="B60" i="54"/>
  <c r="K59" i="54"/>
  <c r="I59" i="54"/>
  <c r="D59" i="54" s="1"/>
  <c r="B59" i="54"/>
  <c r="K58" i="54"/>
  <c r="I58" i="54"/>
  <c r="D58" i="54" s="1"/>
  <c r="B58" i="54"/>
  <c r="K57" i="54"/>
  <c r="I57" i="54"/>
  <c r="D57" i="54" s="1"/>
  <c r="B57" i="54"/>
  <c r="K56" i="54"/>
  <c r="I56" i="54"/>
  <c r="D56" i="54" s="1"/>
  <c r="B56" i="54"/>
  <c r="K55" i="54"/>
  <c r="I55" i="54"/>
  <c r="D55" i="54" s="1"/>
  <c r="B55" i="54"/>
  <c r="K54" i="54"/>
  <c r="I54" i="54"/>
  <c r="D54" i="54" s="1"/>
  <c r="B54" i="54"/>
  <c r="K53" i="54"/>
  <c r="I53" i="54"/>
  <c r="D53" i="54" s="1"/>
  <c r="B53" i="54"/>
  <c r="K52" i="54"/>
  <c r="I52" i="54"/>
  <c r="D52" i="54" s="1"/>
  <c r="B52" i="54"/>
  <c r="K51" i="54"/>
  <c r="I51" i="54"/>
  <c r="D51" i="54" s="1"/>
  <c r="B51" i="54"/>
  <c r="K50" i="54"/>
  <c r="I50" i="54"/>
  <c r="D50" i="54" s="1"/>
  <c r="B50" i="54"/>
  <c r="K49" i="54"/>
  <c r="I49" i="54"/>
  <c r="D49" i="54" s="1"/>
  <c r="B49" i="54"/>
  <c r="K48" i="54"/>
  <c r="I48" i="54"/>
  <c r="D48" i="54" s="1"/>
  <c r="B48" i="54"/>
  <c r="K47" i="54"/>
  <c r="I47" i="54"/>
  <c r="D47" i="54" s="1"/>
  <c r="B47" i="54"/>
  <c r="K46" i="54"/>
  <c r="I46" i="54"/>
  <c r="D46" i="54" s="1"/>
  <c r="B46" i="54"/>
  <c r="K45" i="54"/>
  <c r="I45" i="54"/>
  <c r="D45" i="54" s="1"/>
  <c r="B45" i="54"/>
  <c r="K44" i="54"/>
  <c r="I44" i="54"/>
  <c r="D44" i="54" s="1"/>
  <c r="B44" i="54"/>
  <c r="K43" i="54"/>
  <c r="I43" i="54"/>
  <c r="D43" i="54" s="1"/>
  <c r="B43" i="54"/>
  <c r="K42" i="54"/>
  <c r="I42" i="54"/>
  <c r="D42" i="54" s="1"/>
  <c r="B42" i="54"/>
  <c r="K41" i="54"/>
  <c r="I41" i="54"/>
  <c r="D41" i="54" s="1"/>
  <c r="B41" i="54"/>
  <c r="K40" i="54"/>
  <c r="I40" i="54"/>
  <c r="D40" i="54" s="1"/>
  <c r="B40" i="54"/>
  <c r="K39" i="54"/>
  <c r="I39" i="54"/>
  <c r="D39" i="54" s="1"/>
  <c r="B39" i="54"/>
  <c r="K38" i="54"/>
  <c r="I38" i="54"/>
  <c r="D38" i="54" s="1"/>
  <c r="B38" i="54"/>
  <c r="K37" i="54"/>
  <c r="I37" i="54"/>
  <c r="D37" i="54" s="1"/>
  <c r="G37" i="54"/>
  <c r="B37" i="54"/>
  <c r="G36" i="54" s="1"/>
  <c r="K36" i="54"/>
  <c r="I36" i="54"/>
  <c r="D36" i="54" s="1"/>
  <c r="B36" i="54"/>
  <c r="G34" i="54" s="1"/>
  <c r="B34" i="54"/>
  <c r="K32" i="54"/>
  <c r="I32" i="54"/>
  <c r="D32" i="54" s="1"/>
  <c r="B32" i="54"/>
  <c r="K31" i="54"/>
  <c r="I31" i="54"/>
  <c r="D31" i="54" s="1"/>
  <c r="B31" i="54"/>
  <c r="K30" i="54"/>
  <c r="I30" i="54"/>
  <c r="D30" i="54" s="1"/>
  <c r="B30" i="54"/>
  <c r="K29" i="54"/>
  <c r="I29" i="54"/>
  <c r="D29" i="54" s="1"/>
  <c r="B29" i="54"/>
  <c r="K28" i="54"/>
  <c r="I28" i="54"/>
  <c r="D28" i="54" s="1"/>
  <c r="B28" i="54"/>
  <c r="K27" i="54"/>
  <c r="I27" i="54"/>
  <c r="D27" i="54" s="1"/>
  <c r="B27" i="54"/>
  <c r="K26" i="54"/>
  <c r="I26" i="54"/>
  <c r="D26" i="54" s="1"/>
  <c r="B26" i="54"/>
  <c r="K25" i="54"/>
  <c r="I25" i="54"/>
  <c r="D25" i="54" s="1"/>
  <c r="B25" i="54"/>
  <c r="K24" i="54"/>
  <c r="I24" i="54"/>
  <c r="D24" i="54" s="1"/>
  <c r="B24" i="54"/>
  <c r="K23" i="54"/>
  <c r="I23" i="54"/>
  <c r="D23" i="54" s="1"/>
  <c r="B23" i="54"/>
  <c r="K22" i="54"/>
  <c r="J22" i="54"/>
  <c r="I22" i="54"/>
  <c r="D22" i="54" s="1"/>
  <c r="B22" i="54"/>
  <c r="K21" i="54"/>
  <c r="J21" i="54"/>
  <c r="I21" i="54"/>
  <c r="D21" i="54" s="1"/>
  <c r="B21" i="54"/>
  <c r="K20" i="54"/>
  <c r="I20" i="54"/>
  <c r="D20" i="54" s="1"/>
  <c r="B20" i="54"/>
  <c r="K19" i="54"/>
  <c r="I19" i="54"/>
  <c r="D19" i="54" s="1"/>
  <c r="B19" i="54"/>
  <c r="K18" i="54"/>
  <c r="I18" i="54"/>
  <c r="D18" i="54" s="1"/>
  <c r="B18" i="54"/>
  <c r="K17" i="54"/>
  <c r="I17" i="54"/>
  <c r="D17" i="54" s="1"/>
  <c r="B17" i="54"/>
  <c r="K16" i="54"/>
  <c r="I16" i="54"/>
  <c r="D16" i="54" s="1"/>
  <c r="B16" i="54"/>
  <c r="K15" i="54"/>
  <c r="I15" i="54"/>
  <c r="D15" i="54" s="1"/>
  <c r="B15" i="54"/>
  <c r="K14" i="54"/>
  <c r="I14" i="54"/>
  <c r="D14" i="54" s="1"/>
  <c r="B14" i="54"/>
  <c r="K13" i="54"/>
  <c r="I13" i="54"/>
  <c r="D13" i="54" s="1"/>
  <c r="B13" i="54"/>
  <c r="K12" i="54"/>
  <c r="I12" i="54"/>
  <c r="D12" i="54" s="1"/>
  <c r="B12" i="54"/>
  <c r="K11" i="54"/>
  <c r="I11" i="54"/>
  <c r="D11" i="54" s="1"/>
  <c r="B11" i="54"/>
  <c r="K10" i="54"/>
  <c r="I10" i="54"/>
  <c r="D10" i="54" s="1"/>
  <c r="B10" i="54"/>
  <c r="K9" i="54"/>
  <c r="I9" i="54"/>
  <c r="D9" i="54" s="1"/>
  <c r="B9" i="54"/>
  <c r="G8" i="54" s="1"/>
  <c r="K8" i="54"/>
  <c r="I8" i="54"/>
  <c r="D8" i="54" s="1"/>
  <c r="B8" i="54"/>
  <c r="G6" i="54" s="1"/>
  <c r="B6" i="54"/>
  <c r="B4" i="54"/>
  <c r="B3" i="54"/>
  <c r="G62" i="54" s="1"/>
  <c r="K108" i="53"/>
  <c r="I108" i="53"/>
  <c r="D108" i="53" s="1"/>
  <c r="B108" i="53"/>
  <c r="K107" i="53"/>
  <c r="I107" i="53"/>
  <c r="D107" i="53" s="1"/>
  <c r="B107" i="53"/>
  <c r="B109" i="53"/>
  <c r="I109" i="53"/>
  <c r="D109" i="53" s="1"/>
  <c r="K109" i="53"/>
  <c r="L70" i="58"/>
  <c r="L69" i="58"/>
  <c r="L46" i="58"/>
  <c r="L43" i="58"/>
  <c r="L32" i="58"/>
  <c r="L31" i="58"/>
  <c r="L45" i="58"/>
  <c r="L44" i="58"/>
  <c r="L72" i="57"/>
  <c r="L71" i="57"/>
  <c r="L39" i="57"/>
  <c r="L40" i="57"/>
  <c r="L22" i="56"/>
  <c r="L21" i="56"/>
  <c r="L21" i="54"/>
  <c r="L22" i="54"/>
  <c r="M70" i="55"/>
  <c r="M69" i="55"/>
  <c r="M45" i="55"/>
  <c r="M44" i="55"/>
  <c r="M43" i="55"/>
  <c r="M46" i="55"/>
  <c r="A2" i="54"/>
  <c r="A4" i="54"/>
  <c r="A3" i="54"/>
  <c r="G3" i="54" l="1"/>
  <c r="G4" i="54"/>
  <c r="L34" i="54"/>
  <c r="L4" i="54"/>
  <c r="L6" i="54"/>
  <c r="G32" i="54"/>
  <c r="G9" i="54"/>
  <c r="L2" i="54"/>
  <c r="L3" i="54"/>
  <c r="L62" i="54"/>
  <c r="B110" i="53"/>
  <c r="I110" i="53"/>
  <c r="D110" i="53" s="1"/>
  <c r="K110" i="53"/>
  <c r="K54" i="53"/>
  <c r="I54" i="53"/>
  <c r="D54" i="53" s="1"/>
  <c r="B54" i="53"/>
  <c r="K53" i="53"/>
  <c r="I53" i="53"/>
  <c r="D53" i="53" s="1"/>
  <c r="B53" i="53"/>
  <c r="K56" i="53"/>
  <c r="I56" i="53"/>
  <c r="D56" i="53" s="1"/>
  <c r="B56" i="53"/>
  <c r="K55" i="53"/>
  <c r="I55" i="53"/>
  <c r="D55" i="53" s="1"/>
  <c r="B55" i="53"/>
  <c r="A2" i="47"/>
  <c r="B2" i="47"/>
  <c r="D2" i="47"/>
  <c r="A3" i="47"/>
  <c r="B3" i="47"/>
  <c r="D3" i="47"/>
  <c r="A4" i="47"/>
  <c r="B4" i="47"/>
  <c r="D4" i="47"/>
  <c r="A5" i="47"/>
  <c r="B5" i="47"/>
  <c r="D5" i="47"/>
  <c r="A6" i="47"/>
  <c r="B6" i="47"/>
  <c r="D6" i="47"/>
  <c r="A7" i="47"/>
  <c r="B7" i="47"/>
  <c r="D7" i="47"/>
  <c r="A8" i="47"/>
  <c r="B8" i="47"/>
  <c r="D8" i="47"/>
  <c r="A9" i="47"/>
  <c r="B9" i="47"/>
  <c r="D9" i="47"/>
  <c r="A10" i="47"/>
  <c r="B10" i="47"/>
  <c r="D10" i="47"/>
  <c r="A11" i="47"/>
  <c r="B11" i="47"/>
  <c r="D11" i="47"/>
  <c r="A12" i="47"/>
  <c r="B12" i="47"/>
  <c r="D12" i="47"/>
  <c r="A13" i="47"/>
  <c r="B13" i="47"/>
  <c r="D13" i="47"/>
  <c r="A14" i="47"/>
  <c r="B14" i="47"/>
  <c r="D14" i="47"/>
  <c r="A15" i="47"/>
  <c r="B15" i="47"/>
  <c r="D15" i="47"/>
  <c r="A16" i="47"/>
  <c r="B16" i="47"/>
  <c r="D16" i="47"/>
  <c r="A17" i="47"/>
  <c r="B17" i="47"/>
  <c r="D17" i="47"/>
  <c r="A18" i="47"/>
  <c r="B18" i="47"/>
  <c r="D18" i="47"/>
  <c r="A19" i="47"/>
  <c r="B19" i="47"/>
  <c r="D19" i="47"/>
  <c r="A20" i="47"/>
  <c r="B20" i="47"/>
  <c r="D20" i="47"/>
  <c r="A21" i="47"/>
  <c r="B21" i="47"/>
  <c r="D21" i="47"/>
  <c r="A22" i="47"/>
  <c r="B22" i="47"/>
  <c r="D22" i="47"/>
  <c r="A23" i="47"/>
  <c r="B23" i="47"/>
  <c r="D23" i="47"/>
  <c r="A24" i="47"/>
  <c r="B24" i="47"/>
  <c r="D24" i="47"/>
  <c r="A25" i="47"/>
  <c r="B25" i="47"/>
  <c r="D25" i="47"/>
  <c r="A26" i="47"/>
  <c r="B26" i="47"/>
  <c r="D26" i="47"/>
  <c r="A27" i="47"/>
  <c r="B27" i="47"/>
  <c r="D27" i="47"/>
  <c r="A28" i="47"/>
  <c r="B28" i="47"/>
  <c r="D28" i="47"/>
  <c r="A29" i="47"/>
  <c r="B29" i="47"/>
  <c r="D29" i="47"/>
  <c r="A30" i="47"/>
  <c r="B30" i="47"/>
  <c r="D30" i="47"/>
  <c r="A31" i="47"/>
  <c r="B31" i="47"/>
  <c r="D31" i="47"/>
  <c r="A32" i="47"/>
  <c r="B32" i="47"/>
  <c r="D32" i="47"/>
  <c r="A33" i="47"/>
  <c r="B33" i="47"/>
  <c r="D33" i="47"/>
  <c r="A34" i="47"/>
  <c r="B34" i="47"/>
  <c r="D34" i="47"/>
  <c r="A35" i="47"/>
  <c r="B35" i="47"/>
  <c r="D35" i="47"/>
  <c r="A36" i="47"/>
  <c r="B36" i="47"/>
  <c r="D36" i="47"/>
  <c r="A37" i="47"/>
  <c r="B37" i="47"/>
  <c r="D37" i="47"/>
  <c r="A38" i="47"/>
  <c r="B38" i="47"/>
  <c r="D38" i="47"/>
  <c r="A39" i="47"/>
  <c r="B39" i="47"/>
  <c r="D39" i="47"/>
  <c r="A40" i="47"/>
  <c r="B40" i="47"/>
  <c r="D40" i="47"/>
  <c r="A41" i="47"/>
  <c r="B41" i="47"/>
  <c r="D41" i="47"/>
  <c r="A42" i="47"/>
  <c r="B42" i="47"/>
  <c r="D42" i="47"/>
  <c r="A46" i="47"/>
  <c r="B46" i="47"/>
  <c r="D46" i="47"/>
  <c r="A47" i="47"/>
  <c r="B47" i="47"/>
  <c r="D47" i="47"/>
  <c r="A48" i="47"/>
  <c r="B48" i="47"/>
  <c r="D48" i="47"/>
  <c r="A49" i="47"/>
  <c r="B49" i="47"/>
  <c r="D49" i="47"/>
  <c r="A50" i="47"/>
  <c r="B50" i="47"/>
  <c r="D50" i="47"/>
  <c r="A51" i="47"/>
  <c r="B51" i="47"/>
  <c r="D51" i="47"/>
  <c r="A52" i="47"/>
  <c r="B52" i="47"/>
  <c r="D52" i="47"/>
  <c r="A53" i="47"/>
  <c r="B53" i="47"/>
  <c r="D53" i="47"/>
  <c r="A54" i="47"/>
  <c r="B54" i="47"/>
  <c r="D54" i="47"/>
  <c r="A55" i="47"/>
  <c r="B55" i="47"/>
  <c r="D55" i="47"/>
  <c r="A56" i="47"/>
  <c r="B56" i="47"/>
  <c r="D56" i="47"/>
  <c r="A57" i="47"/>
  <c r="B57" i="47"/>
  <c r="D57" i="47"/>
  <c r="A58" i="47"/>
  <c r="B58" i="47"/>
  <c r="D58" i="47"/>
  <c r="A59" i="47"/>
  <c r="B59" i="47"/>
  <c r="D59" i="47"/>
  <c r="A60" i="47"/>
  <c r="B60" i="47"/>
  <c r="D60" i="47"/>
  <c r="A61" i="47"/>
  <c r="B61" i="47"/>
  <c r="D61" i="47"/>
  <c r="A62" i="47"/>
  <c r="B62" i="47"/>
  <c r="D62" i="47"/>
  <c r="A63" i="47"/>
  <c r="B63" i="47"/>
  <c r="D63" i="47"/>
  <c r="A64" i="47"/>
  <c r="B64" i="47"/>
  <c r="D64" i="47"/>
  <c r="A65" i="47"/>
  <c r="B65" i="47"/>
  <c r="D65" i="47"/>
  <c r="A66" i="47"/>
  <c r="B66" i="47"/>
  <c r="D66" i="47"/>
  <c r="A67" i="47"/>
  <c r="B67" i="47"/>
  <c r="D67" i="47"/>
  <c r="A68" i="47"/>
  <c r="B68" i="47"/>
  <c r="D68" i="47"/>
  <c r="A69" i="47"/>
  <c r="B69" i="47"/>
  <c r="D69" i="47"/>
  <c r="A70" i="47"/>
  <c r="B70" i="47"/>
  <c r="D70" i="47"/>
  <c r="A71" i="47"/>
  <c r="B71" i="47"/>
  <c r="D71" i="47"/>
  <c r="A72" i="47"/>
  <c r="B72" i="47"/>
  <c r="D72" i="47"/>
  <c r="A73" i="47"/>
  <c r="B73" i="47"/>
  <c r="D73" i="47"/>
  <c r="A74" i="47"/>
  <c r="B74" i="47"/>
  <c r="D74" i="47"/>
  <c r="A75" i="47"/>
  <c r="B75" i="47"/>
  <c r="D75" i="47"/>
  <c r="A76" i="47"/>
  <c r="B76" i="47"/>
  <c r="D76" i="47"/>
  <c r="A77" i="47"/>
  <c r="D77" i="47" s="1"/>
  <c r="B77" i="47"/>
  <c r="A78" i="47"/>
  <c r="D78" i="47" s="1"/>
  <c r="B78" i="47"/>
  <c r="A79" i="47"/>
  <c r="B79" i="47"/>
  <c r="D79" i="47"/>
  <c r="F58" i="38"/>
  <c r="G58" i="38"/>
  <c r="B116" i="53"/>
  <c r="G114" i="53" s="1"/>
  <c r="K114" i="53"/>
  <c r="I114" i="53"/>
  <c r="D114" i="53" s="1"/>
  <c r="B114" i="53"/>
  <c r="K113" i="53"/>
  <c r="I113" i="53"/>
  <c r="D113" i="53" s="1"/>
  <c r="B113" i="53"/>
  <c r="K112" i="53"/>
  <c r="I112" i="53"/>
  <c r="D112" i="53" s="1"/>
  <c r="B112" i="53"/>
  <c r="K111" i="53"/>
  <c r="I111" i="53"/>
  <c r="D111" i="53" s="1"/>
  <c r="B111" i="53"/>
  <c r="K106" i="53"/>
  <c r="I106" i="53"/>
  <c r="D106" i="53" s="1"/>
  <c r="B106" i="53"/>
  <c r="K105" i="53"/>
  <c r="I105" i="53"/>
  <c r="D105" i="53" s="1"/>
  <c r="B105" i="53"/>
  <c r="K104" i="53"/>
  <c r="I104" i="53"/>
  <c r="D104" i="53" s="1"/>
  <c r="B104" i="53"/>
  <c r="K103" i="53"/>
  <c r="I103" i="53"/>
  <c r="D103" i="53" s="1"/>
  <c r="B103" i="53"/>
  <c r="K102" i="53"/>
  <c r="I102" i="53"/>
  <c r="D102" i="53" s="1"/>
  <c r="B102" i="53"/>
  <c r="K101" i="53"/>
  <c r="I101" i="53"/>
  <c r="D101" i="53" s="1"/>
  <c r="B101" i="53"/>
  <c r="K100" i="53"/>
  <c r="I100" i="53"/>
  <c r="D100" i="53" s="1"/>
  <c r="B100" i="53"/>
  <c r="K99" i="53"/>
  <c r="I99" i="53"/>
  <c r="D99" i="53" s="1"/>
  <c r="B99" i="53"/>
  <c r="K98" i="53"/>
  <c r="I98" i="53"/>
  <c r="D98" i="53" s="1"/>
  <c r="B98" i="53"/>
  <c r="K97" i="53"/>
  <c r="I97" i="53"/>
  <c r="D97" i="53" s="1"/>
  <c r="B97" i="53"/>
  <c r="K96" i="53"/>
  <c r="I96" i="53"/>
  <c r="D96" i="53" s="1"/>
  <c r="B96" i="53"/>
  <c r="I95" i="53"/>
  <c r="D95" i="53" s="1"/>
  <c r="B95" i="53"/>
  <c r="I94" i="53"/>
  <c r="D94" i="53" s="1"/>
  <c r="B94" i="53"/>
  <c r="I93" i="53"/>
  <c r="D93" i="53" s="1"/>
  <c r="B93" i="53"/>
  <c r="I92" i="53"/>
  <c r="D92" i="53" s="1"/>
  <c r="B92" i="53"/>
  <c r="I91" i="53"/>
  <c r="D91" i="53" s="1"/>
  <c r="B91" i="53"/>
  <c r="I90" i="53"/>
  <c r="D90" i="53" s="1"/>
  <c r="B90" i="53"/>
  <c r="K89" i="53"/>
  <c r="I89" i="53"/>
  <c r="D89" i="53" s="1"/>
  <c r="B89" i="53"/>
  <c r="K88" i="53"/>
  <c r="I88" i="53"/>
  <c r="D88" i="53" s="1"/>
  <c r="B88" i="53"/>
  <c r="K87" i="53"/>
  <c r="I87" i="53"/>
  <c r="D87" i="53" s="1"/>
  <c r="B87" i="53"/>
  <c r="K86" i="53"/>
  <c r="I86" i="53"/>
  <c r="D86" i="53" s="1"/>
  <c r="B86" i="53"/>
  <c r="K85" i="53"/>
  <c r="I85" i="53"/>
  <c r="D85" i="53" s="1"/>
  <c r="B85" i="53"/>
  <c r="K84" i="53"/>
  <c r="I84" i="53"/>
  <c r="D84" i="53" s="1"/>
  <c r="B84" i="53"/>
  <c r="K83" i="53"/>
  <c r="I83" i="53"/>
  <c r="D83" i="53" s="1"/>
  <c r="B83" i="53"/>
  <c r="K82" i="53"/>
  <c r="I82" i="53"/>
  <c r="D82" i="53" s="1"/>
  <c r="B82" i="53"/>
  <c r="K81" i="53"/>
  <c r="I81" i="53"/>
  <c r="D81" i="53" s="1"/>
  <c r="B81" i="53"/>
  <c r="K80" i="53"/>
  <c r="I80" i="53"/>
  <c r="D80" i="53" s="1"/>
  <c r="B80" i="53"/>
  <c r="K79" i="53"/>
  <c r="I79" i="53"/>
  <c r="D79" i="53" s="1"/>
  <c r="B79" i="53"/>
  <c r="K78" i="53"/>
  <c r="I78" i="53"/>
  <c r="D78" i="53" s="1"/>
  <c r="B78" i="53"/>
  <c r="K77" i="53"/>
  <c r="I77" i="53"/>
  <c r="D77" i="53" s="1"/>
  <c r="B77" i="53"/>
  <c r="K76" i="53"/>
  <c r="I76" i="53"/>
  <c r="D76" i="53" s="1"/>
  <c r="B76" i="53"/>
  <c r="K75" i="53"/>
  <c r="I75" i="53"/>
  <c r="D75" i="53" s="1"/>
  <c r="B75" i="53"/>
  <c r="K74" i="53"/>
  <c r="I74" i="53"/>
  <c r="D74" i="53" s="1"/>
  <c r="B74" i="53"/>
  <c r="K73" i="53"/>
  <c r="I73" i="53"/>
  <c r="D73" i="53" s="1"/>
  <c r="B73" i="53"/>
  <c r="K72" i="53"/>
  <c r="I72" i="53"/>
  <c r="D72" i="53" s="1"/>
  <c r="B72" i="53"/>
  <c r="K71" i="53"/>
  <c r="I71" i="53"/>
  <c r="D71" i="53" s="1"/>
  <c r="B71" i="53"/>
  <c r="K70" i="53"/>
  <c r="I70" i="53"/>
  <c r="D70" i="53" s="1"/>
  <c r="B70" i="53"/>
  <c r="K69" i="53"/>
  <c r="I69" i="53"/>
  <c r="D69" i="53" s="1"/>
  <c r="B69" i="53"/>
  <c r="K68" i="53"/>
  <c r="I68" i="53"/>
  <c r="D68" i="53" s="1"/>
  <c r="B68" i="53"/>
  <c r="K67" i="53"/>
  <c r="I67" i="53"/>
  <c r="D67" i="53" s="1"/>
  <c r="B67" i="53"/>
  <c r="K66" i="53"/>
  <c r="I66" i="53"/>
  <c r="D66" i="53" s="1"/>
  <c r="B66" i="53"/>
  <c r="G65" i="53" s="1"/>
  <c r="K65" i="53"/>
  <c r="I65" i="53"/>
  <c r="D65" i="53" s="1"/>
  <c r="B65" i="53"/>
  <c r="G64" i="53" s="1"/>
  <c r="K64" i="53"/>
  <c r="I64" i="53"/>
  <c r="D64" i="53" s="1"/>
  <c r="B64" i="53"/>
  <c r="G62" i="53" s="1"/>
  <c r="B62" i="53"/>
  <c r="G60" i="53" s="1"/>
  <c r="K60" i="53"/>
  <c r="I60" i="53"/>
  <c r="D60" i="53" s="1"/>
  <c r="B60" i="53"/>
  <c r="K59" i="53"/>
  <c r="I59" i="53"/>
  <c r="D59" i="53" s="1"/>
  <c r="B59" i="53"/>
  <c r="K58" i="53"/>
  <c r="I58" i="53"/>
  <c r="D58" i="53" s="1"/>
  <c r="B58" i="53"/>
  <c r="K57" i="53"/>
  <c r="I57" i="53"/>
  <c r="D57" i="53" s="1"/>
  <c r="B57" i="53"/>
  <c r="K52" i="53"/>
  <c r="I52" i="53"/>
  <c r="D52" i="53" s="1"/>
  <c r="B52" i="53"/>
  <c r="K51" i="53"/>
  <c r="I51" i="53"/>
  <c r="D51" i="53" s="1"/>
  <c r="B51" i="53"/>
  <c r="K50" i="53"/>
  <c r="I50" i="53"/>
  <c r="D50" i="53" s="1"/>
  <c r="B50" i="53"/>
  <c r="K49" i="53"/>
  <c r="I49" i="53"/>
  <c r="D49" i="53" s="1"/>
  <c r="B49" i="53"/>
  <c r="K48" i="53"/>
  <c r="I48" i="53"/>
  <c r="D48" i="53" s="1"/>
  <c r="B48" i="53"/>
  <c r="K47" i="53"/>
  <c r="I47" i="53"/>
  <c r="D47" i="53" s="1"/>
  <c r="B47" i="53"/>
  <c r="K46" i="53"/>
  <c r="I46" i="53"/>
  <c r="D46" i="53" s="1"/>
  <c r="B46" i="53"/>
  <c r="I45" i="53"/>
  <c r="D45" i="53" s="1"/>
  <c r="B45" i="53"/>
  <c r="I44" i="53"/>
  <c r="D44" i="53" s="1"/>
  <c r="B44" i="53"/>
  <c r="I43" i="53"/>
  <c r="D43" i="53" s="1"/>
  <c r="B43" i="53"/>
  <c r="I42" i="53"/>
  <c r="D42" i="53" s="1"/>
  <c r="B42" i="53"/>
  <c r="I41" i="53"/>
  <c r="D41" i="53" s="1"/>
  <c r="B41" i="53"/>
  <c r="I40" i="53"/>
  <c r="D40" i="53" s="1"/>
  <c r="B40" i="53"/>
  <c r="I39" i="53"/>
  <c r="D39" i="53" s="1"/>
  <c r="B39" i="53"/>
  <c r="I38" i="53"/>
  <c r="D38" i="53" s="1"/>
  <c r="B38" i="53"/>
  <c r="K37" i="53"/>
  <c r="I37" i="53"/>
  <c r="D37" i="53" s="1"/>
  <c r="B37" i="53"/>
  <c r="K36" i="53"/>
  <c r="I36" i="53"/>
  <c r="D36" i="53" s="1"/>
  <c r="B36" i="53"/>
  <c r="K35" i="53"/>
  <c r="I35" i="53"/>
  <c r="D35" i="53" s="1"/>
  <c r="B35" i="53"/>
  <c r="K34" i="53"/>
  <c r="I34" i="53"/>
  <c r="D34" i="53" s="1"/>
  <c r="B34" i="53"/>
  <c r="K33" i="53"/>
  <c r="I33" i="53"/>
  <c r="D33" i="53" s="1"/>
  <c r="B33" i="53"/>
  <c r="K32" i="53"/>
  <c r="I32" i="53"/>
  <c r="D32" i="53" s="1"/>
  <c r="D31" i="53"/>
  <c r="K28" i="53"/>
  <c r="I28" i="53"/>
  <c r="D28" i="53" s="1"/>
  <c r="B28" i="53"/>
  <c r="K27" i="53"/>
  <c r="I27" i="53"/>
  <c r="D27" i="53" s="1"/>
  <c r="B27" i="53"/>
  <c r="K26" i="53"/>
  <c r="I26" i="53"/>
  <c r="D26" i="53" s="1"/>
  <c r="B26" i="53"/>
  <c r="K25" i="53"/>
  <c r="I25" i="53"/>
  <c r="D25" i="53" s="1"/>
  <c r="B25" i="53"/>
  <c r="K24" i="53"/>
  <c r="I24" i="53"/>
  <c r="D24" i="53" s="1"/>
  <c r="B24" i="53"/>
  <c r="K23" i="53"/>
  <c r="I23" i="53"/>
  <c r="D23" i="53" s="1"/>
  <c r="B23" i="53"/>
  <c r="K22" i="53"/>
  <c r="I22" i="53"/>
  <c r="D22" i="53" s="1"/>
  <c r="B22" i="53"/>
  <c r="K21" i="53"/>
  <c r="I21" i="53"/>
  <c r="D21" i="53" s="1"/>
  <c r="B21" i="53"/>
  <c r="K20" i="53"/>
  <c r="I20" i="53"/>
  <c r="D20" i="53" s="1"/>
  <c r="B20" i="53"/>
  <c r="K19" i="53"/>
  <c r="I19" i="53"/>
  <c r="D19" i="53" s="1"/>
  <c r="B19" i="53"/>
  <c r="K18" i="53"/>
  <c r="I18" i="53"/>
  <c r="D18" i="53" s="1"/>
  <c r="B18" i="53"/>
  <c r="K17" i="53"/>
  <c r="I17" i="53"/>
  <c r="D17" i="53" s="1"/>
  <c r="B17" i="53"/>
  <c r="K16" i="53"/>
  <c r="I16" i="53"/>
  <c r="D16" i="53" s="1"/>
  <c r="B16" i="53"/>
  <c r="K15" i="53"/>
  <c r="I15" i="53"/>
  <c r="D15" i="53" s="1"/>
  <c r="B15" i="53"/>
  <c r="K14" i="53"/>
  <c r="I14" i="53"/>
  <c r="D14" i="53" s="1"/>
  <c r="B14" i="53"/>
  <c r="K13" i="53"/>
  <c r="I13" i="53"/>
  <c r="D13" i="53" s="1"/>
  <c r="B13" i="53"/>
  <c r="K12" i="53"/>
  <c r="I12" i="53"/>
  <c r="D12" i="53" s="1"/>
  <c r="B12" i="53"/>
  <c r="K11" i="53"/>
  <c r="I11" i="53"/>
  <c r="D11" i="53" s="1"/>
  <c r="B11" i="53"/>
  <c r="K10" i="53"/>
  <c r="I10" i="53"/>
  <c r="D10" i="53"/>
  <c r="B10" i="53"/>
  <c r="G9" i="53" s="1"/>
  <c r="K9" i="53"/>
  <c r="I9" i="53"/>
  <c r="D9" i="53" s="1"/>
  <c r="B9" i="53"/>
  <c r="G8" i="53" s="1"/>
  <c r="K8" i="53"/>
  <c r="I8" i="53"/>
  <c r="D8" i="53" s="1"/>
  <c r="B8" i="53"/>
  <c r="G6" i="53" s="1"/>
  <c r="B6" i="53"/>
  <c r="B4" i="53"/>
  <c r="B3" i="53"/>
  <c r="G116" i="53" s="1"/>
  <c r="F74" i="38"/>
  <c r="G74" i="38"/>
  <c r="K100" i="49"/>
  <c r="J100" i="49"/>
  <c r="I100" i="49"/>
  <c r="D100" i="49" s="1"/>
  <c r="B100" i="49"/>
  <c r="G99" i="49" s="1"/>
  <c r="K99" i="49"/>
  <c r="J99" i="49"/>
  <c r="I99" i="49"/>
  <c r="D99" i="49" s="1"/>
  <c r="B99" i="49"/>
  <c r="K98" i="49"/>
  <c r="J98" i="49"/>
  <c r="I98" i="49"/>
  <c r="D98" i="49" s="1"/>
  <c r="B98" i="49"/>
  <c r="G97" i="49" s="1"/>
  <c r="K97" i="49"/>
  <c r="J97" i="49"/>
  <c r="I97" i="49"/>
  <c r="D97" i="49" s="1"/>
  <c r="B97" i="49"/>
  <c r="K96" i="49"/>
  <c r="J96" i="49"/>
  <c r="I96" i="49"/>
  <c r="D96" i="49" s="1"/>
  <c r="B96" i="49"/>
  <c r="G95" i="49" s="1"/>
  <c r="K95" i="49"/>
  <c r="J95" i="49"/>
  <c r="I95" i="49"/>
  <c r="D95" i="49" s="1"/>
  <c r="B95" i="49"/>
  <c r="K94" i="49"/>
  <c r="J94" i="49"/>
  <c r="I94" i="49"/>
  <c r="D94" i="49" s="1"/>
  <c r="B94" i="49"/>
  <c r="G93" i="49" s="1"/>
  <c r="K93" i="49"/>
  <c r="J93" i="49"/>
  <c r="I93" i="49"/>
  <c r="D93" i="49" s="1"/>
  <c r="B93" i="49"/>
  <c r="K102" i="49"/>
  <c r="J102" i="49"/>
  <c r="I102" i="49"/>
  <c r="D102" i="49" s="1"/>
  <c r="B102" i="49"/>
  <c r="G101" i="49" s="1"/>
  <c r="K101" i="49"/>
  <c r="J101" i="49"/>
  <c r="I101" i="49"/>
  <c r="D101" i="49" s="1"/>
  <c r="B101" i="49"/>
  <c r="G94" i="49" s="1"/>
  <c r="K48" i="49"/>
  <c r="J48" i="49"/>
  <c r="I48" i="49"/>
  <c r="D48" i="49" s="1"/>
  <c r="B48" i="49"/>
  <c r="K47" i="49"/>
  <c r="J47" i="49"/>
  <c r="I47" i="49"/>
  <c r="D47" i="49" s="1"/>
  <c r="G47" i="49"/>
  <c r="B47" i="49"/>
  <c r="K46" i="49"/>
  <c r="J46" i="49"/>
  <c r="I46" i="49"/>
  <c r="D46" i="49" s="1"/>
  <c r="B46" i="49"/>
  <c r="G45" i="49" s="1"/>
  <c r="K45" i="49"/>
  <c r="J45" i="49"/>
  <c r="I45" i="49"/>
  <c r="D45" i="49" s="1"/>
  <c r="B45" i="49"/>
  <c r="K44" i="49"/>
  <c r="J44" i="49"/>
  <c r="I44" i="49"/>
  <c r="D44" i="49" s="1"/>
  <c r="B44" i="49"/>
  <c r="G43" i="49" s="1"/>
  <c r="K43" i="49"/>
  <c r="J43" i="49"/>
  <c r="I43" i="49"/>
  <c r="D43" i="49" s="1"/>
  <c r="B43" i="49"/>
  <c r="K50" i="49"/>
  <c r="J50" i="49"/>
  <c r="I50" i="49"/>
  <c r="D50" i="49" s="1"/>
  <c r="B50" i="49"/>
  <c r="K49" i="49"/>
  <c r="J49" i="49"/>
  <c r="I49" i="49"/>
  <c r="D49" i="49" s="1"/>
  <c r="G49" i="49"/>
  <c r="B49" i="49"/>
  <c r="G44" i="49" s="1"/>
  <c r="B51" i="52"/>
  <c r="B52" i="52"/>
  <c r="G26" i="38"/>
  <c r="F26" i="38"/>
  <c r="G76" i="38"/>
  <c r="F76" i="38"/>
  <c r="F19" i="38"/>
  <c r="G19" i="38"/>
  <c r="B54" i="52"/>
  <c r="G52" i="52" s="1"/>
  <c r="K52" i="52"/>
  <c r="I52" i="52"/>
  <c r="D52" i="52" s="1"/>
  <c r="K51" i="52"/>
  <c r="I51" i="52"/>
  <c r="D51" i="52" s="1"/>
  <c r="K50" i="52"/>
  <c r="I50" i="52"/>
  <c r="D50" i="52" s="1"/>
  <c r="B50" i="52"/>
  <c r="K49" i="52"/>
  <c r="I49" i="52"/>
  <c r="D49" i="52" s="1"/>
  <c r="B49" i="52"/>
  <c r="K48" i="52"/>
  <c r="I48" i="52"/>
  <c r="D48" i="52" s="1"/>
  <c r="B48" i="52"/>
  <c r="K47" i="52"/>
  <c r="I47" i="52"/>
  <c r="D47" i="52" s="1"/>
  <c r="B47" i="52"/>
  <c r="K46" i="52"/>
  <c r="I46" i="52"/>
  <c r="D46" i="52" s="1"/>
  <c r="B46" i="52"/>
  <c r="K45" i="52"/>
  <c r="I45" i="52"/>
  <c r="D45" i="52" s="1"/>
  <c r="B45" i="52"/>
  <c r="K44" i="52"/>
  <c r="I44" i="52"/>
  <c r="D44" i="52" s="1"/>
  <c r="B44" i="52"/>
  <c r="K43" i="52"/>
  <c r="I43" i="52"/>
  <c r="D43" i="52" s="1"/>
  <c r="B43" i="52"/>
  <c r="K42" i="52"/>
  <c r="I42" i="52"/>
  <c r="D42" i="52" s="1"/>
  <c r="B42" i="52"/>
  <c r="K41" i="52"/>
  <c r="I41" i="52"/>
  <c r="D41" i="52" s="1"/>
  <c r="B41" i="52"/>
  <c r="K40" i="52"/>
  <c r="I40" i="52"/>
  <c r="D40" i="52" s="1"/>
  <c r="B40" i="52"/>
  <c r="K39" i="52"/>
  <c r="I39" i="52"/>
  <c r="D39" i="52" s="1"/>
  <c r="B39" i="52"/>
  <c r="K38" i="52"/>
  <c r="I38" i="52"/>
  <c r="D38" i="52" s="1"/>
  <c r="B38" i="52"/>
  <c r="K37" i="52"/>
  <c r="I37" i="52"/>
  <c r="D37" i="52" s="1"/>
  <c r="B37" i="52"/>
  <c r="K36" i="52"/>
  <c r="I36" i="52"/>
  <c r="D36" i="52" s="1"/>
  <c r="B36" i="52"/>
  <c r="K35" i="52"/>
  <c r="I35" i="52"/>
  <c r="D35" i="52" s="1"/>
  <c r="B35" i="52"/>
  <c r="K34" i="52"/>
  <c r="I34" i="52"/>
  <c r="D34" i="52" s="1"/>
  <c r="B34" i="52"/>
  <c r="K33" i="52"/>
  <c r="I33" i="52"/>
  <c r="D33" i="52" s="1"/>
  <c r="B33" i="52"/>
  <c r="K32" i="52"/>
  <c r="I32" i="52"/>
  <c r="D32" i="52" s="1"/>
  <c r="B32" i="52"/>
  <c r="K31" i="52"/>
  <c r="I31" i="52"/>
  <c r="D31" i="52" s="1"/>
  <c r="B31" i="52"/>
  <c r="G30" i="52" s="1"/>
  <c r="K30" i="52"/>
  <c r="I30" i="52"/>
  <c r="D30" i="52" s="1"/>
  <c r="B30" i="52"/>
  <c r="G28" i="52" s="1"/>
  <c r="B28" i="52"/>
  <c r="G26" i="52" s="1"/>
  <c r="K26" i="52"/>
  <c r="I26" i="52"/>
  <c r="D26" i="52" s="1"/>
  <c r="B26" i="52"/>
  <c r="I25" i="52"/>
  <c r="D25" i="52" s="1"/>
  <c r="B25" i="52"/>
  <c r="I24" i="52"/>
  <c r="D24" i="52" s="1"/>
  <c r="B24" i="52"/>
  <c r="I23" i="52"/>
  <c r="D23" i="52" s="1"/>
  <c r="B23" i="52"/>
  <c r="I22" i="52"/>
  <c r="D22" i="52" s="1"/>
  <c r="B22" i="52"/>
  <c r="I21" i="52"/>
  <c r="D21" i="52" s="1"/>
  <c r="B21" i="52"/>
  <c r="I20" i="52"/>
  <c r="D20" i="52" s="1"/>
  <c r="B20" i="52"/>
  <c r="I19" i="52"/>
  <c r="D19" i="52" s="1"/>
  <c r="B19" i="52"/>
  <c r="I18" i="52"/>
  <c r="D18" i="52" s="1"/>
  <c r="B18" i="52"/>
  <c r="K17" i="52"/>
  <c r="I17" i="52"/>
  <c r="D17" i="52" s="1"/>
  <c r="B17" i="52"/>
  <c r="K16" i="52"/>
  <c r="I16" i="52"/>
  <c r="D16" i="52" s="1"/>
  <c r="B16" i="52"/>
  <c r="K15" i="52"/>
  <c r="I15" i="52"/>
  <c r="D15" i="52" s="1"/>
  <c r="B15" i="52"/>
  <c r="K10" i="52"/>
  <c r="I10" i="52"/>
  <c r="B10" i="52"/>
  <c r="K9" i="52"/>
  <c r="I9" i="52"/>
  <c r="D9" i="52" s="1"/>
  <c r="B9" i="52"/>
  <c r="K8" i="52"/>
  <c r="I8" i="52"/>
  <c r="D8" i="52" s="1"/>
  <c r="B8" i="52"/>
  <c r="B6" i="52"/>
  <c r="B4" i="52"/>
  <c r="B3" i="52"/>
  <c r="G54" i="52" s="1"/>
  <c r="H58" i="38"/>
  <c r="H26" i="38"/>
  <c r="H76" i="38"/>
  <c r="H19" i="38"/>
  <c r="H74" i="38"/>
  <c r="L31" i="53"/>
  <c r="A2" i="53"/>
  <c r="A3" i="52"/>
  <c r="A2" i="52"/>
  <c r="A4" i="52"/>
  <c r="A4" i="53"/>
  <c r="A3" i="53"/>
  <c r="G3" i="53" l="1"/>
  <c r="G4" i="53"/>
  <c r="G8" i="52"/>
  <c r="G6" i="52"/>
  <c r="G9" i="52"/>
  <c r="J7" i="60"/>
  <c r="J48" i="58"/>
  <c r="J47" i="58"/>
  <c r="J47" i="55"/>
  <c r="J48" i="55"/>
  <c r="E74" i="47"/>
  <c r="E72" i="47"/>
  <c r="E75" i="47"/>
  <c r="E73" i="47"/>
  <c r="E71" i="47"/>
  <c r="E76" i="47"/>
  <c r="E69" i="47"/>
  <c r="E67" i="47"/>
  <c r="E65" i="47"/>
  <c r="E63" i="47"/>
  <c r="E61" i="47"/>
  <c r="E59" i="47"/>
  <c r="E57" i="47"/>
  <c r="E55" i="47"/>
  <c r="E53" i="47"/>
  <c r="E51" i="47"/>
  <c r="E49" i="47"/>
  <c r="E47" i="47"/>
  <c r="E41" i="47"/>
  <c r="E39" i="47"/>
  <c r="E37" i="47"/>
  <c r="E35" i="47"/>
  <c r="E33" i="47"/>
  <c r="E31" i="47"/>
  <c r="E29" i="47"/>
  <c r="E27" i="47"/>
  <c r="E25" i="47"/>
  <c r="E23" i="47"/>
  <c r="E21" i="47"/>
  <c r="E19" i="47"/>
  <c r="E17" i="47"/>
  <c r="E15" i="47"/>
  <c r="E13" i="47"/>
  <c r="E11" i="47"/>
  <c r="E9" i="47"/>
  <c r="E7" i="47"/>
  <c r="E5" i="47"/>
  <c r="E3" i="47"/>
  <c r="E79" i="47"/>
  <c r="E70" i="47"/>
  <c r="E68" i="47"/>
  <c r="E66" i="47"/>
  <c r="E64" i="47"/>
  <c r="E62" i="47"/>
  <c r="E60" i="47"/>
  <c r="E58" i="47"/>
  <c r="E56" i="47"/>
  <c r="E54" i="47"/>
  <c r="E52" i="47"/>
  <c r="E50" i="47"/>
  <c r="E48" i="47"/>
  <c r="E46" i="47"/>
  <c r="E42" i="47"/>
  <c r="E40" i="47"/>
  <c r="E38" i="47"/>
  <c r="E36" i="47"/>
  <c r="E34" i="47"/>
  <c r="E32" i="47"/>
  <c r="E30" i="47"/>
  <c r="E28" i="47"/>
  <c r="E26" i="47"/>
  <c r="E24" i="47"/>
  <c r="E22" i="47"/>
  <c r="E20" i="47"/>
  <c r="E18" i="47"/>
  <c r="E16" i="47"/>
  <c r="E14" i="47"/>
  <c r="E12" i="47"/>
  <c r="E10" i="47"/>
  <c r="E8" i="47"/>
  <c r="E6" i="47"/>
  <c r="E4" i="47"/>
  <c r="E2" i="47"/>
  <c r="G4" i="52"/>
  <c r="L4" i="52" s="1"/>
  <c r="G48" i="49"/>
  <c r="E78" i="47"/>
  <c r="E77" i="47"/>
  <c r="J113" i="53"/>
  <c r="J112" i="53"/>
  <c r="J111" i="53"/>
  <c r="J10" i="53"/>
  <c r="J9" i="53"/>
  <c r="L4" i="53"/>
  <c r="L6" i="53"/>
  <c r="L62" i="53"/>
  <c r="L116" i="53"/>
  <c r="L2" i="53"/>
  <c r="L3" i="53"/>
  <c r="J32" i="52"/>
  <c r="J36" i="52"/>
  <c r="J35" i="52"/>
  <c r="G100" i="49"/>
  <c r="G98" i="49"/>
  <c r="G96" i="49"/>
  <c r="G46" i="49"/>
  <c r="L54" i="52"/>
  <c r="J31" i="52"/>
  <c r="L6" i="52"/>
  <c r="L28" i="52"/>
  <c r="L2" i="52"/>
  <c r="G3" i="52"/>
  <c r="L3" i="52" s="1"/>
  <c r="G31" i="52"/>
  <c r="F3" i="38"/>
  <c r="G3" i="38"/>
  <c r="F4" i="38"/>
  <c r="G4" i="38"/>
  <c r="F5" i="38"/>
  <c r="G5" i="38"/>
  <c r="F6" i="38"/>
  <c r="G6" i="38"/>
  <c r="F7" i="38"/>
  <c r="G7" i="38"/>
  <c r="F8" i="38"/>
  <c r="G8" i="38"/>
  <c r="F9" i="38"/>
  <c r="G9" i="38"/>
  <c r="F10" i="38"/>
  <c r="G10" i="38"/>
  <c r="F11" i="38"/>
  <c r="G11" i="38"/>
  <c r="F12" i="38"/>
  <c r="G12" i="38"/>
  <c r="F13" i="38"/>
  <c r="G13" i="38"/>
  <c r="F14" i="38"/>
  <c r="G14" i="38"/>
  <c r="F15" i="38"/>
  <c r="G15" i="38"/>
  <c r="F16" i="38"/>
  <c r="G16" i="38"/>
  <c r="F17" i="38"/>
  <c r="G17" i="38"/>
  <c r="F18" i="38"/>
  <c r="G18" i="38"/>
  <c r="F20" i="38"/>
  <c r="G20" i="38"/>
  <c r="F21" i="38"/>
  <c r="G21" i="38"/>
  <c r="F22" i="38"/>
  <c r="G22" i="38"/>
  <c r="F23" i="38"/>
  <c r="G23" i="38"/>
  <c r="F24" i="38"/>
  <c r="G24" i="38"/>
  <c r="F25" i="38"/>
  <c r="G25" i="38"/>
  <c r="F27" i="38"/>
  <c r="G27" i="38"/>
  <c r="F28" i="38"/>
  <c r="G28" i="38"/>
  <c r="F29" i="38"/>
  <c r="G29" i="38"/>
  <c r="F30" i="38"/>
  <c r="G30" i="38"/>
  <c r="F31" i="38"/>
  <c r="G31" i="38"/>
  <c r="F32" i="38"/>
  <c r="G32" i="38"/>
  <c r="F33" i="38"/>
  <c r="G33" i="38"/>
  <c r="F34" i="38"/>
  <c r="G34" i="38"/>
  <c r="F35" i="38"/>
  <c r="G35" i="38"/>
  <c r="F36" i="38"/>
  <c r="G36" i="38"/>
  <c r="F37" i="38"/>
  <c r="G37" i="38"/>
  <c r="F38" i="38"/>
  <c r="G38" i="38"/>
  <c r="F39" i="38"/>
  <c r="G39" i="38"/>
  <c r="F40" i="38"/>
  <c r="G40" i="38"/>
  <c r="F41" i="38"/>
  <c r="G41" i="38"/>
  <c r="F42" i="38"/>
  <c r="G42" i="38"/>
  <c r="F43" i="38"/>
  <c r="G43" i="38"/>
  <c r="F46" i="38"/>
  <c r="G46" i="38"/>
  <c r="F47" i="38"/>
  <c r="G47" i="38"/>
  <c r="F48" i="38"/>
  <c r="G48" i="38"/>
  <c r="F49" i="38"/>
  <c r="G49" i="38"/>
  <c r="F50" i="38"/>
  <c r="G50" i="38"/>
  <c r="F51" i="38"/>
  <c r="G51" i="38"/>
  <c r="F52" i="38"/>
  <c r="G52" i="38"/>
  <c r="F53" i="38"/>
  <c r="G53" i="38"/>
  <c r="F54" i="38"/>
  <c r="G54" i="38"/>
  <c r="F55" i="38"/>
  <c r="G55" i="38"/>
  <c r="F56" i="38"/>
  <c r="G56" i="38"/>
  <c r="F57" i="38"/>
  <c r="G57" i="38"/>
  <c r="F59" i="38"/>
  <c r="G59" i="38"/>
  <c r="F60" i="38"/>
  <c r="G60" i="38"/>
  <c r="F61" i="38"/>
  <c r="G61" i="38"/>
  <c r="F62" i="38"/>
  <c r="G62" i="38"/>
  <c r="F63" i="38"/>
  <c r="G63" i="38"/>
  <c r="F64" i="38"/>
  <c r="G64" i="38"/>
  <c r="F65" i="38"/>
  <c r="G65" i="38"/>
  <c r="F66" i="38"/>
  <c r="G66" i="38"/>
  <c r="F67" i="38"/>
  <c r="G67" i="38"/>
  <c r="F68" i="38"/>
  <c r="G68" i="38"/>
  <c r="F69" i="38"/>
  <c r="G69" i="38"/>
  <c r="F70" i="38"/>
  <c r="G70" i="38"/>
  <c r="F71" i="38"/>
  <c r="G71" i="38"/>
  <c r="F72" i="38"/>
  <c r="G72" i="38"/>
  <c r="F73" i="38"/>
  <c r="G73" i="38"/>
  <c r="F75" i="38"/>
  <c r="G75" i="38"/>
  <c r="F77" i="38"/>
  <c r="G77" i="38"/>
  <c r="F78" i="38"/>
  <c r="G78" i="38"/>
  <c r="F79" i="38"/>
  <c r="G79" i="38"/>
  <c r="F80" i="38"/>
  <c r="G80" i="38"/>
  <c r="F81" i="38"/>
  <c r="G81" i="38"/>
  <c r="F83" i="38"/>
  <c r="G83" i="38"/>
  <c r="F84" i="38"/>
  <c r="G84" i="38"/>
  <c r="H10" i="38"/>
  <c r="H41" i="38"/>
  <c r="H80" i="38"/>
  <c r="H47" i="38"/>
  <c r="H25" i="38"/>
  <c r="H24" i="38"/>
  <c r="H17" i="38"/>
  <c r="H39" i="38"/>
  <c r="H69" i="38"/>
  <c r="H22" i="38"/>
  <c r="L7" i="60"/>
  <c r="H64" i="38"/>
  <c r="H61" i="38"/>
  <c r="H42" i="38"/>
  <c r="H84" i="38"/>
  <c r="H40" i="38"/>
  <c r="H65" i="38"/>
  <c r="H4" i="38"/>
  <c r="H52" i="38"/>
  <c r="H34" i="38"/>
  <c r="L47" i="58"/>
  <c r="L48" i="58"/>
  <c r="M48" i="55"/>
  <c r="M47" i="55"/>
  <c r="J9" i="60" l="1"/>
  <c r="J8" i="60"/>
  <c r="J37" i="60"/>
  <c r="J36" i="60"/>
  <c r="J34" i="60"/>
  <c r="J35" i="60"/>
  <c r="J40" i="60"/>
  <c r="J41" i="60"/>
  <c r="J60" i="59"/>
  <c r="J59" i="59"/>
  <c r="J58" i="59"/>
  <c r="J57" i="59"/>
  <c r="J44" i="59"/>
  <c r="J43" i="59"/>
  <c r="J96" i="58"/>
  <c r="J95" i="58"/>
  <c r="J20" i="58"/>
  <c r="J19" i="58"/>
  <c r="J30" i="58"/>
  <c r="J29" i="58"/>
  <c r="J37" i="57"/>
  <c r="J38" i="57"/>
  <c r="J106" i="58"/>
  <c r="J105" i="58"/>
  <c r="J10" i="58"/>
  <c r="J9" i="58"/>
  <c r="J52" i="58"/>
  <c r="J64" i="58"/>
  <c r="J63" i="58"/>
  <c r="J51" i="58"/>
  <c r="J66" i="57"/>
  <c r="J65" i="57"/>
  <c r="J40" i="58"/>
  <c r="J39" i="58"/>
  <c r="J47" i="57"/>
  <c r="J48" i="57"/>
  <c r="J76" i="58"/>
  <c r="J75" i="58"/>
  <c r="J78" i="57"/>
  <c r="J77" i="57"/>
  <c r="J94" i="58"/>
  <c r="J93" i="58"/>
  <c r="J22" i="58"/>
  <c r="J21" i="58"/>
  <c r="J42" i="58"/>
  <c r="J41" i="58"/>
  <c r="J49" i="57"/>
  <c r="J50" i="57"/>
  <c r="J72" i="58"/>
  <c r="J71" i="58"/>
  <c r="J74" i="57"/>
  <c r="J73" i="57"/>
  <c r="J98" i="57"/>
  <c r="J97" i="57"/>
  <c r="J28" i="57"/>
  <c r="J27" i="57"/>
  <c r="J12" i="57"/>
  <c r="J11" i="57"/>
  <c r="J96" i="57"/>
  <c r="J95" i="57"/>
  <c r="J30" i="57"/>
  <c r="J29" i="57"/>
  <c r="J42" i="56"/>
  <c r="J41" i="56"/>
  <c r="J26" i="56"/>
  <c r="J25" i="56"/>
  <c r="J41" i="54"/>
  <c r="J25" i="54"/>
  <c r="J42" i="54"/>
  <c r="J26" i="54"/>
  <c r="J63" i="55"/>
  <c r="J64" i="55"/>
  <c r="J71" i="55"/>
  <c r="J51" i="55"/>
  <c r="J52" i="55"/>
  <c r="J42" i="55"/>
  <c r="L43" i="59"/>
  <c r="L9" i="58"/>
  <c r="H12" i="38"/>
  <c r="H66" i="38"/>
  <c r="H23" i="38"/>
  <c r="H29" i="38"/>
  <c r="H8" i="38"/>
  <c r="H62" i="38"/>
  <c r="H35" i="38"/>
  <c r="H11" i="38"/>
  <c r="H68" i="38"/>
  <c r="H6" i="38"/>
  <c r="H38" i="38"/>
  <c r="H43" i="38"/>
  <c r="H5" i="38"/>
  <c r="H60" i="38"/>
  <c r="H31" i="38"/>
  <c r="H55" i="38"/>
  <c r="H70" i="38"/>
  <c r="H49" i="38"/>
  <c r="H28" i="38"/>
  <c r="H83" i="38"/>
  <c r="H78" i="38"/>
  <c r="H50" i="38"/>
  <c r="H30" i="38"/>
  <c r="H14" i="38"/>
  <c r="H46" i="38"/>
  <c r="H72" i="38"/>
  <c r="H81" i="38"/>
  <c r="H36" i="38"/>
  <c r="H16" i="38"/>
  <c r="H73" i="38"/>
  <c r="H21" i="38"/>
  <c r="H13" i="38"/>
  <c r="H56" i="38"/>
  <c r="H9" i="38"/>
  <c r="H53" i="38"/>
  <c r="H67" i="38"/>
  <c r="H33" i="38"/>
  <c r="H54" i="38"/>
  <c r="H77" i="38"/>
  <c r="H32" i="38"/>
  <c r="H7" i="38"/>
  <c r="H63" i="38"/>
  <c r="H37" i="38"/>
  <c r="H79" i="38"/>
  <c r="H3" i="38"/>
  <c r="H71" i="38"/>
  <c r="H59" i="38"/>
  <c r="H51" i="38"/>
  <c r="H20" i="38"/>
  <c r="H48" i="38"/>
  <c r="H27" i="38"/>
  <c r="H15" i="38"/>
  <c r="H18" i="38"/>
  <c r="H57" i="38"/>
  <c r="H75" i="38"/>
  <c r="L8" i="60"/>
  <c r="L105" i="58"/>
  <c r="L64" i="58"/>
  <c r="L93" i="58"/>
  <c r="L96" i="58"/>
  <c r="L63" i="58"/>
  <c r="L94" i="58"/>
  <c r="L95" i="58"/>
  <c r="L75" i="58"/>
  <c r="L71" i="58"/>
  <c r="L106" i="58"/>
  <c r="L76" i="58"/>
  <c r="L72" i="58"/>
  <c r="L19" i="58"/>
  <c r="L39" i="58"/>
  <c r="L41" i="58"/>
  <c r="L30" i="58"/>
  <c r="L10" i="58"/>
  <c r="L22" i="58"/>
  <c r="L29" i="58"/>
  <c r="L51" i="58"/>
  <c r="L21" i="58"/>
  <c r="L20" i="58"/>
  <c r="L52" i="58"/>
  <c r="L40" i="58"/>
  <c r="L42" i="58"/>
  <c r="L65" i="57"/>
  <c r="L73" i="57"/>
  <c r="L95" i="57"/>
  <c r="L66" i="57"/>
  <c r="L96" i="57"/>
  <c r="L77" i="57"/>
  <c r="L97" i="57"/>
  <c r="L78" i="57"/>
  <c r="L98" i="57"/>
  <c r="L74" i="57"/>
  <c r="L38" i="57"/>
  <c r="L11" i="57"/>
  <c r="L29" i="57"/>
  <c r="L37" i="57"/>
  <c r="L12" i="57"/>
  <c r="L48" i="57"/>
  <c r="L50" i="57"/>
  <c r="L27" i="57"/>
  <c r="L47" i="57"/>
  <c r="L49" i="57"/>
  <c r="L28" i="57"/>
  <c r="L30" i="57"/>
  <c r="L42" i="56"/>
  <c r="L41" i="56"/>
  <c r="L26" i="56"/>
  <c r="L25" i="56"/>
  <c r="L41" i="54"/>
  <c r="L42" i="54"/>
  <c r="L26" i="54"/>
  <c r="L25" i="54"/>
  <c r="L9" i="60"/>
  <c r="L34" i="60"/>
  <c r="L35" i="60"/>
  <c r="L37" i="60"/>
  <c r="L40" i="60"/>
  <c r="L36" i="60"/>
  <c r="L41" i="60"/>
  <c r="L59" i="59"/>
  <c r="L57" i="59"/>
  <c r="L58" i="59"/>
  <c r="L60" i="59"/>
  <c r="L44" i="59"/>
  <c r="M64" i="55"/>
  <c r="M71" i="55"/>
  <c r="M63" i="55"/>
  <c r="M51" i="55"/>
  <c r="M42" i="55"/>
  <c r="M52" i="55"/>
  <c r="J42" i="60" l="1"/>
  <c r="J43" i="60"/>
  <c r="J39" i="60"/>
  <c r="J38" i="60"/>
  <c r="J33" i="60"/>
  <c r="J32" i="60"/>
  <c r="J16" i="60"/>
  <c r="J17" i="60"/>
  <c r="J44" i="60"/>
  <c r="J30" i="59"/>
  <c r="J29" i="59"/>
  <c r="J49" i="60"/>
  <c r="J48" i="60"/>
  <c r="J11" i="60"/>
  <c r="J10" i="60"/>
  <c r="J12" i="59"/>
  <c r="J11" i="59"/>
  <c r="J47" i="60"/>
  <c r="J46" i="60"/>
  <c r="J45" i="60"/>
  <c r="J13" i="60"/>
  <c r="J12" i="60"/>
  <c r="J28" i="59"/>
  <c r="J27" i="59"/>
  <c r="J51" i="60"/>
  <c r="J50" i="60"/>
  <c r="J54" i="59"/>
  <c r="J53" i="59"/>
  <c r="J66" i="59"/>
  <c r="J65" i="59"/>
  <c r="J22" i="59"/>
  <c r="J21" i="59"/>
  <c r="J68" i="59"/>
  <c r="J67" i="59"/>
  <c r="J20" i="59"/>
  <c r="J19" i="59"/>
  <c r="J36" i="59"/>
  <c r="J35" i="59"/>
  <c r="J48" i="59"/>
  <c r="J47" i="59"/>
  <c r="J74" i="59"/>
  <c r="J73" i="59"/>
  <c r="J8" i="59"/>
  <c r="J50" i="59"/>
  <c r="J49" i="59"/>
  <c r="J52" i="59"/>
  <c r="J51" i="59"/>
  <c r="J70" i="59"/>
  <c r="J69" i="59"/>
  <c r="J18" i="59"/>
  <c r="J17" i="59"/>
  <c r="J46" i="59"/>
  <c r="J45" i="59"/>
  <c r="J72" i="59"/>
  <c r="J71" i="59"/>
  <c r="J16" i="59"/>
  <c r="J15" i="59"/>
  <c r="J34" i="59"/>
  <c r="J33" i="59"/>
  <c r="J14" i="59"/>
  <c r="J13" i="59"/>
  <c r="J53" i="58"/>
  <c r="J54" i="58"/>
  <c r="J56" i="59"/>
  <c r="J55" i="59"/>
  <c r="J32" i="59"/>
  <c r="J31" i="59"/>
  <c r="J10" i="59"/>
  <c r="J9" i="59"/>
  <c r="J62" i="59"/>
  <c r="J61" i="59"/>
  <c r="J26" i="59"/>
  <c r="J25" i="59"/>
  <c r="J38" i="59"/>
  <c r="J42" i="59"/>
  <c r="J37" i="59"/>
  <c r="J64" i="59"/>
  <c r="J63" i="59"/>
  <c r="J24" i="59"/>
  <c r="J23" i="59"/>
  <c r="J90" i="58"/>
  <c r="J89" i="58"/>
  <c r="J64" i="57"/>
  <c r="J63" i="57"/>
  <c r="J52" i="57"/>
  <c r="J51" i="57"/>
  <c r="J102" i="58"/>
  <c r="J101" i="58"/>
  <c r="J14" i="58"/>
  <c r="J13" i="58"/>
  <c r="J50" i="58"/>
  <c r="J66" i="58"/>
  <c r="J65" i="58"/>
  <c r="J49" i="58"/>
  <c r="J68" i="57"/>
  <c r="J67" i="57"/>
  <c r="J34" i="58"/>
  <c r="J33" i="58"/>
  <c r="J41" i="57"/>
  <c r="J42" i="57"/>
  <c r="J82" i="58"/>
  <c r="J81" i="58"/>
  <c r="J84" i="57"/>
  <c r="J83" i="57"/>
  <c r="J104" i="58"/>
  <c r="J103" i="58"/>
  <c r="J12" i="58"/>
  <c r="J11" i="58"/>
  <c r="J62" i="58"/>
  <c r="J61" i="58"/>
  <c r="J62" i="57"/>
  <c r="J61" i="57"/>
  <c r="J86" i="58"/>
  <c r="J85" i="58"/>
  <c r="J88" i="58"/>
  <c r="J87" i="58"/>
  <c r="J74" i="58"/>
  <c r="J73" i="58"/>
  <c r="J76" i="57"/>
  <c r="J75" i="57"/>
  <c r="J68" i="58"/>
  <c r="J67" i="58"/>
  <c r="J70" i="57"/>
  <c r="J69" i="57"/>
  <c r="J26" i="58"/>
  <c r="J25" i="58"/>
  <c r="J56" i="58"/>
  <c r="J55" i="58"/>
  <c r="J60" i="58"/>
  <c r="J24" i="58"/>
  <c r="J92" i="58"/>
  <c r="J91" i="58"/>
  <c r="J23" i="58"/>
  <c r="J98" i="58"/>
  <c r="J97" i="58"/>
  <c r="J18" i="58"/>
  <c r="J17" i="58"/>
  <c r="J84" i="58"/>
  <c r="J83" i="58"/>
  <c r="J108" i="58"/>
  <c r="J107" i="58"/>
  <c r="J8" i="58"/>
  <c r="J36" i="58"/>
  <c r="J35" i="58"/>
  <c r="J43" i="57"/>
  <c r="J44" i="57"/>
  <c r="J80" i="58"/>
  <c r="J79" i="58"/>
  <c r="J38" i="58"/>
  <c r="J37" i="58"/>
  <c r="J46" i="57"/>
  <c r="J45" i="57"/>
  <c r="J78" i="58"/>
  <c r="J77" i="58"/>
  <c r="J79" i="57"/>
  <c r="J80" i="57"/>
  <c r="J28" i="58"/>
  <c r="J27" i="58"/>
  <c r="J100" i="58"/>
  <c r="J99" i="58"/>
  <c r="J16" i="58"/>
  <c r="J15" i="58"/>
  <c r="J92" i="57"/>
  <c r="J91" i="57"/>
  <c r="J104" i="57"/>
  <c r="J103" i="57"/>
  <c r="J22" i="57"/>
  <c r="J21" i="57"/>
  <c r="J106" i="57"/>
  <c r="J105" i="57"/>
  <c r="J20" i="57"/>
  <c r="J19" i="57"/>
  <c r="J54" i="57"/>
  <c r="J53" i="57"/>
  <c r="J86" i="57"/>
  <c r="J85" i="57"/>
  <c r="J110" i="57"/>
  <c r="J109" i="57"/>
  <c r="J8" i="57"/>
  <c r="J88" i="57"/>
  <c r="J87" i="57"/>
  <c r="J90" i="57"/>
  <c r="J89" i="57"/>
  <c r="J18" i="57"/>
  <c r="J17" i="57"/>
  <c r="J82" i="57"/>
  <c r="J81" i="57"/>
  <c r="J16" i="57"/>
  <c r="J15" i="57"/>
  <c r="J34" i="57"/>
  <c r="J33" i="57"/>
  <c r="J14" i="57"/>
  <c r="J13" i="57"/>
  <c r="J94" i="57"/>
  <c r="J93" i="57"/>
  <c r="J32" i="57"/>
  <c r="J31" i="57"/>
  <c r="J108" i="57"/>
  <c r="J107" i="57"/>
  <c r="J9" i="57"/>
  <c r="J10" i="57"/>
  <c r="J100" i="57"/>
  <c r="J99" i="57"/>
  <c r="J26" i="57"/>
  <c r="J25" i="57"/>
  <c r="J56" i="57"/>
  <c r="J60" i="57"/>
  <c r="J55" i="57"/>
  <c r="J36" i="57"/>
  <c r="J35" i="57"/>
  <c r="J102" i="57"/>
  <c r="J101" i="57"/>
  <c r="J24" i="57"/>
  <c r="J23" i="57"/>
  <c r="J58" i="56"/>
  <c r="J57" i="56"/>
  <c r="J58" i="54"/>
  <c r="J57" i="54"/>
  <c r="J40" i="56"/>
  <c r="J39" i="56"/>
  <c r="J28" i="56"/>
  <c r="J27" i="56"/>
  <c r="J39" i="54"/>
  <c r="J28" i="54"/>
  <c r="J40" i="54"/>
  <c r="J27" i="54"/>
  <c r="J38" i="56"/>
  <c r="J37" i="56"/>
  <c r="J30" i="56"/>
  <c r="J29" i="56"/>
  <c r="J37" i="54"/>
  <c r="J30" i="54"/>
  <c r="J29" i="54"/>
  <c r="J38" i="54"/>
  <c r="J13" i="56"/>
  <c r="J14" i="52"/>
  <c r="J14" i="56"/>
  <c r="J13" i="54"/>
  <c r="J14" i="54"/>
  <c r="J52" i="56"/>
  <c r="J51" i="56"/>
  <c r="J15" i="56"/>
  <c r="J16" i="56"/>
  <c r="J51" i="54"/>
  <c r="J16" i="54"/>
  <c r="J52" i="54"/>
  <c r="J15" i="54"/>
  <c r="J60" i="56"/>
  <c r="J59" i="56"/>
  <c r="J8" i="56"/>
  <c r="J24" i="56"/>
  <c r="J23" i="56"/>
  <c r="J24" i="54"/>
  <c r="J59" i="54"/>
  <c r="J23" i="54"/>
  <c r="J51" i="52"/>
  <c r="J54" i="56"/>
  <c r="J53" i="56"/>
  <c r="J53" i="54"/>
  <c r="J54" i="54"/>
  <c r="J56" i="56"/>
  <c r="J55" i="56"/>
  <c r="J55" i="54"/>
  <c r="J56" i="54"/>
  <c r="J46" i="56"/>
  <c r="J45" i="56"/>
  <c r="J46" i="54"/>
  <c r="J45" i="54"/>
  <c r="J50" i="56"/>
  <c r="J49" i="56"/>
  <c r="J18" i="56"/>
  <c r="J17" i="56"/>
  <c r="J49" i="54"/>
  <c r="J17" i="54"/>
  <c r="J50" i="54"/>
  <c r="J18" i="54"/>
  <c r="J48" i="56"/>
  <c r="J47" i="56"/>
  <c r="J48" i="54"/>
  <c r="J47" i="54"/>
  <c r="J10" i="56"/>
  <c r="J9" i="56"/>
  <c r="J9" i="54"/>
  <c r="J10" i="54"/>
  <c r="J36" i="56"/>
  <c r="J32" i="56"/>
  <c r="J31" i="56"/>
  <c r="J31" i="54"/>
  <c r="J44" i="56"/>
  <c r="J43" i="56"/>
  <c r="J43" i="54"/>
  <c r="J44" i="54"/>
  <c r="J20" i="56"/>
  <c r="J19" i="56"/>
  <c r="J20" i="54"/>
  <c r="J19" i="54"/>
  <c r="J12" i="56"/>
  <c r="J11" i="56"/>
  <c r="J11" i="54"/>
  <c r="J12" i="54"/>
  <c r="J66" i="55"/>
  <c r="J65" i="55"/>
  <c r="J67" i="55"/>
  <c r="J68" i="55"/>
  <c r="J49" i="55"/>
  <c r="J50" i="55"/>
  <c r="J89" i="55"/>
  <c r="J90" i="55"/>
  <c r="J102" i="55"/>
  <c r="J101" i="55"/>
  <c r="J14" i="55"/>
  <c r="J13" i="55"/>
  <c r="J34" i="55"/>
  <c r="J33" i="55"/>
  <c r="J81" i="55"/>
  <c r="J82" i="55"/>
  <c r="J104" i="55"/>
  <c r="J103" i="55"/>
  <c r="J12" i="55"/>
  <c r="J11" i="55"/>
  <c r="J54" i="55"/>
  <c r="J53" i="55"/>
  <c r="J62" i="55"/>
  <c r="J61" i="55"/>
  <c r="J86" i="55"/>
  <c r="J85" i="55"/>
  <c r="J87" i="55"/>
  <c r="J88" i="55"/>
  <c r="J74" i="55"/>
  <c r="J73" i="55"/>
  <c r="J31" i="55"/>
  <c r="J32" i="55"/>
  <c r="J26" i="55"/>
  <c r="J25" i="55"/>
  <c r="J56" i="55"/>
  <c r="J55" i="55"/>
  <c r="J60" i="55"/>
  <c r="J92" i="55"/>
  <c r="J91" i="55"/>
  <c r="J24" i="55"/>
  <c r="J23" i="55"/>
  <c r="J97" i="55"/>
  <c r="J18" i="55"/>
  <c r="J17" i="55"/>
  <c r="J98" i="55"/>
  <c r="J84" i="55"/>
  <c r="J83" i="55"/>
  <c r="J108" i="55"/>
  <c r="J107" i="55"/>
  <c r="J8" i="55"/>
  <c r="J36" i="55"/>
  <c r="J35" i="55"/>
  <c r="J79" i="55"/>
  <c r="J80" i="55"/>
  <c r="J38" i="55"/>
  <c r="J37" i="55"/>
  <c r="J77" i="55"/>
  <c r="J78" i="55"/>
  <c r="J28" i="55"/>
  <c r="J27" i="55"/>
  <c r="J99" i="55"/>
  <c r="J16" i="55"/>
  <c r="J100" i="55"/>
  <c r="J15" i="55"/>
  <c r="J30" i="55"/>
  <c r="J29" i="55"/>
  <c r="J96" i="55"/>
  <c r="J20" i="55"/>
  <c r="J95" i="55"/>
  <c r="J19" i="55"/>
  <c r="J106" i="55"/>
  <c r="J105" i="55"/>
  <c r="J10" i="55"/>
  <c r="J9" i="55"/>
  <c r="J40" i="55"/>
  <c r="J39" i="55"/>
  <c r="J76" i="55"/>
  <c r="J75" i="55"/>
  <c r="J94" i="55"/>
  <c r="J93" i="55"/>
  <c r="J22" i="55"/>
  <c r="J21" i="55"/>
  <c r="J41" i="55"/>
  <c r="J72" i="55"/>
  <c r="J16" i="53"/>
  <c r="J15" i="53"/>
  <c r="J28" i="53"/>
  <c r="J27" i="53"/>
  <c r="J98" i="53"/>
  <c r="J97" i="53"/>
  <c r="J24" i="53"/>
  <c r="J23" i="53"/>
  <c r="J104" i="53"/>
  <c r="J103" i="53"/>
  <c r="J18" i="53"/>
  <c r="J17" i="53"/>
  <c r="J60" i="54"/>
  <c r="J8" i="54"/>
  <c r="J102" i="53"/>
  <c r="J101" i="53"/>
  <c r="J20" i="53"/>
  <c r="J19" i="53"/>
  <c r="J56" i="53"/>
  <c r="J55" i="53"/>
  <c r="J68" i="53"/>
  <c r="J67" i="53"/>
  <c r="J86" i="53"/>
  <c r="J85" i="53"/>
  <c r="J38" i="53"/>
  <c r="J37" i="53"/>
  <c r="J58" i="53"/>
  <c r="J66" i="53"/>
  <c r="J65" i="53"/>
  <c r="J57" i="53"/>
  <c r="J52" i="53"/>
  <c r="J72" i="53"/>
  <c r="J71" i="53"/>
  <c r="J51" i="53"/>
  <c r="J48" i="53"/>
  <c r="J47" i="53"/>
  <c r="J76" i="53"/>
  <c r="J75" i="53"/>
  <c r="J32" i="54"/>
  <c r="J36" i="54"/>
  <c r="J26" i="53"/>
  <c r="J25" i="53"/>
  <c r="J94" i="53"/>
  <c r="J93" i="53"/>
  <c r="J106" i="53"/>
  <c r="J105" i="53"/>
  <c r="J53" i="53"/>
  <c r="J54" i="53"/>
  <c r="J70" i="53"/>
  <c r="J69" i="53"/>
  <c r="J100" i="53"/>
  <c r="J99" i="53"/>
  <c r="J22" i="53"/>
  <c r="J21" i="53"/>
  <c r="J90" i="53"/>
  <c r="J34" i="53"/>
  <c r="J89" i="53"/>
  <c r="J33" i="53"/>
  <c r="J50" i="53"/>
  <c r="J74" i="53"/>
  <c r="J73" i="53"/>
  <c r="J49" i="53"/>
  <c r="J109" i="53"/>
  <c r="J110" i="53"/>
  <c r="J12" i="53"/>
  <c r="J11" i="53"/>
  <c r="J44" i="53"/>
  <c r="J43" i="53"/>
  <c r="J80" i="53"/>
  <c r="J79" i="53"/>
  <c r="J32" i="53"/>
  <c r="J36" i="53"/>
  <c r="J88" i="53"/>
  <c r="J87" i="53"/>
  <c r="J35" i="53"/>
  <c r="J96" i="53"/>
  <c r="J95" i="53"/>
  <c r="J41" i="53"/>
  <c r="J82" i="53"/>
  <c r="J81" i="53"/>
  <c r="J42" i="53"/>
  <c r="J92" i="53"/>
  <c r="J91" i="53"/>
  <c r="J46" i="53"/>
  <c r="J78" i="53"/>
  <c r="J77" i="53"/>
  <c r="J45" i="53"/>
  <c r="J108" i="53"/>
  <c r="J107" i="53"/>
  <c r="J14" i="53"/>
  <c r="J13" i="53"/>
  <c r="J59" i="53"/>
  <c r="J114" i="53"/>
  <c r="J8" i="53"/>
  <c r="J64" i="53"/>
  <c r="J60" i="53"/>
  <c r="J10" i="52"/>
  <c r="J42" i="52"/>
  <c r="J41" i="52"/>
  <c r="J20" i="52"/>
  <c r="J50" i="52"/>
  <c r="J49" i="52"/>
  <c r="J46" i="52"/>
  <c r="J45" i="52"/>
  <c r="J16" i="52"/>
  <c r="J18" i="52"/>
  <c r="J44" i="52"/>
  <c r="J43" i="52"/>
  <c r="J38" i="52"/>
  <c r="J37" i="52"/>
  <c r="J48" i="52"/>
  <c r="J47" i="52"/>
  <c r="J34" i="52"/>
  <c r="J33" i="52"/>
  <c r="J9" i="52"/>
  <c r="J19" i="52"/>
  <c r="J25" i="52"/>
  <c r="J15" i="52"/>
  <c r="J17" i="52"/>
  <c r="J24" i="52"/>
  <c r="J23" i="52"/>
  <c r="J30" i="52"/>
  <c r="J26" i="52"/>
  <c r="J52" i="52"/>
  <c r="J8" i="52"/>
  <c r="I91" i="51"/>
  <c r="D91" i="51" s="1"/>
  <c r="K91" i="51"/>
  <c r="I79" i="51"/>
  <c r="D79" i="51" s="1"/>
  <c r="K79" i="51"/>
  <c r="I80" i="51"/>
  <c r="D80" i="51" s="1"/>
  <c r="K80" i="51"/>
  <c r="I81" i="51"/>
  <c r="D81" i="51" s="1"/>
  <c r="K81" i="51"/>
  <c r="I82" i="51"/>
  <c r="D82" i="51" s="1"/>
  <c r="K82" i="51"/>
  <c r="I83" i="51"/>
  <c r="D83" i="51" s="1"/>
  <c r="K83" i="51"/>
  <c r="I84" i="51"/>
  <c r="D84" i="51" s="1"/>
  <c r="K84" i="51"/>
  <c r="I85" i="51"/>
  <c r="D85" i="51" s="1"/>
  <c r="K85" i="51"/>
  <c r="I86" i="51"/>
  <c r="D86" i="51" s="1"/>
  <c r="K86" i="51"/>
  <c r="I87" i="51"/>
  <c r="D87" i="51" s="1"/>
  <c r="K87" i="51"/>
  <c r="I88" i="51"/>
  <c r="D88" i="51" s="1"/>
  <c r="K88" i="51"/>
  <c r="I89" i="51"/>
  <c r="D89" i="51" s="1"/>
  <c r="K89" i="51"/>
  <c r="I90" i="51"/>
  <c r="D90" i="51" s="1"/>
  <c r="K90" i="51"/>
  <c r="B89" i="51"/>
  <c r="B88" i="51"/>
  <c r="B90" i="51"/>
  <c r="I40" i="51"/>
  <c r="D40" i="51" s="1"/>
  <c r="I41" i="51"/>
  <c r="D41" i="51" s="1"/>
  <c r="I42" i="51"/>
  <c r="D42" i="51" s="1"/>
  <c r="I43" i="51"/>
  <c r="D43" i="51" s="1"/>
  <c r="I44" i="51"/>
  <c r="D44" i="51" s="1"/>
  <c r="I45" i="51"/>
  <c r="D45" i="51" s="1"/>
  <c r="I46" i="51"/>
  <c r="D46" i="51" s="1"/>
  <c r="I47" i="51"/>
  <c r="D47" i="51" s="1"/>
  <c r="I48" i="51"/>
  <c r="D48" i="51" s="1"/>
  <c r="I49" i="51"/>
  <c r="D49" i="51" s="1"/>
  <c r="I50" i="51"/>
  <c r="D50" i="51" s="1"/>
  <c r="K50" i="51"/>
  <c r="B47" i="51"/>
  <c r="B46" i="51"/>
  <c r="B45" i="51"/>
  <c r="B44" i="51"/>
  <c r="B94" i="51"/>
  <c r="G92" i="51" s="1"/>
  <c r="K92" i="51"/>
  <c r="I92" i="51"/>
  <c r="D92" i="51" s="1"/>
  <c r="B92" i="51"/>
  <c r="B91" i="51"/>
  <c r="B87" i="51"/>
  <c r="B86" i="51"/>
  <c r="B85" i="51"/>
  <c r="B84" i="51"/>
  <c r="B83" i="51"/>
  <c r="B82" i="51"/>
  <c r="B81" i="51"/>
  <c r="B80" i="51"/>
  <c r="B79" i="51"/>
  <c r="K78" i="51"/>
  <c r="I78" i="51"/>
  <c r="D78" i="51" s="1"/>
  <c r="B78" i="51"/>
  <c r="K77" i="51"/>
  <c r="I77" i="51"/>
  <c r="D77" i="51" s="1"/>
  <c r="B77" i="51"/>
  <c r="K76" i="51"/>
  <c r="I76" i="51"/>
  <c r="D76" i="51" s="1"/>
  <c r="B76" i="51"/>
  <c r="K75" i="51"/>
  <c r="I75" i="51"/>
  <c r="D75" i="51" s="1"/>
  <c r="B75" i="51"/>
  <c r="K74" i="51"/>
  <c r="I74" i="51"/>
  <c r="D74" i="51" s="1"/>
  <c r="B74" i="51"/>
  <c r="K73" i="51"/>
  <c r="I73" i="51"/>
  <c r="D73" i="51" s="1"/>
  <c r="B73" i="51"/>
  <c r="K72" i="51"/>
  <c r="I72" i="51"/>
  <c r="D72" i="51" s="1"/>
  <c r="B72" i="51"/>
  <c r="K71" i="51"/>
  <c r="I71" i="51"/>
  <c r="D71" i="51" s="1"/>
  <c r="B71" i="51"/>
  <c r="K70" i="51"/>
  <c r="I70" i="51"/>
  <c r="D70" i="51" s="1"/>
  <c r="B70" i="51"/>
  <c r="K69" i="51"/>
  <c r="I69" i="51"/>
  <c r="D69" i="51" s="1"/>
  <c r="B69" i="51"/>
  <c r="K68" i="51"/>
  <c r="I68" i="51"/>
  <c r="D68" i="51" s="1"/>
  <c r="B68" i="51"/>
  <c r="K67" i="51"/>
  <c r="I67" i="51"/>
  <c r="D67" i="51" s="1"/>
  <c r="B67" i="51"/>
  <c r="K66" i="51"/>
  <c r="I66" i="51"/>
  <c r="D66" i="51" s="1"/>
  <c r="B66" i="51"/>
  <c r="K65" i="51"/>
  <c r="I65" i="51"/>
  <c r="D65" i="51" s="1"/>
  <c r="B65" i="51"/>
  <c r="K64" i="51"/>
  <c r="I64" i="51"/>
  <c r="D64" i="51" s="1"/>
  <c r="B64" i="51"/>
  <c r="K63" i="51"/>
  <c r="I63" i="51"/>
  <c r="D63" i="51" s="1"/>
  <c r="B63" i="51"/>
  <c r="K62" i="51"/>
  <c r="I62" i="51"/>
  <c r="D62" i="51" s="1"/>
  <c r="B62" i="51"/>
  <c r="K61" i="51"/>
  <c r="I61" i="51"/>
  <c r="D61" i="51" s="1"/>
  <c r="B61" i="51"/>
  <c r="K60" i="51"/>
  <c r="I60" i="51"/>
  <c r="D60" i="51" s="1"/>
  <c r="B60" i="51"/>
  <c r="K59" i="51"/>
  <c r="I59" i="51"/>
  <c r="D59" i="51" s="1"/>
  <c r="B59" i="51"/>
  <c r="K58" i="51"/>
  <c r="I58" i="51"/>
  <c r="D58" i="51" s="1"/>
  <c r="B58" i="51"/>
  <c r="K57" i="51"/>
  <c r="I57" i="51"/>
  <c r="D57" i="51" s="1"/>
  <c r="B57" i="51"/>
  <c r="K56" i="51"/>
  <c r="I56" i="51"/>
  <c r="D56" i="51" s="1"/>
  <c r="B56" i="51"/>
  <c r="K55" i="51"/>
  <c r="I55" i="51"/>
  <c r="D55" i="51" s="1"/>
  <c r="B55" i="51"/>
  <c r="K54" i="51"/>
  <c r="I54" i="51"/>
  <c r="D54" i="51" s="1"/>
  <c r="B54" i="51"/>
  <c r="G52" i="51" s="1"/>
  <c r="B52" i="51"/>
  <c r="B50" i="51"/>
  <c r="B49" i="51"/>
  <c r="B48" i="51"/>
  <c r="B43" i="51"/>
  <c r="B42" i="51"/>
  <c r="B41" i="51"/>
  <c r="D39" i="51"/>
  <c r="I36" i="51"/>
  <c r="D36" i="51" s="1"/>
  <c r="B36" i="51"/>
  <c r="K35" i="51"/>
  <c r="I35" i="51"/>
  <c r="D35" i="51" s="1"/>
  <c r="B35" i="51"/>
  <c r="K34" i="51"/>
  <c r="I34" i="51"/>
  <c r="D34" i="51" s="1"/>
  <c r="B34" i="51"/>
  <c r="K33" i="51"/>
  <c r="I33" i="51"/>
  <c r="D33" i="51" s="1"/>
  <c r="B33" i="51"/>
  <c r="K32" i="51"/>
  <c r="I32" i="51"/>
  <c r="D32" i="51" s="1"/>
  <c r="B32" i="51"/>
  <c r="K31" i="51"/>
  <c r="I31" i="51"/>
  <c r="D31" i="51" s="1"/>
  <c r="B31" i="51"/>
  <c r="K30" i="51"/>
  <c r="I30" i="51"/>
  <c r="D30" i="51" s="1"/>
  <c r="B30" i="51"/>
  <c r="K29" i="51"/>
  <c r="I29" i="51"/>
  <c r="D29" i="51" s="1"/>
  <c r="B29" i="51"/>
  <c r="K28" i="51"/>
  <c r="I28" i="51"/>
  <c r="D28" i="51" s="1"/>
  <c r="B28" i="51"/>
  <c r="K27" i="51"/>
  <c r="I27" i="51"/>
  <c r="D27" i="51" s="1"/>
  <c r="B27" i="51"/>
  <c r="K26" i="51"/>
  <c r="I26" i="51"/>
  <c r="D26" i="51" s="1"/>
  <c r="B26" i="51"/>
  <c r="K25" i="51"/>
  <c r="I25" i="51"/>
  <c r="D25" i="51" s="1"/>
  <c r="B25" i="51"/>
  <c r="K24" i="51"/>
  <c r="I24" i="51"/>
  <c r="D24" i="51" s="1"/>
  <c r="B24" i="51"/>
  <c r="K23" i="51"/>
  <c r="I23" i="51"/>
  <c r="D23" i="51" s="1"/>
  <c r="B23" i="51"/>
  <c r="K22" i="51"/>
  <c r="I22" i="51"/>
  <c r="D22" i="51" s="1"/>
  <c r="B22" i="51"/>
  <c r="K21" i="51"/>
  <c r="I21" i="51"/>
  <c r="D21" i="51" s="1"/>
  <c r="B21" i="51"/>
  <c r="K20" i="51"/>
  <c r="I20" i="51"/>
  <c r="D20" i="51" s="1"/>
  <c r="B20" i="51"/>
  <c r="K19" i="51"/>
  <c r="I19" i="51"/>
  <c r="D19" i="51" s="1"/>
  <c r="B19" i="51"/>
  <c r="K18" i="51"/>
  <c r="I18" i="51"/>
  <c r="D18" i="51" s="1"/>
  <c r="B18" i="51"/>
  <c r="K17" i="51"/>
  <c r="I17" i="51"/>
  <c r="D17" i="51" s="1"/>
  <c r="B17" i="51"/>
  <c r="K16" i="51"/>
  <c r="I16" i="51"/>
  <c r="D16" i="51" s="1"/>
  <c r="B16" i="51"/>
  <c r="K15" i="51"/>
  <c r="I15" i="51"/>
  <c r="D15" i="51" s="1"/>
  <c r="B15" i="51"/>
  <c r="K14" i="51"/>
  <c r="I14" i="51"/>
  <c r="D14" i="51" s="1"/>
  <c r="B14" i="51"/>
  <c r="K13" i="51"/>
  <c r="I13" i="51"/>
  <c r="D13" i="51" s="1"/>
  <c r="B13" i="51"/>
  <c r="K12" i="51"/>
  <c r="I12" i="51"/>
  <c r="D12" i="51" s="1"/>
  <c r="B12" i="51"/>
  <c r="K11" i="51"/>
  <c r="I11" i="51"/>
  <c r="D11" i="51" s="1"/>
  <c r="B11" i="51"/>
  <c r="K10" i="51"/>
  <c r="I10" i="51"/>
  <c r="D10" i="51" s="1"/>
  <c r="B10" i="51"/>
  <c r="K9" i="51"/>
  <c r="I9" i="51"/>
  <c r="D9" i="51" s="1"/>
  <c r="B9" i="51"/>
  <c r="G8" i="51" s="1"/>
  <c r="K8" i="51"/>
  <c r="I8" i="51"/>
  <c r="D8" i="51" s="1"/>
  <c r="B8" i="51"/>
  <c r="G6" i="51" s="1"/>
  <c r="B6" i="51"/>
  <c r="B4" i="51"/>
  <c r="B3" i="51"/>
  <c r="G94" i="51" s="1"/>
  <c r="L38" i="59"/>
  <c r="L61" i="58"/>
  <c r="L61" i="57"/>
  <c r="L108" i="58"/>
  <c r="L8" i="58"/>
  <c r="L9" i="57"/>
  <c r="L56" i="57"/>
  <c r="L37" i="56"/>
  <c r="L9" i="54"/>
  <c r="L36" i="56"/>
  <c r="M56" i="55"/>
  <c r="M60" i="55"/>
  <c r="L60" i="54"/>
  <c r="L32" i="54"/>
  <c r="M8" i="55"/>
  <c r="L51" i="60"/>
  <c r="L74" i="59"/>
  <c r="L8" i="59"/>
  <c r="L9" i="59"/>
  <c r="L42" i="59"/>
  <c r="L56" i="58"/>
  <c r="L60" i="58"/>
  <c r="L110" i="57"/>
  <c r="L8" i="57"/>
  <c r="L60" i="57"/>
  <c r="L37" i="54"/>
  <c r="L60" i="56"/>
  <c r="L8" i="56"/>
  <c r="L9" i="56"/>
  <c r="L32" i="56"/>
  <c r="M61" i="55"/>
  <c r="M108" i="55"/>
  <c r="M9" i="55"/>
  <c r="L8" i="54"/>
  <c r="L36" i="54"/>
  <c r="L101" i="58"/>
  <c r="L81" i="58"/>
  <c r="L85" i="58"/>
  <c r="L73" i="58"/>
  <c r="L91" i="58"/>
  <c r="L84" i="58"/>
  <c r="L77" i="58"/>
  <c r="L102" i="58"/>
  <c r="L82" i="58"/>
  <c r="L62" i="58"/>
  <c r="L88" i="58"/>
  <c r="L68" i="58"/>
  <c r="L97" i="58"/>
  <c r="L107" i="58"/>
  <c r="L78" i="58"/>
  <c r="L86" i="58"/>
  <c r="L83" i="58"/>
  <c r="L100" i="58"/>
  <c r="L89" i="58"/>
  <c r="L66" i="58"/>
  <c r="L103" i="58"/>
  <c r="L87" i="58"/>
  <c r="L67" i="58"/>
  <c r="L98" i="58"/>
  <c r="L79" i="58"/>
  <c r="L99" i="58"/>
  <c r="L90" i="58"/>
  <c r="L65" i="58"/>
  <c r="L104" i="58"/>
  <c r="L74" i="58"/>
  <c r="L92" i="58"/>
  <c r="L80" i="58"/>
  <c r="L53" i="58"/>
  <c r="L13" i="58"/>
  <c r="L49" i="58"/>
  <c r="L11" i="58"/>
  <c r="L55" i="58"/>
  <c r="L18" i="58"/>
  <c r="L35" i="58"/>
  <c r="L27" i="58"/>
  <c r="L54" i="58"/>
  <c r="L34" i="58"/>
  <c r="L38" i="58"/>
  <c r="L16" i="58"/>
  <c r="L33" i="58"/>
  <c r="L25" i="58"/>
  <c r="L24" i="58"/>
  <c r="L14" i="58"/>
  <c r="L12" i="58"/>
  <c r="L26" i="58"/>
  <c r="L23" i="58"/>
  <c r="L17" i="58"/>
  <c r="L37" i="58"/>
  <c r="L15" i="58"/>
  <c r="L50" i="58"/>
  <c r="L36" i="58"/>
  <c r="L28" i="58"/>
  <c r="L67" i="57"/>
  <c r="L103" i="57"/>
  <c r="L85" i="57"/>
  <c r="L88" i="57"/>
  <c r="L82" i="57"/>
  <c r="L108" i="57"/>
  <c r="L100" i="57"/>
  <c r="L101" i="57"/>
  <c r="L64" i="57"/>
  <c r="L84" i="57"/>
  <c r="L62" i="57"/>
  <c r="L76" i="57"/>
  <c r="L70" i="57"/>
  <c r="L92" i="57"/>
  <c r="L87" i="57"/>
  <c r="L107" i="57"/>
  <c r="L63" i="57"/>
  <c r="L83" i="57"/>
  <c r="L75" i="57"/>
  <c r="L69" i="57"/>
  <c r="L80" i="57"/>
  <c r="L91" i="57"/>
  <c r="L105" i="57"/>
  <c r="L109" i="57"/>
  <c r="L90" i="57"/>
  <c r="L94" i="57"/>
  <c r="L68" i="57"/>
  <c r="L104" i="57"/>
  <c r="L86" i="57"/>
  <c r="L89" i="57"/>
  <c r="L93" i="57"/>
  <c r="L99" i="57"/>
  <c r="L102" i="57"/>
  <c r="L79" i="57"/>
  <c r="L106" i="57"/>
  <c r="L81" i="57"/>
  <c r="L51" i="57"/>
  <c r="L44" i="57"/>
  <c r="L53" i="57"/>
  <c r="L34" i="57"/>
  <c r="L35" i="57"/>
  <c r="L23" i="57"/>
  <c r="L41" i="57"/>
  <c r="L46" i="57"/>
  <c r="L22" i="57"/>
  <c r="L20" i="57"/>
  <c r="L33" i="57"/>
  <c r="L10" i="57"/>
  <c r="L36" i="57"/>
  <c r="L42" i="57"/>
  <c r="L45" i="57"/>
  <c r="L21" i="57"/>
  <c r="L19" i="57"/>
  <c r="L18" i="57"/>
  <c r="L16" i="57"/>
  <c r="L14" i="57"/>
  <c r="L32" i="57"/>
  <c r="L26" i="57"/>
  <c r="L55" i="57"/>
  <c r="L52" i="57"/>
  <c r="L43" i="57"/>
  <c r="L54" i="57"/>
  <c r="L17" i="57"/>
  <c r="L15" i="57"/>
  <c r="L13" i="57"/>
  <c r="L31" i="57"/>
  <c r="L25" i="57"/>
  <c r="L24" i="57"/>
  <c r="L39" i="56"/>
  <c r="L51" i="56"/>
  <c r="L54" i="56"/>
  <c r="L46" i="56"/>
  <c r="L48" i="56"/>
  <c r="L58" i="56"/>
  <c r="L38" i="56"/>
  <c r="L52" i="56"/>
  <c r="L55" i="56"/>
  <c r="L49" i="56"/>
  <c r="L43" i="56"/>
  <c r="L44" i="56"/>
  <c r="L53" i="56"/>
  <c r="L47" i="56"/>
  <c r="L57" i="56"/>
  <c r="L59" i="56"/>
  <c r="L56" i="56"/>
  <c r="L50" i="56"/>
  <c r="L40" i="56"/>
  <c r="L45" i="56"/>
  <c r="L18" i="56"/>
  <c r="L10" i="56"/>
  <c r="L12" i="56"/>
  <c r="L14" i="56"/>
  <c r="L15" i="56"/>
  <c r="L17" i="56"/>
  <c r="L11" i="56"/>
  <c r="L27" i="56"/>
  <c r="L16" i="56"/>
  <c r="L31" i="56"/>
  <c r="L28" i="56"/>
  <c r="L13" i="56"/>
  <c r="L19" i="56"/>
  <c r="L29" i="56"/>
  <c r="L24" i="56"/>
  <c r="L20" i="56"/>
  <c r="L30" i="56"/>
  <c r="L23" i="56"/>
  <c r="L57" i="54"/>
  <c r="L49" i="54"/>
  <c r="L39" i="54"/>
  <c r="L52" i="54"/>
  <c r="L59" i="54"/>
  <c r="L54" i="54"/>
  <c r="L56" i="54"/>
  <c r="L45" i="54"/>
  <c r="L47" i="54"/>
  <c r="L44" i="54"/>
  <c r="L53" i="54"/>
  <c r="L55" i="54"/>
  <c r="L46" i="54"/>
  <c r="L50" i="54"/>
  <c r="L43" i="54"/>
  <c r="L58" i="54"/>
  <c r="L51" i="54"/>
  <c r="L38" i="54"/>
  <c r="L48" i="54"/>
  <c r="L40" i="54"/>
  <c r="L27" i="54"/>
  <c r="L16" i="54"/>
  <c r="L24" i="54"/>
  <c r="L13" i="54"/>
  <c r="L18" i="54"/>
  <c r="L10" i="54"/>
  <c r="L31" i="54"/>
  <c r="L19" i="54"/>
  <c r="L12" i="54"/>
  <c r="L28" i="54"/>
  <c r="L30" i="54"/>
  <c r="L14" i="54"/>
  <c r="L15" i="54"/>
  <c r="L23" i="54"/>
  <c r="L20" i="54"/>
  <c r="L11" i="54"/>
  <c r="L29" i="54"/>
  <c r="L17" i="54"/>
  <c r="L26" i="60"/>
  <c r="L42" i="60"/>
  <c r="L33" i="60"/>
  <c r="L16" i="60"/>
  <c r="L18" i="60"/>
  <c r="L48" i="60"/>
  <c r="L46" i="60"/>
  <c r="L30" i="60"/>
  <c r="L50" i="60"/>
  <c r="L27" i="60"/>
  <c r="L43" i="60"/>
  <c r="L32" i="60"/>
  <c r="L17" i="60"/>
  <c r="L11" i="60"/>
  <c r="L13" i="60"/>
  <c r="L24" i="60"/>
  <c r="L39" i="60"/>
  <c r="L23" i="60"/>
  <c r="L44" i="60"/>
  <c r="L28" i="60"/>
  <c r="L10" i="60"/>
  <c r="L20" i="60"/>
  <c r="L12" i="60"/>
  <c r="L25" i="60"/>
  <c r="L38" i="60"/>
  <c r="L22" i="60"/>
  <c r="L31" i="60"/>
  <c r="L49" i="60"/>
  <c r="L47" i="60"/>
  <c r="L45" i="60"/>
  <c r="L29" i="60"/>
  <c r="L21" i="60"/>
  <c r="L65" i="59"/>
  <c r="L47" i="59"/>
  <c r="L50" i="59"/>
  <c r="L70" i="59"/>
  <c r="L72" i="59"/>
  <c r="L56" i="59"/>
  <c r="L66" i="59"/>
  <c r="L48" i="59"/>
  <c r="L51" i="59"/>
  <c r="L45" i="59"/>
  <c r="L61" i="59"/>
  <c r="L53" i="59"/>
  <c r="L67" i="59"/>
  <c r="L73" i="59"/>
  <c r="L52" i="59"/>
  <c r="L46" i="59"/>
  <c r="L62" i="59"/>
  <c r="L63" i="59"/>
  <c r="L54" i="59"/>
  <c r="L68" i="59"/>
  <c r="L49" i="59"/>
  <c r="L69" i="59"/>
  <c r="L71" i="59"/>
  <c r="L55" i="59"/>
  <c r="L64" i="59"/>
  <c r="L29" i="59"/>
  <c r="L27" i="59"/>
  <c r="L21" i="59"/>
  <c r="L16" i="59"/>
  <c r="L10" i="59"/>
  <c r="L37" i="59"/>
  <c r="L36" i="59"/>
  <c r="L13" i="59"/>
  <c r="L11" i="59"/>
  <c r="L35" i="59"/>
  <c r="L18" i="59"/>
  <c r="L34" i="59"/>
  <c r="L32" i="59"/>
  <c r="L30" i="59"/>
  <c r="L28" i="59"/>
  <c r="L22" i="59"/>
  <c r="L20" i="59"/>
  <c r="L17" i="59"/>
  <c r="L33" i="59"/>
  <c r="L31" i="59"/>
  <c r="L24" i="59"/>
  <c r="L19" i="59"/>
  <c r="L14" i="59"/>
  <c r="L26" i="59"/>
  <c r="L23" i="59"/>
  <c r="L12" i="59"/>
  <c r="L15" i="59"/>
  <c r="L25" i="59"/>
  <c r="M67" i="55"/>
  <c r="M102" i="55"/>
  <c r="M104" i="55"/>
  <c r="M86" i="55"/>
  <c r="M74" i="55"/>
  <c r="M98" i="55"/>
  <c r="M107" i="55"/>
  <c r="M77" i="55"/>
  <c r="M100" i="55"/>
  <c r="M95" i="55"/>
  <c r="M76" i="55"/>
  <c r="M68" i="55"/>
  <c r="M101" i="55"/>
  <c r="M103" i="55"/>
  <c r="M85" i="55"/>
  <c r="M73" i="55"/>
  <c r="M97" i="55"/>
  <c r="M78" i="55"/>
  <c r="M93" i="55"/>
  <c r="M65" i="55"/>
  <c r="M82" i="55"/>
  <c r="M92" i="55"/>
  <c r="M80" i="55"/>
  <c r="M75" i="55"/>
  <c r="M66" i="55"/>
  <c r="M89" i="55"/>
  <c r="M81" i="55"/>
  <c r="M62" i="55"/>
  <c r="M87" i="55"/>
  <c r="M91" i="55"/>
  <c r="M83" i="55"/>
  <c r="M79" i="55"/>
  <c r="M99" i="55"/>
  <c r="M96" i="55"/>
  <c r="M106" i="55"/>
  <c r="M94" i="55"/>
  <c r="M90" i="55"/>
  <c r="M88" i="55"/>
  <c r="M84" i="55"/>
  <c r="M105" i="55"/>
  <c r="M72" i="55"/>
  <c r="M14" i="55"/>
  <c r="M12" i="55"/>
  <c r="M31" i="55"/>
  <c r="M18" i="55"/>
  <c r="M36" i="55"/>
  <c r="M38" i="55"/>
  <c r="M28" i="55"/>
  <c r="M40" i="55"/>
  <c r="M41" i="55"/>
  <c r="M50" i="55"/>
  <c r="M33" i="55"/>
  <c r="M53" i="55"/>
  <c r="M25" i="55"/>
  <c r="M35" i="55"/>
  <c r="M37" i="55"/>
  <c r="M27" i="55"/>
  <c r="M15" i="55"/>
  <c r="M20" i="55"/>
  <c r="M39" i="55"/>
  <c r="M49" i="55"/>
  <c r="M34" i="55"/>
  <c r="M54" i="55"/>
  <c r="M26" i="55"/>
  <c r="M23" i="55"/>
  <c r="M30" i="55"/>
  <c r="M10" i="55"/>
  <c r="M22" i="55"/>
  <c r="M13" i="55"/>
  <c r="M11" i="55"/>
  <c r="M32" i="55"/>
  <c r="M55" i="55"/>
  <c r="M24" i="55"/>
  <c r="M17" i="55"/>
  <c r="M16" i="55"/>
  <c r="M29" i="55"/>
  <c r="M19" i="55"/>
  <c r="M21" i="55"/>
  <c r="L39" i="51"/>
  <c r="A4" i="51"/>
  <c r="A3" i="51"/>
  <c r="A2" i="51"/>
  <c r="J57" i="51" l="1"/>
  <c r="J58" i="51"/>
  <c r="J88" i="51"/>
  <c r="J12" i="51"/>
  <c r="J87" i="51"/>
  <c r="J11" i="51"/>
  <c r="L94" i="51"/>
  <c r="G4" i="51"/>
  <c r="L52" i="51"/>
  <c r="L4" i="51"/>
  <c r="L6" i="51"/>
  <c r="L2" i="51"/>
  <c r="G3" i="51"/>
  <c r="L3" i="51" s="1"/>
  <c r="L88" i="51"/>
  <c r="L87" i="51"/>
  <c r="L57" i="51"/>
  <c r="L58" i="51"/>
  <c r="J64" i="51" l="1"/>
  <c r="J63" i="51"/>
  <c r="L64" i="51"/>
  <c r="L63" i="51"/>
  <c r="J82" i="49" l="1"/>
  <c r="J83" i="49"/>
  <c r="J84" i="49"/>
  <c r="J85" i="49"/>
  <c r="J86" i="49"/>
  <c r="J87" i="49"/>
  <c r="J88" i="49"/>
  <c r="J89" i="49"/>
  <c r="J90" i="49"/>
  <c r="I82" i="49"/>
  <c r="D82" i="49" s="1"/>
  <c r="I83" i="49"/>
  <c r="D83" i="49" s="1"/>
  <c r="I84" i="49"/>
  <c r="D84" i="49" s="1"/>
  <c r="I85" i="49"/>
  <c r="D85" i="49" s="1"/>
  <c r="I86" i="49"/>
  <c r="D86" i="49" s="1"/>
  <c r="I87" i="49"/>
  <c r="D87" i="49" s="1"/>
  <c r="I88" i="49"/>
  <c r="D88" i="49" s="1"/>
  <c r="I89" i="49"/>
  <c r="D89" i="49" s="1"/>
  <c r="I90" i="49"/>
  <c r="D90" i="49" s="1"/>
  <c r="B82" i="49"/>
  <c r="G81" i="49" s="1"/>
  <c r="B83" i="49"/>
  <c r="G82" i="49" s="1"/>
  <c r="B84" i="49"/>
  <c r="G83" i="49" s="1"/>
  <c r="B85" i="49"/>
  <c r="G84" i="49" s="1"/>
  <c r="B86" i="49"/>
  <c r="G85" i="49" s="1"/>
  <c r="B87" i="49"/>
  <c r="G86" i="49" s="1"/>
  <c r="B88" i="49"/>
  <c r="G87" i="49" s="1"/>
  <c r="B89" i="49"/>
  <c r="G88" i="49" s="1"/>
  <c r="B90" i="49"/>
  <c r="G89" i="49" s="1"/>
  <c r="B81" i="49"/>
  <c r="I81" i="49"/>
  <c r="D81" i="49" s="1"/>
  <c r="J81" i="49"/>
  <c r="K81" i="49"/>
  <c r="K82" i="49"/>
  <c r="K83" i="49"/>
  <c r="K88" i="49"/>
  <c r="K89" i="49"/>
  <c r="K90" i="49"/>
  <c r="B91" i="49"/>
  <c r="G90" i="49" s="1"/>
  <c r="I91" i="49"/>
  <c r="D91" i="49" s="1"/>
  <c r="J91" i="49"/>
  <c r="K91" i="49"/>
  <c r="B92" i="49"/>
  <c r="G91" i="49" s="1"/>
  <c r="I92" i="49"/>
  <c r="D92" i="49" s="1"/>
  <c r="J92" i="49"/>
  <c r="K92" i="49"/>
  <c r="J76" i="51" l="1"/>
  <c r="J75" i="51"/>
  <c r="J24" i="51"/>
  <c r="J23" i="51"/>
  <c r="B103" i="49"/>
  <c r="I103" i="49"/>
  <c r="D103" i="49" s="1"/>
  <c r="J103" i="49"/>
  <c r="K103" i="49"/>
  <c r="I34" i="49"/>
  <c r="D34" i="49" s="1"/>
  <c r="J34" i="49"/>
  <c r="I35" i="49"/>
  <c r="D35" i="49" s="1"/>
  <c r="J35" i="49"/>
  <c r="I36" i="49"/>
  <c r="D36" i="49" s="1"/>
  <c r="J36" i="49"/>
  <c r="I37" i="49"/>
  <c r="D37" i="49" s="1"/>
  <c r="J37" i="49"/>
  <c r="I38" i="49"/>
  <c r="D38" i="49" s="1"/>
  <c r="J38" i="49"/>
  <c r="I39" i="49"/>
  <c r="D39" i="49" s="1"/>
  <c r="J39" i="49"/>
  <c r="I40" i="49"/>
  <c r="D40" i="49" s="1"/>
  <c r="J40" i="49"/>
  <c r="I41" i="49"/>
  <c r="D41" i="49" s="1"/>
  <c r="J41" i="49"/>
  <c r="I42" i="49"/>
  <c r="D42" i="49" s="1"/>
  <c r="J42" i="49"/>
  <c r="I51" i="49"/>
  <c r="D51" i="49" s="1"/>
  <c r="J51" i="49"/>
  <c r="B36" i="49"/>
  <c r="G35" i="49" s="1"/>
  <c r="B37" i="49"/>
  <c r="G36" i="49" s="1"/>
  <c r="B38" i="49"/>
  <c r="G37" i="49" s="1"/>
  <c r="B39" i="49"/>
  <c r="G38" i="49" s="1"/>
  <c r="B40" i="49"/>
  <c r="G39" i="49" s="1"/>
  <c r="B41" i="49"/>
  <c r="G40" i="49" s="1"/>
  <c r="B42" i="49"/>
  <c r="G41" i="49" s="1"/>
  <c r="B51" i="49"/>
  <c r="B108" i="49"/>
  <c r="G106" i="49" s="1"/>
  <c r="K106" i="49"/>
  <c r="I106" i="49"/>
  <c r="D106" i="49" s="1"/>
  <c r="B106" i="49"/>
  <c r="G105" i="49" s="1"/>
  <c r="K105" i="49"/>
  <c r="I105" i="49"/>
  <c r="D105" i="49" s="1"/>
  <c r="B105" i="49"/>
  <c r="G104" i="49" s="1"/>
  <c r="K104" i="49"/>
  <c r="I104" i="49"/>
  <c r="D104" i="49" s="1"/>
  <c r="B104" i="49"/>
  <c r="G103" i="49" s="1"/>
  <c r="K80" i="49"/>
  <c r="I80" i="49"/>
  <c r="D80" i="49" s="1"/>
  <c r="G80" i="49"/>
  <c r="B80" i="49"/>
  <c r="G79" i="49" s="1"/>
  <c r="K79" i="49"/>
  <c r="I79" i="49"/>
  <c r="D79" i="49" s="1"/>
  <c r="B79" i="49"/>
  <c r="G78" i="49" s="1"/>
  <c r="K78" i="49"/>
  <c r="I78" i="49"/>
  <c r="D78" i="49" s="1"/>
  <c r="B78" i="49"/>
  <c r="G77" i="49" s="1"/>
  <c r="K77" i="49"/>
  <c r="I77" i="49"/>
  <c r="D77" i="49" s="1"/>
  <c r="B77" i="49"/>
  <c r="G76" i="49" s="1"/>
  <c r="K76" i="49"/>
  <c r="I76" i="49"/>
  <c r="D76" i="49" s="1"/>
  <c r="B76" i="49"/>
  <c r="G75" i="49" s="1"/>
  <c r="K75" i="49"/>
  <c r="I75" i="49"/>
  <c r="D75" i="49" s="1"/>
  <c r="B75" i="49"/>
  <c r="G74" i="49" s="1"/>
  <c r="K74" i="49"/>
  <c r="I74" i="49"/>
  <c r="D74" i="49" s="1"/>
  <c r="B74" i="49"/>
  <c r="G73" i="49" s="1"/>
  <c r="K73" i="49"/>
  <c r="I73" i="49"/>
  <c r="D73" i="49" s="1"/>
  <c r="B73" i="49"/>
  <c r="G72" i="49" s="1"/>
  <c r="K72" i="49"/>
  <c r="I72" i="49"/>
  <c r="D72" i="49" s="1"/>
  <c r="B72" i="49"/>
  <c r="G71" i="49" s="1"/>
  <c r="K71" i="49"/>
  <c r="I71" i="49"/>
  <c r="D71" i="49" s="1"/>
  <c r="B71" i="49"/>
  <c r="G70" i="49" s="1"/>
  <c r="K70" i="49"/>
  <c r="I70" i="49"/>
  <c r="D70" i="49" s="1"/>
  <c r="B70" i="49"/>
  <c r="G69" i="49" s="1"/>
  <c r="K69" i="49"/>
  <c r="I69" i="49"/>
  <c r="D69" i="49" s="1"/>
  <c r="B69" i="49"/>
  <c r="G68" i="49" s="1"/>
  <c r="K68" i="49"/>
  <c r="I68" i="49"/>
  <c r="D68" i="49" s="1"/>
  <c r="B68" i="49"/>
  <c r="G67" i="49" s="1"/>
  <c r="K67" i="49"/>
  <c r="I67" i="49"/>
  <c r="D67" i="49" s="1"/>
  <c r="B67" i="49"/>
  <c r="G66" i="49" s="1"/>
  <c r="K66" i="49"/>
  <c r="I66" i="49"/>
  <c r="D66" i="49" s="1"/>
  <c r="B66" i="49"/>
  <c r="G65" i="49" s="1"/>
  <c r="K65" i="49"/>
  <c r="I65" i="49"/>
  <c r="D65" i="49" s="1"/>
  <c r="B65" i="49"/>
  <c r="G64" i="49" s="1"/>
  <c r="K64" i="49"/>
  <c r="I64" i="49"/>
  <c r="D64" i="49" s="1"/>
  <c r="B64" i="49"/>
  <c r="G63" i="49" s="1"/>
  <c r="K63" i="49"/>
  <c r="I63" i="49"/>
  <c r="D63" i="49" s="1"/>
  <c r="B63" i="49"/>
  <c r="G62" i="49" s="1"/>
  <c r="K62" i="49"/>
  <c r="I62" i="49"/>
  <c r="D62" i="49" s="1"/>
  <c r="B62" i="49"/>
  <c r="G61" i="49" s="1"/>
  <c r="K61" i="49"/>
  <c r="I61" i="49"/>
  <c r="D61" i="49" s="1"/>
  <c r="B61" i="49"/>
  <c r="G60" i="49" s="1"/>
  <c r="K60" i="49"/>
  <c r="I60" i="49"/>
  <c r="D60" i="49" s="1"/>
  <c r="B60" i="49"/>
  <c r="G59" i="49" s="1"/>
  <c r="K59" i="49"/>
  <c r="I59" i="49"/>
  <c r="D59" i="49" s="1"/>
  <c r="B59" i="49"/>
  <c r="G58" i="49" s="1"/>
  <c r="K58" i="49"/>
  <c r="I58" i="49"/>
  <c r="D58" i="49" s="1"/>
  <c r="B58" i="49"/>
  <c r="G56" i="49" s="1"/>
  <c r="B56" i="49"/>
  <c r="G54" i="49" s="1"/>
  <c r="K54" i="49"/>
  <c r="I54" i="49"/>
  <c r="D54" i="49" s="1"/>
  <c r="B54" i="49"/>
  <c r="G53" i="49" s="1"/>
  <c r="K53" i="49"/>
  <c r="I53" i="49"/>
  <c r="D53" i="49" s="1"/>
  <c r="B53" i="49"/>
  <c r="G52" i="49" s="1"/>
  <c r="K52" i="49"/>
  <c r="I52" i="49"/>
  <c r="D52" i="49" s="1"/>
  <c r="B52" i="49"/>
  <c r="G51" i="49" s="1"/>
  <c r="K51" i="49"/>
  <c r="K42" i="49"/>
  <c r="K35" i="49"/>
  <c r="B35" i="49"/>
  <c r="G34" i="49" s="1"/>
  <c r="K34" i="49"/>
  <c r="B34" i="49"/>
  <c r="G33" i="49" s="1"/>
  <c r="K33" i="49"/>
  <c r="I33" i="49"/>
  <c r="D33" i="49" s="1"/>
  <c r="B33" i="49"/>
  <c r="G32" i="49" s="1"/>
  <c r="K32" i="49"/>
  <c r="I32" i="49"/>
  <c r="D32" i="49" s="1"/>
  <c r="B32" i="49"/>
  <c r="G31" i="49" s="1"/>
  <c r="K31" i="49"/>
  <c r="I31" i="49"/>
  <c r="D31" i="49" s="1"/>
  <c r="B31" i="49"/>
  <c r="G30" i="49" s="1"/>
  <c r="K30" i="49"/>
  <c r="I30" i="49"/>
  <c r="D30" i="49" s="1"/>
  <c r="B30" i="49"/>
  <c r="G29" i="49" s="1"/>
  <c r="K29" i="49"/>
  <c r="I29" i="49"/>
  <c r="D29" i="49" s="1"/>
  <c r="B29" i="49"/>
  <c r="G28" i="49" s="1"/>
  <c r="K28" i="49"/>
  <c r="I28" i="49"/>
  <c r="D28" i="49" s="1"/>
  <c r="B28" i="49"/>
  <c r="G27" i="49" s="1"/>
  <c r="K27" i="49"/>
  <c r="I27" i="49"/>
  <c r="D27" i="49" s="1"/>
  <c r="B27" i="49"/>
  <c r="G26" i="49" s="1"/>
  <c r="K26" i="49"/>
  <c r="I26" i="49"/>
  <c r="D26" i="49" s="1"/>
  <c r="B26" i="49"/>
  <c r="G25" i="49" s="1"/>
  <c r="K25" i="49"/>
  <c r="I25" i="49"/>
  <c r="D25" i="49" s="1"/>
  <c r="B25" i="49"/>
  <c r="G24" i="49" s="1"/>
  <c r="K24" i="49"/>
  <c r="I24" i="49"/>
  <c r="D24" i="49" s="1"/>
  <c r="B24" i="49"/>
  <c r="G23" i="49" s="1"/>
  <c r="K23" i="49"/>
  <c r="I23" i="49"/>
  <c r="D23" i="49" s="1"/>
  <c r="B23" i="49"/>
  <c r="G22" i="49" s="1"/>
  <c r="K22" i="49"/>
  <c r="I22" i="49"/>
  <c r="D22" i="49" s="1"/>
  <c r="B22" i="49"/>
  <c r="G21" i="49" s="1"/>
  <c r="K21" i="49"/>
  <c r="I21" i="49"/>
  <c r="D21" i="49" s="1"/>
  <c r="B21" i="49"/>
  <c r="G20" i="49" s="1"/>
  <c r="K20" i="49"/>
  <c r="I20" i="49"/>
  <c r="D20" i="49" s="1"/>
  <c r="B20" i="49"/>
  <c r="G19" i="49" s="1"/>
  <c r="K19" i="49"/>
  <c r="I19" i="49"/>
  <c r="D19" i="49" s="1"/>
  <c r="B19" i="49"/>
  <c r="G18" i="49" s="1"/>
  <c r="K18" i="49"/>
  <c r="I18" i="49"/>
  <c r="D18" i="49" s="1"/>
  <c r="B18" i="49"/>
  <c r="G17" i="49" s="1"/>
  <c r="K17" i="49"/>
  <c r="I17" i="49"/>
  <c r="D17" i="49" s="1"/>
  <c r="B17" i="49"/>
  <c r="G16" i="49" s="1"/>
  <c r="K16" i="49"/>
  <c r="I16" i="49"/>
  <c r="D16" i="49" s="1"/>
  <c r="B16" i="49"/>
  <c r="G15" i="49" s="1"/>
  <c r="K15" i="49"/>
  <c r="I15" i="49"/>
  <c r="D15" i="49" s="1"/>
  <c r="B15" i="49"/>
  <c r="G14" i="49" s="1"/>
  <c r="K14" i="49"/>
  <c r="I14" i="49"/>
  <c r="D14" i="49" s="1"/>
  <c r="B14" i="49"/>
  <c r="G13" i="49" s="1"/>
  <c r="K13" i="49"/>
  <c r="I13" i="49"/>
  <c r="D13" i="49" s="1"/>
  <c r="B13" i="49"/>
  <c r="G12" i="49" s="1"/>
  <c r="K12" i="49"/>
  <c r="I12" i="49"/>
  <c r="D12" i="49" s="1"/>
  <c r="B12" i="49"/>
  <c r="G11" i="49" s="1"/>
  <c r="K11" i="49"/>
  <c r="I11" i="49"/>
  <c r="D11" i="49" s="1"/>
  <c r="B11" i="49"/>
  <c r="G10" i="49" s="1"/>
  <c r="K10" i="49"/>
  <c r="I10" i="49"/>
  <c r="D10" i="49" s="1"/>
  <c r="B10" i="49"/>
  <c r="G9" i="49" s="1"/>
  <c r="K9" i="49"/>
  <c r="I9" i="49"/>
  <c r="D9" i="49" s="1"/>
  <c r="B9" i="49"/>
  <c r="G8" i="49" s="1"/>
  <c r="K8" i="49"/>
  <c r="I8" i="49"/>
  <c r="D8" i="49" s="1"/>
  <c r="B8" i="49"/>
  <c r="G6" i="49" s="1"/>
  <c r="B6" i="49"/>
  <c r="G4" i="49"/>
  <c r="B4" i="49"/>
  <c r="B3" i="49"/>
  <c r="G108" i="49" s="1"/>
  <c r="L75" i="51"/>
  <c r="L76" i="51"/>
  <c r="A3" i="49"/>
  <c r="A2" i="49"/>
  <c r="A4" i="49"/>
  <c r="G92" i="49" l="1"/>
  <c r="G102" i="49"/>
  <c r="L108" i="49"/>
  <c r="G42" i="49"/>
  <c r="G50" i="49"/>
  <c r="L4" i="49"/>
  <c r="L6" i="49"/>
  <c r="L56" i="49"/>
  <c r="L2" i="49"/>
  <c r="G3" i="49"/>
  <c r="L3" i="49" s="1"/>
  <c r="A1" i="47"/>
  <c r="H40" i="60" l="1"/>
  <c r="H39" i="60"/>
  <c r="H38" i="60"/>
  <c r="H37" i="60"/>
  <c r="H34" i="60"/>
  <c r="H33" i="60"/>
  <c r="H36" i="60"/>
  <c r="H50" i="60"/>
  <c r="H49" i="60"/>
  <c r="H47" i="60"/>
  <c r="H45" i="60"/>
  <c r="H29" i="60"/>
  <c r="H23" i="60"/>
  <c r="H21" i="60"/>
  <c r="H19" i="60"/>
  <c r="H13" i="60"/>
  <c r="H11" i="60"/>
  <c r="H9" i="60"/>
  <c r="H74" i="59"/>
  <c r="H70" i="59"/>
  <c r="H68" i="59"/>
  <c r="H66" i="59"/>
  <c r="H64" i="59"/>
  <c r="H62" i="59"/>
  <c r="H60" i="59"/>
  <c r="H58" i="59"/>
  <c r="H56" i="59"/>
  <c r="H54" i="59"/>
  <c r="H52" i="59"/>
  <c r="H50" i="59"/>
  <c r="H48" i="59"/>
  <c r="H46" i="59"/>
  <c r="H44" i="59"/>
  <c r="H35" i="59"/>
  <c r="H31" i="59"/>
  <c r="H29" i="59"/>
  <c r="H27" i="59"/>
  <c r="H25" i="59"/>
  <c r="H23" i="59"/>
  <c r="H21" i="59"/>
  <c r="H19" i="59"/>
  <c r="H17" i="59"/>
  <c r="H15" i="59"/>
  <c r="H13" i="59"/>
  <c r="H11" i="59"/>
  <c r="H9" i="59"/>
  <c r="H108" i="58"/>
  <c r="H106" i="58"/>
  <c r="H104" i="58"/>
  <c r="H102" i="58"/>
  <c r="H100" i="58"/>
  <c r="H98" i="58"/>
  <c r="H96" i="58"/>
  <c r="H94" i="58"/>
  <c r="H92" i="58"/>
  <c r="H55" i="58"/>
  <c r="H52" i="58"/>
  <c r="H51" i="58"/>
  <c r="H50" i="58"/>
  <c r="H48" i="58"/>
  <c r="H46" i="58"/>
  <c r="H44" i="58"/>
  <c r="H42" i="58"/>
  <c r="H40" i="58"/>
  <c r="H38" i="58"/>
  <c r="H36" i="58"/>
  <c r="H34" i="58"/>
  <c r="H32" i="58"/>
  <c r="H30" i="58"/>
  <c r="H28" i="58"/>
  <c r="H26" i="58"/>
  <c r="H24" i="58"/>
  <c r="H22" i="58"/>
  <c r="H20" i="58"/>
  <c r="H18" i="58"/>
  <c r="H16" i="58"/>
  <c r="H42" i="60"/>
  <c r="H41" i="60"/>
  <c r="H32" i="60"/>
  <c r="H31" i="60"/>
  <c r="H44" i="60"/>
  <c r="H43" i="60"/>
  <c r="H35" i="60"/>
  <c r="H16" i="60"/>
  <c r="H17" i="60"/>
  <c r="H18" i="60"/>
  <c r="H51" i="60"/>
  <c r="H48" i="60"/>
  <c r="H46" i="60"/>
  <c r="H30" i="60"/>
  <c r="H28" i="60"/>
  <c r="H22" i="60"/>
  <c r="H20" i="60"/>
  <c r="H12" i="60"/>
  <c r="H10" i="60"/>
  <c r="H8" i="60"/>
  <c r="H7" i="60"/>
  <c r="H73" i="59"/>
  <c r="H72" i="59"/>
  <c r="H71" i="59"/>
  <c r="H69" i="59"/>
  <c r="H67" i="59"/>
  <c r="H65" i="59"/>
  <c r="H63" i="59"/>
  <c r="H61" i="59"/>
  <c r="H59" i="59"/>
  <c r="H57" i="59"/>
  <c r="H55" i="59"/>
  <c r="H53" i="59"/>
  <c r="H51" i="59"/>
  <c r="H49" i="59"/>
  <c r="H47" i="59"/>
  <c r="H45" i="59"/>
  <c r="H43" i="59"/>
  <c r="H42" i="59"/>
  <c r="H38" i="59"/>
  <c r="H37" i="59"/>
  <c r="H36" i="59"/>
  <c r="H34" i="59"/>
  <c r="H33" i="59"/>
  <c r="H32" i="59"/>
  <c r="H30" i="59"/>
  <c r="H28" i="59"/>
  <c r="H26" i="59"/>
  <c r="H24" i="59"/>
  <c r="H22" i="59"/>
  <c r="H20" i="59"/>
  <c r="H18" i="59"/>
  <c r="H16" i="59"/>
  <c r="H14" i="59"/>
  <c r="H12" i="59"/>
  <c r="H10" i="59"/>
  <c r="H8" i="59"/>
  <c r="H54" i="58"/>
  <c r="H53" i="58"/>
  <c r="H107" i="58"/>
  <c r="H105" i="58"/>
  <c r="H103" i="58"/>
  <c r="H101" i="58"/>
  <c r="H99" i="58"/>
  <c r="H97" i="58"/>
  <c r="H93" i="58"/>
  <c r="H47" i="58"/>
  <c r="H43" i="58"/>
  <c r="H39" i="58"/>
  <c r="H35" i="58"/>
  <c r="H31" i="58"/>
  <c r="H27" i="58"/>
  <c r="H23" i="58"/>
  <c r="H19" i="58"/>
  <c r="H15" i="58"/>
  <c r="H13" i="58"/>
  <c r="H11" i="58"/>
  <c r="H9" i="58"/>
  <c r="H84" i="57"/>
  <c r="H66" i="57"/>
  <c r="H64" i="57"/>
  <c r="H62" i="57"/>
  <c r="H72" i="57"/>
  <c r="H70" i="57"/>
  <c r="H68" i="57"/>
  <c r="H78" i="57"/>
  <c r="H76" i="57"/>
  <c r="H74" i="57"/>
  <c r="H38" i="57"/>
  <c r="H40" i="57"/>
  <c r="H42" i="57"/>
  <c r="H44" i="57"/>
  <c r="H46" i="57"/>
  <c r="H48" i="57"/>
  <c r="H50" i="57"/>
  <c r="H109" i="57"/>
  <c r="H103" i="57"/>
  <c r="H101" i="57"/>
  <c r="H99" i="57"/>
  <c r="H97" i="57"/>
  <c r="H95" i="57"/>
  <c r="H93" i="57"/>
  <c r="H91" i="57"/>
  <c r="H89" i="57"/>
  <c r="H87" i="57"/>
  <c r="H85" i="57"/>
  <c r="H81" i="57"/>
  <c r="H79" i="57"/>
  <c r="H56" i="57"/>
  <c r="H55" i="57"/>
  <c r="H53" i="57"/>
  <c r="H34" i="57"/>
  <c r="H33" i="57"/>
  <c r="H31" i="57"/>
  <c r="H29" i="57"/>
  <c r="H27" i="57"/>
  <c r="H25" i="57"/>
  <c r="H23" i="57"/>
  <c r="H21" i="57"/>
  <c r="H19" i="57"/>
  <c r="H17" i="57"/>
  <c r="H15" i="57"/>
  <c r="H13" i="57"/>
  <c r="H11" i="57"/>
  <c r="H9" i="57"/>
  <c r="H60" i="56"/>
  <c r="H58" i="56"/>
  <c r="H56" i="56"/>
  <c r="H54" i="56"/>
  <c r="H52" i="56"/>
  <c r="H50" i="56"/>
  <c r="H48" i="56"/>
  <c r="H46" i="56"/>
  <c r="H44" i="56"/>
  <c r="H42" i="56"/>
  <c r="H40" i="56"/>
  <c r="H38" i="56"/>
  <c r="H36" i="56"/>
  <c r="H31" i="56"/>
  <c r="H29" i="56"/>
  <c r="H27" i="56"/>
  <c r="H25" i="56"/>
  <c r="H23" i="56"/>
  <c r="H21" i="56"/>
  <c r="H19" i="56"/>
  <c r="H17" i="56"/>
  <c r="H15" i="56"/>
  <c r="H13" i="56"/>
  <c r="H11" i="56"/>
  <c r="H9" i="56"/>
  <c r="H107" i="57"/>
  <c r="H106" i="57"/>
  <c r="H105" i="57"/>
  <c r="H104" i="57"/>
  <c r="H102" i="57"/>
  <c r="H100" i="57"/>
  <c r="H98" i="57"/>
  <c r="H96" i="57"/>
  <c r="H94" i="57"/>
  <c r="H92" i="57"/>
  <c r="H90" i="57"/>
  <c r="H88" i="57"/>
  <c r="H86" i="57"/>
  <c r="H82" i="57"/>
  <c r="H80" i="57"/>
  <c r="H60" i="57"/>
  <c r="H54" i="57"/>
  <c r="H52" i="57"/>
  <c r="H51" i="57"/>
  <c r="H36" i="57"/>
  <c r="H35" i="57"/>
  <c r="H32" i="57"/>
  <c r="H30" i="57"/>
  <c r="H28" i="57"/>
  <c r="H26" i="57"/>
  <c r="H24" i="57"/>
  <c r="H22" i="57"/>
  <c r="H20" i="57"/>
  <c r="H18" i="57"/>
  <c r="H16" i="57"/>
  <c r="H14" i="57"/>
  <c r="H12" i="57"/>
  <c r="H10" i="57"/>
  <c r="H8" i="57"/>
  <c r="H59" i="56"/>
  <c r="H57" i="56"/>
  <c r="H55" i="56"/>
  <c r="H53" i="56"/>
  <c r="H51" i="56"/>
  <c r="H49" i="56"/>
  <c r="H47" i="56"/>
  <c r="H45" i="56"/>
  <c r="H43" i="56"/>
  <c r="H41" i="56"/>
  <c r="H39" i="56"/>
  <c r="H37" i="56"/>
  <c r="H32" i="56"/>
  <c r="H30" i="56"/>
  <c r="H28" i="56"/>
  <c r="H26" i="56"/>
  <c r="H24" i="56"/>
  <c r="H22" i="56"/>
  <c r="H20" i="56"/>
  <c r="H18" i="56"/>
  <c r="H16" i="56"/>
  <c r="H14" i="56"/>
  <c r="H12" i="56"/>
  <c r="H10" i="56"/>
  <c r="H8" i="56"/>
  <c r="H14" i="52"/>
  <c r="H95" i="58"/>
  <c r="H91" i="58"/>
  <c r="H90" i="58"/>
  <c r="H89" i="58"/>
  <c r="H88" i="58"/>
  <c r="H87" i="58"/>
  <c r="H86" i="58"/>
  <c r="H85" i="58"/>
  <c r="H84" i="58"/>
  <c r="H83" i="58"/>
  <c r="H82" i="58"/>
  <c r="H81" i="58"/>
  <c r="H80" i="58"/>
  <c r="H79" i="58"/>
  <c r="H78" i="58"/>
  <c r="H77" i="58"/>
  <c r="H76" i="58"/>
  <c r="H75" i="58"/>
  <c r="H74" i="58"/>
  <c r="H73" i="58"/>
  <c r="H72" i="58"/>
  <c r="H71" i="58"/>
  <c r="H70" i="58"/>
  <c r="H69" i="58"/>
  <c r="H68" i="58"/>
  <c r="H67" i="58"/>
  <c r="H66" i="58"/>
  <c r="H65" i="58"/>
  <c r="H64" i="58"/>
  <c r="H63" i="58"/>
  <c r="H62" i="58"/>
  <c r="H61" i="58"/>
  <c r="H60" i="58"/>
  <c r="H56" i="58"/>
  <c r="H49" i="58"/>
  <c r="H45" i="58"/>
  <c r="H41" i="58"/>
  <c r="H37" i="58"/>
  <c r="H33" i="58"/>
  <c r="H29" i="58"/>
  <c r="H25" i="58"/>
  <c r="H21" i="58"/>
  <c r="H17" i="58"/>
  <c r="H14" i="58"/>
  <c r="H12" i="58"/>
  <c r="H10" i="58"/>
  <c r="H8" i="58"/>
  <c r="H83" i="57"/>
  <c r="H65" i="57"/>
  <c r="H63" i="57"/>
  <c r="H61" i="57"/>
  <c r="H71" i="57"/>
  <c r="H69" i="57"/>
  <c r="H67" i="57"/>
  <c r="H77" i="57"/>
  <c r="H75" i="57"/>
  <c r="H73" i="57"/>
  <c r="H37" i="57"/>
  <c r="H39" i="57"/>
  <c r="H41" i="57"/>
  <c r="H43" i="57"/>
  <c r="H45" i="57"/>
  <c r="H47" i="57"/>
  <c r="H49" i="57"/>
  <c r="H110" i="57"/>
  <c r="H108" i="57"/>
  <c r="H63" i="55"/>
  <c r="H65" i="55"/>
  <c r="H67" i="55"/>
  <c r="H69" i="55"/>
  <c r="H71" i="55"/>
  <c r="H64" i="55"/>
  <c r="H66" i="55"/>
  <c r="H68" i="55"/>
  <c r="H70" i="55"/>
  <c r="H30" i="55"/>
  <c r="H32" i="55"/>
  <c r="H31" i="55"/>
  <c r="H33" i="55"/>
  <c r="H44" i="55"/>
  <c r="H46" i="55"/>
  <c r="H48" i="55"/>
  <c r="H50" i="55"/>
  <c r="H52" i="55"/>
  <c r="H42" i="55"/>
  <c r="H43" i="55"/>
  <c r="H45" i="55"/>
  <c r="H47" i="55"/>
  <c r="H49" i="55"/>
  <c r="H51" i="55"/>
  <c r="H41" i="55"/>
  <c r="H55" i="55"/>
  <c r="H53" i="55"/>
  <c r="H39" i="55"/>
  <c r="H37" i="55"/>
  <c r="H35" i="55"/>
  <c r="H29" i="55"/>
  <c r="H28" i="55"/>
  <c r="H27" i="55"/>
  <c r="H26" i="55"/>
  <c r="H25" i="55"/>
  <c r="H24" i="55"/>
  <c r="H23" i="55"/>
  <c r="H22" i="55"/>
  <c r="H21" i="55"/>
  <c r="H20" i="55"/>
  <c r="H19" i="55"/>
  <c r="H18" i="55"/>
  <c r="H17" i="55"/>
  <c r="H16" i="55"/>
  <c r="H15" i="55"/>
  <c r="H14" i="55"/>
  <c r="H13" i="55"/>
  <c r="H12" i="55"/>
  <c r="H11" i="55"/>
  <c r="H10" i="55"/>
  <c r="H9" i="55"/>
  <c r="H8" i="55"/>
  <c r="H108" i="55"/>
  <c r="H107" i="55"/>
  <c r="H106" i="55"/>
  <c r="H105" i="55"/>
  <c r="H104" i="55"/>
  <c r="H103" i="55"/>
  <c r="H102" i="55"/>
  <c r="H101" i="55"/>
  <c r="H100" i="55"/>
  <c r="H99" i="55"/>
  <c r="H98" i="55"/>
  <c r="H97" i="55"/>
  <c r="H96" i="55"/>
  <c r="H95" i="55"/>
  <c r="H94" i="55"/>
  <c r="H93" i="55"/>
  <c r="H92" i="55"/>
  <c r="H91" i="55"/>
  <c r="H90" i="55"/>
  <c r="H89" i="55"/>
  <c r="H88" i="55"/>
  <c r="H87" i="55"/>
  <c r="H86" i="55"/>
  <c r="H85" i="55"/>
  <c r="H84" i="55"/>
  <c r="H83" i="55"/>
  <c r="H82" i="55"/>
  <c r="H81" i="55"/>
  <c r="H80" i="55"/>
  <c r="H79" i="55"/>
  <c r="H78" i="55"/>
  <c r="H77" i="55"/>
  <c r="H76" i="55"/>
  <c r="H75" i="55"/>
  <c r="H74" i="55"/>
  <c r="H73" i="55"/>
  <c r="H72" i="55"/>
  <c r="H62" i="55"/>
  <c r="H61" i="55"/>
  <c r="H60" i="55"/>
  <c r="H56" i="55"/>
  <c r="H40" i="55"/>
  <c r="H36" i="55"/>
  <c r="H54" i="55"/>
  <c r="H38" i="55"/>
  <c r="H34" i="55"/>
  <c r="H56" i="54"/>
  <c r="H52" i="54"/>
  <c r="H48" i="54"/>
  <c r="H42" i="54"/>
  <c r="H38" i="54"/>
  <c r="H24" i="54"/>
  <c r="H16" i="54"/>
  <c r="H107" i="53"/>
  <c r="H25" i="54"/>
  <c r="H31" i="54"/>
  <c r="H17" i="54"/>
  <c r="H9" i="54"/>
  <c r="H59" i="54"/>
  <c r="H57" i="54"/>
  <c r="H53" i="54"/>
  <c r="H49" i="54"/>
  <c r="H46" i="54"/>
  <c r="H43" i="54"/>
  <c r="H39" i="54"/>
  <c r="H32" i="54"/>
  <c r="H26" i="54"/>
  <c r="H18" i="54"/>
  <c r="H10" i="54"/>
  <c r="H60" i="54"/>
  <c r="H36" i="54"/>
  <c r="H27" i="54"/>
  <c r="H19" i="54"/>
  <c r="H11" i="54"/>
  <c r="H108" i="53"/>
  <c r="H58" i="54"/>
  <c r="H54" i="54"/>
  <c r="H50" i="54"/>
  <c r="H44" i="54"/>
  <c r="H40" i="54"/>
  <c r="H28" i="54"/>
  <c r="H20" i="54"/>
  <c r="H12" i="54"/>
  <c r="H109" i="53"/>
  <c r="H47" i="54"/>
  <c r="H29" i="54"/>
  <c r="H21" i="54"/>
  <c r="H13" i="54"/>
  <c r="H55" i="54"/>
  <c r="H51" i="54"/>
  <c r="H41" i="54"/>
  <c r="H37" i="54"/>
  <c r="H30" i="54"/>
  <c r="H22" i="54"/>
  <c r="H14" i="54"/>
  <c r="H45" i="54"/>
  <c r="H23" i="54"/>
  <c r="H15" i="54"/>
  <c r="H8" i="54"/>
  <c r="H110" i="53"/>
  <c r="H54" i="53"/>
  <c r="H56" i="53"/>
  <c r="H53" i="53"/>
  <c r="H55" i="53"/>
  <c r="H113" i="53"/>
  <c r="H111" i="53"/>
  <c r="H105" i="53"/>
  <c r="H103" i="53"/>
  <c r="H101" i="53"/>
  <c r="H99" i="53"/>
  <c r="H97" i="53"/>
  <c r="H95" i="53"/>
  <c r="H92" i="53"/>
  <c r="H90" i="53"/>
  <c r="H89" i="53"/>
  <c r="H87" i="53"/>
  <c r="H85" i="53"/>
  <c r="H81" i="53"/>
  <c r="H79" i="53"/>
  <c r="H77" i="53"/>
  <c r="H75" i="53"/>
  <c r="H73" i="53"/>
  <c r="H71" i="53"/>
  <c r="H69" i="53"/>
  <c r="H67" i="53"/>
  <c r="H65" i="53"/>
  <c r="H64" i="53"/>
  <c r="H60" i="53"/>
  <c r="H59" i="53"/>
  <c r="H58" i="53"/>
  <c r="H57" i="53"/>
  <c r="H52" i="53"/>
  <c r="H51" i="53"/>
  <c r="H50" i="53"/>
  <c r="H49" i="53"/>
  <c r="H48" i="53"/>
  <c r="H47" i="53"/>
  <c r="H46" i="53"/>
  <c r="H45" i="53"/>
  <c r="H44" i="53"/>
  <c r="H42" i="53"/>
  <c r="H114" i="53"/>
  <c r="H112" i="53"/>
  <c r="H106" i="53"/>
  <c r="H104" i="53"/>
  <c r="H102" i="53"/>
  <c r="H100" i="53"/>
  <c r="H98" i="53"/>
  <c r="H96" i="53"/>
  <c r="H94" i="53"/>
  <c r="H93" i="53"/>
  <c r="H91" i="53"/>
  <c r="H88" i="53"/>
  <c r="H86" i="53"/>
  <c r="H82" i="53"/>
  <c r="H80" i="53"/>
  <c r="H78" i="53"/>
  <c r="H76" i="53"/>
  <c r="H74" i="53"/>
  <c r="H72" i="53"/>
  <c r="H70" i="53"/>
  <c r="H68" i="53"/>
  <c r="H66" i="53"/>
  <c r="H43" i="53"/>
  <c r="H41" i="53"/>
  <c r="H24" i="53"/>
  <c r="H22" i="53"/>
  <c r="H20" i="53"/>
  <c r="H18" i="53"/>
  <c r="H16" i="53"/>
  <c r="H14" i="53"/>
  <c r="H12" i="53"/>
  <c r="H10" i="53"/>
  <c r="H23" i="53"/>
  <c r="H19" i="53"/>
  <c r="H15" i="53"/>
  <c r="H11" i="53"/>
  <c r="H38" i="53"/>
  <c r="H37" i="53"/>
  <c r="H36" i="53"/>
  <c r="H35" i="53"/>
  <c r="H34" i="53"/>
  <c r="H33" i="53"/>
  <c r="H32" i="53"/>
  <c r="H28" i="53"/>
  <c r="H27" i="53"/>
  <c r="H26" i="53"/>
  <c r="H25" i="53"/>
  <c r="H21" i="53"/>
  <c r="H17" i="53"/>
  <c r="H13" i="53"/>
  <c r="H9" i="53"/>
  <c r="H8" i="53"/>
  <c r="H98" i="49"/>
  <c r="H96" i="49"/>
  <c r="H95" i="49"/>
  <c r="H94" i="49"/>
  <c r="H102" i="49"/>
  <c r="H48" i="49"/>
  <c r="H47" i="49"/>
  <c r="H46" i="49"/>
  <c r="H44" i="49"/>
  <c r="H50" i="49"/>
  <c r="H100" i="49"/>
  <c r="H99" i="49"/>
  <c r="H97" i="49"/>
  <c r="H93" i="49"/>
  <c r="H101" i="49"/>
  <c r="H45" i="49"/>
  <c r="H43" i="49"/>
  <c r="H49" i="49"/>
  <c r="H50" i="52"/>
  <c r="H48" i="52"/>
  <c r="H46" i="52"/>
  <c r="H44" i="52"/>
  <c r="H42" i="52"/>
  <c r="H38" i="52"/>
  <c r="H36" i="52"/>
  <c r="H34" i="52"/>
  <c r="H32" i="52"/>
  <c r="H24" i="52"/>
  <c r="H23" i="52"/>
  <c r="H20" i="52"/>
  <c r="H19" i="52"/>
  <c r="H9" i="52"/>
  <c r="H8" i="52"/>
  <c r="H52" i="52"/>
  <c r="H51" i="52"/>
  <c r="H49" i="52"/>
  <c r="H47" i="52"/>
  <c r="H45" i="52"/>
  <c r="H43" i="52"/>
  <c r="H41" i="52"/>
  <c r="H37" i="52"/>
  <c r="H35" i="52"/>
  <c r="H33" i="52"/>
  <c r="H31" i="52"/>
  <c r="H30" i="52"/>
  <c r="H26" i="52"/>
  <c r="H25" i="52"/>
  <c r="H18" i="52"/>
  <c r="H17" i="52"/>
  <c r="H16" i="52"/>
  <c r="H15" i="52"/>
  <c r="H10" i="52"/>
  <c r="H63" i="51"/>
  <c r="H65" i="51"/>
  <c r="H64" i="51"/>
  <c r="H91" i="51"/>
  <c r="H79" i="51"/>
  <c r="H80" i="51"/>
  <c r="H81" i="51"/>
  <c r="H82" i="51"/>
  <c r="H83" i="51"/>
  <c r="H84" i="51"/>
  <c r="H85" i="51"/>
  <c r="H86" i="51"/>
  <c r="H87" i="51"/>
  <c r="H88" i="51"/>
  <c r="H89" i="51"/>
  <c r="H90" i="51"/>
  <c r="H40" i="51"/>
  <c r="H42" i="51"/>
  <c r="H44" i="51"/>
  <c r="H46" i="51"/>
  <c r="H48" i="51"/>
  <c r="H50" i="51"/>
  <c r="H41" i="51"/>
  <c r="H43" i="51"/>
  <c r="H45" i="51"/>
  <c r="H47" i="51"/>
  <c r="H49" i="51"/>
  <c r="H78" i="51"/>
  <c r="H74" i="51"/>
  <c r="H70" i="51"/>
  <c r="H66" i="51"/>
  <c r="H62" i="51"/>
  <c r="H58" i="51"/>
  <c r="H32" i="51"/>
  <c r="H28" i="51"/>
  <c r="H24" i="51"/>
  <c r="H20" i="51"/>
  <c r="H16" i="51"/>
  <c r="H12" i="51"/>
  <c r="H92" i="51"/>
  <c r="H77" i="51"/>
  <c r="H73" i="51"/>
  <c r="H69" i="51"/>
  <c r="H61" i="51"/>
  <c r="H57" i="51"/>
  <c r="H54" i="51"/>
  <c r="H8" i="51"/>
  <c r="H34" i="51"/>
  <c r="H31" i="51"/>
  <c r="H27" i="51"/>
  <c r="H23" i="51"/>
  <c r="H19" i="51"/>
  <c r="H15" i="51"/>
  <c r="H11" i="51"/>
  <c r="H76" i="51"/>
  <c r="H72" i="51"/>
  <c r="H68" i="51"/>
  <c r="H60" i="51"/>
  <c r="H56" i="51"/>
  <c r="H36" i="51"/>
  <c r="H30" i="51"/>
  <c r="H26" i="51"/>
  <c r="H22" i="51"/>
  <c r="H18" i="51"/>
  <c r="H14" i="51"/>
  <c r="H10" i="51"/>
  <c r="H75" i="51"/>
  <c r="H71" i="51"/>
  <c r="H67" i="51"/>
  <c r="H59" i="51"/>
  <c r="H55" i="51"/>
  <c r="H35" i="51"/>
  <c r="H33" i="51"/>
  <c r="H29" i="51"/>
  <c r="H25" i="51"/>
  <c r="H21" i="51"/>
  <c r="H17" i="51"/>
  <c r="H13" i="51"/>
  <c r="H9" i="51"/>
  <c r="H82" i="49"/>
  <c r="H84" i="49"/>
  <c r="H86" i="49"/>
  <c r="H88" i="49"/>
  <c r="H90" i="49"/>
  <c r="H91" i="49"/>
  <c r="H83" i="49"/>
  <c r="H85" i="49"/>
  <c r="H89" i="49"/>
  <c r="H92" i="49"/>
  <c r="H87" i="49"/>
  <c r="H81" i="49"/>
  <c r="H103" i="49"/>
  <c r="H35" i="49"/>
  <c r="H37" i="49"/>
  <c r="H39" i="49"/>
  <c r="H41" i="49"/>
  <c r="H51" i="49"/>
  <c r="H105" i="49"/>
  <c r="H80" i="49"/>
  <c r="H78" i="49"/>
  <c r="H76" i="49"/>
  <c r="H74" i="49"/>
  <c r="H72" i="49"/>
  <c r="H70" i="49"/>
  <c r="H68" i="49"/>
  <c r="H66" i="49"/>
  <c r="H64" i="49"/>
  <c r="H62" i="49"/>
  <c r="H60" i="49"/>
  <c r="H31" i="49"/>
  <c r="H29" i="49"/>
  <c r="H27" i="49"/>
  <c r="H25" i="49"/>
  <c r="H23" i="49"/>
  <c r="H21" i="49"/>
  <c r="H19" i="49"/>
  <c r="H16" i="49"/>
  <c r="H14" i="49"/>
  <c r="H12" i="49"/>
  <c r="H10" i="49"/>
  <c r="H36" i="49"/>
  <c r="H38" i="49"/>
  <c r="H40" i="49"/>
  <c r="H42" i="49"/>
  <c r="H34" i="49"/>
  <c r="H104" i="49"/>
  <c r="H79" i="49"/>
  <c r="H77" i="49"/>
  <c r="H75" i="49"/>
  <c r="H73" i="49"/>
  <c r="H71" i="49"/>
  <c r="H69" i="49"/>
  <c r="H67" i="49"/>
  <c r="H65" i="49"/>
  <c r="H63" i="49"/>
  <c r="H61" i="49"/>
  <c r="H59" i="49"/>
  <c r="H53" i="49"/>
  <c r="H52" i="49"/>
  <c r="H33" i="49"/>
  <c r="H32" i="49"/>
  <c r="H30" i="49"/>
  <c r="H28" i="49"/>
  <c r="H26" i="49"/>
  <c r="H24" i="49"/>
  <c r="H22" i="49"/>
  <c r="H20" i="49"/>
  <c r="H18" i="49"/>
  <c r="H17" i="49"/>
  <c r="H15" i="49"/>
  <c r="H13" i="49"/>
  <c r="H11" i="49"/>
  <c r="H9" i="49"/>
  <c r="D1" i="47"/>
  <c r="B1" i="47"/>
  <c r="E1" i="47" s="1"/>
  <c r="L65" i="53"/>
  <c r="L60" i="53"/>
  <c r="L114" i="53"/>
  <c r="L8" i="53"/>
  <c r="L64" i="53"/>
  <c r="L9" i="53"/>
  <c r="L9" i="52"/>
  <c r="L8" i="52"/>
  <c r="L26" i="52"/>
  <c r="L107" i="53"/>
  <c r="L110" i="53"/>
  <c r="L103" i="53"/>
  <c r="L95" i="53"/>
  <c r="L87" i="53"/>
  <c r="L77" i="53"/>
  <c r="L69" i="53"/>
  <c r="L106" i="53"/>
  <c r="L98" i="53"/>
  <c r="L91" i="53"/>
  <c r="L80" i="53"/>
  <c r="L101" i="53"/>
  <c r="L85" i="53"/>
  <c r="L67" i="53"/>
  <c r="L93" i="53"/>
  <c r="L74" i="53"/>
  <c r="L109" i="53"/>
  <c r="L111" i="53"/>
  <c r="L99" i="53"/>
  <c r="L90" i="53"/>
  <c r="L81" i="53"/>
  <c r="L73" i="53"/>
  <c r="L102" i="53"/>
  <c r="L94" i="53"/>
  <c r="L86" i="53"/>
  <c r="L76" i="53"/>
  <c r="L68" i="53"/>
  <c r="L108" i="53"/>
  <c r="L105" i="53"/>
  <c r="L97" i="53"/>
  <c r="L89" i="53"/>
  <c r="L79" i="53"/>
  <c r="L71" i="53"/>
  <c r="L104" i="53"/>
  <c r="L96" i="53"/>
  <c r="L88" i="53"/>
  <c r="L78" i="53"/>
  <c r="L70" i="53"/>
  <c r="L72" i="53"/>
  <c r="L113" i="53"/>
  <c r="L92" i="53"/>
  <c r="L75" i="53"/>
  <c r="L112" i="53"/>
  <c r="L100" i="53"/>
  <c r="L82" i="53"/>
  <c r="L66" i="53"/>
  <c r="L55" i="53"/>
  <c r="L52" i="53"/>
  <c r="L48" i="53"/>
  <c r="L44" i="53"/>
  <c r="L43" i="53"/>
  <c r="L20" i="53"/>
  <c r="L23" i="53"/>
  <c r="L36" i="53"/>
  <c r="L32" i="53"/>
  <c r="L26" i="53"/>
  <c r="L54" i="53"/>
  <c r="L59" i="53"/>
  <c r="L51" i="53"/>
  <c r="L47" i="53"/>
  <c r="L42" i="53"/>
  <c r="L41" i="53"/>
  <c r="L10" i="53"/>
  <c r="L35" i="53"/>
  <c r="L17" i="53"/>
  <c r="L56" i="53"/>
  <c r="L58" i="53"/>
  <c r="L50" i="53"/>
  <c r="L46" i="53"/>
  <c r="L24" i="53"/>
  <c r="L12" i="53"/>
  <c r="L38" i="53"/>
  <c r="L34" i="53"/>
  <c r="L28" i="53"/>
  <c r="L13" i="53"/>
  <c r="L53" i="53"/>
  <c r="L57" i="53"/>
  <c r="L49" i="53"/>
  <c r="L45" i="53"/>
  <c r="L22" i="53"/>
  <c r="L14" i="53"/>
  <c r="L19" i="53"/>
  <c r="L37" i="53"/>
  <c r="L33" i="53"/>
  <c r="L25" i="53"/>
  <c r="L16" i="53"/>
  <c r="L18" i="53"/>
  <c r="L11" i="53"/>
  <c r="L27" i="53"/>
  <c r="L21" i="53"/>
  <c r="L15" i="53"/>
  <c r="L25" i="52"/>
  <c r="L23" i="52"/>
  <c r="L18" i="52"/>
  <c r="L17" i="52"/>
  <c r="L20" i="52"/>
  <c r="L24" i="52"/>
  <c r="L19" i="52"/>
  <c r="L24" i="51"/>
  <c r="L12" i="51"/>
  <c r="L11" i="51"/>
  <c r="L23" i="51"/>
  <c r="L16" i="52"/>
  <c r="L10" i="52"/>
  <c r="L15" i="52"/>
  <c r="L14" i="52"/>
  <c r="H15" i="60" l="1"/>
  <c r="H14" i="60"/>
  <c r="H83" i="53"/>
  <c r="H84" i="53"/>
  <c r="H40" i="52"/>
  <c r="H21" i="52"/>
  <c r="H40" i="53"/>
  <c r="H22" i="52"/>
  <c r="H39" i="52"/>
  <c r="H39" i="53"/>
  <c r="H54" i="49"/>
  <c r="H58" i="49"/>
  <c r="H106" i="49"/>
  <c r="H8" i="49"/>
  <c r="J45" i="51" l="1"/>
  <c r="J46" i="51"/>
  <c r="J55" i="51"/>
  <c r="J56" i="51"/>
  <c r="A36" i="40"/>
  <c r="A37" i="40"/>
  <c r="A38" i="40"/>
  <c r="A39" i="40"/>
  <c r="A35" i="40"/>
  <c r="E37" i="1"/>
  <c r="E38" i="1"/>
  <c r="E39" i="1"/>
  <c r="E40" i="1"/>
  <c r="E36" i="1"/>
  <c r="E30" i="1"/>
  <c r="E31" i="1"/>
  <c r="E32" i="1"/>
  <c r="E33" i="1"/>
  <c r="E34" i="1"/>
  <c r="E29" i="1"/>
  <c r="E18" i="1"/>
  <c r="E19" i="1"/>
  <c r="E20" i="1"/>
  <c r="E21" i="1"/>
  <c r="E22" i="1"/>
  <c r="E23" i="1"/>
  <c r="E24" i="1"/>
  <c r="E25" i="1"/>
  <c r="E26" i="1"/>
  <c r="E27" i="1"/>
  <c r="E17" i="1"/>
  <c r="E15" i="1"/>
  <c r="E4" i="1"/>
  <c r="E5" i="1"/>
  <c r="E6" i="1"/>
  <c r="E7" i="1"/>
  <c r="E8" i="1"/>
  <c r="E9" i="1"/>
  <c r="E10" i="1"/>
  <c r="E11" i="1"/>
  <c r="E12" i="1"/>
  <c r="E13" i="1"/>
  <c r="E3" i="1"/>
  <c r="L56" i="51"/>
  <c r="L55" i="51"/>
  <c r="L46" i="51"/>
  <c r="L45" i="51"/>
  <c r="A16" i="40" l="1"/>
  <c r="B16" i="40"/>
  <c r="A17" i="40"/>
  <c r="B17" i="40"/>
  <c r="A18" i="40"/>
  <c r="B18" i="40"/>
  <c r="A19" i="40"/>
  <c r="B19" i="40"/>
  <c r="A20" i="40"/>
  <c r="B20" i="40"/>
  <c r="A21" i="40"/>
  <c r="B21" i="40"/>
  <c r="A22" i="40"/>
  <c r="B22" i="40"/>
  <c r="A23" i="40"/>
  <c r="B23" i="40"/>
  <c r="A24" i="40"/>
  <c r="B24" i="40"/>
  <c r="A25" i="40"/>
  <c r="B25" i="40"/>
  <c r="A26" i="40"/>
  <c r="B26" i="40"/>
  <c r="A28" i="40"/>
  <c r="B28" i="40"/>
  <c r="A29" i="40"/>
  <c r="B29" i="40"/>
  <c r="A30" i="40"/>
  <c r="B30" i="40"/>
  <c r="A31" i="40"/>
  <c r="B31" i="40"/>
  <c r="A32" i="40"/>
  <c r="B32" i="40"/>
  <c r="A33" i="40"/>
  <c r="B33" i="40"/>
  <c r="B35" i="40"/>
  <c r="B36" i="40"/>
  <c r="B37" i="40"/>
  <c r="B38" i="40"/>
  <c r="B39" i="40"/>
  <c r="B14" i="40"/>
  <c r="A14" i="40"/>
  <c r="A3" i="40"/>
  <c r="B3" i="40"/>
  <c r="A4" i="40"/>
  <c r="B4" i="40"/>
  <c r="A5" i="40"/>
  <c r="B5" i="40"/>
  <c r="A6" i="40"/>
  <c r="B6" i="40"/>
  <c r="A7" i="40"/>
  <c r="B7" i="40"/>
  <c r="A8" i="40"/>
  <c r="B8" i="40"/>
  <c r="A9" i="40"/>
  <c r="B9" i="40"/>
  <c r="A10" i="40"/>
  <c r="B10" i="40"/>
  <c r="A11" i="40"/>
  <c r="B11" i="40"/>
  <c r="A12" i="40"/>
  <c r="B12" i="40"/>
  <c r="B2" i="40"/>
  <c r="A2" i="40"/>
  <c r="F2" i="38" l="1"/>
  <c r="G2" i="38"/>
  <c r="H2" i="38"/>
  <c r="L103" i="49"/>
  <c r="L85" i="49"/>
  <c r="L95" i="49"/>
  <c r="L81" i="49"/>
  <c r="L102" i="49"/>
  <c r="L94" i="49"/>
  <c r="L98" i="49"/>
  <c r="L101" i="49"/>
  <c r="L100" i="49"/>
  <c r="L84" i="49"/>
  <c r="L42" i="49"/>
  <c r="L40" i="49"/>
  <c r="L50" i="49"/>
  <c r="L37" i="49"/>
  <c r="L44" i="49"/>
  <c r="L45" i="49"/>
  <c r="L41" i="49"/>
  <c r="L99" i="49"/>
  <c r="L92" i="49"/>
  <c r="L91" i="49"/>
  <c r="L89" i="49"/>
  <c r="L93" i="49"/>
  <c r="L39" i="49"/>
  <c r="L87" i="49"/>
  <c r="L43" i="49"/>
  <c r="L38" i="49"/>
  <c r="L83" i="49"/>
  <c r="L96" i="49"/>
  <c r="L97" i="49"/>
  <c r="L48" i="49"/>
  <c r="L47" i="49"/>
  <c r="L86" i="49"/>
  <c r="L88" i="49"/>
  <c r="L36" i="49"/>
  <c r="L49" i="49"/>
  <c r="L82" i="49"/>
  <c r="L46" i="49"/>
  <c r="L90" i="49"/>
  <c r="L30" i="52"/>
  <c r="L52" i="52"/>
  <c r="L31" i="52"/>
  <c r="L50" i="52"/>
  <c r="L33" i="52"/>
  <c r="L49" i="52"/>
  <c r="L46" i="52"/>
  <c r="L47" i="52"/>
  <c r="L41" i="52"/>
  <c r="L43" i="52"/>
  <c r="L45" i="52"/>
  <c r="L32" i="52"/>
  <c r="L38" i="52"/>
  <c r="L36" i="52"/>
  <c r="L51" i="52"/>
  <c r="L44" i="52"/>
  <c r="L48" i="52"/>
  <c r="L42" i="52"/>
  <c r="L35" i="52"/>
  <c r="L34" i="52"/>
  <c r="L37" i="52"/>
  <c r="A2" i="24"/>
  <c r="A3" i="34"/>
  <c r="A4" i="19"/>
  <c r="A4" i="3"/>
  <c r="A3" i="26"/>
  <c r="A2" i="29"/>
  <c r="A4" i="35"/>
  <c r="A2" i="21"/>
  <c r="A3" i="30"/>
  <c r="A3" i="20"/>
  <c r="A3" i="17"/>
  <c r="A4" i="22"/>
  <c r="A3" i="3"/>
  <c r="A2" i="36"/>
  <c r="A4" i="28"/>
  <c r="A2" i="26"/>
  <c r="A3" i="36"/>
  <c r="A2" i="16"/>
  <c r="A4" i="16"/>
  <c r="A3" i="32"/>
  <c r="A2" i="33"/>
  <c r="A3" i="35"/>
  <c r="A4" i="25"/>
  <c r="A3" i="28"/>
  <c r="A2" i="27"/>
  <c r="A4" i="32"/>
  <c r="A3" i="21"/>
  <c r="A4" i="30"/>
  <c r="A3" i="29"/>
  <c r="A2" i="34"/>
  <c r="A2" i="25"/>
  <c r="A4" i="29"/>
  <c r="A3" i="24"/>
  <c r="A2" i="20"/>
  <c r="A4" i="26"/>
  <c r="A2" i="19"/>
  <c r="A2" i="18"/>
  <c r="A4" i="36"/>
  <c r="A3" i="33"/>
  <c r="A4" i="21"/>
  <c r="A4" i="33"/>
  <c r="A2" i="30"/>
  <c r="A3" i="23"/>
  <c r="A2" i="22"/>
  <c r="A2" i="23"/>
  <c r="A2" i="28"/>
  <c r="A4" i="31"/>
  <c r="A2" i="31"/>
  <c r="A3" i="16"/>
  <c r="A3" i="18"/>
  <c r="A4" i="18"/>
  <c r="A3" i="22"/>
  <c r="A4" i="24"/>
  <c r="A4" i="20"/>
  <c r="A3" i="19"/>
  <c r="A3" i="31"/>
  <c r="A4" i="23"/>
  <c r="A3" i="27"/>
  <c r="A2" i="3"/>
  <c r="A3" i="25"/>
  <c r="A4" i="34"/>
  <c r="A4" i="27"/>
  <c r="A2" i="17"/>
  <c r="A2" i="35"/>
  <c r="A4" i="17"/>
  <c r="A2" i="32"/>
  <c r="J15" i="60" l="1"/>
  <c r="J14" i="60"/>
  <c r="L81" i="59"/>
  <c r="L58" i="60"/>
  <c r="L88" i="59"/>
  <c r="L65" i="60"/>
  <c r="L86" i="59"/>
  <c r="L63" i="60"/>
  <c r="L82" i="59"/>
  <c r="L59" i="60"/>
  <c r="L80" i="59"/>
  <c r="L57" i="60"/>
  <c r="L84" i="59"/>
  <c r="L61" i="60"/>
  <c r="L87" i="59"/>
  <c r="L64" i="60"/>
  <c r="L85" i="59"/>
  <c r="L62" i="60"/>
  <c r="L79" i="59"/>
  <c r="L56" i="60"/>
  <c r="L78" i="59"/>
  <c r="L55" i="60"/>
  <c r="L83" i="59"/>
  <c r="L60" i="60"/>
  <c r="L120" i="57"/>
  <c r="L118" i="58"/>
  <c r="L121" i="57"/>
  <c r="L119" i="58"/>
  <c r="L114" i="57"/>
  <c r="L112" i="58"/>
  <c r="L124" i="57"/>
  <c r="L122" i="58"/>
  <c r="L122" i="57"/>
  <c r="L120" i="58"/>
  <c r="L118" i="57"/>
  <c r="L116" i="58"/>
  <c r="L116" i="57"/>
  <c r="L114" i="58"/>
  <c r="L117" i="57"/>
  <c r="L115" i="58"/>
  <c r="L123" i="57"/>
  <c r="L121" i="58"/>
  <c r="L115" i="57"/>
  <c r="L113" i="58"/>
  <c r="L119" i="57"/>
  <c r="L117" i="58"/>
  <c r="M122" i="55"/>
  <c r="L74" i="56"/>
  <c r="M120" i="55"/>
  <c r="L72" i="56"/>
  <c r="M116" i="55"/>
  <c r="L68" i="56"/>
  <c r="M114" i="55"/>
  <c r="L66" i="56"/>
  <c r="M115" i="55"/>
  <c r="L67" i="56"/>
  <c r="M118" i="55"/>
  <c r="L70" i="56"/>
  <c r="M121" i="55"/>
  <c r="L73" i="56"/>
  <c r="M119" i="55"/>
  <c r="L71" i="56"/>
  <c r="M113" i="55"/>
  <c r="L65" i="56"/>
  <c r="M112" i="55"/>
  <c r="L64" i="56"/>
  <c r="M117" i="55"/>
  <c r="L69" i="56"/>
  <c r="J39" i="53"/>
  <c r="J84" i="53"/>
  <c r="J83" i="53"/>
  <c r="J40" i="53"/>
  <c r="L128" i="53"/>
  <c r="L74" i="54"/>
  <c r="L126" i="53"/>
  <c r="L72" i="54"/>
  <c r="L122" i="53"/>
  <c r="L68" i="54"/>
  <c r="L120" i="53"/>
  <c r="L66" i="54"/>
  <c r="L121" i="53"/>
  <c r="L67" i="54"/>
  <c r="L124" i="53"/>
  <c r="L70" i="54"/>
  <c r="L127" i="53"/>
  <c r="L73" i="54"/>
  <c r="L125" i="53"/>
  <c r="L71" i="54"/>
  <c r="L119" i="53"/>
  <c r="L65" i="54"/>
  <c r="L118" i="53"/>
  <c r="L64" i="54"/>
  <c r="L123" i="53"/>
  <c r="L69" i="54"/>
  <c r="J22" i="52"/>
  <c r="J40" i="52"/>
  <c r="J39" i="52"/>
  <c r="J21" i="52"/>
  <c r="L106" i="51"/>
  <c r="L66" i="52"/>
  <c r="L104" i="51"/>
  <c r="L64" i="52"/>
  <c r="L100" i="51"/>
  <c r="L60" i="52"/>
  <c r="L98" i="51"/>
  <c r="L58" i="52"/>
  <c r="L99" i="51"/>
  <c r="L59" i="52"/>
  <c r="L102" i="51"/>
  <c r="L62" i="52"/>
  <c r="L105" i="51"/>
  <c r="L65" i="52"/>
  <c r="L103" i="51"/>
  <c r="L63" i="52"/>
  <c r="L97" i="51"/>
  <c r="L57" i="52"/>
  <c r="L96" i="51"/>
  <c r="L56" i="52"/>
  <c r="L101" i="51"/>
  <c r="L61" i="52"/>
  <c r="J86" i="51"/>
  <c r="J85" i="51"/>
  <c r="J13" i="51"/>
  <c r="J14" i="51"/>
  <c r="J36" i="51"/>
  <c r="J35" i="51"/>
  <c r="J40" i="51"/>
  <c r="J91" i="51"/>
  <c r="J49" i="51"/>
  <c r="J50" i="51"/>
  <c r="J54" i="51"/>
  <c r="J43" i="51"/>
  <c r="J44" i="51"/>
  <c r="J80" i="51"/>
  <c r="J20" i="51"/>
  <c r="J79" i="51"/>
  <c r="J19" i="51"/>
  <c r="J84" i="51"/>
  <c r="J16" i="51"/>
  <c r="J83" i="51"/>
  <c r="J15" i="51"/>
  <c r="J78" i="51"/>
  <c r="J77" i="51"/>
  <c r="J21" i="51"/>
  <c r="J22" i="51"/>
  <c r="J70" i="51"/>
  <c r="J30" i="51"/>
  <c r="J29" i="51"/>
  <c r="J69" i="51"/>
  <c r="J41" i="51"/>
  <c r="J42" i="51"/>
  <c r="J59" i="51"/>
  <c r="J60" i="51"/>
  <c r="J66" i="51"/>
  <c r="J65" i="51"/>
  <c r="J82" i="51"/>
  <c r="J81" i="51"/>
  <c r="J17" i="51"/>
  <c r="J18" i="51"/>
  <c r="J68" i="51"/>
  <c r="J31" i="51"/>
  <c r="J67" i="51"/>
  <c r="J32" i="51"/>
  <c r="J61" i="51"/>
  <c r="J62" i="51"/>
  <c r="J74" i="51"/>
  <c r="J73" i="51"/>
  <c r="J25" i="51"/>
  <c r="J26" i="51"/>
  <c r="J90" i="51"/>
  <c r="J89" i="51"/>
  <c r="J9" i="51"/>
  <c r="J10" i="51"/>
  <c r="J72" i="51"/>
  <c r="J28" i="51"/>
  <c r="J27" i="51"/>
  <c r="J71" i="51"/>
  <c r="J34" i="51"/>
  <c r="J33" i="51"/>
  <c r="J47" i="51"/>
  <c r="J48" i="51"/>
  <c r="J92" i="51"/>
  <c r="J8" i="51"/>
  <c r="L120" i="49"/>
  <c r="L114" i="49"/>
  <c r="L113" i="49"/>
  <c r="L116" i="49"/>
  <c r="L119" i="49"/>
  <c r="L117" i="49"/>
  <c r="L111" i="49"/>
  <c r="L110" i="49"/>
  <c r="L115" i="49"/>
  <c r="L118" i="49"/>
  <c r="L112" i="49"/>
  <c r="J78" i="49"/>
  <c r="J77" i="49"/>
  <c r="J22" i="49"/>
  <c r="J21" i="49"/>
  <c r="J104" i="49"/>
  <c r="J10" i="49"/>
  <c r="J9" i="49"/>
  <c r="J70" i="49"/>
  <c r="J69" i="49"/>
  <c r="J72" i="49"/>
  <c r="J71" i="49"/>
  <c r="J28" i="49"/>
  <c r="J27" i="49"/>
  <c r="J33" i="49"/>
  <c r="J62" i="49"/>
  <c r="J61" i="49"/>
  <c r="J106" i="49"/>
  <c r="J105" i="49"/>
  <c r="J8" i="49"/>
  <c r="J18" i="49"/>
  <c r="J17" i="49"/>
  <c r="J52" i="49"/>
  <c r="J60" i="49"/>
  <c r="J59" i="49"/>
  <c r="J14" i="49"/>
  <c r="J13" i="49"/>
  <c r="J54" i="49"/>
  <c r="J53" i="49"/>
  <c r="J58" i="49"/>
  <c r="J30" i="49"/>
  <c r="J29" i="49"/>
  <c r="J16" i="49"/>
  <c r="J15" i="49"/>
  <c r="J68" i="49"/>
  <c r="J67" i="49"/>
  <c r="J76" i="49"/>
  <c r="J75" i="49"/>
  <c r="J24" i="49"/>
  <c r="J23" i="49"/>
  <c r="J12" i="49"/>
  <c r="J11" i="49"/>
  <c r="J66" i="49"/>
  <c r="J65" i="49"/>
  <c r="J64" i="49"/>
  <c r="J63" i="49"/>
  <c r="J80" i="49"/>
  <c r="J79" i="49"/>
  <c r="J20" i="49"/>
  <c r="J19" i="49"/>
  <c r="J74" i="49"/>
  <c r="J73" i="49"/>
  <c r="J26" i="49"/>
  <c r="J25" i="49"/>
  <c r="J32" i="49"/>
  <c r="J31" i="49"/>
  <c r="E2" i="36"/>
  <c r="E2" i="35"/>
  <c r="E2" i="34"/>
  <c r="E2" i="33"/>
  <c r="E2" i="32"/>
  <c r="E2" i="18"/>
  <c r="E2" i="20"/>
  <c r="E2" i="22"/>
  <c r="E2" i="3"/>
  <c r="E2" i="17"/>
  <c r="E2" i="19"/>
  <c r="E2" i="21"/>
  <c r="E2" i="23"/>
  <c r="E2" i="25"/>
  <c r="E2" i="29"/>
  <c r="E2" i="16"/>
  <c r="E2" i="24"/>
  <c r="E2" i="26"/>
  <c r="E2" i="27"/>
  <c r="E2" i="28"/>
  <c r="E2" i="30"/>
  <c r="E2" i="31"/>
  <c r="L32" i="49"/>
  <c r="L25" i="49"/>
  <c r="L66" i="49"/>
  <c r="L54" i="49"/>
  <c r="L18" i="49"/>
  <c r="L23" i="49"/>
  <c r="L78" i="49"/>
  <c r="L13" i="49"/>
  <c r="L30" i="49"/>
  <c r="L74" i="49"/>
  <c r="L60" i="49"/>
  <c r="L21" i="49"/>
  <c r="L68" i="49"/>
  <c r="L8" i="49"/>
  <c r="L69" i="49"/>
  <c r="L76" i="49"/>
  <c r="L33" i="49"/>
  <c r="L70" i="49"/>
  <c r="L15" i="49"/>
  <c r="L20" i="49"/>
  <c r="L19" i="49"/>
  <c r="L104" i="49"/>
  <c r="L63" i="49"/>
  <c r="L67" i="49"/>
  <c r="L51" i="49"/>
  <c r="L29" i="49"/>
  <c r="L106" i="49"/>
  <c r="L64" i="49"/>
  <c r="L27" i="49"/>
  <c r="L26" i="49"/>
  <c r="L62" i="49"/>
  <c r="L34" i="49"/>
  <c r="L61" i="49"/>
  <c r="L72" i="49"/>
  <c r="L53" i="49"/>
  <c r="L58" i="49"/>
  <c r="L28" i="49"/>
  <c r="L35" i="49"/>
  <c r="L79" i="49"/>
  <c r="L9" i="49"/>
  <c r="L31" i="49"/>
  <c r="L11" i="49"/>
  <c r="L17" i="49"/>
  <c r="L22" i="49"/>
  <c r="L12" i="49"/>
  <c r="L16" i="49"/>
  <c r="L80" i="49"/>
  <c r="L10" i="49"/>
  <c r="L52" i="49"/>
  <c r="L71" i="49"/>
  <c r="L75" i="49"/>
  <c r="L77" i="49"/>
  <c r="L59" i="49"/>
  <c r="L73" i="49"/>
  <c r="L14" i="49"/>
  <c r="L105" i="49"/>
  <c r="L65" i="49"/>
  <c r="L24" i="49"/>
  <c r="L8" i="51"/>
  <c r="L92" i="51"/>
  <c r="L14" i="60"/>
  <c r="L15" i="60"/>
  <c r="L83" i="53"/>
  <c r="L84" i="53"/>
  <c r="L40" i="53"/>
  <c r="L39" i="53"/>
  <c r="L40" i="52"/>
  <c r="L39" i="52"/>
  <c r="L21" i="52"/>
  <c r="L22" i="52"/>
  <c r="L91" i="51"/>
  <c r="L83" i="51"/>
  <c r="L82" i="51"/>
  <c r="L65" i="51"/>
  <c r="L89" i="51"/>
  <c r="L78" i="51"/>
  <c r="L74" i="51"/>
  <c r="L85" i="51"/>
  <c r="L62" i="51"/>
  <c r="L86" i="51"/>
  <c r="L79" i="51"/>
  <c r="L59" i="51"/>
  <c r="L68" i="51"/>
  <c r="L77" i="51"/>
  <c r="L73" i="51"/>
  <c r="L84" i="51"/>
  <c r="L70" i="51"/>
  <c r="L67" i="51"/>
  <c r="L90" i="51"/>
  <c r="L69" i="51"/>
  <c r="L81" i="51"/>
  <c r="L71" i="51"/>
  <c r="L61" i="51"/>
  <c r="L80" i="51"/>
  <c r="L66" i="51"/>
  <c r="L72" i="51"/>
  <c r="L60" i="51"/>
  <c r="L54" i="51"/>
  <c r="L29" i="51"/>
  <c r="L9" i="51"/>
  <c r="L47" i="51"/>
  <c r="L16" i="51"/>
  <c r="L30" i="51"/>
  <c r="L18" i="51"/>
  <c r="L28" i="51"/>
  <c r="L50" i="51"/>
  <c r="L17" i="51"/>
  <c r="L35" i="51"/>
  <c r="L19" i="51"/>
  <c r="L22" i="51"/>
  <c r="L31" i="51"/>
  <c r="L26" i="51"/>
  <c r="L21" i="51"/>
  <c r="L25" i="51"/>
  <c r="L27" i="51"/>
  <c r="L14" i="51"/>
  <c r="L20" i="51"/>
  <c r="L32" i="51"/>
  <c r="L33" i="51"/>
  <c r="L13" i="51"/>
  <c r="L34" i="51"/>
  <c r="L49" i="51"/>
  <c r="L15" i="51"/>
  <c r="L10" i="51"/>
  <c r="L48" i="51"/>
  <c r="L36" i="51"/>
  <c r="L42" i="51"/>
  <c r="L40" i="51"/>
  <c r="L41" i="51"/>
  <c r="L44" i="51"/>
  <c r="L43" i="51"/>
</calcChain>
</file>

<file path=xl/sharedStrings.xml><?xml version="1.0" encoding="utf-8"?>
<sst xmlns="http://schemas.openxmlformats.org/spreadsheetml/2006/main" count="2702" uniqueCount="403">
  <si>
    <t>Номер маршрута</t>
  </si>
  <si>
    <t>Наименование маршрута</t>
  </si>
  <si>
    <t>Имя файла</t>
  </si>
  <si>
    <t>barsuki</t>
  </si>
  <si>
    <t>raduga</t>
  </si>
  <si>
    <t>zamlinie</t>
  </si>
  <si>
    <t>Барсуки</t>
  </si>
  <si>
    <t>Замлынье</t>
  </si>
  <si>
    <t>Содержимое файла</t>
  </si>
  <si>
    <t>(не более 8 симв.)</t>
  </si>
  <si>
    <t>(не более 20 симв.)</t>
  </si>
  <si>
    <t>1 Труда - КЗТШ</t>
  </si>
  <si>
    <t>4 Советская-Косьё</t>
  </si>
  <si>
    <t>8 АС Жодино-КЗТШ</t>
  </si>
  <si>
    <t>8a АС Жодино-КЗТШ</t>
  </si>
  <si>
    <t>8_ КЗТШ-АС Жодино</t>
  </si>
  <si>
    <t>9 Бажора-КЗТШ</t>
  </si>
  <si>
    <t>2</t>
  </si>
  <si>
    <t>4</t>
  </si>
  <si>
    <t>6</t>
  </si>
  <si>
    <t>8</t>
  </si>
  <si>
    <t>9</t>
  </si>
  <si>
    <t>11</t>
  </si>
  <si>
    <t>3</t>
  </si>
  <si>
    <t>6a</t>
  </si>
  <si>
    <t>8a</t>
  </si>
  <si>
    <t>8_</t>
  </si>
  <si>
    <t>2 Бажора-Пож. часть</t>
  </si>
  <si>
    <t>6 Советск.-Пож.часть</t>
  </si>
  <si>
    <t>11 Труда-Вост.кладб.</t>
  </si>
  <si>
    <t>automob</t>
  </si>
  <si>
    <t>budagovo</t>
  </si>
  <si>
    <t>deti</t>
  </si>
  <si>
    <t>gor1smol</t>
  </si>
  <si>
    <t>jalov</t>
  </si>
  <si>
    <t>ljutka</t>
  </si>
  <si>
    <t>logoisk</t>
  </si>
  <si>
    <t>napalki</t>
  </si>
  <si>
    <t>pov_zur</t>
  </si>
  <si>
    <t>rodnik</t>
  </si>
  <si>
    <t>sluzhebn</t>
  </si>
  <si>
    <t>snekpro</t>
  </si>
  <si>
    <t>stroit</t>
  </si>
  <si>
    <t>sutoki</t>
  </si>
  <si>
    <t>tochil</t>
  </si>
  <si>
    <t>uzefovo</t>
  </si>
  <si>
    <t>v_park</t>
  </si>
  <si>
    <t>zakaz</t>
  </si>
  <si>
    <t>zel_bor</t>
  </si>
  <si>
    <t>zhurav</t>
  </si>
  <si>
    <t>Город 1 Смолевичи</t>
  </si>
  <si>
    <t>с/т Автомобилист</t>
  </si>
  <si>
    <t>с/т Радуга</t>
  </si>
  <si>
    <t>с/т Строитель</t>
  </si>
  <si>
    <t>с/т Журавинка</t>
  </si>
  <si>
    <t>пов. с/т Журавинка</t>
  </si>
  <si>
    <t>Будагово</t>
  </si>
  <si>
    <t>ДЕТИ</t>
  </si>
  <si>
    <t>Яловица</t>
  </si>
  <si>
    <t>Лютка</t>
  </si>
  <si>
    <t>Логойск</t>
  </si>
  <si>
    <t>Напалки</t>
  </si>
  <si>
    <t>с/т Родничок</t>
  </si>
  <si>
    <t>СЛУЖЕБНЫЙ</t>
  </si>
  <si>
    <t>СНЕКПРО</t>
  </si>
  <si>
    <t>Сутоки</t>
  </si>
  <si>
    <t>Точилище</t>
  </si>
  <si>
    <t>Юзефово</t>
  </si>
  <si>
    <t>В ПАРК</t>
  </si>
  <si>
    <t>ЗАКАЗНОЙ</t>
  </si>
  <si>
    <t>Зеленый Бор</t>
  </si>
  <si>
    <t>Начало нумерация пунктов в route.ini</t>
  </si>
  <si>
    <t>Номер пункта для загрузки заголовков маршрутов</t>
  </si>
  <si>
    <t>(в gBuse)</t>
  </si>
  <si>
    <t>(с именем листа + ".ini")</t>
  </si>
  <si>
    <t>Строка на листе route</t>
  </si>
  <si>
    <t>Пункт</t>
  </si>
  <si>
    <t>Заголовок</t>
  </si>
  <si>
    <t>Звук</t>
  </si>
  <si>
    <t>Остановка</t>
  </si>
  <si>
    <t>Конечная</t>
  </si>
  <si>
    <t>Автовокзал</t>
  </si>
  <si>
    <t>Гостиница</t>
  </si>
  <si>
    <t>Площадь</t>
  </si>
  <si>
    <t>Проспект</t>
  </si>
  <si>
    <t>Станция метро</t>
  </si>
  <si>
    <t>Улица</t>
  </si>
  <si>
    <t>ostor</t>
  </si>
  <si>
    <t>kanc</t>
  </si>
  <si>
    <t>av</t>
  </si>
  <si>
    <t>ds</t>
  </si>
  <si>
    <t>gos</t>
  </si>
  <si>
    <t>ko</t>
  </si>
  <si>
    <t>pl</t>
  </si>
  <si>
    <t>pr</t>
  </si>
  <si>
    <t>sm</t>
  </si>
  <si>
    <t>ul</t>
  </si>
  <si>
    <t>Папка с озвучкой констант</t>
  </si>
  <si>
    <t>Папка с озвучкой остановок</t>
  </si>
  <si>
    <t>mp3_knst</t>
  </si>
  <si>
    <t>mp3_ost</t>
  </si>
  <si>
    <t>ost</t>
  </si>
  <si>
    <t>5ssh</t>
  </si>
  <si>
    <t>8marta</t>
  </si>
  <si>
    <t>8mikra</t>
  </si>
  <si>
    <t>8ssh</t>
  </si>
  <si>
    <t>50letokt</t>
  </si>
  <si>
    <t>avtomobi</t>
  </si>
  <si>
    <t>avtostan</t>
  </si>
  <si>
    <t>azs</t>
  </si>
  <si>
    <t>bajora</t>
  </si>
  <si>
    <t>belaz</t>
  </si>
  <si>
    <t>boguslav</t>
  </si>
  <si>
    <t>carkva</t>
  </si>
  <si>
    <t>darojnay</t>
  </si>
  <si>
    <t>elseti</t>
  </si>
  <si>
    <t>gagarina</t>
  </si>
  <si>
    <t>gdk</t>
  </si>
  <si>
    <t>inst-zem</t>
  </si>
  <si>
    <t>inst-zve</t>
  </si>
  <si>
    <t>itk</t>
  </si>
  <si>
    <t>jd</t>
  </si>
  <si>
    <t>jen-gimn</t>
  </si>
  <si>
    <t>kalinina</t>
  </si>
  <si>
    <t>kastel</t>
  </si>
  <si>
    <t>kladbvos</t>
  </si>
  <si>
    <t>kupriyan</t>
  </si>
  <si>
    <t>kztsh</t>
  </si>
  <si>
    <t>lag</t>
  </si>
  <si>
    <t>lenina</t>
  </si>
  <si>
    <t>leninska</t>
  </si>
  <si>
    <t>lesnaya</t>
  </si>
  <si>
    <t>lesoceh</t>
  </si>
  <si>
    <t>magazin</t>
  </si>
  <si>
    <t>magistra</t>
  </si>
  <si>
    <t>mira</t>
  </si>
  <si>
    <t>moskovsk</t>
  </si>
  <si>
    <t>nagornay</t>
  </si>
  <si>
    <t>ostrovsk</t>
  </si>
  <si>
    <t>paliklin</t>
  </si>
  <si>
    <t>partizan</t>
  </si>
  <si>
    <t>pochta</t>
  </si>
  <si>
    <t>pojarnay</t>
  </si>
  <si>
    <t>pyaschan</t>
  </si>
  <si>
    <t>rokosovs</t>
  </si>
  <si>
    <t>rwnok</t>
  </si>
  <si>
    <t>sberbank</t>
  </si>
  <si>
    <t>skarwnw</t>
  </si>
  <si>
    <t>sudob-kl</t>
  </si>
  <si>
    <t>suhogrya</t>
  </si>
  <si>
    <t>svitanak</t>
  </si>
  <si>
    <t>swrokvas</t>
  </si>
  <si>
    <t>tamoj</t>
  </si>
  <si>
    <t>tc</t>
  </si>
  <si>
    <t>tec</t>
  </si>
  <si>
    <t>truda</t>
  </si>
  <si>
    <t>universa</t>
  </si>
  <si>
    <t>vch</t>
  </si>
  <si>
    <t>venis`e</t>
  </si>
  <si>
    <t>yunost`</t>
  </si>
  <si>
    <t>Наименование</t>
  </si>
  <si>
    <t>ИТК-8</t>
  </si>
  <si>
    <t>Женская гимназия</t>
  </si>
  <si>
    <t>ЖД Вокзал</t>
  </si>
  <si>
    <t>ул.Калинина</t>
  </si>
  <si>
    <t>ул.Московская</t>
  </si>
  <si>
    <t>ул.Партизанская</t>
  </si>
  <si>
    <t>ул.Сырокваша</t>
  </si>
  <si>
    <t>пр-т Мира</t>
  </si>
  <si>
    <t>ул.Гагарина</t>
  </si>
  <si>
    <t>СШ № 5</t>
  </si>
  <si>
    <t>ул.Рокоссовского</t>
  </si>
  <si>
    <t>ул.Бажора</t>
  </si>
  <si>
    <t>8 микрорайон</t>
  </si>
  <si>
    <t>СШ № 8</t>
  </si>
  <si>
    <t>Магазин</t>
  </si>
  <si>
    <t>Перекресток</t>
  </si>
  <si>
    <t>Автостанция</t>
  </si>
  <si>
    <t>АЗС</t>
  </si>
  <si>
    <t>Бажора</t>
  </si>
  <si>
    <t>Больница</t>
  </si>
  <si>
    <t>Что звучит</t>
  </si>
  <si>
    <t>Пятая сярэдняя школа</t>
  </si>
  <si>
    <t>Восьмага сакавiка</t>
  </si>
  <si>
    <t>Озвучка</t>
  </si>
  <si>
    <t>проф.</t>
  </si>
  <si>
    <t>любит.</t>
  </si>
  <si>
    <t>Восьмы мiкрараён</t>
  </si>
  <si>
    <t>Восьмая сярэдняя школа</t>
  </si>
  <si>
    <t>Пятiдзесяцiгодзя кастрычнiка</t>
  </si>
  <si>
    <t>Магазiн</t>
  </si>
  <si>
    <t>Перакрыжаванне</t>
  </si>
  <si>
    <t>метро</t>
  </si>
  <si>
    <t>Аутамабiлiстау</t>
  </si>
  <si>
    <t>Аутастанцыя</t>
  </si>
  <si>
    <t>Транспартная прахадная БелАЗ</t>
  </si>
  <si>
    <t>Багуслау Поле</t>
  </si>
  <si>
    <t>Гарадская бальнiца</t>
  </si>
  <si>
    <t>Царква</t>
  </si>
  <si>
    <t>Церковь</t>
  </si>
  <si>
    <t>Дарожная</t>
  </si>
  <si>
    <t>Электрасецi</t>
  </si>
  <si>
    <t>Электросети</t>
  </si>
  <si>
    <t>Гагарына</t>
  </si>
  <si>
    <t>Гарадскi палац культуры i адпачынку</t>
  </si>
  <si>
    <t>Дом культуры</t>
  </si>
  <si>
    <t>Беларускi iнстытут земляробства</t>
  </si>
  <si>
    <t>Беларускi iнстытут жывёлагадоулi</t>
  </si>
  <si>
    <t>Выпрауленчая установа нумар восем</t>
  </si>
  <si>
    <t>Чыгуначны вакзал</t>
  </si>
  <si>
    <t>Жаночая гiмназiя</t>
  </si>
  <si>
    <t>Калiнiна</t>
  </si>
  <si>
    <t>Костел</t>
  </si>
  <si>
    <t>КЗТШ</t>
  </si>
  <si>
    <t>пр-т Ленина</t>
  </si>
  <si>
    <t>Праспект Ленiна</t>
  </si>
  <si>
    <t>Ленинская</t>
  </si>
  <si>
    <t>Лясная</t>
  </si>
  <si>
    <t>Лесоцех</t>
  </si>
  <si>
    <t>Магазин Рублевский</t>
  </si>
  <si>
    <t>Магiстральная</t>
  </si>
  <si>
    <t>Праспект Мiру</t>
  </si>
  <si>
    <t>Маскоуская</t>
  </si>
  <si>
    <t>Нагорная</t>
  </si>
  <si>
    <t>Астроускага</t>
  </si>
  <si>
    <t>Поликлиника</t>
  </si>
  <si>
    <t>Палiклiнiка</t>
  </si>
  <si>
    <t>Касцёл</t>
  </si>
  <si>
    <t>Купрыянава</t>
  </si>
  <si>
    <t>Кузнечны завод цяжкiх штамповак</t>
  </si>
  <si>
    <t>Лагойская</t>
  </si>
  <si>
    <t>Лесацех</t>
  </si>
  <si>
    <t>Партызанская</t>
  </si>
  <si>
    <t>Почта</t>
  </si>
  <si>
    <t>Адзяленне паштовай сувязi</t>
  </si>
  <si>
    <t>Пажарная</t>
  </si>
  <si>
    <t>Пясчаная</t>
  </si>
  <si>
    <t>Ракасоускага</t>
  </si>
  <si>
    <t>Стодедовский</t>
  </si>
  <si>
    <t>Рынак Стадедаускi</t>
  </si>
  <si>
    <t>Сбербанк</t>
  </si>
  <si>
    <t>пр-т Скорины</t>
  </si>
  <si>
    <t>Праспект Скарыны</t>
  </si>
  <si>
    <t>Могiлкi Усходняе</t>
  </si>
  <si>
    <t>Могiлкi Судабоускае</t>
  </si>
  <si>
    <t>Сухаградская</t>
  </si>
  <si>
    <t>Свитанок</t>
  </si>
  <si>
    <t>Акцыянернае таварыства Свiтанак</t>
  </si>
  <si>
    <t>Дзьмiтрыя Сыракваша</t>
  </si>
  <si>
    <t>Таможня</t>
  </si>
  <si>
    <t>Мытны</t>
  </si>
  <si>
    <t>Торг.центр</t>
  </si>
  <si>
    <t>Тарговы цэнтр</t>
  </si>
  <si>
    <t>ТЭЦ</t>
  </si>
  <si>
    <t>Жодзiнская ТЭЦ</t>
  </si>
  <si>
    <t>Працы</t>
  </si>
  <si>
    <t>Универсам</t>
  </si>
  <si>
    <t>Унiверсам центральны</t>
  </si>
  <si>
    <t>Воинская часть</t>
  </si>
  <si>
    <t>Вайсковая часць</t>
  </si>
  <si>
    <t>пр-т Венисье</t>
  </si>
  <si>
    <t>Праспект Венiс'е</t>
  </si>
  <si>
    <t>к/т Юность</t>
  </si>
  <si>
    <t>Кінатэатр Юнасць</t>
  </si>
  <si>
    <t>маг. Рублевский</t>
  </si>
  <si>
    <t>Префикс
озвучки</t>
  </si>
  <si>
    <t>ул.50 лет Октяб.</t>
  </si>
  <si>
    <t>ул.8 Марта</t>
  </si>
  <si>
    <t>ул.Автомобилист.</t>
  </si>
  <si>
    <t>ул.Богуслав Поле</t>
  </si>
  <si>
    <t>ул.Дорожная</t>
  </si>
  <si>
    <t>ул.Куприянова</t>
  </si>
  <si>
    <t>ул.Ленинская</t>
  </si>
  <si>
    <t>ул.Лесная</t>
  </si>
  <si>
    <t>ул.Логойская</t>
  </si>
  <si>
    <t>ул.Магистральная</t>
  </si>
  <si>
    <t>ул.Нагорная</t>
  </si>
  <si>
    <t>ул.Песчаная</t>
  </si>
  <si>
    <t>ул.Сухогрядская</t>
  </si>
  <si>
    <t>ул.Труда</t>
  </si>
  <si>
    <t>1 строка</t>
  </si>
  <si>
    <t>2 строка</t>
  </si>
  <si>
    <t>1</t>
  </si>
  <si>
    <t>ул. Труда</t>
  </si>
  <si>
    <t>ул. Бажора</t>
  </si>
  <si>
    <t>ул. Советская</t>
  </si>
  <si>
    <t>Косьё</t>
  </si>
  <si>
    <t>Пожарная часть</t>
  </si>
  <si>
    <t>Кузнечный-3</t>
  </si>
  <si>
    <t>Новогрядская</t>
  </si>
  <si>
    <t>АС Жодино</t>
  </si>
  <si>
    <t>Рокоссовского</t>
  </si>
  <si>
    <t>6А</t>
  </si>
  <si>
    <t>9-й микрорайон</t>
  </si>
  <si>
    <t>8А</t>
  </si>
  <si>
    <t>КЗТШ-АС Жодино</t>
  </si>
  <si>
    <t>ч/з Рокоссовск.</t>
  </si>
  <si>
    <t>Восточное кладб.</t>
  </si>
  <si>
    <t>Город-1</t>
  </si>
  <si>
    <t>СМОЛЕВИЧИ</t>
  </si>
  <si>
    <t>208С</t>
  </si>
  <si>
    <t>ЖОДИНО</t>
  </si>
  <si>
    <t>212С</t>
  </si>
  <si>
    <t>219С</t>
  </si>
  <si>
    <t>204С</t>
  </si>
  <si>
    <t>211С</t>
  </si>
  <si>
    <t>209С</t>
  </si>
  <si>
    <t>205С</t>
  </si>
  <si>
    <t>197С</t>
  </si>
  <si>
    <t>ТОЧИЛИЩЕ</t>
  </si>
  <si>
    <t>216С</t>
  </si>
  <si>
    <t>202С</t>
  </si>
  <si>
    <t>210С</t>
  </si>
  <si>
    <t>207Э</t>
  </si>
  <si>
    <t>214Э</t>
  </si>
  <si>
    <t>201Э</t>
  </si>
  <si>
    <t>213Э</t>
  </si>
  <si>
    <t>203Э</t>
  </si>
  <si>
    <t>Автомобилист</t>
  </si>
  <si>
    <t>пов.Журавинка</t>
  </si>
  <si>
    <t>АВТОБУС</t>
  </si>
  <si>
    <t>СЛЕДУЕТ В ПАРК</t>
  </si>
  <si>
    <t>Прямой</t>
  </si>
  <si>
    <t>Обратный</t>
  </si>
  <si>
    <t>Переход</t>
  </si>
  <si>
    <t>----- Прямой -----</t>
  </si>
  <si>
    <t>Line</t>
  </si>
  <si>
    <t>----- Обратный -----</t>
  </si>
  <si>
    <t>----- Конец -----</t>
  </si>
  <si>
    <t>Дв. закр. След. ост.</t>
  </si>
  <si>
    <t>Дисп. станция</t>
  </si>
  <si>
    <t>Канцавая</t>
  </si>
  <si>
    <t>Преф.</t>
  </si>
  <si>
    <t>До ост.</t>
  </si>
  <si>
    <t>После ост.</t>
  </si>
  <si>
    <t>№</t>
  </si>
  <si>
    <t>ул.Островского</t>
  </si>
  <si>
    <t>Рынок</t>
  </si>
  <si>
    <t>БелНИИЖ</t>
  </si>
  <si>
    <t>БелНИИЗ</t>
  </si>
  <si>
    <t>кл. Восточное</t>
  </si>
  <si>
    <t>кл. Судобовское</t>
  </si>
  <si>
    <t>&lt;- Номер строки на листе route</t>
  </si>
  <si>
    <t>Транс.прох.БелАЗ</t>
  </si>
  <si>
    <t>ул.Логойская,21</t>
  </si>
  <si>
    <t>ул.Логойская,23</t>
  </si>
  <si>
    <t>ул.Жодинская</t>
  </si>
  <si>
    <t>ул.Боровая</t>
  </si>
  <si>
    <t>ул.Родниковая</t>
  </si>
  <si>
    <t>Парк культуры</t>
  </si>
  <si>
    <t>ул.Юбилейная</t>
  </si>
  <si>
    <t>Гимназия № 1</t>
  </si>
  <si>
    <t>ул.Новогрядская</t>
  </si>
  <si>
    <t>пов. с/т Заря</t>
  </si>
  <si>
    <t>ул.Солигорская</t>
  </si>
  <si>
    <t>ул.Витебская</t>
  </si>
  <si>
    <t>ул.Слуцкая</t>
  </si>
  <si>
    <t>ул.Сосновая</t>
  </si>
  <si>
    <t>пов. Нов. Грядки</t>
  </si>
  <si>
    <t>ул.Советская</t>
  </si>
  <si>
    <t>ул.Ленинградская</t>
  </si>
  <si>
    <t>Универмаг</t>
  </si>
  <si>
    <t>Углы</t>
  </si>
  <si>
    <t>Углы-2</t>
  </si>
  <si>
    <t>6а 9 мр-н-Советск.</t>
  </si>
  <si>
    <t>Рынак</t>
  </si>
  <si>
    <t>rinok</t>
  </si>
  <si>
    <t>leningra</t>
  </si>
  <si>
    <t>Ленiнградская</t>
  </si>
  <si>
    <t>sluchk</t>
  </si>
  <si>
    <t>Слуцкая</t>
  </si>
  <si>
    <t>borovaja</t>
  </si>
  <si>
    <t>Баравая</t>
  </si>
  <si>
    <t>sosnov</t>
  </si>
  <si>
    <t>Сасновая</t>
  </si>
  <si>
    <t>magaz</t>
  </si>
  <si>
    <t>perekres</t>
  </si>
  <si>
    <t>bolnica</t>
  </si>
  <si>
    <t>Филиалу "Автомобильный парк №18 г. Жодино на постоянную работу т</t>
  </si>
  <si>
    <t>ребуются водители категории D. З/п от 800 до 1500 руб. Тел. 8 (0</t>
  </si>
  <si>
    <t>1775) 66014, 66007</t>
  </si>
  <si>
    <t>Реклама</t>
  </si>
  <si>
    <t>gimn1</t>
  </si>
  <si>
    <t>kuzn-3</t>
  </si>
  <si>
    <t>park</t>
  </si>
  <si>
    <t>nov-gr</t>
  </si>
  <si>
    <t>zara</t>
  </si>
  <si>
    <t>ugli</t>
  </si>
  <si>
    <t>ugli-2</t>
  </si>
  <si>
    <t>vitebsk</t>
  </si>
  <si>
    <t>zhodinsk</t>
  </si>
  <si>
    <t>log21</t>
  </si>
  <si>
    <t>log23</t>
  </si>
  <si>
    <t>novogr</t>
  </si>
  <si>
    <t>sovetsk</t>
  </si>
  <si>
    <t>ubiley</t>
  </si>
  <si>
    <t>9mikro</t>
  </si>
  <si>
    <t xml:space="preserve">                    Госэнергогазнадзор предупреждает - ловля рыб</t>
  </si>
  <si>
    <t>ы в охранных зонах электропередач опасна для жизни!!!</t>
  </si>
  <si>
    <t>s 3, r 000 086 090 000</t>
  </si>
  <si>
    <t>soligors</t>
  </si>
  <si>
    <t>univmag</t>
  </si>
  <si>
    <t>3 Автостанция-Новогрядск.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</si>
</sst>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9"/>
      <color theme="1"/>
      <name val="Calibri"/>
      <family val="2"/>
      <charset val="204"/>
      <scheme val="minor"/>
    </font>
    <font>
      <sz val="11"/>
      <color theme="1"/>
      <name val="Courier New"/>
      <family val="3"/>
      <charset val="204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 applyFill="1"/>
    <xf numFmtId="49" fontId="3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0" fillId="0" borderId="0" xfId="0" applyNumberFormat="1"/>
    <xf numFmtId="1" fontId="3" fillId="0" borderId="0" xfId="0" applyNumberFormat="1" applyFont="1" applyAlignment="1">
      <alignment horizontal="center"/>
    </xf>
    <xf numFmtId="1" fontId="4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left"/>
    </xf>
    <xf numFmtId="0" fontId="0" fillId="2" borderId="0" xfId="0" applyFill="1"/>
    <xf numFmtId="0" fontId="5" fillId="2" borderId="0" xfId="0" applyFont="1" applyFill="1"/>
    <xf numFmtId="0" fontId="0" fillId="0" borderId="0" xfId="0" applyNumberFormat="1"/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left"/>
    </xf>
    <xf numFmtId="0" fontId="3" fillId="0" borderId="0" xfId="0" applyFont="1"/>
    <xf numFmtId="49" fontId="3" fillId="0" borderId="0" xfId="0" applyNumberFormat="1" applyFont="1" applyAlignment="1">
      <alignment horizontal="left"/>
    </xf>
    <xf numFmtId="0" fontId="3" fillId="2" borderId="0" xfId="0" applyFont="1" applyFill="1"/>
    <xf numFmtId="1" fontId="0" fillId="2" borderId="0" xfId="0" applyNumberForma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" fontId="1" fillId="3" borderId="1" xfId="0" applyNumberFormat="1" applyFont="1" applyFill="1" applyBorder="1" applyAlignment="1">
      <alignment horizontal="left"/>
    </xf>
    <xf numFmtId="0" fontId="6" fillId="0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49" fontId="2" fillId="3" borderId="1" xfId="0" applyNumberFormat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5" fillId="2" borderId="1" xfId="0" applyFont="1" applyFill="1" applyBorder="1"/>
    <xf numFmtId="0" fontId="0" fillId="2" borderId="1" xfId="0" applyFill="1" applyBorder="1"/>
    <xf numFmtId="0" fontId="0" fillId="3" borderId="1" xfId="0" quotePrefix="1" applyFill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49" fontId="0" fillId="2" borderId="0" xfId="0" applyNumberFormat="1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4"/>
  <sheetViews>
    <sheetView workbookViewId="0">
      <selection activeCell="B3" sqref="B3"/>
    </sheetView>
  </sheetViews>
  <sheetFormatPr defaultRowHeight="14.3" x14ac:dyDescent="0.25"/>
  <cols>
    <col min="1" max="1" width="45.125" bestFit="1" customWidth="1"/>
  </cols>
  <sheetData>
    <row r="1" spans="1:2" x14ac:dyDescent="0.25">
      <c r="A1" t="s">
        <v>71</v>
      </c>
      <c r="B1">
        <v>0</v>
      </c>
    </row>
    <row r="2" spans="1:2" x14ac:dyDescent="0.25">
      <c r="A2" t="s">
        <v>72</v>
      </c>
      <c r="B2">
        <v>500</v>
      </c>
    </row>
    <row r="3" spans="1:2" x14ac:dyDescent="0.25">
      <c r="A3" t="s">
        <v>97</v>
      </c>
      <c r="B3" t="s">
        <v>99</v>
      </c>
    </row>
    <row r="4" spans="1:2" x14ac:dyDescent="0.25">
      <c r="A4" t="s">
        <v>98</v>
      </c>
      <c r="B4" t="s">
        <v>100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14"/>
  <sheetViews>
    <sheetView topLeftCell="B1" workbookViewId="0">
      <pane ySplit="1" topLeftCell="A2" activePane="bottomLeft" state="frozen"/>
      <selection pane="bottomLeft" activeCell="C14" sqref="C14"/>
    </sheetView>
  </sheetViews>
  <sheetFormatPr defaultRowHeight="14.3" x14ac:dyDescent="0.25"/>
  <cols>
    <col min="1" max="1" width="17.5" bestFit="1" customWidth="1"/>
    <col min="3" max="3" width="19.125" bestFit="1" customWidth="1"/>
    <col min="4" max="4" width="60.75" style="6" customWidth="1"/>
  </cols>
  <sheetData>
    <row r="1" spans="1:4" s="1" customFormat="1" x14ac:dyDescent="0.25">
      <c r="A1" s="1" t="s">
        <v>77</v>
      </c>
      <c r="B1" s="10" t="s">
        <v>76</v>
      </c>
      <c r="C1" s="7" t="s">
        <v>78</v>
      </c>
      <c r="D1" s="4" t="s">
        <v>8</v>
      </c>
    </row>
    <row r="2" spans="1:4" x14ac:dyDescent="0.25">
      <c r="A2" t="s">
        <v>81</v>
      </c>
      <c r="B2">
        <v>921</v>
      </c>
      <c r="C2" t="s">
        <v>89</v>
      </c>
      <c r="D2" s="16" t="str">
        <f t="shared" ref="D2:D12" si="0">"&lt;unit"&amp;B2&amp;"&gt; """&amp;A2&amp;""""&amp;" {v ""\"&amp;mp3_knst&amp;"\"&amp;C2&amp;".mp3""}"</f>
        <v>&lt;unit921&gt; "Автовокзал" {v "\mp3_knst\av.mp3"}</v>
      </c>
    </row>
    <row r="3" spans="1:4" x14ac:dyDescent="0.25">
      <c r="A3" t="s">
        <v>82</v>
      </c>
      <c r="B3">
        <v>923</v>
      </c>
      <c r="C3" t="s">
        <v>91</v>
      </c>
      <c r="D3" s="16" t="str">
        <f t="shared" si="0"/>
        <v>&lt;unit923&gt; "Гостиница" {v "\mp3_knst\gos.mp3"}</v>
      </c>
    </row>
    <row r="4" spans="1:4" x14ac:dyDescent="0.25">
      <c r="A4" t="s">
        <v>330</v>
      </c>
      <c r="B4">
        <v>922</v>
      </c>
      <c r="C4" t="s">
        <v>90</v>
      </c>
      <c r="D4" s="16" t="str">
        <f t="shared" si="0"/>
        <v>&lt;unit922&gt; "Дисп. станция" {v "\mp3_knst\ds.mp3"}</v>
      </c>
    </row>
    <row r="5" spans="1:4" x14ac:dyDescent="0.25">
      <c r="A5" t="s">
        <v>331</v>
      </c>
      <c r="B5">
        <v>903</v>
      </c>
      <c r="C5" t="s">
        <v>88</v>
      </c>
      <c r="D5" s="16" t="str">
        <f t="shared" si="0"/>
        <v>&lt;unit903&gt; "Канцавая" {v "\mp3_knst\kanc.mp3"}</v>
      </c>
    </row>
    <row r="6" spans="1:4" x14ac:dyDescent="0.25">
      <c r="A6" t="s">
        <v>80</v>
      </c>
      <c r="B6">
        <v>924</v>
      </c>
      <c r="C6" t="s">
        <v>92</v>
      </c>
      <c r="D6" s="16" t="str">
        <f t="shared" si="0"/>
        <v>&lt;unit924&gt; "Конечная" {v "\mp3_knst\ko.mp3"}</v>
      </c>
    </row>
    <row r="7" spans="1:4" x14ac:dyDescent="0.25">
      <c r="A7" t="s">
        <v>79</v>
      </c>
      <c r="B7">
        <v>902</v>
      </c>
      <c r="C7" t="s">
        <v>101</v>
      </c>
      <c r="D7" s="16" t="str">
        <f t="shared" si="0"/>
        <v>&lt;unit902&gt; "Остановка" {v "\mp3_knst\ost.mp3"}</v>
      </c>
    </row>
    <row r="8" spans="1:4" x14ac:dyDescent="0.25">
      <c r="A8" t="s">
        <v>329</v>
      </c>
      <c r="B8">
        <v>900</v>
      </c>
      <c r="C8" t="s">
        <v>87</v>
      </c>
      <c r="D8" s="16" t="str">
        <f t="shared" si="0"/>
        <v>&lt;unit900&gt; "Дв. закр. След. ост." {v "\mp3_knst\ostor.mp3"}</v>
      </c>
    </row>
    <row r="9" spans="1:4" x14ac:dyDescent="0.25">
      <c r="A9" t="s">
        <v>83</v>
      </c>
      <c r="B9">
        <v>925</v>
      </c>
      <c r="C9" t="s">
        <v>93</v>
      </c>
      <c r="D9" s="16" t="str">
        <f t="shared" si="0"/>
        <v>&lt;unit925&gt; "Площадь" {v "\mp3_knst\pl.mp3"}</v>
      </c>
    </row>
    <row r="10" spans="1:4" x14ac:dyDescent="0.25">
      <c r="A10" t="s">
        <v>84</v>
      </c>
      <c r="B10">
        <v>926</v>
      </c>
      <c r="C10" t="s">
        <v>94</v>
      </c>
      <c r="D10" s="16" t="str">
        <f t="shared" si="0"/>
        <v>&lt;unit926&gt; "Проспект" {v "\mp3_knst\pr.mp3"}</v>
      </c>
    </row>
    <row r="11" spans="1:4" x14ac:dyDescent="0.25">
      <c r="A11" t="s">
        <v>85</v>
      </c>
      <c r="B11">
        <v>927</v>
      </c>
      <c r="C11" t="s">
        <v>95</v>
      </c>
      <c r="D11" s="16" t="str">
        <f t="shared" si="0"/>
        <v>&lt;unit927&gt; "Станция метро" {v "\mp3_knst\sm.mp3"}</v>
      </c>
    </row>
    <row r="12" spans="1:4" x14ac:dyDescent="0.25">
      <c r="A12" t="s">
        <v>86</v>
      </c>
      <c r="B12">
        <v>928</v>
      </c>
      <c r="C12" t="s">
        <v>96</v>
      </c>
      <c r="D12" s="16" t="str">
        <f t="shared" si="0"/>
        <v>&lt;unit928&gt; "Улица" {v "\mp3_knst\ul.mp3"}</v>
      </c>
    </row>
    <row r="14" spans="1:4" x14ac:dyDescent="0.25">
      <c r="A14" t="s">
        <v>381</v>
      </c>
      <c r="B14">
        <v>930</v>
      </c>
      <c r="C14" t="s">
        <v>399</v>
      </c>
      <c r="D14" s="16" t="str">
        <f>"&lt;unit"&amp;B14&amp;"&gt; """&amp;A14&amp;""""&amp;" {"&amp;C14&amp;"}"</f>
        <v>&lt;unit930&gt; "Реклама" {s 3, r 000 086 090 000}</v>
      </c>
    </row>
  </sheetData>
  <sortState ref="A2:E12">
    <sortCondition ref="A2:A12"/>
  </sortState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H85"/>
  <sheetViews>
    <sheetView workbookViewId="0">
      <pane ySplit="1" topLeftCell="A71" activePane="bottomLeft" state="frozen"/>
      <selection pane="bottomLeft" activeCell="E73" sqref="E73"/>
    </sheetView>
  </sheetViews>
  <sheetFormatPr defaultRowHeight="14.3" x14ac:dyDescent="0.25"/>
  <cols>
    <col min="2" max="2" width="17.5" bestFit="1" customWidth="1"/>
    <col min="3" max="3" width="31.5" bestFit="1" customWidth="1"/>
    <col min="4" max="4" width="8.125" bestFit="1" customWidth="1"/>
    <col min="5" max="5" width="12.75" style="9" bestFit="1" customWidth="1"/>
    <col min="6" max="6" width="11.625" style="17" customWidth="1"/>
    <col min="7" max="7" width="16.5" customWidth="1"/>
    <col min="8" max="8" width="29.75" style="6" bestFit="1" customWidth="1"/>
  </cols>
  <sheetData>
    <row r="1" spans="1:8" s="1" customFormat="1" ht="28.55" x14ac:dyDescent="0.25">
      <c r="A1" s="26" t="s">
        <v>265</v>
      </c>
      <c r="B1" s="27" t="s">
        <v>160</v>
      </c>
      <c r="C1" s="28" t="s">
        <v>181</v>
      </c>
      <c r="D1" s="28" t="s">
        <v>184</v>
      </c>
      <c r="E1" s="29" t="s">
        <v>78</v>
      </c>
      <c r="F1" s="30"/>
      <c r="G1" s="28"/>
      <c r="H1" s="31"/>
    </row>
    <row r="2" spans="1:8" x14ac:dyDescent="0.25">
      <c r="B2" t="s">
        <v>173</v>
      </c>
      <c r="C2" t="s">
        <v>187</v>
      </c>
      <c r="D2" t="s">
        <v>186</v>
      </c>
      <c r="E2" s="9" t="s">
        <v>104</v>
      </c>
      <c r="F2" s="17" t="str">
        <f t="shared" ref="F2:F33" si="0">IFERROR("c "&amp;VLOOKUP(A2,Punkti,2,FALSE),"")</f>
        <v/>
      </c>
      <c r="G2" t="str">
        <f t="shared" ref="G2:G33" si="1">"v ""\"&amp;mp3_ost&amp;"\"&amp;E2&amp;".mp3"""</f>
        <v>v "\mp3_ost\8mikra.mp3"</v>
      </c>
      <c r="H2" s="6" t="str">
        <f t="shared" ref="H2:H33" si="2">СцепитьМного(F2:G2,", ")</f>
        <v>v "\mp3_ost\8mikra.mp3"</v>
      </c>
    </row>
    <row r="3" spans="1:8" x14ac:dyDescent="0.25">
      <c r="B3" t="s">
        <v>177</v>
      </c>
      <c r="C3" t="s">
        <v>194</v>
      </c>
      <c r="D3" t="s">
        <v>185</v>
      </c>
      <c r="E3" s="9" t="s">
        <v>108</v>
      </c>
      <c r="F3" s="17" t="str">
        <f t="shared" si="0"/>
        <v/>
      </c>
      <c r="G3" t="str">
        <f t="shared" si="1"/>
        <v>v "\mp3_ost\avtostan.mp3"</v>
      </c>
      <c r="H3" s="6" t="str">
        <f t="shared" si="2"/>
        <v>v "\mp3_ost\avtostan.mp3"</v>
      </c>
    </row>
    <row r="4" spans="1:8" x14ac:dyDescent="0.25">
      <c r="B4" t="s">
        <v>178</v>
      </c>
      <c r="C4" t="s">
        <v>178</v>
      </c>
      <c r="D4" t="s">
        <v>185</v>
      </c>
      <c r="E4" s="9" t="s">
        <v>109</v>
      </c>
      <c r="F4" s="17" t="str">
        <f t="shared" si="0"/>
        <v/>
      </c>
      <c r="G4" t="str">
        <f t="shared" si="1"/>
        <v>v "\mp3_ost\azs.mp3"</v>
      </c>
      <c r="H4" s="6" t="str">
        <f t="shared" si="2"/>
        <v>v "\mp3_ost\azs.mp3"</v>
      </c>
    </row>
    <row r="5" spans="1:8" x14ac:dyDescent="0.25">
      <c r="B5" t="s">
        <v>338</v>
      </c>
      <c r="C5" t="s">
        <v>207</v>
      </c>
      <c r="D5" t="s">
        <v>185</v>
      </c>
      <c r="E5" s="9" t="s">
        <v>119</v>
      </c>
      <c r="F5" s="17" t="str">
        <f t="shared" si="0"/>
        <v/>
      </c>
      <c r="G5" t="str">
        <f t="shared" si="1"/>
        <v>v "\mp3_ost\inst-zve.mp3"</v>
      </c>
      <c r="H5" s="6" t="str">
        <f t="shared" si="2"/>
        <v>v "\mp3_ost\inst-zve.mp3"</v>
      </c>
    </row>
    <row r="6" spans="1:8" x14ac:dyDescent="0.25">
      <c r="B6" t="s">
        <v>339</v>
      </c>
      <c r="C6" t="s">
        <v>206</v>
      </c>
      <c r="D6" t="s">
        <v>185</v>
      </c>
      <c r="E6" s="9" t="s">
        <v>118</v>
      </c>
      <c r="F6" s="17" t="str">
        <f t="shared" si="0"/>
        <v/>
      </c>
      <c r="G6" t="str">
        <f t="shared" si="1"/>
        <v>v "\mp3_ost\inst-zem.mp3"</v>
      </c>
      <c r="H6" s="6" t="str">
        <f t="shared" si="2"/>
        <v>v "\mp3_ost\inst-zem.mp3"</v>
      </c>
    </row>
    <row r="7" spans="1:8" x14ac:dyDescent="0.25">
      <c r="B7" t="s">
        <v>180</v>
      </c>
      <c r="C7" t="s">
        <v>197</v>
      </c>
      <c r="D7" t="s">
        <v>185</v>
      </c>
      <c r="E7" s="9" t="s">
        <v>377</v>
      </c>
      <c r="F7" s="17" t="str">
        <f t="shared" si="0"/>
        <v/>
      </c>
      <c r="G7" t="str">
        <f t="shared" si="1"/>
        <v>v "\mp3_ost\bolnica.mp3"</v>
      </c>
      <c r="H7" s="6" t="str">
        <f t="shared" si="2"/>
        <v>v "\mp3_ost\bolnica.mp3"</v>
      </c>
    </row>
    <row r="8" spans="1:8" x14ac:dyDescent="0.25">
      <c r="B8" t="s">
        <v>258</v>
      </c>
      <c r="C8" t="s">
        <v>259</v>
      </c>
      <c r="D8" t="s">
        <v>185</v>
      </c>
      <c r="E8" s="9" t="s">
        <v>157</v>
      </c>
      <c r="F8" s="17" t="str">
        <f t="shared" si="0"/>
        <v/>
      </c>
      <c r="G8" t="str">
        <f t="shared" si="1"/>
        <v>v "\mp3_ost\vch.mp3"</v>
      </c>
      <c r="H8" s="6" t="str">
        <f t="shared" si="2"/>
        <v>v "\mp3_ost\vch.mp3"</v>
      </c>
    </row>
    <row r="9" spans="1:8" x14ac:dyDescent="0.25">
      <c r="B9" t="s">
        <v>351</v>
      </c>
      <c r="E9" s="47" t="s">
        <v>382</v>
      </c>
      <c r="F9" s="17" t="str">
        <f t="shared" si="0"/>
        <v/>
      </c>
      <c r="G9" t="str">
        <f t="shared" si="1"/>
        <v>v "\mp3_ost\gimn1.mp3"</v>
      </c>
      <c r="H9" s="6" t="str">
        <f t="shared" si="2"/>
        <v>v "\mp3_ost\gimn1.mp3"</v>
      </c>
    </row>
    <row r="10" spans="1:8" x14ac:dyDescent="0.25">
      <c r="B10" t="s">
        <v>205</v>
      </c>
      <c r="C10" t="s">
        <v>204</v>
      </c>
      <c r="D10" t="s">
        <v>185</v>
      </c>
      <c r="E10" s="9" t="s">
        <v>117</v>
      </c>
      <c r="F10" s="17" t="str">
        <f t="shared" si="0"/>
        <v/>
      </c>
      <c r="G10" t="str">
        <f t="shared" si="1"/>
        <v>v "\mp3_ost\gdk.mp3"</v>
      </c>
      <c r="H10" s="6" t="str">
        <f t="shared" si="2"/>
        <v>v "\mp3_ost\gdk.mp3"</v>
      </c>
    </row>
    <row r="11" spans="1:8" x14ac:dyDescent="0.25">
      <c r="B11" t="s">
        <v>163</v>
      </c>
      <c r="C11" t="s">
        <v>209</v>
      </c>
      <c r="D11" t="s">
        <v>185</v>
      </c>
      <c r="E11" s="9" t="s">
        <v>121</v>
      </c>
      <c r="F11" s="17" t="str">
        <f t="shared" si="0"/>
        <v/>
      </c>
      <c r="G11" t="str">
        <f t="shared" si="1"/>
        <v>v "\mp3_ost\jd.mp3"</v>
      </c>
      <c r="H11" s="6" t="str">
        <f t="shared" si="2"/>
        <v>v "\mp3_ost\jd.mp3"</v>
      </c>
    </row>
    <row r="12" spans="1:8" x14ac:dyDescent="0.25">
      <c r="B12" t="s">
        <v>162</v>
      </c>
      <c r="C12" t="s">
        <v>210</v>
      </c>
      <c r="D12" t="s">
        <v>185</v>
      </c>
      <c r="E12" s="9" t="s">
        <v>122</v>
      </c>
      <c r="F12" s="17" t="str">
        <f t="shared" si="0"/>
        <v/>
      </c>
      <c r="G12" t="str">
        <f t="shared" si="1"/>
        <v>v "\mp3_ost\jen-gimn.mp3"</v>
      </c>
      <c r="H12" s="6" t="str">
        <f t="shared" si="2"/>
        <v>v "\mp3_ost\jen-gimn.mp3"</v>
      </c>
    </row>
    <row r="13" spans="1:8" x14ac:dyDescent="0.25">
      <c r="B13" t="s">
        <v>161</v>
      </c>
      <c r="C13" t="s">
        <v>208</v>
      </c>
      <c r="D13" t="s">
        <v>185</v>
      </c>
      <c r="E13" s="9" t="s">
        <v>120</v>
      </c>
      <c r="F13" s="17" t="str">
        <f t="shared" si="0"/>
        <v/>
      </c>
      <c r="G13" t="str">
        <f t="shared" si="1"/>
        <v>v "\mp3_ost\itk.mp3"</v>
      </c>
      <c r="H13" s="6" t="str">
        <f t="shared" si="2"/>
        <v>v "\mp3_ost\itk.mp3"</v>
      </c>
    </row>
    <row r="14" spans="1:8" x14ac:dyDescent="0.25">
      <c r="B14" t="s">
        <v>262</v>
      </c>
      <c r="C14" t="s">
        <v>263</v>
      </c>
      <c r="D14" t="s">
        <v>185</v>
      </c>
      <c r="E14" s="9" t="s">
        <v>159</v>
      </c>
      <c r="F14" s="17" t="str">
        <f t="shared" si="0"/>
        <v/>
      </c>
      <c r="G14" t="str">
        <f t="shared" si="1"/>
        <v>v "\mp3_ost\yunost`.mp3"</v>
      </c>
      <c r="H14" s="6" t="str">
        <f t="shared" si="2"/>
        <v>v "\mp3_ost\yunost`.mp3"</v>
      </c>
    </row>
    <row r="15" spans="1:8" x14ac:dyDescent="0.25">
      <c r="B15" t="s">
        <v>213</v>
      </c>
      <c r="C15" t="s">
        <v>229</v>
      </c>
      <c r="D15" t="s">
        <v>185</v>
      </c>
      <c r="E15" s="9" t="s">
        <v>127</v>
      </c>
      <c r="F15" s="17" t="str">
        <f t="shared" si="0"/>
        <v/>
      </c>
      <c r="G15" t="str">
        <f t="shared" si="1"/>
        <v>v "\mp3_ost\kztsh.mp3"</v>
      </c>
      <c r="H15" s="6" t="str">
        <f t="shared" si="2"/>
        <v>v "\mp3_ost\kztsh.mp3"</v>
      </c>
    </row>
    <row r="16" spans="1:8" x14ac:dyDescent="0.25">
      <c r="B16" t="s">
        <v>340</v>
      </c>
      <c r="C16" t="s">
        <v>243</v>
      </c>
      <c r="D16" t="s">
        <v>185</v>
      </c>
      <c r="E16" s="9" t="s">
        <v>125</v>
      </c>
      <c r="F16" s="17" t="str">
        <f t="shared" si="0"/>
        <v/>
      </c>
      <c r="G16" t="str">
        <f t="shared" si="1"/>
        <v>v "\mp3_ost\kladbvos.mp3"</v>
      </c>
      <c r="H16" s="6" t="str">
        <f t="shared" si="2"/>
        <v>v "\mp3_ost\kladbvos.mp3"</v>
      </c>
    </row>
    <row r="17" spans="2:8" x14ac:dyDescent="0.25">
      <c r="B17" t="s">
        <v>341</v>
      </c>
      <c r="C17" t="s">
        <v>244</v>
      </c>
      <c r="D17" t="s">
        <v>185</v>
      </c>
      <c r="E17" s="9" t="s">
        <v>148</v>
      </c>
      <c r="F17" s="17" t="str">
        <f t="shared" si="0"/>
        <v/>
      </c>
      <c r="G17" t="str">
        <f t="shared" si="1"/>
        <v>v "\mp3_ost\sudob-kl.mp3"</v>
      </c>
      <c r="H17" s="6" t="str">
        <f t="shared" si="2"/>
        <v>v "\mp3_ost\sudob-kl.mp3"</v>
      </c>
    </row>
    <row r="18" spans="2:8" x14ac:dyDescent="0.25">
      <c r="B18" t="s">
        <v>212</v>
      </c>
      <c r="C18" t="s">
        <v>227</v>
      </c>
      <c r="D18" t="s">
        <v>185</v>
      </c>
      <c r="E18" s="9" t="s">
        <v>124</v>
      </c>
      <c r="F18" s="17" t="str">
        <f t="shared" si="0"/>
        <v/>
      </c>
      <c r="G18" t="str">
        <f t="shared" si="1"/>
        <v>v "\mp3_ost\kastel.mp3"</v>
      </c>
      <c r="H18" s="6" t="str">
        <f t="shared" si="2"/>
        <v>v "\mp3_ost\kastel.mp3"</v>
      </c>
    </row>
    <row r="19" spans="2:8" x14ac:dyDescent="0.25">
      <c r="B19" t="s">
        <v>288</v>
      </c>
      <c r="E19" s="47" t="s">
        <v>383</v>
      </c>
      <c r="F19" s="17" t="str">
        <f t="shared" si="0"/>
        <v/>
      </c>
      <c r="G19" t="str">
        <f t="shared" si="1"/>
        <v>v "\mp3_ost\kuzn-3.mp3"</v>
      </c>
      <c r="H19" s="6" t="str">
        <f t="shared" si="2"/>
        <v>v "\mp3_ost\kuzn-3.mp3"</v>
      </c>
    </row>
    <row r="20" spans="2:8" x14ac:dyDescent="0.25">
      <c r="B20" t="s">
        <v>218</v>
      </c>
      <c r="C20" t="s">
        <v>231</v>
      </c>
      <c r="D20" t="s">
        <v>185</v>
      </c>
      <c r="E20" s="9" t="s">
        <v>132</v>
      </c>
      <c r="F20" s="17" t="str">
        <f t="shared" si="0"/>
        <v/>
      </c>
      <c r="G20" t="str">
        <f t="shared" si="1"/>
        <v>v "\mp3_ost\lesoceh.mp3"</v>
      </c>
      <c r="H20" s="6" t="str">
        <f t="shared" si="2"/>
        <v>v "\mp3_ost\lesoceh.mp3"</v>
      </c>
    </row>
    <row r="21" spans="2:8" x14ac:dyDescent="0.25">
      <c r="B21" t="s">
        <v>264</v>
      </c>
      <c r="C21" t="s">
        <v>219</v>
      </c>
      <c r="D21" t="s">
        <v>186</v>
      </c>
      <c r="E21" s="9" t="s">
        <v>133</v>
      </c>
      <c r="F21" s="17" t="str">
        <f t="shared" si="0"/>
        <v/>
      </c>
      <c r="G21" t="str">
        <f t="shared" si="1"/>
        <v>v "\mp3_ost\magazin.mp3"</v>
      </c>
      <c r="H21" s="6" t="str">
        <f t="shared" si="2"/>
        <v>v "\mp3_ost\magazin.mp3"</v>
      </c>
    </row>
    <row r="22" spans="2:8" x14ac:dyDescent="0.25">
      <c r="B22" t="s">
        <v>175</v>
      </c>
      <c r="C22" t="s">
        <v>190</v>
      </c>
      <c r="D22" t="s">
        <v>192</v>
      </c>
      <c r="E22" s="9" t="s">
        <v>375</v>
      </c>
      <c r="F22" s="17" t="str">
        <f t="shared" si="0"/>
        <v/>
      </c>
      <c r="G22" t="str">
        <f t="shared" si="1"/>
        <v>v "\mp3_ost\magaz.mp3"</v>
      </c>
      <c r="H22" s="6" t="str">
        <f t="shared" si="2"/>
        <v>v "\mp3_ost\magaz.mp3"</v>
      </c>
    </row>
    <row r="23" spans="2:8" x14ac:dyDescent="0.25">
      <c r="B23" t="s">
        <v>349</v>
      </c>
      <c r="E23" s="47" t="s">
        <v>384</v>
      </c>
      <c r="F23" s="17" t="str">
        <f t="shared" si="0"/>
        <v/>
      </c>
      <c r="G23" t="str">
        <f t="shared" si="1"/>
        <v>v "\mp3_ost\park.mp3"</v>
      </c>
      <c r="H23" s="6" t="str">
        <f t="shared" si="2"/>
        <v>v "\mp3_ost\park.mp3"</v>
      </c>
    </row>
    <row r="24" spans="2:8" x14ac:dyDescent="0.25">
      <c r="B24" t="s">
        <v>176</v>
      </c>
      <c r="C24" t="s">
        <v>191</v>
      </c>
      <c r="D24" t="s">
        <v>192</v>
      </c>
      <c r="E24" s="9" t="s">
        <v>376</v>
      </c>
      <c r="F24" s="17" t="str">
        <f t="shared" si="0"/>
        <v/>
      </c>
      <c r="G24" t="str">
        <f t="shared" si="1"/>
        <v>v "\mp3_ost\perekres.mp3"</v>
      </c>
      <c r="H24" s="6" t="str">
        <f t="shared" si="2"/>
        <v>v "\mp3_ost\perekres.mp3"</v>
      </c>
    </row>
    <row r="25" spans="2:8" x14ac:dyDescent="0.25">
      <c r="B25" t="s">
        <v>358</v>
      </c>
      <c r="E25" s="47" t="s">
        <v>385</v>
      </c>
      <c r="F25" s="17" t="str">
        <f t="shared" si="0"/>
        <v/>
      </c>
      <c r="G25" t="str">
        <f t="shared" si="1"/>
        <v>v "\mp3_ost\nov-gr.mp3"</v>
      </c>
      <c r="H25" s="6" t="str">
        <f t="shared" si="2"/>
        <v>v "\mp3_ost\nov-gr.mp3"</v>
      </c>
    </row>
    <row r="26" spans="2:8" x14ac:dyDescent="0.25">
      <c r="B26" t="s">
        <v>353</v>
      </c>
      <c r="E26" s="47" t="s">
        <v>386</v>
      </c>
      <c r="F26" s="17" t="str">
        <f t="shared" si="0"/>
        <v/>
      </c>
      <c r="G26" t="str">
        <f t="shared" si="1"/>
        <v>v "\mp3_ost\zara.mp3"</v>
      </c>
      <c r="H26" s="6" t="str">
        <f t="shared" si="2"/>
        <v>v "\mp3_ost\zara.mp3"</v>
      </c>
    </row>
    <row r="27" spans="2:8" x14ac:dyDescent="0.25">
      <c r="B27" t="s">
        <v>287</v>
      </c>
      <c r="C27" t="s">
        <v>235</v>
      </c>
      <c r="D27" t="s">
        <v>185</v>
      </c>
      <c r="E27" s="9" t="s">
        <v>142</v>
      </c>
      <c r="F27" s="17" t="str">
        <f t="shared" si="0"/>
        <v/>
      </c>
      <c r="G27" t="str">
        <f t="shared" si="1"/>
        <v>v "\mp3_ost\pojarnay.mp3"</v>
      </c>
      <c r="H27" s="6" t="str">
        <f t="shared" si="2"/>
        <v>v "\mp3_ost\pojarnay.mp3"</v>
      </c>
    </row>
    <row r="28" spans="2:8" x14ac:dyDescent="0.25">
      <c r="B28" t="s">
        <v>225</v>
      </c>
      <c r="C28" t="s">
        <v>226</v>
      </c>
      <c r="D28" t="s">
        <v>185</v>
      </c>
      <c r="E28" s="9" t="s">
        <v>139</v>
      </c>
      <c r="F28" s="17" t="str">
        <f t="shared" si="0"/>
        <v/>
      </c>
      <c r="G28" t="str">
        <f t="shared" si="1"/>
        <v>v "\mp3_ost\paliklin.mp3"</v>
      </c>
      <c r="H28" s="6" t="str">
        <f t="shared" si="2"/>
        <v>v "\mp3_ost\paliklin.mp3"</v>
      </c>
    </row>
    <row r="29" spans="2:8" x14ac:dyDescent="0.25">
      <c r="B29" t="s">
        <v>233</v>
      </c>
      <c r="C29" t="s">
        <v>234</v>
      </c>
      <c r="D29" t="s">
        <v>185</v>
      </c>
      <c r="E29" s="9" t="s">
        <v>141</v>
      </c>
      <c r="F29" s="17" t="str">
        <f t="shared" si="0"/>
        <v/>
      </c>
      <c r="G29" t="str">
        <f t="shared" si="1"/>
        <v>v "\mp3_ost\pochta.mp3"</v>
      </c>
      <c r="H29" s="6" t="str">
        <f t="shared" si="2"/>
        <v>v "\mp3_ost\pochta.mp3"</v>
      </c>
    </row>
    <row r="30" spans="2:8" x14ac:dyDescent="0.25">
      <c r="B30" t="s">
        <v>260</v>
      </c>
      <c r="C30" t="s">
        <v>261</v>
      </c>
      <c r="D30" t="s">
        <v>185</v>
      </c>
      <c r="E30" s="9" t="s">
        <v>158</v>
      </c>
      <c r="F30" s="17" t="str">
        <f t="shared" si="0"/>
        <v/>
      </c>
      <c r="G30" t="str">
        <f t="shared" si="1"/>
        <v>v "\mp3_ost\venis`e.mp3"</v>
      </c>
      <c r="H30" s="6" t="str">
        <f t="shared" si="2"/>
        <v>v "\mp3_ost\venis`e.mp3"</v>
      </c>
    </row>
    <row r="31" spans="2:8" x14ac:dyDescent="0.25">
      <c r="B31" t="s">
        <v>214</v>
      </c>
      <c r="C31" t="s">
        <v>215</v>
      </c>
      <c r="D31" t="s">
        <v>185</v>
      </c>
      <c r="E31" s="9" t="s">
        <v>129</v>
      </c>
      <c r="F31" s="17" t="str">
        <f t="shared" si="0"/>
        <v/>
      </c>
      <c r="G31" t="str">
        <f t="shared" si="1"/>
        <v>v "\mp3_ost\lenina.mp3"</v>
      </c>
      <c r="H31" s="6" t="str">
        <f t="shared" si="2"/>
        <v>v "\mp3_ost\lenina.mp3"</v>
      </c>
    </row>
    <row r="32" spans="2:8" x14ac:dyDescent="0.25">
      <c r="B32" t="s">
        <v>168</v>
      </c>
      <c r="C32" t="s">
        <v>221</v>
      </c>
      <c r="D32" t="s">
        <v>185</v>
      </c>
      <c r="E32" s="9" t="s">
        <v>135</v>
      </c>
      <c r="F32" s="17" t="str">
        <f t="shared" si="0"/>
        <v/>
      </c>
      <c r="G32" t="str">
        <f t="shared" si="1"/>
        <v>v "\mp3_ost\mira.mp3"</v>
      </c>
      <c r="H32" s="6" t="str">
        <f t="shared" si="2"/>
        <v>v "\mp3_ost\mira.mp3"</v>
      </c>
    </row>
    <row r="33" spans="1:8" x14ac:dyDescent="0.25">
      <c r="B33" t="s">
        <v>241</v>
      </c>
      <c r="C33" t="s">
        <v>242</v>
      </c>
      <c r="D33" t="s">
        <v>185</v>
      </c>
      <c r="E33" s="9" t="s">
        <v>147</v>
      </c>
      <c r="F33" s="17" t="str">
        <f t="shared" si="0"/>
        <v/>
      </c>
      <c r="G33" t="str">
        <f t="shared" si="1"/>
        <v>v "\mp3_ost\skarwnw.mp3"</v>
      </c>
      <c r="H33" s="6" t="str">
        <f t="shared" si="2"/>
        <v>v "\mp3_ost\skarwnw.mp3"</v>
      </c>
    </row>
    <row r="34" spans="1:8" x14ac:dyDescent="0.25">
      <c r="B34" t="s">
        <v>337</v>
      </c>
      <c r="C34" t="s">
        <v>365</v>
      </c>
      <c r="D34" t="s">
        <v>185</v>
      </c>
      <c r="E34" s="9" t="s">
        <v>366</v>
      </c>
      <c r="F34" s="17" t="str">
        <f t="shared" ref="F34:F67" si="3">IFERROR("c "&amp;VLOOKUP(A34,Punkti,2,FALSE),"")</f>
        <v/>
      </c>
      <c r="G34" t="str">
        <f t="shared" ref="G34:G67" si="4">"v ""\"&amp;mp3_ost&amp;"\"&amp;E34&amp;".mp3"""</f>
        <v>v "\mp3_ost\rinok.mp3"</v>
      </c>
      <c r="H34" s="6" t="str">
        <f t="shared" ref="H34:H67" si="5">СцепитьМного(F34:G34,", ")</f>
        <v>v "\mp3_ost\rinok.mp3"</v>
      </c>
    </row>
    <row r="35" spans="1:8" x14ac:dyDescent="0.25">
      <c r="B35" t="s">
        <v>240</v>
      </c>
      <c r="C35" t="s">
        <v>240</v>
      </c>
      <c r="D35" t="s">
        <v>185</v>
      </c>
      <c r="E35" s="9" t="s">
        <v>146</v>
      </c>
      <c r="F35" s="17" t="str">
        <f t="shared" si="3"/>
        <v/>
      </c>
      <c r="G35" t="str">
        <f t="shared" si="4"/>
        <v>v "\mp3_ost\sberbank.mp3"</v>
      </c>
      <c r="H35" s="6" t="str">
        <f t="shared" si="5"/>
        <v>v "\mp3_ost\sberbank.mp3"</v>
      </c>
    </row>
    <row r="36" spans="1:8" x14ac:dyDescent="0.25">
      <c r="B36" t="s">
        <v>246</v>
      </c>
      <c r="C36" t="s">
        <v>247</v>
      </c>
      <c r="D36" t="s">
        <v>185</v>
      </c>
      <c r="E36" s="9" t="s">
        <v>150</v>
      </c>
      <c r="F36" s="17" t="str">
        <f t="shared" si="3"/>
        <v/>
      </c>
      <c r="G36" t="str">
        <f t="shared" si="4"/>
        <v>v "\mp3_ost\svitanak.mp3"</v>
      </c>
      <c r="H36" s="6" t="str">
        <f t="shared" si="5"/>
        <v>v "\mp3_ost\svitanak.mp3"</v>
      </c>
    </row>
    <row r="37" spans="1:8" x14ac:dyDescent="0.25">
      <c r="B37" t="s">
        <v>238</v>
      </c>
      <c r="C37" t="s">
        <v>239</v>
      </c>
      <c r="D37" t="s">
        <v>185</v>
      </c>
      <c r="E37" s="9" t="s">
        <v>145</v>
      </c>
      <c r="F37" s="17" t="str">
        <f t="shared" si="3"/>
        <v/>
      </c>
      <c r="G37" t="str">
        <f t="shared" si="4"/>
        <v>v "\mp3_ost\rwnok.mp3"</v>
      </c>
      <c r="H37" s="6" t="str">
        <f t="shared" si="5"/>
        <v>v "\mp3_ost\rwnok.mp3"</v>
      </c>
    </row>
    <row r="38" spans="1:8" x14ac:dyDescent="0.25">
      <c r="B38" t="s">
        <v>170</v>
      </c>
      <c r="C38" t="s">
        <v>182</v>
      </c>
      <c r="D38" t="s">
        <v>185</v>
      </c>
      <c r="E38" s="9" t="s">
        <v>102</v>
      </c>
      <c r="F38" s="17" t="str">
        <f t="shared" si="3"/>
        <v/>
      </c>
      <c r="G38" t="str">
        <f t="shared" si="4"/>
        <v>v "\mp3_ost\5ssh.mp3"</v>
      </c>
      <c r="H38" s="6" t="str">
        <f t="shared" si="5"/>
        <v>v "\mp3_ost\5ssh.mp3"</v>
      </c>
    </row>
    <row r="39" spans="1:8" x14ac:dyDescent="0.25">
      <c r="B39" t="s">
        <v>174</v>
      </c>
      <c r="C39" t="s">
        <v>188</v>
      </c>
      <c r="D39" t="s">
        <v>185</v>
      </c>
      <c r="E39" s="9" t="s">
        <v>105</v>
      </c>
      <c r="F39" s="17" t="str">
        <f t="shared" si="3"/>
        <v/>
      </c>
      <c r="G39" t="str">
        <f t="shared" si="4"/>
        <v>v "\mp3_ost\8ssh.mp3"</v>
      </c>
      <c r="H39" s="6" t="str">
        <f t="shared" si="5"/>
        <v>v "\mp3_ost\8ssh.mp3"</v>
      </c>
    </row>
    <row r="40" spans="1:8" x14ac:dyDescent="0.25">
      <c r="B40" t="s">
        <v>249</v>
      </c>
      <c r="C40" t="s">
        <v>250</v>
      </c>
      <c r="D40" t="s">
        <v>185</v>
      </c>
      <c r="E40" s="9" t="s">
        <v>152</v>
      </c>
      <c r="F40" s="17" t="str">
        <f t="shared" si="3"/>
        <v/>
      </c>
      <c r="G40" t="str">
        <f t="shared" si="4"/>
        <v>v "\mp3_ost\tamoj.mp3"</v>
      </c>
      <c r="H40" s="6" t="str">
        <f t="shared" si="5"/>
        <v>v "\mp3_ost\tamoj.mp3"</v>
      </c>
    </row>
    <row r="41" spans="1:8" x14ac:dyDescent="0.25">
      <c r="B41" t="s">
        <v>251</v>
      </c>
      <c r="C41" t="s">
        <v>252</v>
      </c>
      <c r="D41" t="s">
        <v>185</v>
      </c>
      <c r="E41" s="9" t="s">
        <v>153</v>
      </c>
      <c r="F41" s="17" t="str">
        <f t="shared" si="3"/>
        <v/>
      </c>
      <c r="G41" t="str">
        <f t="shared" si="4"/>
        <v>v "\mp3_ost\tc.mp3"</v>
      </c>
      <c r="H41" s="6" t="str">
        <f t="shared" si="5"/>
        <v>v "\mp3_ost\tc.mp3"</v>
      </c>
    </row>
    <row r="42" spans="1:8" x14ac:dyDescent="0.25">
      <c r="B42" t="s">
        <v>343</v>
      </c>
      <c r="C42" t="s">
        <v>195</v>
      </c>
      <c r="D42" t="s">
        <v>185</v>
      </c>
      <c r="E42" s="9" t="s">
        <v>111</v>
      </c>
      <c r="F42" s="17" t="str">
        <f t="shared" si="3"/>
        <v/>
      </c>
      <c r="G42" t="str">
        <f t="shared" si="4"/>
        <v>v "\mp3_ost\belaz.mp3"</v>
      </c>
      <c r="H42" s="6" t="str">
        <f t="shared" si="5"/>
        <v>v "\mp3_ost\belaz.mp3"</v>
      </c>
    </row>
    <row r="43" spans="1:8" x14ac:dyDescent="0.25">
      <c r="B43" t="s">
        <v>253</v>
      </c>
      <c r="C43" t="s">
        <v>254</v>
      </c>
      <c r="D43" t="s">
        <v>185</v>
      </c>
      <c r="E43" s="9" t="s">
        <v>154</v>
      </c>
      <c r="F43" s="17" t="str">
        <f t="shared" si="3"/>
        <v/>
      </c>
      <c r="G43" t="str">
        <f t="shared" si="4"/>
        <v>v "\mp3_ost\tec.mp3"</v>
      </c>
      <c r="H43" s="6" t="str">
        <f t="shared" si="5"/>
        <v>v "\mp3_ost\tec.mp3"</v>
      </c>
    </row>
    <row r="44" spans="1:8" x14ac:dyDescent="0.25">
      <c r="B44" t="s">
        <v>362</v>
      </c>
      <c r="E44" s="47" t="s">
        <v>387</v>
      </c>
      <c r="G44" t="str">
        <f t="shared" ref="G44:G45" si="6">"v ""\"&amp;mp3_ost&amp;"\"&amp;E44&amp;".mp3"""</f>
        <v>v "\mp3_ost\ugli.mp3"</v>
      </c>
      <c r="H44" s="6" t="str">
        <f t="shared" ref="H44:H45" si="7">СцепитьМного(F44:G44,", ")</f>
        <v>v "\mp3_ost\ugli.mp3"</v>
      </c>
    </row>
    <row r="45" spans="1:8" x14ac:dyDescent="0.25">
      <c r="B45" t="s">
        <v>363</v>
      </c>
      <c r="E45" s="47" t="s">
        <v>388</v>
      </c>
      <c r="G45" t="str">
        <f t="shared" si="6"/>
        <v>v "\mp3_ost\ugli-2.mp3"</v>
      </c>
      <c r="H45" s="6" t="str">
        <f t="shared" si="7"/>
        <v>v "\mp3_ost\ugli-2.mp3"</v>
      </c>
    </row>
    <row r="46" spans="1:8" x14ac:dyDescent="0.25">
      <c r="A46" t="s">
        <v>86</v>
      </c>
      <c r="B46" t="s">
        <v>266</v>
      </c>
      <c r="C46" t="s">
        <v>189</v>
      </c>
      <c r="D46" t="s">
        <v>185</v>
      </c>
      <c r="E46" s="9" t="s">
        <v>106</v>
      </c>
      <c r="F46" s="17" t="str">
        <f t="shared" si="3"/>
        <v>c 928</v>
      </c>
      <c r="G46" t="str">
        <f t="shared" si="4"/>
        <v>v "\mp3_ost\50letokt.mp3"</v>
      </c>
      <c r="H46" s="6" t="str">
        <f t="shared" si="5"/>
        <v>c 928, v "\mp3_ost\50letokt.mp3"</v>
      </c>
    </row>
    <row r="47" spans="1:8" x14ac:dyDescent="0.25">
      <c r="A47" t="s">
        <v>86</v>
      </c>
      <c r="B47" t="s">
        <v>267</v>
      </c>
      <c r="C47" t="s">
        <v>183</v>
      </c>
      <c r="D47" t="s">
        <v>185</v>
      </c>
      <c r="E47" s="9" t="s">
        <v>103</v>
      </c>
      <c r="F47" s="17" t="str">
        <f t="shared" si="3"/>
        <v>c 928</v>
      </c>
      <c r="G47" t="str">
        <f t="shared" si="4"/>
        <v>v "\mp3_ost\8marta.mp3"</v>
      </c>
      <c r="H47" s="6" t="str">
        <f t="shared" si="5"/>
        <v>c 928, v "\mp3_ost\8marta.mp3"</v>
      </c>
    </row>
    <row r="48" spans="1:8" x14ac:dyDescent="0.25">
      <c r="A48" t="s">
        <v>86</v>
      </c>
      <c r="B48" t="s">
        <v>268</v>
      </c>
      <c r="C48" t="s">
        <v>193</v>
      </c>
      <c r="D48" t="s">
        <v>185</v>
      </c>
      <c r="E48" s="9" t="s">
        <v>107</v>
      </c>
      <c r="F48" s="17" t="str">
        <f t="shared" si="3"/>
        <v>c 928</v>
      </c>
      <c r="G48" t="str">
        <f t="shared" si="4"/>
        <v>v "\mp3_ost\avtomobi.mp3"</v>
      </c>
      <c r="H48" s="6" t="str">
        <f t="shared" si="5"/>
        <v>c 928, v "\mp3_ost\avtomobi.mp3"</v>
      </c>
    </row>
    <row r="49" spans="1:8" x14ac:dyDescent="0.25">
      <c r="A49" t="s">
        <v>86</v>
      </c>
      <c r="B49" t="s">
        <v>172</v>
      </c>
      <c r="C49" t="s">
        <v>179</v>
      </c>
      <c r="D49" t="s">
        <v>185</v>
      </c>
      <c r="E49" s="9" t="s">
        <v>110</v>
      </c>
      <c r="F49" s="17" t="str">
        <f t="shared" si="3"/>
        <v>c 928</v>
      </c>
      <c r="G49" t="str">
        <f t="shared" si="4"/>
        <v>v "\mp3_ost\bajora.mp3"</v>
      </c>
      <c r="H49" s="6" t="str">
        <f t="shared" si="5"/>
        <v>c 928, v "\mp3_ost\bajora.mp3"</v>
      </c>
    </row>
    <row r="50" spans="1:8" x14ac:dyDescent="0.25">
      <c r="A50" t="s">
        <v>86</v>
      </c>
      <c r="B50" t="s">
        <v>269</v>
      </c>
      <c r="C50" t="s">
        <v>196</v>
      </c>
      <c r="D50" t="s">
        <v>185</v>
      </c>
      <c r="E50" s="9" t="s">
        <v>112</v>
      </c>
      <c r="F50" s="17" t="str">
        <f t="shared" si="3"/>
        <v>c 928</v>
      </c>
      <c r="G50" t="str">
        <f t="shared" si="4"/>
        <v>v "\mp3_ost\boguslav.mp3"</v>
      </c>
      <c r="H50" s="6" t="str">
        <f t="shared" si="5"/>
        <v>c 928, v "\mp3_ost\boguslav.mp3"</v>
      </c>
    </row>
    <row r="51" spans="1:8" x14ac:dyDescent="0.25">
      <c r="A51" t="s">
        <v>86</v>
      </c>
      <c r="B51" t="s">
        <v>347</v>
      </c>
      <c r="C51" t="s">
        <v>372</v>
      </c>
      <c r="D51" t="s">
        <v>185</v>
      </c>
      <c r="E51" s="9" t="s">
        <v>371</v>
      </c>
      <c r="F51" s="17" t="str">
        <f t="shared" si="3"/>
        <v>c 928</v>
      </c>
      <c r="G51" t="str">
        <f t="shared" si="4"/>
        <v>v "\mp3_ost\borovaja.mp3"</v>
      </c>
      <c r="H51" s="6" t="str">
        <f t="shared" si="5"/>
        <v>c 928, v "\mp3_ost\borovaja.mp3"</v>
      </c>
    </row>
    <row r="52" spans="1:8" x14ac:dyDescent="0.25">
      <c r="A52" t="s">
        <v>86</v>
      </c>
      <c r="B52" t="s">
        <v>355</v>
      </c>
      <c r="E52" s="47" t="s">
        <v>389</v>
      </c>
      <c r="F52" s="17" t="str">
        <f t="shared" si="3"/>
        <v>c 928</v>
      </c>
      <c r="G52" t="str">
        <f t="shared" si="4"/>
        <v>v "\mp3_ost\vitebsk.mp3"</v>
      </c>
      <c r="H52" s="6" t="str">
        <f t="shared" si="5"/>
        <v>c 928, v "\mp3_ost\vitebsk.mp3"</v>
      </c>
    </row>
    <row r="53" spans="1:8" x14ac:dyDescent="0.25">
      <c r="A53" t="s">
        <v>86</v>
      </c>
      <c r="B53" t="s">
        <v>169</v>
      </c>
      <c r="C53" t="s">
        <v>203</v>
      </c>
      <c r="D53" t="s">
        <v>185</v>
      </c>
      <c r="E53" s="9" t="s">
        <v>116</v>
      </c>
      <c r="F53" s="17" t="str">
        <f t="shared" si="3"/>
        <v>c 928</v>
      </c>
      <c r="G53" t="str">
        <f t="shared" si="4"/>
        <v>v "\mp3_ost\gagarina.mp3"</v>
      </c>
      <c r="H53" s="6" t="str">
        <f t="shared" si="5"/>
        <v>c 928, v "\mp3_ost\gagarina.mp3"</v>
      </c>
    </row>
    <row r="54" spans="1:8" x14ac:dyDescent="0.25">
      <c r="A54" t="s">
        <v>86</v>
      </c>
      <c r="B54" t="s">
        <v>270</v>
      </c>
      <c r="C54" t="s">
        <v>200</v>
      </c>
      <c r="D54" t="s">
        <v>185</v>
      </c>
      <c r="E54" s="9" t="s">
        <v>114</v>
      </c>
      <c r="F54" s="17" t="str">
        <f t="shared" si="3"/>
        <v>c 928</v>
      </c>
      <c r="G54" t="str">
        <f t="shared" si="4"/>
        <v>v "\mp3_ost\darojnay.mp3"</v>
      </c>
      <c r="H54" s="6" t="str">
        <f t="shared" si="5"/>
        <v>c 928, v "\mp3_ost\darojnay.mp3"</v>
      </c>
    </row>
    <row r="55" spans="1:8" x14ac:dyDescent="0.25">
      <c r="A55" t="s">
        <v>86</v>
      </c>
      <c r="B55" t="s">
        <v>346</v>
      </c>
      <c r="E55" s="47" t="s">
        <v>390</v>
      </c>
      <c r="F55" s="17" t="str">
        <f t="shared" si="3"/>
        <v>c 928</v>
      </c>
      <c r="G55" t="str">
        <f t="shared" si="4"/>
        <v>v "\mp3_ost\zhodinsk.mp3"</v>
      </c>
      <c r="H55" s="6" t="str">
        <f t="shared" si="5"/>
        <v>c 928, v "\mp3_ost\zhodinsk.mp3"</v>
      </c>
    </row>
    <row r="56" spans="1:8" x14ac:dyDescent="0.25">
      <c r="A56" t="s">
        <v>86</v>
      </c>
      <c r="B56" t="s">
        <v>164</v>
      </c>
      <c r="C56" t="s">
        <v>211</v>
      </c>
      <c r="D56" t="s">
        <v>185</v>
      </c>
      <c r="E56" s="9" t="s">
        <v>123</v>
      </c>
      <c r="F56" s="17" t="str">
        <f t="shared" si="3"/>
        <v>c 928</v>
      </c>
      <c r="G56" t="str">
        <f t="shared" si="4"/>
        <v>v "\mp3_ost\kalinina.mp3"</v>
      </c>
      <c r="H56" s="6" t="str">
        <f t="shared" si="5"/>
        <v>c 928, v "\mp3_ost\kalinina.mp3"</v>
      </c>
    </row>
    <row r="57" spans="1:8" x14ac:dyDescent="0.25">
      <c r="A57" t="s">
        <v>86</v>
      </c>
      <c r="B57" t="s">
        <v>271</v>
      </c>
      <c r="C57" t="s">
        <v>228</v>
      </c>
      <c r="D57" t="s">
        <v>185</v>
      </c>
      <c r="E57" s="9" t="s">
        <v>126</v>
      </c>
      <c r="F57" s="17" t="str">
        <f t="shared" si="3"/>
        <v>c 928</v>
      </c>
      <c r="G57" t="str">
        <f t="shared" si="4"/>
        <v>v "\mp3_ost\kupriyan.mp3"</v>
      </c>
      <c r="H57" s="6" t="str">
        <f t="shared" si="5"/>
        <v>c 928, v "\mp3_ost\kupriyan.mp3"</v>
      </c>
    </row>
    <row r="58" spans="1:8" x14ac:dyDescent="0.25">
      <c r="A58" t="s">
        <v>86</v>
      </c>
      <c r="B58" t="s">
        <v>360</v>
      </c>
      <c r="C58" t="s">
        <v>368</v>
      </c>
      <c r="D58" t="s">
        <v>185</v>
      </c>
      <c r="E58" s="9" t="s">
        <v>367</v>
      </c>
      <c r="F58" s="17" t="str">
        <f t="shared" si="3"/>
        <v>c 928</v>
      </c>
      <c r="G58" t="str">
        <f t="shared" si="4"/>
        <v>v "\mp3_ost\leningra.mp3"</v>
      </c>
      <c r="H58" s="6" t="str">
        <f t="shared" si="5"/>
        <v>c 928, v "\mp3_ost\leningra.mp3"</v>
      </c>
    </row>
    <row r="59" spans="1:8" x14ac:dyDescent="0.25">
      <c r="A59" t="s">
        <v>86</v>
      </c>
      <c r="B59" t="s">
        <v>272</v>
      </c>
      <c r="C59" t="s">
        <v>216</v>
      </c>
      <c r="D59" t="s">
        <v>186</v>
      </c>
      <c r="E59" s="9" t="s">
        <v>130</v>
      </c>
      <c r="F59" s="17" t="str">
        <f t="shared" si="3"/>
        <v>c 928</v>
      </c>
      <c r="G59" t="str">
        <f t="shared" si="4"/>
        <v>v "\mp3_ost\leninska.mp3"</v>
      </c>
      <c r="H59" s="6" t="str">
        <f t="shared" si="5"/>
        <v>c 928, v "\mp3_ost\leninska.mp3"</v>
      </c>
    </row>
    <row r="60" spans="1:8" x14ac:dyDescent="0.25">
      <c r="A60" t="s">
        <v>86</v>
      </c>
      <c r="B60" t="s">
        <v>273</v>
      </c>
      <c r="C60" t="s">
        <v>217</v>
      </c>
      <c r="D60" t="s">
        <v>185</v>
      </c>
      <c r="E60" s="9" t="s">
        <v>131</v>
      </c>
      <c r="F60" s="17" t="str">
        <f t="shared" si="3"/>
        <v>c 928</v>
      </c>
      <c r="G60" t="str">
        <f t="shared" si="4"/>
        <v>v "\mp3_ost\lesnaya.mp3"</v>
      </c>
      <c r="H60" s="6" t="str">
        <f t="shared" si="5"/>
        <v>c 928, v "\mp3_ost\lesnaya.mp3"</v>
      </c>
    </row>
    <row r="61" spans="1:8" x14ac:dyDescent="0.25">
      <c r="A61" t="s">
        <v>86</v>
      </c>
      <c r="B61" t="s">
        <v>274</v>
      </c>
      <c r="C61" t="s">
        <v>230</v>
      </c>
      <c r="D61" t="s">
        <v>186</v>
      </c>
      <c r="E61" s="9" t="s">
        <v>128</v>
      </c>
      <c r="F61" s="17" t="str">
        <f t="shared" si="3"/>
        <v>c 928</v>
      </c>
      <c r="G61" t="str">
        <f t="shared" si="4"/>
        <v>v "\mp3_ost\lag.mp3"</v>
      </c>
      <c r="H61" s="6" t="str">
        <f t="shared" si="5"/>
        <v>c 928, v "\mp3_ost\lag.mp3"</v>
      </c>
    </row>
    <row r="62" spans="1:8" x14ac:dyDescent="0.25">
      <c r="A62" t="s">
        <v>86</v>
      </c>
      <c r="B62" t="s">
        <v>344</v>
      </c>
      <c r="E62" s="47" t="s">
        <v>391</v>
      </c>
      <c r="F62" s="17" t="str">
        <f t="shared" si="3"/>
        <v>c 928</v>
      </c>
      <c r="G62" t="str">
        <f t="shared" si="4"/>
        <v>v "\mp3_ost\log21.mp3"</v>
      </c>
      <c r="H62" s="6" t="str">
        <f t="shared" si="5"/>
        <v>c 928, v "\mp3_ost\log21.mp3"</v>
      </c>
    </row>
    <row r="63" spans="1:8" x14ac:dyDescent="0.25">
      <c r="A63" t="s">
        <v>86</v>
      </c>
      <c r="B63" t="s">
        <v>345</v>
      </c>
      <c r="E63" s="47" t="s">
        <v>392</v>
      </c>
      <c r="F63" s="17" t="str">
        <f t="shared" si="3"/>
        <v>c 928</v>
      </c>
      <c r="G63" t="str">
        <f t="shared" si="4"/>
        <v>v "\mp3_ost\log23.mp3"</v>
      </c>
      <c r="H63" s="6" t="str">
        <f t="shared" si="5"/>
        <v>c 928, v "\mp3_ost\log23.mp3"</v>
      </c>
    </row>
    <row r="64" spans="1:8" x14ac:dyDescent="0.25">
      <c r="A64" t="s">
        <v>86</v>
      </c>
      <c r="B64" t="s">
        <v>275</v>
      </c>
      <c r="C64" t="s">
        <v>220</v>
      </c>
      <c r="D64" t="s">
        <v>185</v>
      </c>
      <c r="E64" s="9" t="s">
        <v>134</v>
      </c>
      <c r="F64" s="17" t="str">
        <f t="shared" si="3"/>
        <v>c 928</v>
      </c>
      <c r="G64" t="str">
        <f t="shared" si="4"/>
        <v>v "\mp3_ost\magistra.mp3"</v>
      </c>
      <c r="H64" s="6" t="str">
        <f t="shared" si="5"/>
        <v>c 928, v "\mp3_ost\magistra.mp3"</v>
      </c>
    </row>
    <row r="65" spans="1:8" x14ac:dyDescent="0.25">
      <c r="A65" t="s">
        <v>86</v>
      </c>
      <c r="B65" t="s">
        <v>165</v>
      </c>
      <c r="C65" t="s">
        <v>222</v>
      </c>
      <c r="D65" t="s">
        <v>185</v>
      </c>
      <c r="E65" s="9" t="s">
        <v>136</v>
      </c>
      <c r="F65" s="17" t="str">
        <f t="shared" si="3"/>
        <v>c 928</v>
      </c>
      <c r="G65" t="str">
        <f t="shared" si="4"/>
        <v>v "\mp3_ost\moskovsk.mp3"</v>
      </c>
      <c r="H65" s="6" t="str">
        <f t="shared" si="5"/>
        <v>c 928, v "\mp3_ost\moskovsk.mp3"</v>
      </c>
    </row>
    <row r="66" spans="1:8" x14ac:dyDescent="0.25">
      <c r="A66" t="s">
        <v>86</v>
      </c>
      <c r="B66" t="s">
        <v>276</v>
      </c>
      <c r="C66" t="s">
        <v>223</v>
      </c>
      <c r="D66" t="s">
        <v>185</v>
      </c>
      <c r="E66" s="9" t="s">
        <v>137</v>
      </c>
      <c r="F66" s="17" t="str">
        <f t="shared" si="3"/>
        <v>c 928</v>
      </c>
      <c r="G66" t="str">
        <f t="shared" si="4"/>
        <v>v "\mp3_ost\nagornay.mp3"</v>
      </c>
      <c r="H66" s="6" t="str">
        <f t="shared" si="5"/>
        <v>c 928, v "\mp3_ost\nagornay.mp3"</v>
      </c>
    </row>
    <row r="67" spans="1:8" x14ac:dyDescent="0.25">
      <c r="A67" t="s">
        <v>86</v>
      </c>
      <c r="B67" t="s">
        <v>352</v>
      </c>
      <c r="E67" s="47" t="s">
        <v>393</v>
      </c>
      <c r="F67" s="17" t="str">
        <f t="shared" si="3"/>
        <v>c 928</v>
      </c>
      <c r="G67" t="str">
        <f t="shared" si="4"/>
        <v>v "\mp3_ost\novogr.mp3"</v>
      </c>
      <c r="H67" s="6" t="str">
        <f t="shared" si="5"/>
        <v>c 928, v "\mp3_ost\novogr.mp3"</v>
      </c>
    </row>
    <row r="68" spans="1:8" x14ac:dyDescent="0.25">
      <c r="A68" t="s">
        <v>86</v>
      </c>
      <c r="B68" t="s">
        <v>336</v>
      </c>
      <c r="C68" t="s">
        <v>224</v>
      </c>
      <c r="D68" t="s">
        <v>185</v>
      </c>
      <c r="E68" s="9" t="s">
        <v>138</v>
      </c>
      <c r="F68" s="17" t="str">
        <f t="shared" ref="F68:F84" si="8">IFERROR("c "&amp;VLOOKUP(A68,Punkti,2,FALSE),"")</f>
        <v>c 928</v>
      </c>
      <c r="G68" t="str">
        <f t="shared" ref="G68:G84" si="9">"v ""\"&amp;mp3_ost&amp;"\"&amp;E68&amp;".mp3"""</f>
        <v>v "\mp3_ost\ostrovsk.mp3"</v>
      </c>
      <c r="H68" s="6" t="str">
        <f t="shared" ref="H68:H84" si="10">СцепитьМного(F68:G68,", ")</f>
        <v>c 928, v "\mp3_ost\ostrovsk.mp3"</v>
      </c>
    </row>
    <row r="69" spans="1:8" x14ac:dyDescent="0.25">
      <c r="A69" t="s">
        <v>86</v>
      </c>
      <c r="B69" t="s">
        <v>166</v>
      </c>
      <c r="C69" t="s">
        <v>232</v>
      </c>
      <c r="D69" t="s">
        <v>185</v>
      </c>
      <c r="E69" s="9" t="s">
        <v>140</v>
      </c>
      <c r="F69" s="17" t="str">
        <f t="shared" si="8"/>
        <v>c 928</v>
      </c>
      <c r="G69" t="str">
        <f t="shared" si="9"/>
        <v>v "\mp3_ost\partizan.mp3"</v>
      </c>
      <c r="H69" s="6" t="str">
        <f t="shared" si="10"/>
        <v>c 928, v "\mp3_ost\partizan.mp3"</v>
      </c>
    </row>
    <row r="70" spans="1:8" x14ac:dyDescent="0.25">
      <c r="A70" t="s">
        <v>86</v>
      </c>
      <c r="B70" t="s">
        <v>277</v>
      </c>
      <c r="C70" t="s">
        <v>236</v>
      </c>
      <c r="D70" t="s">
        <v>185</v>
      </c>
      <c r="E70" s="9" t="s">
        <v>143</v>
      </c>
      <c r="F70" s="17" t="str">
        <f t="shared" si="8"/>
        <v>c 928</v>
      </c>
      <c r="G70" t="str">
        <f t="shared" si="9"/>
        <v>v "\mp3_ost\pyaschan.mp3"</v>
      </c>
      <c r="H70" s="6" t="str">
        <f t="shared" si="10"/>
        <v>c 928, v "\mp3_ost\pyaschan.mp3"</v>
      </c>
    </row>
    <row r="71" spans="1:8" x14ac:dyDescent="0.25">
      <c r="A71" t="s">
        <v>86</v>
      </c>
      <c r="B71" t="s">
        <v>348</v>
      </c>
      <c r="E71" s="47" t="s">
        <v>39</v>
      </c>
      <c r="F71" s="17" t="str">
        <f t="shared" si="8"/>
        <v>c 928</v>
      </c>
      <c r="G71" t="str">
        <f t="shared" si="9"/>
        <v>v "\mp3_ost\rodnik.mp3"</v>
      </c>
      <c r="H71" s="6" t="str">
        <f t="shared" si="10"/>
        <v>c 928, v "\mp3_ost\rodnik.mp3"</v>
      </c>
    </row>
    <row r="72" spans="1:8" x14ac:dyDescent="0.25">
      <c r="A72" t="s">
        <v>86</v>
      </c>
      <c r="B72" t="s">
        <v>171</v>
      </c>
      <c r="C72" t="s">
        <v>237</v>
      </c>
      <c r="D72" t="s">
        <v>185</v>
      </c>
      <c r="E72" s="9" t="s">
        <v>144</v>
      </c>
      <c r="F72" s="17" t="str">
        <f t="shared" si="8"/>
        <v>c 928</v>
      </c>
      <c r="G72" t="str">
        <f t="shared" si="9"/>
        <v>v "\mp3_ost\rokosovs.mp3"</v>
      </c>
      <c r="H72" s="6" t="str">
        <f t="shared" si="10"/>
        <v>c 928, v "\mp3_ost\rokosovs.mp3"</v>
      </c>
    </row>
    <row r="73" spans="1:8" x14ac:dyDescent="0.25">
      <c r="A73" t="s">
        <v>86</v>
      </c>
      <c r="B73" t="s">
        <v>356</v>
      </c>
      <c r="C73" t="s">
        <v>370</v>
      </c>
      <c r="D73" t="s">
        <v>185</v>
      </c>
      <c r="E73" s="9" t="s">
        <v>369</v>
      </c>
      <c r="F73" s="17" t="str">
        <f t="shared" si="8"/>
        <v>c 928</v>
      </c>
      <c r="G73" t="str">
        <f t="shared" si="9"/>
        <v>v "\mp3_ost\sluchk.mp3"</v>
      </c>
      <c r="H73" s="6" t="str">
        <f t="shared" si="10"/>
        <v>c 928, v "\mp3_ost\sluchk.mp3"</v>
      </c>
    </row>
    <row r="74" spans="1:8" x14ac:dyDescent="0.25">
      <c r="A74" t="s">
        <v>86</v>
      </c>
      <c r="B74" t="s">
        <v>359</v>
      </c>
      <c r="E74" s="47" t="s">
        <v>394</v>
      </c>
      <c r="F74" s="17" t="str">
        <f t="shared" si="8"/>
        <v>c 928</v>
      </c>
      <c r="G74" t="str">
        <f t="shared" si="9"/>
        <v>v "\mp3_ost\sovetsk.mp3"</v>
      </c>
      <c r="H74" s="6" t="str">
        <f t="shared" si="10"/>
        <v>c 928, v "\mp3_ost\sovetsk.mp3"</v>
      </c>
    </row>
    <row r="75" spans="1:8" x14ac:dyDescent="0.25">
      <c r="A75" t="s">
        <v>86</v>
      </c>
      <c r="B75" t="s">
        <v>354</v>
      </c>
      <c r="E75" s="47" t="s">
        <v>400</v>
      </c>
      <c r="F75" s="17" t="str">
        <f t="shared" si="8"/>
        <v>c 928</v>
      </c>
      <c r="G75" t="str">
        <f t="shared" si="9"/>
        <v>v "\mp3_ost\soligors.mp3"</v>
      </c>
      <c r="H75" s="6" t="str">
        <f t="shared" si="10"/>
        <v>c 928, v "\mp3_ost\soligors.mp3"</v>
      </c>
    </row>
    <row r="76" spans="1:8" x14ac:dyDescent="0.25">
      <c r="A76" t="s">
        <v>86</v>
      </c>
      <c r="B76" t="s">
        <v>357</v>
      </c>
      <c r="C76" t="s">
        <v>374</v>
      </c>
      <c r="D76" t="s">
        <v>185</v>
      </c>
      <c r="E76" s="9" t="s">
        <v>373</v>
      </c>
      <c r="F76" s="17" t="str">
        <f t="shared" si="8"/>
        <v>c 928</v>
      </c>
      <c r="G76" t="str">
        <f t="shared" si="9"/>
        <v>v "\mp3_ost\sosnov.mp3"</v>
      </c>
      <c r="H76" s="6" t="str">
        <f t="shared" si="10"/>
        <v>c 928, v "\mp3_ost\sosnov.mp3"</v>
      </c>
    </row>
    <row r="77" spans="1:8" x14ac:dyDescent="0.25">
      <c r="A77" t="s">
        <v>86</v>
      </c>
      <c r="B77" t="s">
        <v>278</v>
      </c>
      <c r="C77" t="s">
        <v>245</v>
      </c>
      <c r="D77" t="s">
        <v>185</v>
      </c>
      <c r="E77" s="9" t="s">
        <v>149</v>
      </c>
      <c r="F77" s="17" t="str">
        <f t="shared" si="8"/>
        <v>c 928</v>
      </c>
      <c r="G77" t="str">
        <f t="shared" si="9"/>
        <v>v "\mp3_ost\suhogrya.mp3"</v>
      </c>
      <c r="H77" s="6" t="str">
        <f t="shared" si="10"/>
        <v>c 928, v "\mp3_ost\suhogrya.mp3"</v>
      </c>
    </row>
    <row r="78" spans="1:8" x14ac:dyDescent="0.25">
      <c r="A78" t="s">
        <v>86</v>
      </c>
      <c r="B78" t="s">
        <v>167</v>
      </c>
      <c r="C78" t="s">
        <v>248</v>
      </c>
      <c r="D78" t="s">
        <v>185</v>
      </c>
      <c r="E78" s="9" t="s">
        <v>151</v>
      </c>
      <c r="F78" s="17" t="str">
        <f t="shared" si="8"/>
        <v>c 928</v>
      </c>
      <c r="G78" t="str">
        <f t="shared" si="9"/>
        <v>v "\mp3_ost\swrokvas.mp3"</v>
      </c>
      <c r="H78" s="6" t="str">
        <f t="shared" si="10"/>
        <v>c 928, v "\mp3_ost\swrokvas.mp3"</v>
      </c>
    </row>
    <row r="79" spans="1:8" x14ac:dyDescent="0.25">
      <c r="A79" t="s">
        <v>86</v>
      </c>
      <c r="B79" t="s">
        <v>279</v>
      </c>
      <c r="C79" t="s">
        <v>255</v>
      </c>
      <c r="D79" t="s">
        <v>185</v>
      </c>
      <c r="E79" s="9" t="s">
        <v>155</v>
      </c>
      <c r="F79" s="17" t="str">
        <f t="shared" si="8"/>
        <v>c 928</v>
      </c>
      <c r="G79" t="str">
        <f t="shared" si="9"/>
        <v>v "\mp3_ost\truda.mp3"</v>
      </c>
      <c r="H79" s="6" t="str">
        <f t="shared" si="10"/>
        <v>c 928, v "\mp3_ost\truda.mp3"</v>
      </c>
    </row>
    <row r="80" spans="1:8" x14ac:dyDescent="0.25">
      <c r="A80" t="s">
        <v>86</v>
      </c>
      <c r="B80" t="s">
        <v>350</v>
      </c>
      <c r="E80" s="47" t="s">
        <v>395</v>
      </c>
      <c r="F80" s="17" t="str">
        <f t="shared" si="8"/>
        <v>c 928</v>
      </c>
      <c r="G80" t="str">
        <f t="shared" si="9"/>
        <v>v "\mp3_ost\ubiley.mp3"</v>
      </c>
      <c r="H80" s="6" t="str">
        <f t="shared" si="10"/>
        <v>c 928, v "\mp3_ost\ubiley.mp3"</v>
      </c>
    </row>
    <row r="81" spans="2:8" x14ac:dyDescent="0.25">
      <c r="B81" t="s">
        <v>256</v>
      </c>
      <c r="C81" t="s">
        <v>257</v>
      </c>
      <c r="D81" t="s">
        <v>185</v>
      </c>
      <c r="E81" s="9" t="s">
        <v>156</v>
      </c>
      <c r="F81" s="17" t="str">
        <f>IFERROR("c "&amp;VLOOKUP(A81,Punkti,2,FALSE),"")</f>
        <v/>
      </c>
      <c r="G81" t="str">
        <f>"v ""\"&amp;mp3_ost&amp;"\"&amp;E81&amp;".mp3"""</f>
        <v>v "\mp3_ost\universa.mp3"</v>
      </c>
      <c r="H81" s="6" t="str">
        <f>СцепитьМного(F81:G81,", ")</f>
        <v>v "\mp3_ost\universa.mp3"</v>
      </c>
    </row>
    <row r="82" spans="2:8" x14ac:dyDescent="0.25">
      <c r="B82" t="s">
        <v>361</v>
      </c>
      <c r="E82" s="47" t="s">
        <v>401</v>
      </c>
      <c r="F82" s="17" t="str">
        <f t="shared" ref="F82" si="11">IFERROR("c "&amp;VLOOKUP(A82,Punkti,2,FALSE),"")</f>
        <v/>
      </c>
      <c r="G82" t="str">
        <f t="shared" ref="G82" si="12">"v ""\"&amp;mp3_ost&amp;"\"&amp;E82&amp;".mp3"""</f>
        <v>v "\mp3_ost\univmag.mp3"</v>
      </c>
      <c r="H82" s="6" t="str">
        <f t="shared" ref="H82" si="13">СцепитьМного(F82:G82,", ")</f>
        <v>v "\mp3_ost\univmag.mp3"</v>
      </c>
    </row>
    <row r="83" spans="2:8" x14ac:dyDescent="0.25">
      <c r="B83" t="s">
        <v>199</v>
      </c>
      <c r="C83" t="s">
        <v>198</v>
      </c>
      <c r="D83" t="s">
        <v>186</v>
      </c>
      <c r="E83" s="9" t="s">
        <v>113</v>
      </c>
      <c r="F83" s="17" t="str">
        <f t="shared" si="8"/>
        <v/>
      </c>
      <c r="G83" t="str">
        <f t="shared" si="9"/>
        <v>v "\mp3_ost\carkva.mp3"</v>
      </c>
      <c r="H83" s="6" t="str">
        <f t="shared" si="10"/>
        <v>v "\mp3_ost\carkva.mp3"</v>
      </c>
    </row>
    <row r="84" spans="2:8" x14ac:dyDescent="0.25">
      <c r="B84" t="s">
        <v>202</v>
      </c>
      <c r="C84" t="s">
        <v>201</v>
      </c>
      <c r="D84" t="s">
        <v>185</v>
      </c>
      <c r="E84" s="9" t="s">
        <v>115</v>
      </c>
      <c r="F84" s="17" t="str">
        <f t="shared" si="8"/>
        <v/>
      </c>
      <c r="G84" t="str">
        <f t="shared" si="9"/>
        <v>v "\mp3_ost\elseti.mp3"</v>
      </c>
      <c r="H84" s="6" t="str">
        <f t="shared" si="10"/>
        <v>v "\mp3_ost\elseti.mp3"</v>
      </c>
    </row>
    <row r="85" spans="2:8" x14ac:dyDescent="0.25">
      <c r="B85" t="s">
        <v>293</v>
      </c>
      <c r="E85" s="47" t="s">
        <v>396</v>
      </c>
      <c r="F85" s="17" t="str">
        <f t="shared" ref="F85" si="14">IFERROR("c "&amp;VLOOKUP(A85,Punkti,2,FALSE),"")</f>
        <v/>
      </c>
      <c r="G85" t="str">
        <f t="shared" ref="G85" si="15">"v ""\"&amp;mp3_ost&amp;"\"&amp;E85&amp;".mp3"""</f>
        <v>v "\mp3_ost\9mikro.mp3"</v>
      </c>
      <c r="H85" s="6" t="str">
        <f t="shared" ref="H85" si="16">СцепитьМного(F85:G85,", ")</f>
        <v>v "\mp3_ost\9mikro.mp3"</v>
      </c>
    </row>
  </sheetData>
  <autoFilter ref="E1:E85"/>
  <sortState ref="A2:H81">
    <sortCondition ref="B2:B81"/>
  </sortState>
  <dataValidations count="1">
    <dataValidation type="list" allowBlank="1" showInputMessage="1" showErrorMessage="1" sqref="A2:A84">
      <formula1>Pref_Punktov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/>
  <dimension ref="A1:L120"/>
  <sheetViews>
    <sheetView workbookViewId="0">
      <pane ySplit="2" topLeftCell="A3" activePane="bottomLeft" state="frozen"/>
      <selection activeCell="B1" sqref="B1"/>
      <selection pane="bottomLeft" activeCell="E8" sqref="E8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3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>
        <f ca="1">INDIRECT(ADDRESS($B$1,3,4,1,"route"))</f>
        <v>1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"1 Труда - КЗТШ" {i 0, t 002, l 001 001, d 000}</v>
      </c>
    </row>
    <row r="3" spans="1:12" s="39" customFormat="1" x14ac:dyDescent="0.25">
      <c r="A3" s="39" t="str">
        <f ca="1">INDIRECT(ADDRESS($B$1,2,4,1,"route"))</f>
        <v>1 Труда - КЗТШ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001</v>
      </c>
      <c r="B4" s="39">
        <f>ROW(B4)</f>
        <v>4</v>
      </c>
      <c r="E4" s="39" t="s">
        <v>323</v>
      </c>
      <c r="G4" s="40">
        <f>B58</f>
        <v>58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058}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279</v>
      </c>
      <c r="G8" s="45">
        <f t="shared" ref="G8:G53" si="0">B9</f>
        <v>9</v>
      </c>
      <c r="H8" s="40" t="str">
        <f t="shared" ref="H8:H54" si="1">IFERROR("p "&amp;VLOOKUP(E8,Tablo_Tab,2,FALSE),"")</f>
        <v>p 078</v>
      </c>
      <c r="I8" s="45" t="str">
        <f t="shared" ref="I8:I54" si="2">IFERROR("c "&amp;VLOOKUP(C8,Punkti,2,FALSE),"")</f>
        <v>c 902</v>
      </c>
      <c r="J8" s="46" t="str">
        <f t="shared" ref="J8:J54" si="3">IFERROR(VLOOKUP(E8,Ostanovki,7,FALSE),"")</f>
        <v>c 928, v "\mp3_ost\truda.mp3"</v>
      </c>
      <c r="K8" s="40" t="str">
        <f t="shared" ref="K8:K54" si="4">IFERROR("c "&amp;VLOOKUP(F8,Punkti,2,FALSE),"")</f>
        <v/>
      </c>
      <c r="L8" s="42" t="str">
        <f t="shared" ref="L8:L54" si="5">"&lt;unit"&amp;TEXT(B8,"000")&amp;"&gt; """&amp;СцепитьМного(D8:E8,"")&amp;""" {"&amp;СцепитьМного(H8:K8,", ")&amp;", d 000, n "&amp;TEXT(G8,"000")&amp;"}"</f>
        <v>&lt;unit008&gt; "ул.Труда" {p 078, c 902, c 928, v "\mp3_ost\truda.mp3", d 000, n 009}</v>
      </c>
    </row>
    <row r="9" spans="1:12" x14ac:dyDescent="0.25">
      <c r="B9" s="44">
        <f t="shared" ref="B9:B54" si="6">ROW(B9)</f>
        <v>9</v>
      </c>
      <c r="C9" s="44" t="s">
        <v>329</v>
      </c>
      <c r="D9" s="39" t="str">
        <f>IF(I9="c 900","&gt;&gt;","")</f>
        <v>&gt;&gt;</v>
      </c>
      <c r="G9" s="45">
        <f t="shared" si="0"/>
        <v>10</v>
      </c>
      <c r="H9" s="40" t="str">
        <f t="shared" si="1"/>
        <v/>
      </c>
      <c r="I9" s="45" t="str">
        <f t="shared" si="2"/>
        <v>c 900</v>
      </c>
      <c r="J9" s="46" t="str">
        <f t="shared" si="3"/>
        <v/>
      </c>
      <c r="K9" s="40" t="str">
        <f t="shared" si="4"/>
        <v/>
      </c>
      <c r="L9" s="42" t="str">
        <f t="shared" si="5"/>
        <v>&lt;unit009&gt; "&gt;&gt;" {c 900, d 000, n 010}</v>
      </c>
    </row>
    <row r="10" spans="1:12" x14ac:dyDescent="0.25">
      <c r="B10" s="44">
        <f t="shared" si="6"/>
        <v>10</v>
      </c>
      <c r="C10" s="44" t="s">
        <v>79</v>
      </c>
      <c r="D10" s="39" t="str">
        <f t="shared" ref="D10:D54" si="7">IF(I10="c 900","&gt;&gt;","")</f>
        <v/>
      </c>
      <c r="G10" s="45">
        <f t="shared" si="0"/>
        <v>11</v>
      </c>
      <c r="H10" s="40" t="str">
        <f t="shared" si="1"/>
        <v/>
      </c>
      <c r="I10" s="45" t="str">
        <f t="shared" si="2"/>
        <v>c 902</v>
      </c>
      <c r="J10" s="46" t="str">
        <f t="shared" si="3"/>
        <v/>
      </c>
      <c r="K10" s="40" t="str">
        <f t="shared" si="4"/>
        <v/>
      </c>
      <c r="L10" s="42" t="str">
        <f t="shared" si="5"/>
        <v>&lt;unit010&gt; "" {c 902, d 000, n 011}</v>
      </c>
    </row>
    <row r="11" spans="1:12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G11" s="45">
        <f t="shared" si="0"/>
        <v>12</v>
      </c>
      <c r="H11" s="40" t="str">
        <f t="shared" si="1"/>
        <v/>
      </c>
      <c r="I11" s="45" t="str">
        <f t="shared" si="2"/>
        <v>c 900</v>
      </c>
      <c r="J11" s="46" t="str">
        <f t="shared" si="3"/>
        <v/>
      </c>
      <c r="K11" s="40" t="str">
        <f t="shared" si="4"/>
        <v/>
      </c>
      <c r="L11" s="42" t="str">
        <f t="shared" si="5"/>
        <v>&lt;unit011&gt; "&gt;&gt;" {c 900, d 000, n 012}</v>
      </c>
    </row>
    <row r="12" spans="1:12" x14ac:dyDescent="0.25">
      <c r="B12" s="44">
        <f t="shared" si="6"/>
        <v>12</v>
      </c>
      <c r="C12" s="44" t="s">
        <v>79</v>
      </c>
      <c r="D12" s="39" t="str">
        <f t="shared" si="7"/>
        <v/>
      </c>
      <c r="G12" s="45">
        <f t="shared" si="0"/>
        <v>13</v>
      </c>
      <c r="H12" s="40" t="str">
        <f t="shared" si="1"/>
        <v/>
      </c>
      <c r="I12" s="45" t="str">
        <f t="shared" si="2"/>
        <v>c 902</v>
      </c>
      <c r="J12" s="46" t="str">
        <f t="shared" si="3"/>
        <v/>
      </c>
      <c r="K12" s="40" t="str">
        <f t="shared" si="4"/>
        <v/>
      </c>
      <c r="L12" s="42" t="str">
        <f t="shared" si="5"/>
        <v>&lt;unit012&gt; "" {c 902, d 000, n 013}</v>
      </c>
    </row>
    <row r="13" spans="1:12" x14ac:dyDescent="0.25">
      <c r="B13" s="44">
        <f t="shared" si="6"/>
        <v>13</v>
      </c>
      <c r="C13" s="44" t="s">
        <v>329</v>
      </c>
      <c r="D13" s="39" t="str">
        <f t="shared" si="7"/>
        <v>&gt;&gt;</v>
      </c>
      <c r="G13" s="45">
        <f t="shared" si="0"/>
        <v>14</v>
      </c>
      <c r="H13" s="40" t="str">
        <f t="shared" si="1"/>
        <v/>
      </c>
      <c r="I13" s="45" t="str">
        <f t="shared" si="2"/>
        <v>c 900</v>
      </c>
      <c r="J13" s="46" t="str">
        <f t="shared" si="3"/>
        <v/>
      </c>
      <c r="K13" s="40" t="str">
        <f t="shared" si="4"/>
        <v/>
      </c>
      <c r="L13" s="42" t="str">
        <f t="shared" si="5"/>
        <v>&lt;unit013&gt; "&gt;&gt;" {c 900, d 000, n 014}</v>
      </c>
    </row>
    <row r="14" spans="1:12" x14ac:dyDescent="0.25">
      <c r="B14" s="44">
        <f t="shared" si="6"/>
        <v>14</v>
      </c>
      <c r="C14" s="44" t="s">
        <v>79</v>
      </c>
      <c r="D14" s="39" t="str">
        <f t="shared" si="7"/>
        <v/>
      </c>
      <c r="G14" s="45">
        <f t="shared" si="0"/>
        <v>15</v>
      </c>
      <c r="H14" s="40" t="str">
        <f t="shared" si="1"/>
        <v/>
      </c>
      <c r="I14" s="45" t="str">
        <f t="shared" si="2"/>
        <v>c 902</v>
      </c>
      <c r="J14" s="46" t="str">
        <f t="shared" si="3"/>
        <v/>
      </c>
      <c r="K14" s="40" t="str">
        <f t="shared" si="4"/>
        <v/>
      </c>
      <c r="L14" s="42" t="str">
        <f t="shared" si="5"/>
        <v>&lt;unit014&gt; "" {c 902, d 000, n 015}</v>
      </c>
    </row>
    <row r="15" spans="1:12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G15" s="45">
        <f t="shared" si="0"/>
        <v>16</v>
      </c>
      <c r="H15" s="40" t="str">
        <f t="shared" si="1"/>
        <v/>
      </c>
      <c r="I15" s="45" t="str">
        <f t="shared" si="2"/>
        <v>c 900</v>
      </c>
      <c r="J15" s="46" t="str">
        <f t="shared" si="3"/>
        <v/>
      </c>
      <c r="K15" s="40" t="str">
        <f t="shared" si="4"/>
        <v/>
      </c>
      <c r="L15" s="42" t="str">
        <f t="shared" si="5"/>
        <v>&lt;unit015&gt; "&gt;&gt;" {c 900, d 000, n 016}</v>
      </c>
    </row>
    <row r="16" spans="1:12" x14ac:dyDescent="0.25">
      <c r="B16" s="44">
        <f t="shared" si="6"/>
        <v>16</v>
      </c>
      <c r="C16" s="44" t="s">
        <v>79</v>
      </c>
      <c r="D16" s="39" t="str">
        <f t="shared" si="7"/>
        <v/>
      </c>
      <c r="G16" s="45">
        <f t="shared" si="0"/>
        <v>17</v>
      </c>
      <c r="H16" s="40" t="str">
        <f t="shared" si="1"/>
        <v/>
      </c>
      <c r="I16" s="45" t="str">
        <f t="shared" si="2"/>
        <v>c 902</v>
      </c>
      <c r="J16" s="46" t="str">
        <f t="shared" si="3"/>
        <v/>
      </c>
      <c r="K16" s="40" t="str">
        <f t="shared" si="4"/>
        <v/>
      </c>
      <c r="L16" s="42" t="str">
        <f t="shared" si="5"/>
        <v>&lt;unit016&gt; "" {c 902, d 000, n 017}</v>
      </c>
    </row>
    <row r="17" spans="2:12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G17" s="45">
        <f t="shared" si="0"/>
        <v>18</v>
      </c>
      <c r="H17" s="40" t="str">
        <f t="shared" si="1"/>
        <v/>
      </c>
      <c r="I17" s="45" t="str">
        <f t="shared" si="2"/>
        <v>c 900</v>
      </c>
      <c r="J17" s="46" t="str">
        <f t="shared" si="3"/>
        <v/>
      </c>
      <c r="K17" s="40" t="str">
        <f t="shared" si="4"/>
        <v/>
      </c>
      <c r="L17" s="42" t="str">
        <f t="shared" si="5"/>
        <v>&lt;unit017&gt; "&gt;&gt;" {c 900, d 000, n 018}</v>
      </c>
    </row>
    <row r="18" spans="2:12" x14ac:dyDescent="0.25">
      <c r="B18" s="44">
        <f t="shared" si="6"/>
        <v>18</v>
      </c>
      <c r="C18" s="44" t="s">
        <v>79</v>
      </c>
      <c r="D18" s="39" t="str">
        <f t="shared" si="7"/>
        <v/>
      </c>
      <c r="G18" s="45">
        <f t="shared" si="0"/>
        <v>19</v>
      </c>
      <c r="H18" s="40" t="str">
        <f t="shared" si="1"/>
        <v/>
      </c>
      <c r="I18" s="45" t="str">
        <f t="shared" si="2"/>
        <v>c 902</v>
      </c>
      <c r="J18" s="46" t="str">
        <f t="shared" si="3"/>
        <v/>
      </c>
      <c r="K18" s="40" t="str">
        <f t="shared" si="4"/>
        <v/>
      </c>
      <c r="L18" s="42" t="str">
        <f t="shared" si="5"/>
        <v>&lt;unit018&gt; "" {c 902, d 000, n 019}</v>
      </c>
    </row>
    <row r="19" spans="2:12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G19" s="45">
        <f t="shared" si="0"/>
        <v>20</v>
      </c>
      <c r="H19" s="40" t="str">
        <f t="shared" si="1"/>
        <v/>
      </c>
      <c r="I19" s="45" t="str">
        <f t="shared" si="2"/>
        <v>c 900</v>
      </c>
      <c r="J19" s="46" t="str">
        <f t="shared" si="3"/>
        <v/>
      </c>
      <c r="K19" s="40" t="str">
        <f t="shared" si="4"/>
        <v/>
      </c>
      <c r="L19" s="42" t="str">
        <f t="shared" si="5"/>
        <v>&lt;unit019&gt; "&gt;&gt;" {c 900, d 000, n 020}</v>
      </c>
    </row>
    <row r="20" spans="2:12" x14ac:dyDescent="0.25">
      <c r="B20" s="44">
        <f t="shared" si="6"/>
        <v>20</v>
      </c>
      <c r="C20" s="44" t="s">
        <v>79</v>
      </c>
      <c r="D20" s="39" t="str">
        <f t="shared" si="7"/>
        <v/>
      </c>
      <c r="G20" s="45">
        <f t="shared" si="0"/>
        <v>21</v>
      </c>
      <c r="H20" s="40" t="str">
        <f t="shared" si="1"/>
        <v/>
      </c>
      <c r="I20" s="45" t="str">
        <f t="shared" si="2"/>
        <v>c 902</v>
      </c>
      <c r="J20" s="46" t="str">
        <f t="shared" si="3"/>
        <v/>
      </c>
      <c r="K20" s="40" t="str">
        <f t="shared" si="4"/>
        <v/>
      </c>
      <c r="L20" s="42" t="str">
        <f t="shared" si="5"/>
        <v>&lt;unit020&gt; "" {c 902, d 000, n 021}</v>
      </c>
    </row>
    <row r="21" spans="2:12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G21" s="45">
        <f t="shared" si="0"/>
        <v>22</v>
      </c>
      <c r="H21" s="40" t="str">
        <f t="shared" si="1"/>
        <v/>
      </c>
      <c r="I21" s="45" t="str">
        <f t="shared" si="2"/>
        <v>c 900</v>
      </c>
      <c r="J21" s="46" t="str">
        <f t="shared" si="3"/>
        <v/>
      </c>
      <c r="K21" s="40" t="str">
        <f t="shared" si="4"/>
        <v/>
      </c>
      <c r="L21" s="42" t="str">
        <f t="shared" si="5"/>
        <v>&lt;unit021&gt; "&gt;&gt;" {c 900, d 000, n 022}</v>
      </c>
    </row>
    <row r="22" spans="2:12" x14ac:dyDescent="0.25">
      <c r="B22" s="44">
        <f t="shared" si="6"/>
        <v>22</v>
      </c>
      <c r="C22" s="44" t="s">
        <v>79</v>
      </c>
      <c r="D22" s="39" t="str">
        <f t="shared" si="7"/>
        <v/>
      </c>
      <c r="G22" s="45">
        <f t="shared" si="0"/>
        <v>23</v>
      </c>
      <c r="H22" s="40" t="str">
        <f t="shared" si="1"/>
        <v/>
      </c>
      <c r="I22" s="45" t="str">
        <f t="shared" si="2"/>
        <v>c 902</v>
      </c>
      <c r="J22" s="46" t="str">
        <f t="shared" si="3"/>
        <v/>
      </c>
      <c r="K22" s="40" t="str">
        <f t="shared" si="4"/>
        <v/>
      </c>
      <c r="L22" s="42" t="str">
        <f t="shared" si="5"/>
        <v>&lt;unit022&gt; "" {c 902, d 000, n 023}</v>
      </c>
    </row>
    <row r="23" spans="2:12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G23" s="45">
        <f t="shared" si="0"/>
        <v>24</v>
      </c>
      <c r="H23" s="40" t="str">
        <f t="shared" si="1"/>
        <v/>
      </c>
      <c r="I23" s="45" t="str">
        <f t="shared" si="2"/>
        <v>c 900</v>
      </c>
      <c r="J23" s="46" t="str">
        <f t="shared" si="3"/>
        <v/>
      </c>
      <c r="K23" s="40" t="str">
        <f t="shared" si="4"/>
        <v/>
      </c>
      <c r="L23" s="42" t="str">
        <f t="shared" si="5"/>
        <v>&lt;unit023&gt; "&gt;&gt;" {c 900, d 000, n 024}</v>
      </c>
    </row>
    <row r="24" spans="2:12" x14ac:dyDescent="0.25">
      <c r="B24" s="44">
        <f t="shared" si="6"/>
        <v>24</v>
      </c>
      <c r="C24" s="44" t="s">
        <v>79</v>
      </c>
      <c r="D24" s="39" t="str">
        <f t="shared" si="7"/>
        <v/>
      </c>
      <c r="G24" s="45">
        <f t="shared" si="0"/>
        <v>25</v>
      </c>
      <c r="H24" s="40" t="str">
        <f t="shared" si="1"/>
        <v/>
      </c>
      <c r="I24" s="45" t="str">
        <f t="shared" si="2"/>
        <v>c 902</v>
      </c>
      <c r="J24" s="46" t="str">
        <f t="shared" si="3"/>
        <v/>
      </c>
      <c r="K24" s="40" t="str">
        <f t="shared" si="4"/>
        <v/>
      </c>
      <c r="L24" s="42" t="str">
        <f t="shared" si="5"/>
        <v>&lt;unit024&gt; "" {c 902, d 000, n 025}</v>
      </c>
    </row>
    <row r="25" spans="2:12" x14ac:dyDescent="0.25">
      <c r="B25" s="44">
        <f t="shared" si="6"/>
        <v>25</v>
      </c>
      <c r="C25" s="44" t="s">
        <v>329</v>
      </c>
      <c r="D25" s="39" t="str">
        <f t="shared" si="7"/>
        <v>&gt;&gt;</v>
      </c>
      <c r="G25" s="45">
        <f t="shared" si="0"/>
        <v>26</v>
      </c>
      <c r="H25" s="40" t="str">
        <f t="shared" si="1"/>
        <v/>
      </c>
      <c r="I25" s="45" t="str">
        <f t="shared" si="2"/>
        <v>c 900</v>
      </c>
      <c r="J25" s="46" t="str">
        <f t="shared" si="3"/>
        <v/>
      </c>
      <c r="K25" s="40" t="str">
        <f t="shared" si="4"/>
        <v/>
      </c>
      <c r="L25" s="42" t="str">
        <f t="shared" si="5"/>
        <v>&lt;unit025&gt; "&gt;&gt;" {c 900, d 000, n 026}</v>
      </c>
    </row>
    <row r="26" spans="2:12" x14ac:dyDescent="0.25">
      <c r="B26" s="44">
        <f t="shared" si="6"/>
        <v>26</v>
      </c>
      <c r="C26" s="44" t="s">
        <v>79</v>
      </c>
      <c r="D26" s="39" t="str">
        <f t="shared" si="7"/>
        <v/>
      </c>
      <c r="G26" s="45">
        <f t="shared" si="0"/>
        <v>27</v>
      </c>
      <c r="H26" s="40" t="str">
        <f t="shared" si="1"/>
        <v/>
      </c>
      <c r="I26" s="45" t="str">
        <f t="shared" si="2"/>
        <v>c 902</v>
      </c>
      <c r="J26" s="46" t="str">
        <f t="shared" si="3"/>
        <v/>
      </c>
      <c r="K26" s="40" t="str">
        <f t="shared" si="4"/>
        <v/>
      </c>
      <c r="L26" s="42" t="str">
        <f t="shared" si="5"/>
        <v>&lt;unit026&gt; "" {c 902, d 000, n 027}</v>
      </c>
    </row>
    <row r="27" spans="2:12" x14ac:dyDescent="0.25">
      <c r="B27" s="44">
        <f t="shared" si="6"/>
        <v>27</v>
      </c>
      <c r="C27" s="44" t="s">
        <v>329</v>
      </c>
      <c r="D27" s="39" t="str">
        <f t="shared" si="7"/>
        <v>&gt;&gt;</v>
      </c>
      <c r="G27" s="45">
        <f t="shared" si="0"/>
        <v>28</v>
      </c>
      <c r="H27" s="40" t="str">
        <f t="shared" si="1"/>
        <v/>
      </c>
      <c r="I27" s="45" t="str">
        <f t="shared" si="2"/>
        <v>c 900</v>
      </c>
      <c r="J27" s="46" t="str">
        <f t="shared" si="3"/>
        <v/>
      </c>
      <c r="K27" s="40" t="str">
        <f t="shared" si="4"/>
        <v/>
      </c>
      <c r="L27" s="42" t="str">
        <f t="shared" si="5"/>
        <v>&lt;unit027&gt; "&gt;&gt;" {c 900, d 000, n 028}</v>
      </c>
    </row>
    <row r="28" spans="2:12" x14ac:dyDescent="0.25">
      <c r="B28" s="44">
        <f t="shared" si="6"/>
        <v>28</v>
      </c>
      <c r="C28" s="44" t="s">
        <v>79</v>
      </c>
      <c r="D28" s="39" t="str">
        <f t="shared" si="7"/>
        <v/>
      </c>
      <c r="G28" s="45">
        <f t="shared" si="0"/>
        <v>29</v>
      </c>
      <c r="H28" s="40" t="str">
        <f t="shared" si="1"/>
        <v/>
      </c>
      <c r="I28" s="45" t="str">
        <f t="shared" si="2"/>
        <v>c 902</v>
      </c>
      <c r="J28" s="46" t="str">
        <f t="shared" si="3"/>
        <v/>
      </c>
      <c r="K28" s="40" t="str">
        <f t="shared" si="4"/>
        <v/>
      </c>
      <c r="L28" s="42" t="str">
        <f t="shared" si="5"/>
        <v>&lt;unit028&gt; "" {c 902, d 000, n 029}</v>
      </c>
    </row>
    <row r="29" spans="2:12" x14ac:dyDescent="0.25">
      <c r="B29" s="44">
        <f t="shared" si="6"/>
        <v>29</v>
      </c>
      <c r="C29" s="44" t="s">
        <v>329</v>
      </c>
      <c r="D29" s="39" t="str">
        <f t="shared" si="7"/>
        <v>&gt;&gt;</v>
      </c>
      <c r="G29" s="45">
        <f t="shared" si="0"/>
        <v>30</v>
      </c>
      <c r="H29" s="40" t="str">
        <f t="shared" si="1"/>
        <v/>
      </c>
      <c r="I29" s="45" t="str">
        <f t="shared" si="2"/>
        <v>c 900</v>
      </c>
      <c r="J29" s="46" t="str">
        <f t="shared" si="3"/>
        <v/>
      </c>
      <c r="K29" s="40" t="str">
        <f t="shared" si="4"/>
        <v/>
      </c>
      <c r="L29" s="42" t="str">
        <f t="shared" si="5"/>
        <v>&lt;unit029&gt; "&gt;&gt;" {c 900, d 000, n 030}</v>
      </c>
    </row>
    <row r="30" spans="2:12" x14ac:dyDescent="0.25">
      <c r="B30" s="44">
        <f t="shared" si="6"/>
        <v>30</v>
      </c>
      <c r="C30" s="44" t="s">
        <v>79</v>
      </c>
      <c r="D30" s="39" t="str">
        <f t="shared" si="7"/>
        <v/>
      </c>
      <c r="G30" s="45">
        <f t="shared" si="0"/>
        <v>31</v>
      </c>
      <c r="H30" s="40" t="str">
        <f t="shared" si="1"/>
        <v/>
      </c>
      <c r="I30" s="45" t="str">
        <f t="shared" si="2"/>
        <v>c 902</v>
      </c>
      <c r="J30" s="46" t="str">
        <f t="shared" si="3"/>
        <v/>
      </c>
      <c r="K30" s="40" t="str">
        <f t="shared" si="4"/>
        <v/>
      </c>
      <c r="L30" s="42" t="str">
        <f t="shared" si="5"/>
        <v>&lt;unit030&gt; "" {c 902, d 000, n 031}</v>
      </c>
    </row>
    <row r="31" spans="2:12" x14ac:dyDescent="0.25">
      <c r="B31" s="44">
        <f t="shared" si="6"/>
        <v>31</v>
      </c>
      <c r="C31" s="44" t="s">
        <v>329</v>
      </c>
      <c r="D31" s="39" t="str">
        <f t="shared" si="7"/>
        <v>&gt;&gt;</v>
      </c>
      <c r="G31" s="45">
        <f t="shared" si="0"/>
        <v>32</v>
      </c>
      <c r="H31" s="40" t="str">
        <f t="shared" si="1"/>
        <v/>
      </c>
      <c r="I31" s="45" t="str">
        <f t="shared" si="2"/>
        <v>c 900</v>
      </c>
      <c r="J31" s="46" t="str">
        <f t="shared" si="3"/>
        <v/>
      </c>
      <c r="K31" s="40" t="str">
        <f t="shared" si="4"/>
        <v/>
      </c>
      <c r="L31" s="42" t="str">
        <f t="shared" si="5"/>
        <v>&lt;unit031&gt; "&gt;&gt;" {c 900, d 000, n 032}</v>
      </c>
    </row>
    <row r="32" spans="2:12" x14ac:dyDescent="0.25">
      <c r="B32" s="44">
        <f t="shared" si="6"/>
        <v>32</v>
      </c>
      <c r="C32" s="44" t="s">
        <v>79</v>
      </c>
      <c r="D32" s="39" t="str">
        <f t="shared" si="7"/>
        <v/>
      </c>
      <c r="G32" s="45">
        <f t="shared" si="0"/>
        <v>33</v>
      </c>
      <c r="H32" s="40" t="str">
        <f t="shared" si="1"/>
        <v/>
      </c>
      <c r="I32" s="45" t="str">
        <f t="shared" si="2"/>
        <v>c 902</v>
      </c>
      <c r="J32" s="46" t="str">
        <f t="shared" si="3"/>
        <v/>
      </c>
      <c r="K32" s="40" t="str">
        <f t="shared" si="4"/>
        <v/>
      </c>
      <c r="L32" s="42" t="str">
        <f t="shared" si="5"/>
        <v>&lt;unit032&gt; "" {c 902, d 000, n 033}</v>
      </c>
    </row>
    <row r="33" spans="2:12" x14ac:dyDescent="0.25">
      <c r="B33" s="44">
        <f>ROW(B33)</f>
        <v>33</v>
      </c>
      <c r="C33" s="44" t="s">
        <v>329</v>
      </c>
      <c r="D33" s="39" t="str">
        <f t="shared" si="7"/>
        <v>&gt;&gt;</v>
      </c>
      <c r="G33" s="45">
        <f t="shared" si="0"/>
        <v>34</v>
      </c>
      <c r="H33" s="40" t="str">
        <f t="shared" si="1"/>
        <v/>
      </c>
      <c r="I33" s="45" t="str">
        <f t="shared" si="2"/>
        <v>c 900</v>
      </c>
      <c r="J33" s="46" t="str">
        <f t="shared" si="3"/>
        <v/>
      </c>
      <c r="K33" s="40" t="str">
        <f t="shared" si="4"/>
        <v/>
      </c>
      <c r="L33" s="42" t="str">
        <f t="shared" si="5"/>
        <v>&lt;unit033&gt; "&gt;&gt;" {c 900, d 000, n 034}</v>
      </c>
    </row>
    <row r="34" spans="2:12" x14ac:dyDescent="0.25">
      <c r="B34" s="44">
        <f t="shared" si="6"/>
        <v>34</v>
      </c>
      <c r="C34" s="44" t="s">
        <v>79</v>
      </c>
      <c r="D34" s="39" t="str">
        <f t="shared" si="7"/>
        <v/>
      </c>
      <c r="G34" s="45">
        <f t="shared" si="0"/>
        <v>35</v>
      </c>
      <c r="H34" s="40" t="str">
        <f t="shared" si="1"/>
        <v/>
      </c>
      <c r="I34" s="45" t="str">
        <f t="shared" si="2"/>
        <v>c 902</v>
      </c>
      <c r="J34" s="46" t="str">
        <f t="shared" ref="J34:J51" si="8">IFERROR(VLOOKUP(E34,Ostanovki,7,FALSE),"")</f>
        <v/>
      </c>
      <c r="K34" s="40" t="str">
        <f t="shared" si="4"/>
        <v/>
      </c>
      <c r="L34" s="42" t="str">
        <f t="shared" si="5"/>
        <v>&lt;unit034&gt; "" {c 902, d 000, n 035}</v>
      </c>
    </row>
    <row r="35" spans="2:12" x14ac:dyDescent="0.25">
      <c r="B35" s="44">
        <f t="shared" si="6"/>
        <v>35</v>
      </c>
      <c r="C35" s="44" t="s">
        <v>329</v>
      </c>
      <c r="D35" s="39" t="str">
        <f t="shared" si="7"/>
        <v>&gt;&gt;</v>
      </c>
      <c r="G35" s="45">
        <f t="shared" si="0"/>
        <v>36</v>
      </c>
      <c r="H35" s="40" t="str">
        <f t="shared" si="1"/>
        <v/>
      </c>
      <c r="I35" s="45" t="str">
        <f t="shared" si="2"/>
        <v>c 900</v>
      </c>
      <c r="J35" s="46" t="str">
        <f t="shared" si="8"/>
        <v/>
      </c>
      <c r="K35" s="40" t="str">
        <f t="shared" si="4"/>
        <v/>
      </c>
      <c r="L35" s="42" t="str">
        <f t="shared" si="5"/>
        <v>&lt;unit035&gt; "&gt;&gt;" {c 900, d 000, n 036}</v>
      </c>
    </row>
    <row r="36" spans="2:12" x14ac:dyDescent="0.25">
      <c r="B36" s="44">
        <f t="shared" si="6"/>
        <v>36</v>
      </c>
      <c r="C36" s="44" t="s">
        <v>79</v>
      </c>
      <c r="D36" s="39" t="str">
        <f t="shared" si="7"/>
        <v/>
      </c>
      <c r="G36" s="45">
        <f t="shared" si="0"/>
        <v>37</v>
      </c>
      <c r="H36" s="40" t="str">
        <f t="shared" si="1"/>
        <v/>
      </c>
      <c r="I36" s="45" t="str">
        <f t="shared" si="2"/>
        <v>c 902</v>
      </c>
      <c r="J36" s="46" t="str">
        <f t="shared" si="8"/>
        <v/>
      </c>
      <c r="L36" s="42" t="str">
        <f t="shared" si="5"/>
        <v>&lt;unit036&gt; "" {c 902, d 000, n 037}</v>
      </c>
    </row>
    <row r="37" spans="2:12" x14ac:dyDescent="0.25">
      <c r="B37" s="44">
        <f t="shared" si="6"/>
        <v>37</v>
      </c>
      <c r="C37" s="44" t="s">
        <v>329</v>
      </c>
      <c r="D37" s="39" t="str">
        <f t="shared" si="7"/>
        <v>&gt;&gt;</v>
      </c>
      <c r="G37" s="45">
        <f t="shared" si="0"/>
        <v>38</v>
      </c>
      <c r="H37" s="40" t="str">
        <f t="shared" si="1"/>
        <v/>
      </c>
      <c r="I37" s="45" t="str">
        <f t="shared" si="2"/>
        <v>c 900</v>
      </c>
      <c r="J37" s="46" t="str">
        <f t="shared" si="8"/>
        <v/>
      </c>
      <c r="L37" s="42" t="str">
        <f t="shared" si="5"/>
        <v>&lt;unit037&gt; "&gt;&gt;" {c 900, d 000, n 038}</v>
      </c>
    </row>
    <row r="38" spans="2:12" x14ac:dyDescent="0.25">
      <c r="B38" s="44">
        <f t="shared" si="6"/>
        <v>38</v>
      </c>
      <c r="C38" s="44" t="s">
        <v>79</v>
      </c>
      <c r="D38" s="39" t="str">
        <f t="shared" si="7"/>
        <v/>
      </c>
      <c r="G38" s="45">
        <f t="shared" si="0"/>
        <v>39</v>
      </c>
      <c r="H38" s="40" t="str">
        <f t="shared" si="1"/>
        <v/>
      </c>
      <c r="I38" s="45" t="str">
        <f t="shared" si="2"/>
        <v>c 902</v>
      </c>
      <c r="J38" s="46" t="str">
        <f t="shared" si="8"/>
        <v/>
      </c>
      <c r="L38" s="42" t="str">
        <f t="shared" si="5"/>
        <v>&lt;unit038&gt; "" {c 902, d 000, n 039}</v>
      </c>
    </row>
    <row r="39" spans="2:12" x14ac:dyDescent="0.25">
      <c r="B39" s="44">
        <f t="shared" si="6"/>
        <v>39</v>
      </c>
      <c r="C39" s="44" t="s">
        <v>329</v>
      </c>
      <c r="D39" s="39" t="str">
        <f t="shared" si="7"/>
        <v>&gt;&gt;</v>
      </c>
      <c r="G39" s="45">
        <f t="shared" si="0"/>
        <v>40</v>
      </c>
      <c r="H39" s="40" t="str">
        <f t="shared" si="1"/>
        <v/>
      </c>
      <c r="I39" s="45" t="str">
        <f t="shared" si="2"/>
        <v>c 900</v>
      </c>
      <c r="J39" s="46" t="str">
        <f t="shared" si="8"/>
        <v/>
      </c>
      <c r="L39" s="42" t="str">
        <f t="shared" si="5"/>
        <v>&lt;unit039&gt; "&gt;&gt;" {c 900, d 000, n 040}</v>
      </c>
    </row>
    <row r="40" spans="2:12" x14ac:dyDescent="0.25">
      <c r="B40" s="44">
        <f t="shared" si="6"/>
        <v>40</v>
      </c>
      <c r="C40" s="44" t="s">
        <v>79</v>
      </c>
      <c r="D40" s="39" t="str">
        <f t="shared" si="7"/>
        <v/>
      </c>
      <c r="G40" s="45">
        <f t="shared" si="0"/>
        <v>41</v>
      </c>
      <c r="H40" s="40" t="str">
        <f t="shared" si="1"/>
        <v/>
      </c>
      <c r="I40" s="45" t="str">
        <f t="shared" si="2"/>
        <v>c 902</v>
      </c>
      <c r="J40" s="46" t="str">
        <f t="shared" si="8"/>
        <v/>
      </c>
      <c r="L40" s="42" t="str">
        <f t="shared" si="5"/>
        <v>&lt;unit040&gt; "" {c 902, d 000, n 041}</v>
      </c>
    </row>
    <row r="41" spans="2:12" x14ac:dyDescent="0.25">
      <c r="B41" s="44">
        <f t="shared" si="6"/>
        <v>41</v>
      </c>
      <c r="C41" s="44" t="s">
        <v>329</v>
      </c>
      <c r="D41" s="39" t="str">
        <f t="shared" si="7"/>
        <v>&gt;&gt;</v>
      </c>
      <c r="G41" s="45">
        <f t="shared" si="0"/>
        <v>42</v>
      </c>
      <c r="H41" s="40" t="str">
        <f t="shared" si="1"/>
        <v/>
      </c>
      <c r="I41" s="45" t="str">
        <f t="shared" si="2"/>
        <v>c 900</v>
      </c>
      <c r="J41" s="46" t="str">
        <f t="shared" si="8"/>
        <v/>
      </c>
      <c r="L41" s="42" t="str">
        <f t="shared" si="5"/>
        <v>&lt;unit041&gt; "&gt;&gt;" {c 900, d 000, n 042}</v>
      </c>
    </row>
    <row r="42" spans="2:12" x14ac:dyDescent="0.25">
      <c r="B42" s="44">
        <f t="shared" si="6"/>
        <v>42</v>
      </c>
      <c r="C42" s="44" t="s">
        <v>79</v>
      </c>
      <c r="D42" s="39" t="str">
        <f t="shared" si="7"/>
        <v/>
      </c>
      <c r="G42" s="45">
        <f>B51</f>
        <v>51</v>
      </c>
      <c r="H42" s="40" t="str">
        <f t="shared" si="1"/>
        <v/>
      </c>
      <c r="I42" s="45" t="str">
        <f t="shared" si="2"/>
        <v>c 902</v>
      </c>
      <c r="J42" s="46" t="str">
        <f t="shared" si="8"/>
        <v/>
      </c>
      <c r="K42" s="40" t="str">
        <f t="shared" si="4"/>
        <v/>
      </c>
      <c r="L42" s="42" t="str">
        <f t="shared" si="5"/>
        <v>&lt;unit042&gt; "" {c 902, d 000, n 051}</v>
      </c>
    </row>
    <row r="43" spans="2:12" x14ac:dyDescent="0.25">
      <c r="B43" s="44">
        <f t="shared" si="6"/>
        <v>43</v>
      </c>
      <c r="C43" s="44" t="s">
        <v>329</v>
      </c>
      <c r="D43" s="39" t="str">
        <f t="shared" ref="D43:D48" si="9">IF(I43="c 900","&gt;&gt;","")</f>
        <v>&gt;&gt;</v>
      </c>
      <c r="G43" s="45">
        <f t="shared" ref="G43" si="10">B44</f>
        <v>44</v>
      </c>
      <c r="H43" s="40" t="str">
        <f t="shared" ref="H43:H48" si="11">IFERROR("p "&amp;VLOOKUP(E43,Tablo_Tab,2,FALSE),"")</f>
        <v/>
      </c>
      <c r="I43" s="45" t="str">
        <f t="shared" ref="I43:I48" si="12">IFERROR("c "&amp;VLOOKUP(C43,Punkti,2,FALSE),"")</f>
        <v>c 900</v>
      </c>
      <c r="J43" s="46" t="str">
        <f t="shared" ref="J43:J48" si="13">IFERROR(VLOOKUP(E43,Ostanovki,7,FALSE),"")</f>
        <v/>
      </c>
      <c r="K43" s="40" t="str">
        <f t="shared" ref="K43:K48" si="14">IFERROR("c "&amp;VLOOKUP(F43,Punkti,2,FALSE),"")</f>
        <v/>
      </c>
      <c r="L43" s="42" t="str">
        <f t="shared" ref="L43:L48" si="15">"&lt;unit"&amp;TEXT(B43,"000")&amp;"&gt; """&amp;СцепитьМного(D43:E43,"")&amp;""" {"&amp;СцепитьМного(H43:K43,", ")&amp;", d 000, n "&amp;TEXT(G43,"000")&amp;"}"</f>
        <v>&lt;unit043&gt; "&gt;&gt;" {c 900, d 000, n 044}</v>
      </c>
    </row>
    <row r="44" spans="2:12" x14ac:dyDescent="0.25">
      <c r="B44" s="44">
        <f t="shared" si="6"/>
        <v>44</v>
      </c>
      <c r="C44" s="44" t="s">
        <v>79</v>
      </c>
      <c r="D44" s="39" t="str">
        <f t="shared" si="9"/>
        <v/>
      </c>
      <c r="G44" s="45">
        <f>B49</f>
        <v>49</v>
      </c>
      <c r="H44" s="40" t="str">
        <f t="shared" si="11"/>
        <v/>
      </c>
      <c r="I44" s="45" t="str">
        <f t="shared" si="12"/>
        <v>c 902</v>
      </c>
      <c r="J44" s="46" t="str">
        <f t="shared" si="13"/>
        <v/>
      </c>
      <c r="K44" s="40" t="str">
        <f t="shared" si="14"/>
        <v/>
      </c>
      <c r="L44" s="42" t="str">
        <f t="shared" si="15"/>
        <v>&lt;unit044&gt; "" {c 902, d 000, n 049}</v>
      </c>
    </row>
    <row r="45" spans="2:12" x14ac:dyDescent="0.25">
      <c r="B45" s="44">
        <f t="shared" si="6"/>
        <v>45</v>
      </c>
      <c r="C45" s="44" t="s">
        <v>329</v>
      </c>
      <c r="D45" s="39" t="str">
        <f t="shared" si="9"/>
        <v>&gt;&gt;</v>
      </c>
      <c r="G45" s="45">
        <f t="shared" ref="G45" si="16">B46</f>
        <v>46</v>
      </c>
      <c r="H45" s="40" t="str">
        <f t="shared" si="11"/>
        <v/>
      </c>
      <c r="I45" s="45" t="str">
        <f t="shared" si="12"/>
        <v>c 900</v>
      </c>
      <c r="J45" s="46" t="str">
        <f t="shared" si="13"/>
        <v/>
      </c>
      <c r="K45" s="40" t="str">
        <f t="shared" si="14"/>
        <v/>
      </c>
      <c r="L45" s="42" t="str">
        <f t="shared" si="15"/>
        <v>&lt;unit045&gt; "&gt;&gt;" {c 900, d 000, n 046}</v>
      </c>
    </row>
    <row r="46" spans="2:12" x14ac:dyDescent="0.25">
      <c r="B46" s="44">
        <f t="shared" si="6"/>
        <v>46</v>
      </c>
      <c r="C46" s="44" t="s">
        <v>79</v>
      </c>
      <c r="D46" s="39" t="str">
        <f t="shared" si="9"/>
        <v/>
      </c>
      <c r="G46" s="45">
        <f>B49</f>
        <v>49</v>
      </c>
      <c r="H46" s="40" t="str">
        <f t="shared" si="11"/>
        <v/>
      </c>
      <c r="I46" s="45" t="str">
        <f t="shared" si="12"/>
        <v>c 902</v>
      </c>
      <c r="J46" s="46" t="str">
        <f t="shared" si="13"/>
        <v/>
      </c>
      <c r="K46" s="40" t="str">
        <f t="shared" si="14"/>
        <v/>
      </c>
      <c r="L46" s="42" t="str">
        <f t="shared" si="15"/>
        <v>&lt;unit046&gt; "" {c 902, d 000, n 049}</v>
      </c>
    </row>
    <row r="47" spans="2:12" x14ac:dyDescent="0.25">
      <c r="B47" s="44">
        <f t="shared" si="6"/>
        <v>47</v>
      </c>
      <c r="C47" s="44" t="s">
        <v>329</v>
      </c>
      <c r="D47" s="39" t="str">
        <f t="shared" si="9"/>
        <v>&gt;&gt;</v>
      </c>
      <c r="G47" s="45">
        <f t="shared" ref="G47:G48" si="17">B48</f>
        <v>48</v>
      </c>
      <c r="H47" s="40" t="str">
        <f t="shared" si="11"/>
        <v/>
      </c>
      <c r="I47" s="45" t="str">
        <f t="shared" si="12"/>
        <v>c 900</v>
      </c>
      <c r="J47" s="46" t="str">
        <f t="shared" si="13"/>
        <v/>
      </c>
      <c r="K47" s="40" t="str">
        <f t="shared" si="14"/>
        <v/>
      </c>
      <c r="L47" s="42" t="str">
        <f t="shared" si="15"/>
        <v>&lt;unit047&gt; "&gt;&gt;" {c 900, d 000, n 048}</v>
      </c>
    </row>
    <row r="48" spans="2:12" x14ac:dyDescent="0.25">
      <c r="B48" s="44">
        <f t="shared" si="6"/>
        <v>48</v>
      </c>
      <c r="C48" s="44" t="s">
        <v>79</v>
      </c>
      <c r="D48" s="39" t="str">
        <f t="shared" si="9"/>
        <v/>
      </c>
      <c r="G48" s="45">
        <f t="shared" si="17"/>
        <v>49</v>
      </c>
      <c r="H48" s="40" t="str">
        <f t="shared" si="11"/>
        <v/>
      </c>
      <c r="I48" s="45" t="str">
        <f t="shared" si="12"/>
        <v>c 902</v>
      </c>
      <c r="J48" s="46" t="str">
        <f t="shared" si="13"/>
        <v/>
      </c>
      <c r="K48" s="40" t="str">
        <f t="shared" si="14"/>
        <v/>
      </c>
      <c r="L48" s="42" t="str">
        <f t="shared" si="15"/>
        <v>&lt;unit048&gt; "" {c 902, d 000, n 049}</v>
      </c>
    </row>
    <row r="49" spans="2:12" x14ac:dyDescent="0.25">
      <c r="B49" s="44">
        <f t="shared" si="6"/>
        <v>49</v>
      </c>
      <c r="C49" s="44" t="s">
        <v>329</v>
      </c>
      <c r="D49" s="39" t="str">
        <f t="shared" ref="D49:D50" si="18">IF(I49="c 900","&gt;&gt;","")</f>
        <v>&gt;&gt;</v>
      </c>
      <c r="G49" s="45">
        <f t="shared" ref="G49:G50" si="19">B50</f>
        <v>50</v>
      </c>
      <c r="H49" s="40" t="str">
        <f t="shared" ref="H49:H50" si="20">IFERROR("p "&amp;VLOOKUP(E49,Tablo_Tab,2,FALSE),"")</f>
        <v/>
      </c>
      <c r="I49" s="45" t="str">
        <f t="shared" ref="I49:I50" si="21">IFERROR("c "&amp;VLOOKUP(C49,Punkti,2,FALSE),"")</f>
        <v>c 900</v>
      </c>
      <c r="J49" s="46" t="str">
        <f t="shared" ref="J49:J50" si="22">IFERROR(VLOOKUP(E49,Ostanovki,7,FALSE),"")</f>
        <v/>
      </c>
      <c r="K49" s="40" t="str">
        <f t="shared" ref="K49:K50" si="23">IFERROR("c "&amp;VLOOKUP(F49,Punkti,2,FALSE),"")</f>
        <v/>
      </c>
      <c r="L49" s="42" t="str">
        <f t="shared" ref="L49:L50" si="24">"&lt;unit"&amp;TEXT(B49,"000")&amp;"&gt; """&amp;СцепитьМного(D49:E49,"")&amp;""" {"&amp;СцепитьМного(H49:K49,", ")&amp;", d 000, n "&amp;TEXT(G49,"000")&amp;"}"</f>
        <v>&lt;unit049&gt; "&gt;&gt;" {c 900, d 000, n 050}</v>
      </c>
    </row>
    <row r="50" spans="2:12" x14ac:dyDescent="0.25">
      <c r="B50" s="44">
        <f t="shared" si="6"/>
        <v>50</v>
      </c>
      <c r="C50" s="44" t="s">
        <v>79</v>
      </c>
      <c r="D50" s="39" t="str">
        <f t="shared" si="18"/>
        <v/>
      </c>
      <c r="G50" s="45">
        <f t="shared" si="19"/>
        <v>51</v>
      </c>
      <c r="H50" s="40" t="str">
        <f t="shared" si="20"/>
        <v/>
      </c>
      <c r="I50" s="45" t="str">
        <f t="shared" si="21"/>
        <v>c 902</v>
      </c>
      <c r="J50" s="46" t="str">
        <f t="shared" si="22"/>
        <v/>
      </c>
      <c r="K50" s="40" t="str">
        <f t="shared" si="23"/>
        <v/>
      </c>
      <c r="L50" s="42" t="str">
        <f t="shared" si="24"/>
        <v>&lt;unit050&gt; "" {c 902, d 000, n 051}</v>
      </c>
    </row>
    <row r="51" spans="2:12" x14ac:dyDescent="0.25">
      <c r="B51" s="44">
        <f t="shared" si="6"/>
        <v>51</v>
      </c>
      <c r="C51" s="44" t="s">
        <v>329</v>
      </c>
      <c r="D51" s="39" t="str">
        <f t="shared" si="7"/>
        <v>&gt;&gt;</v>
      </c>
      <c r="G51" s="45">
        <f t="shared" si="0"/>
        <v>52</v>
      </c>
      <c r="H51" s="40" t="str">
        <f t="shared" si="1"/>
        <v/>
      </c>
      <c r="I51" s="45" t="str">
        <f t="shared" si="2"/>
        <v>c 900</v>
      </c>
      <c r="J51" s="46" t="str">
        <f t="shared" si="8"/>
        <v/>
      </c>
      <c r="K51" s="40" t="str">
        <f t="shared" si="4"/>
        <v/>
      </c>
      <c r="L51" s="42" t="str">
        <f t="shared" si="5"/>
        <v>&lt;unit051&gt; "&gt;&gt;" {c 900, d 000, n 052}</v>
      </c>
    </row>
    <row r="52" spans="2:12" x14ac:dyDescent="0.25">
      <c r="B52" s="44">
        <f t="shared" si="6"/>
        <v>52</v>
      </c>
      <c r="C52" s="44" t="s">
        <v>79</v>
      </c>
      <c r="D52" s="39" t="str">
        <f t="shared" si="7"/>
        <v/>
      </c>
      <c r="G52" s="45">
        <f t="shared" si="0"/>
        <v>53</v>
      </c>
      <c r="H52" s="40" t="str">
        <f t="shared" si="1"/>
        <v/>
      </c>
      <c r="I52" s="45" t="str">
        <f t="shared" si="2"/>
        <v>c 902</v>
      </c>
      <c r="J52" s="46" t="str">
        <f t="shared" si="3"/>
        <v/>
      </c>
      <c r="K52" s="40" t="str">
        <f t="shared" si="4"/>
        <v/>
      </c>
      <c r="L52" s="42" t="str">
        <f t="shared" si="5"/>
        <v>&lt;unit052&gt; "" {c 902, d 000, n 053}</v>
      </c>
    </row>
    <row r="53" spans="2:12" x14ac:dyDescent="0.25">
      <c r="B53" s="44">
        <f t="shared" si="6"/>
        <v>53</v>
      </c>
      <c r="C53" s="44" t="s">
        <v>329</v>
      </c>
      <c r="D53" s="39" t="str">
        <f t="shared" si="7"/>
        <v>&gt;&gt;</v>
      </c>
      <c r="G53" s="45">
        <f t="shared" si="0"/>
        <v>54</v>
      </c>
      <c r="H53" s="40" t="str">
        <f t="shared" si="1"/>
        <v/>
      </c>
      <c r="I53" s="45" t="str">
        <f t="shared" si="2"/>
        <v>c 900</v>
      </c>
      <c r="J53" s="46" t="str">
        <f t="shared" si="3"/>
        <v/>
      </c>
      <c r="K53" s="40" t="str">
        <f t="shared" si="4"/>
        <v/>
      </c>
      <c r="L53" s="42" t="str">
        <f t="shared" si="5"/>
        <v>&lt;unit053&gt; "&gt;&gt;" {c 900, d 000, n 054}</v>
      </c>
    </row>
    <row r="54" spans="2:12" x14ac:dyDescent="0.25">
      <c r="B54" s="44">
        <f t="shared" si="6"/>
        <v>54</v>
      </c>
      <c r="C54" s="44" t="s">
        <v>79</v>
      </c>
      <c r="D54" s="39" t="str">
        <f t="shared" si="7"/>
        <v/>
      </c>
      <c r="E54" s="44" t="s">
        <v>213</v>
      </c>
      <c r="F54" s="44" t="s">
        <v>331</v>
      </c>
      <c r="G54" s="45">
        <f>B56</f>
        <v>56</v>
      </c>
      <c r="H54" s="40" t="str">
        <f t="shared" si="1"/>
        <v>p 014</v>
      </c>
      <c r="I54" s="45" t="str">
        <f t="shared" si="2"/>
        <v>c 902</v>
      </c>
      <c r="J54" s="46" t="str">
        <f t="shared" si="3"/>
        <v>v "\mp3_ost\kztsh.mp3"</v>
      </c>
      <c r="K54" s="40" t="str">
        <f t="shared" si="4"/>
        <v>c 903</v>
      </c>
      <c r="L54" s="42" t="str">
        <f t="shared" si="5"/>
        <v>&lt;unit054&gt; "КЗТШ" {p 014, c 902, v "\mp3_ost\kztsh.mp3", c 903, d 000, n 056}</v>
      </c>
    </row>
    <row r="55" spans="2:12" s="39" customFormat="1" x14ac:dyDescent="0.25">
      <c r="G55" s="40"/>
      <c r="H55" s="40"/>
      <c r="I55" s="40"/>
      <c r="J55" s="40"/>
      <c r="K55" s="40"/>
      <c r="L55" s="42"/>
    </row>
    <row r="56" spans="2:12" s="39" customFormat="1" x14ac:dyDescent="0.25">
      <c r="B56" s="39">
        <f t="shared" ref="B56:B108" si="25">ROW(B56)</f>
        <v>56</v>
      </c>
      <c r="E56" s="43" t="s">
        <v>327</v>
      </c>
      <c r="F56" s="43"/>
      <c r="G56" s="40">
        <f>B58</f>
        <v>58</v>
      </c>
      <c r="H56" s="40"/>
      <c r="I56" s="40"/>
      <c r="J56" s="40"/>
      <c r="K56" s="40"/>
      <c r="L56" s="42" t="str">
        <f>"&lt;unit"&amp;TEXT(B56,"000")&amp;"&gt; """&amp;E56&amp;""" {d 000, n "&amp;TEXT(G56,"000")&amp;"}"</f>
        <v>&lt;unit056&gt; "----- Обратный -----" {d 000, n 058}</v>
      </c>
    </row>
    <row r="57" spans="2:12" s="39" customFormat="1" x14ac:dyDescent="0.25">
      <c r="G57" s="40"/>
      <c r="H57" s="40"/>
      <c r="I57" s="40"/>
      <c r="J57" s="40"/>
      <c r="K57" s="40"/>
      <c r="L57" s="42"/>
    </row>
    <row r="58" spans="2:12" x14ac:dyDescent="0.25">
      <c r="B58" s="44">
        <f t="shared" si="25"/>
        <v>58</v>
      </c>
      <c r="C58" s="44" t="s">
        <v>79</v>
      </c>
      <c r="D58" s="39" t="str">
        <f t="shared" ref="D58:D106" si="26">IF(I58="c 900","&gt;&gt;","")</f>
        <v/>
      </c>
      <c r="E58" s="44" t="s">
        <v>213</v>
      </c>
      <c r="G58" s="45">
        <f>B59</f>
        <v>59</v>
      </c>
      <c r="H58" s="40" t="str">
        <f t="shared" ref="H58:H106" si="27">IFERROR("p "&amp;VLOOKUP(E58,Tablo_Tab,2,FALSE),"")</f>
        <v>p 014</v>
      </c>
      <c r="I58" s="45" t="str">
        <f t="shared" ref="I58:I106" si="28">IFERROR("c "&amp;VLOOKUP(C58,Punkti,2,FALSE),"")</f>
        <v>c 902</v>
      </c>
      <c r="J58" s="46" t="str">
        <f t="shared" ref="J58:J106" si="29">IFERROR(VLOOKUP(E58,Ostanovki,7,FALSE),"")</f>
        <v>v "\mp3_ost\kztsh.mp3"</v>
      </c>
      <c r="K58" s="40" t="str">
        <f t="shared" ref="K58:K106" si="30">IFERROR("c "&amp;VLOOKUP(F58,Punkti,2,FALSE),"")</f>
        <v/>
      </c>
      <c r="L58" s="42" t="str">
        <f t="shared" ref="L58:L106" si="31">"&lt;unit"&amp;TEXT(B58,"000")&amp;"&gt; """&amp;СцепитьМного(D58:E58,"")&amp;""" {"&amp;СцепитьМного(H58:K58,", ")&amp;", d 000, n "&amp;TEXT(G58,"000")&amp;"}"</f>
        <v>&lt;unit058&gt; "КЗТШ" {p 014, c 902, v "\mp3_ost\kztsh.mp3", d 000, n 059}</v>
      </c>
    </row>
    <row r="59" spans="2:12" x14ac:dyDescent="0.25">
      <c r="B59" s="44">
        <f t="shared" si="25"/>
        <v>59</v>
      </c>
      <c r="C59" s="44" t="s">
        <v>329</v>
      </c>
      <c r="D59" s="39" t="str">
        <f t="shared" si="26"/>
        <v>&gt;&gt;</v>
      </c>
      <c r="G59" s="45">
        <f t="shared" ref="G59:G105" si="32">B60</f>
        <v>60</v>
      </c>
      <c r="H59" s="40" t="str">
        <f t="shared" si="27"/>
        <v/>
      </c>
      <c r="I59" s="45" t="str">
        <f t="shared" si="28"/>
        <v>c 900</v>
      </c>
      <c r="J59" s="46" t="str">
        <f t="shared" si="29"/>
        <v/>
      </c>
      <c r="K59" s="40" t="str">
        <f t="shared" si="30"/>
        <v/>
      </c>
      <c r="L59" s="42" t="str">
        <f t="shared" si="31"/>
        <v>&lt;unit059&gt; "&gt;&gt;" {c 900, d 000, n 060}</v>
      </c>
    </row>
    <row r="60" spans="2:12" x14ac:dyDescent="0.25">
      <c r="B60" s="44">
        <f t="shared" si="25"/>
        <v>60</v>
      </c>
      <c r="C60" s="44" t="s">
        <v>79</v>
      </c>
      <c r="D60" s="39" t="str">
        <f t="shared" si="26"/>
        <v/>
      </c>
      <c r="G60" s="45">
        <f t="shared" si="32"/>
        <v>61</v>
      </c>
      <c r="H60" s="40" t="str">
        <f t="shared" si="27"/>
        <v/>
      </c>
      <c r="I60" s="45" t="str">
        <f t="shared" si="28"/>
        <v>c 902</v>
      </c>
      <c r="J60" s="46" t="str">
        <f t="shared" si="29"/>
        <v/>
      </c>
      <c r="K60" s="40" t="str">
        <f t="shared" si="30"/>
        <v/>
      </c>
      <c r="L60" s="42" t="str">
        <f t="shared" si="31"/>
        <v>&lt;unit060&gt; "" {c 902, d 000, n 061}</v>
      </c>
    </row>
    <row r="61" spans="2:12" x14ac:dyDescent="0.25">
      <c r="B61" s="44">
        <f t="shared" si="25"/>
        <v>61</v>
      </c>
      <c r="C61" s="44" t="s">
        <v>329</v>
      </c>
      <c r="D61" s="39" t="str">
        <f t="shared" si="26"/>
        <v>&gt;&gt;</v>
      </c>
      <c r="G61" s="45">
        <f t="shared" si="32"/>
        <v>62</v>
      </c>
      <c r="H61" s="40" t="str">
        <f t="shared" si="27"/>
        <v/>
      </c>
      <c r="I61" s="45" t="str">
        <f t="shared" si="28"/>
        <v>c 900</v>
      </c>
      <c r="J61" s="46" t="str">
        <f t="shared" si="29"/>
        <v/>
      </c>
      <c r="K61" s="40" t="str">
        <f t="shared" si="30"/>
        <v/>
      </c>
      <c r="L61" s="42" t="str">
        <f t="shared" si="31"/>
        <v>&lt;unit061&gt; "&gt;&gt;" {c 900, d 000, n 062}</v>
      </c>
    </row>
    <row r="62" spans="2:12" x14ac:dyDescent="0.25">
      <c r="B62" s="44">
        <f t="shared" si="25"/>
        <v>62</v>
      </c>
      <c r="C62" s="44" t="s">
        <v>79</v>
      </c>
      <c r="D62" s="39" t="str">
        <f t="shared" si="26"/>
        <v/>
      </c>
      <c r="G62" s="45">
        <f t="shared" si="32"/>
        <v>63</v>
      </c>
      <c r="H62" s="40" t="str">
        <f t="shared" si="27"/>
        <v/>
      </c>
      <c r="I62" s="45" t="str">
        <f t="shared" si="28"/>
        <v>c 902</v>
      </c>
      <c r="J62" s="46" t="str">
        <f t="shared" si="29"/>
        <v/>
      </c>
      <c r="K62" s="40" t="str">
        <f t="shared" si="30"/>
        <v/>
      </c>
      <c r="L62" s="42" t="str">
        <f t="shared" si="31"/>
        <v>&lt;unit062&gt; "" {c 902, d 000, n 063}</v>
      </c>
    </row>
    <row r="63" spans="2:12" x14ac:dyDescent="0.25">
      <c r="B63" s="44">
        <f t="shared" si="25"/>
        <v>63</v>
      </c>
      <c r="C63" s="44" t="s">
        <v>329</v>
      </c>
      <c r="D63" s="39" t="str">
        <f t="shared" si="26"/>
        <v>&gt;&gt;</v>
      </c>
      <c r="G63" s="45">
        <f t="shared" si="32"/>
        <v>64</v>
      </c>
      <c r="H63" s="40" t="str">
        <f t="shared" si="27"/>
        <v/>
      </c>
      <c r="I63" s="45" t="str">
        <f t="shared" si="28"/>
        <v>c 900</v>
      </c>
      <c r="J63" s="46" t="str">
        <f t="shared" si="29"/>
        <v/>
      </c>
      <c r="K63" s="40" t="str">
        <f t="shared" si="30"/>
        <v/>
      </c>
      <c r="L63" s="42" t="str">
        <f t="shared" si="31"/>
        <v>&lt;unit063&gt; "&gt;&gt;" {c 900, d 000, n 064}</v>
      </c>
    </row>
    <row r="64" spans="2:12" x14ac:dyDescent="0.25">
      <c r="B64" s="44">
        <f t="shared" si="25"/>
        <v>64</v>
      </c>
      <c r="C64" s="44" t="s">
        <v>79</v>
      </c>
      <c r="D64" s="39" t="str">
        <f t="shared" si="26"/>
        <v/>
      </c>
      <c r="G64" s="45">
        <f t="shared" si="32"/>
        <v>65</v>
      </c>
      <c r="H64" s="40" t="str">
        <f t="shared" si="27"/>
        <v/>
      </c>
      <c r="I64" s="45" t="str">
        <f t="shared" si="28"/>
        <v>c 902</v>
      </c>
      <c r="J64" s="46" t="str">
        <f t="shared" si="29"/>
        <v/>
      </c>
      <c r="K64" s="40" t="str">
        <f t="shared" si="30"/>
        <v/>
      </c>
      <c r="L64" s="42" t="str">
        <f t="shared" si="31"/>
        <v>&lt;unit064&gt; "" {c 902, d 000, n 065}</v>
      </c>
    </row>
    <row r="65" spans="2:12" x14ac:dyDescent="0.25">
      <c r="B65" s="44">
        <f t="shared" si="25"/>
        <v>65</v>
      </c>
      <c r="C65" s="44" t="s">
        <v>329</v>
      </c>
      <c r="D65" s="39" t="str">
        <f t="shared" si="26"/>
        <v>&gt;&gt;</v>
      </c>
      <c r="G65" s="45">
        <f t="shared" si="32"/>
        <v>66</v>
      </c>
      <c r="H65" s="40" t="str">
        <f t="shared" si="27"/>
        <v/>
      </c>
      <c r="I65" s="45" t="str">
        <f t="shared" si="28"/>
        <v>c 900</v>
      </c>
      <c r="J65" s="46" t="str">
        <f t="shared" si="29"/>
        <v/>
      </c>
      <c r="K65" s="40" t="str">
        <f t="shared" si="30"/>
        <v/>
      </c>
      <c r="L65" s="42" t="str">
        <f t="shared" si="31"/>
        <v>&lt;unit065&gt; "&gt;&gt;" {c 900, d 000, n 066}</v>
      </c>
    </row>
    <row r="66" spans="2:12" x14ac:dyDescent="0.25">
      <c r="B66" s="44">
        <f t="shared" si="25"/>
        <v>66</v>
      </c>
      <c r="C66" s="44" t="s">
        <v>79</v>
      </c>
      <c r="D66" s="39" t="str">
        <f t="shared" si="26"/>
        <v/>
      </c>
      <c r="G66" s="45">
        <f t="shared" si="32"/>
        <v>67</v>
      </c>
      <c r="H66" s="40" t="str">
        <f t="shared" si="27"/>
        <v/>
      </c>
      <c r="I66" s="45" t="str">
        <f t="shared" si="28"/>
        <v>c 902</v>
      </c>
      <c r="J66" s="46" t="str">
        <f t="shared" si="29"/>
        <v/>
      </c>
      <c r="K66" s="40" t="str">
        <f t="shared" si="30"/>
        <v/>
      </c>
      <c r="L66" s="42" t="str">
        <f t="shared" si="31"/>
        <v>&lt;unit066&gt; "" {c 902, d 000, n 067}</v>
      </c>
    </row>
    <row r="67" spans="2:12" x14ac:dyDescent="0.25">
      <c r="B67" s="44">
        <f t="shared" si="25"/>
        <v>67</v>
      </c>
      <c r="C67" s="44" t="s">
        <v>329</v>
      </c>
      <c r="D67" s="39" t="str">
        <f t="shared" si="26"/>
        <v>&gt;&gt;</v>
      </c>
      <c r="G67" s="45">
        <f t="shared" si="32"/>
        <v>68</v>
      </c>
      <c r="H67" s="40" t="str">
        <f t="shared" si="27"/>
        <v/>
      </c>
      <c r="I67" s="45" t="str">
        <f t="shared" si="28"/>
        <v>c 900</v>
      </c>
      <c r="J67" s="46" t="str">
        <f t="shared" si="29"/>
        <v/>
      </c>
      <c r="K67" s="40" t="str">
        <f t="shared" si="30"/>
        <v/>
      </c>
      <c r="L67" s="42" t="str">
        <f t="shared" si="31"/>
        <v>&lt;unit067&gt; "&gt;&gt;" {c 900, d 000, n 068}</v>
      </c>
    </row>
    <row r="68" spans="2:12" x14ac:dyDescent="0.25">
      <c r="B68" s="44">
        <f t="shared" si="25"/>
        <v>68</v>
      </c>
      <c r="C68" s="44" t="s">
        <v>79</v>
      </c>
      <c r="D68" s="39" t="str">
        <f t="shared" si="26"/>
        <v/>
      </c>
      <c r="G68" s="45">
        <f t="shared" si="32"/>
        <v>69</v>
      </c>
      <c r="H68" s="40" t="str">
        <f t="shared" si="27"/>
        <v/>
      </c>
      <c r="I68" s="45" t="str">
        <f t="shared" si="28"/>
        <v>c 902</v>
      </c>
      <c r="J68" s="46" t="str">
        <f t="shared" si="29"/>
        <v/>
      </c>
      <c r="K68" s="40" t="str">
        <f t="shared" si="30"/>
        <v/>
      </c>
      <c r="L68" s="42" t="str">
        <f t="shared" si="31"/>
        <v>&lt;unit068&gt; "" {c 902, d 000, n 069}</v>
      </c>
    </row>
    <row r="69" spans="2:12" x14ac:dyDescent="0.25">
      <c r="B69" s="44">
        <f t="shared" si="25"/>
        <v>69</v>
      </c>
      <c r="C69" s="44" t="s">
        <v>329</v>
      </c>
      <c r="D69" s="39" t="str">
        <f t="shared" si="26"/>
        <v>&gt;&gt;</v>
      </c>
      <c r="G69" s="45">
        <f t="shared" si="32"/>
        <v>70</v>
      </c>
      <c r="H69" s="40" t="str">
        <f t="shared" si="27"/>
        <v/>
      </c>
      <c r="I69" s="45" t="str">
        <f t="shared" si="28"/>
        <v>c 900</v>
      </c>
      <c r="J69" s="46" t="str">
        <f t="shared" si="29"/>
        <v/>
      </c>
      <c r="K69" s="40" t="str">
        <f t="shared" si="30"/>
        <v/>
      </c>
      <c r="L69" s="42" t="str">
        <f t="shared" si="31"/>
        <v>&lt;unit069&gt; "&gt;&gt;" {c 900, d 000, n 070}</v>
      </c>
    </row>
    <row r="70" spans="2:12" x14ac:dyDescent="0.25">
      <c r="B70" s="44">
        <f t="shared" si="25"/>
        <v>70</v>
      </c>
      <c r="C70" s="44" t="s">
        <v>79</v>
      </c>
      <c r="D70" s="39" t="str">
        <f t="shared" si="26"/>
        <v/>
      </c>
      <c r="G70" s="45">
        <f t="shared" si="32"/>
        <v>71</v>
      </c>
      <c r="H70" s="40" t="str">
        <f t="shared" si="27"/>
        <v/>
      </c>
      <c r="I70" s="45" t="str">
        <f t="shared" si="28"/>
        <v>c 902</v>
      </c>
      <c r="J70" s="46" t="str">
        <f t="shared" si="29"/>
        <v/>
      </c>
      <c r="K70" s="40" t="str">
        <f t="shared" si="30"/>
        <v/>
      </c>
      <c r="L70" s="42" t="str">
        <f t="shared" si="31"/>
        <v>&lt;unit070&gt; "" {c 902, d 000, n 071}</v>
      </c>
    </row>
    <row r="71" spans="2:12" x14ac:dyDescent="0.25">
      <c r="B71" s="44">
        <f t="shared" si="25"/>
        <v>71</v>
      </c>
      <c r="C71" s="44" t="s">
        <v>329</v>
      </c>
      <c r="D71" s="39" t="str">
        <f t="shared" si="26"/>
        <v>&gt;&gt;</v>
      </c>
      <c r="G71" s="45">
        <f t="shared" si="32"/>
        <v>72</v>
      </c>
      <c r="H71" s="40" t="str">
        <f t="shared" si="27"/>
        <v/>
      </c>
      <c r="I71" s="45" t="str">
        <f t="shared" si="28"/>
        <v>c 900</v>
      </c>
      <c r="J71" s="46" t="str">
        <f t="shared" si="29"/>
        <v/>
      </c>
      <c r="K71" s="40" t="str">
        <f t="shared" si="30"/>
        <v/>
      </c>
      <c r="L71" s="42" t="str">
        <f t="shared" si="31"/>
        <v>&lt;unit071&gt; "&gt;&gt;" {c 900, d 000, n 072}</v>
      </c>
    </row>
    <row r="72" spans="2:12" x14ac:dyDescent="0.25">
      <c r="B72" s="44">
        <f t="shared" si="25"/>
        <v>72</v>
      </c>
      <c r="C72" s="44" t="s">
        <v>79</v>
      </c>
      <c r="D72" s="39" t="str">
        <f t="shared" si="26"/>
        <v/>
      </c>
      <c r="G72" s="45">
        <f t="shared" si="32"/>
        <v>73</v>
      </c>
      <c r="H72" s="40" t="str">
        <f t="shared" si="27"/>
        <v/>
      </c>
      <c r="I72" s="45" t="str">
        <f t="shared" si="28"/>
        <v>c 902</v>
      </c>
      <c r="J72" s="46" t="str">
        <f t="shared" si="29"/>
        <v/>
      </c>
      <c r="K72" s="40" t="str">
        <f t="shared" si="30"/>
        <v/>
      </c>
      <c r="L72" s="42" t="str">
        <f t="shared" si="31"/>
        <v>&lt;unit072&gt; "" {c 902, d 000, n 073}</v>
      </c>
    </row>
    <row r="73" spans="2:12" x14ac:dyDescent="0.25">
      <c r="B73" s="44">
        <f t="shared" si="25"/>
        <v>73</v>
      </c>
      <c r="C73" s="44" t="s">
        <v>329</v>
      </c>
      <c r="D73" s="39" t="str">
        <f t="shared" si="26"/>
        <v>&gt;&gt;</v>
      </c>
      <c r="G73" s="45">
        <f t="shared" si="32"/>
        <v>74</v>
      </c>
      <c r="H73" s="40" t="str">
        <f t="shared" si="27"/>
        <v/>
      </c>
      <c r="I73" s="45" t="str">
        <f t="shared" si="28"/>
        <v>c 900</v>
      </c>
      <c r="J73" s="46" t="str">
        <f t="shared" si="29"/>
        <v/>
      </c>
      <c r="K73" s="40" t="str">
        <f t="shared" si="30"/>
        <v/>
      </c>
      <c r="L73" s="42" t="str">
        <f t="shared" si="31"/>
        <v>&lt;unit073&gt; "&gt;&gt;" {c 900, d 000, n 074}</v>
      </c>
    </row>
    <row r="74" spans="2:12" x14ac:dyDescent="0.25">
      <c r="B74" s="44">
        <f t="shared" si="25"/>
        <v>74</v>
      </c>
      <c r="C74" s="44" t="s">
        <v>79</v>
      </c>
      <c r="D74" s="39" t="str">
        <f t="shared" si="26"/>
        <v/>
      </c>
      <c r="G74" s="45">
        <f t="shared" si="32"/>
        <v>75</v>
      </c>
      <c r="H74" s="40" t="str">
        <f t="shared" si="27"/>
        <v/>
      </c>
      <c r="I74" s="45" t="str">
        <f t="shared" si="28"/>
        <v>c 902</v>
      </c>
      <c r="J74" s="46" t="str">
        <f t="shared" si="29"/>
        <v/>
      </c>
      <c r="K74" s="40" t="str">
        <f t="shared" si="30"/>
        <v/>
      </c>
      <c r="L74" s="42" t="str">
        <f t="shared" si="31"/>
        <v>&lt;unit074&gt; "" {c 902, d 000, n 075}</v>
      </c>
    </row>
    <row r="75" spans="2:12" x14ac:dyDescent="0.25">
      <c r="B75" s="44">
        <f t="shared" si="25"/>
        <v>75</v>
      </c>
      <c r="C75" s="44" t="s">
        <v>329</v>
      </c>
      <c r="D75" s="39" t="str">
        <f t="shared" si="26"/>
        <v>&gt;&gt;</v>
      </c>
      <c r="G75" s="45">
        <f t="shared" si="32"/>
        <v>76</v>
      </c>
      <c r="H75" s="40" t="str">
        <f t="shared" si="27"/>
        <v/>
      </c>
      <c r="I75" s="45" t="str">
        <f t="shared" si="28"/>
        <v>c 900</v>
      </c>
      <c r="J75" s="46" t="str">
        <f t="shared" si="29"/>
        <v/>
      </c>
      <c r="K75" s="40" t="str">
        <f t="shared" si="30"/>
        <v/>
      </c>
      <c r="L75" s="42" t="str">
        <f t="shared" si="31"/>
        <v>&lt;unit075&gt; "&gt;&gt;" {c 900, d 000, n 076}</v>
      </c>
    </row>
    <row r="76" spans="2:12" x14ac:dyDescent="0.25">
      <c r="B76" s="44">
        <f t="shared" si="25"/>
        <v>76</v>
      </c>
      <c r="C76" s="44" t="s">
        <v>79</v>
      </c>
      <c r="D76" s="39" t="str">
        <f t="shared" si="26"/>
        <v/>
      </c>
      <c r="G76" s="45">
        <f t="shared" si="32"/>
        <v>77</v>
      </c>
      <c r="H76" s="40" t="str">
        <f t="shared" si="27"/>
        <v/>
      </c>
      <c r="I76" s="45" t="str">
        <f t="shared" si="28"/>
        <v>c 902</v>
      </c>
      <c r="J76" s="46" t="str">
        <f t="shared" si="29"/>
        <v/>
      </c>
      <c r="K76" s="40" t="str">
        <f t="shared" si="30"/>
        <v/>
      </c>
      <c r="L76" s="42" t="str">
        <f t="shared" si="31"/>
        <v>&lt;unit076&gt; "" {c 902, d 000, n 077}</v>
      </c>
    </row>
    <row r="77" spans="2:12" x14ac:dyDescent="0.25">
      <c r="B77" s="44">
        <f t="shared" si="25"/>
        <v>77</v>
      </c>
      <c r="C77" s="44" t="s">
        <v>329</v>
      </c>
      <c r="D77" s="39" t="str">
        <f t="shared" si="26"/>
        <v>&gt;&gt;</v>
      </c>
      <c r="G77" s="45">
        <f t="shared" si="32"/>
        <v>78</v>
      </c>
      <c r="H77" s="40" t="str">
        <f t="shared" si="27"/>
        <v/>
      </c>
      <c r="I77" s="45" t="str">
        <f t="shared" si="28"/>
        <v>c 900</v>
      </c>
      <c r="J77" s="46" t="str">
        <f t="shared" si="29"/>
        <v/>
      </c>
      <c r="K77" s="40" t="str">
        <f t="shared" si="30"/>
        <v/>
      </c>
      <c r="L77" s="42" t="str">
        <f t="shared" si="31"/>
        <v>&lt;unit077&gt; "&gt;&gt;" {c 900, d 000, n 078}</v>
      </c>
    </row>
    <row r="78" spans="2:12" x14ac:dyDescent="0.25">
      <c r="B78" s="44">
        <f t="shared" si="25"/>
        <v>78</v>
      </c>
      <c r="C78" s="44" t="s">
        <v>79</v>
      </c>
      <c r="D78" s="39" t="str">
        <f t="shared" si="26"/>
        <v/>
      </c>
      <c r="G78" s="45">
        <f t="shared" si="32"/>
        <v>79</v>
      </c>
      <c r="H78" s="40" t="str">
        <f t="shared" si="27"/>
        <v/>
      </c>
      <c r="I78" s="45" t="str">
        <f t="shared" si="28"/>
        <v>c 902</v>
      </c>
      <c r="J78" s="46" t="str">
        <f t="shared" si="29"/>
        <v/>
      </c>
      <c r="K78" s="40" t="str">
        <f t="shared" si="30"/>
        <v/>
      </c>
      <c r="L78" s="42" t="str">
        <f t="shared" si="31"/>
        <v>&lt;unit078&gt; "" {c 902, d 000, n 079}</v>
      </c>
    </row>
    <row r="79" spans="2:12" x14ac:dyDescent="0.25">
      <c r="B79" s="44">
        <f t="shared" si="25"/>
        <v>79</v>
      </c>
      <c r="C79" s="44" t="s">
        <v>329</v>
      </c>
      <c r="D79" s="39" t="str">
        <f t="shared" si="26"/>
        <v>&gt;&gt;</v>
      </c>
      <c r="G79" s="45">
        <f t="shared" si="32"/>
        <v>80</v>
      </c>
      <c r="H79" s="40" t="str">
        <f t="shared" si="27"/>
        <v/>
      </c>
      <c r="I79" s="45" t="str">
        <f t="shared" si="28"/>
        <v>c 900</v>
      </c>
      <c r="J79" s="46" t="str">
        <f t="shared" si="29"/>
        <v/>
      </c>
      <c r="K79" s="40" t="str">
        <f t="shared" si="30"/>
        <v/>
      </c>
      <c r="L79" s="42" t="str">
        <f t="shared" si="31"/>
        <v>&lt;unit079&gt; "&gt;&gt;" {c 900, d 000, n 080}</v>
      </c>
    </row>
    <row r="80" spans="2:12" x14ac:dyDescent="0.25">
      <c r="B80" s="44">
        <f t="shared" si="25"/>
        <v>80</v>
      </c>
      <c r="C80" s="44" t="s">
        <v>79</v>
      </c>
      <c r="D80" s="39" t="str">
        <f t="shared" si="26"/>
        <v/>
      </c>
      <c r="G80" s="45">
        <f t="shared" si="32"/>
        <v>81</v>
      </c>
      <c r="H80" s="40" t="str">
        <f t="shared" si="27"/>
        <v/>
      </c>
      <c r="I80" s="45" t="str">
        <f t="shared" si="28"/>
        <v>c 902</v>
      </c>
      <c r="J80" s="46" t="str">
        <f t="shared" si="29"/>
        <v/>
      </c>
      <c r="K80" s="40" t="str">
        <f t="shared" si="30"/>
        <v/>
      </c>
      <c r="L80" s="42" t="str">
        <f t="shared" si="31"/>
        <v>&lt;unit080&gt; "" {c 902, d 000, n 081}</v>
      </c>
    </row>
    <row r="81" spans="2:12" x14ac:dyDescent="0.25">
      <c r="B81" s="44">
        <f t="shared" si="25"/>
        <v>81</v>
      </c>
      <c r="C81" s="44" t="s">
        <v>329</v>
      </c>
      <c r="D81" s="39" t="str">
        <f t="shared" si="26"/>
        <v>&gt;&gt;</v>
      </c>
      <c r="G81" s="45">
        <f t="shared" si="32"/>
        <v>82</v>
      </c>
      <c r="H81" s="40" t="str">
        <f t="shared" si="27"/>
        <v/>
      </c>
      <c r="I81" s="45" t="str">
        <f t="shared" si="28"/>
        <v>c 900</v>
      </c>
      <c r="J81" s="46" t="str">
        <f t="shared" si="29"/>
        <v/>
      </c>
      <c r="K81" s="40" t="str">
        <f t="shared" si="30"/>
        <v/>
      </c>
      <c r="L81" s="42" t="str">
        <f t="shared" si="31"/>
        <v>&lt;unit081&gt; "&gt;&gt;" {c 900, d 000, n 082}</v>
      </c>
    </row>
    <row r="82" spans="2:12" x14ac:dyDescent="0.25">
      <c r="B82" s="44">
        <f t="shared" si="25"/>
        <v>82</v>
      </c>
      <c r="C82" s="44" t="s">
        <v>79</v>
      </c>
      <c r="D82" s="39" t="str">
        <f t="shared" si="26"/>
        <v/>
      </c>
      <c r="G82" s="45">
        <f t="shared" si="32"/>
        <v>83</v>
      </c>
      <c r="H82" s="40" t="str">
        <f t="shared" si="27"/>
        <v/>
      </c>
      <c r="I82" s="45" t="str">
        <f t="shared" si="28"/>
        <v>c 902</v>
      </c>
      <c r="J82" s="46" t="str">
        <f t="shared" si="29"/>
        <v/>
      </c>
      <c r="K82" s="40" t="str">
        <f t="shared" si="30"/>
        <v/>
      </c>
      <c r="L82" s="42" t="str">
        <f t="shared" si="31"/>
        <v>&lt;unit082&gt; "" {c 902, d 000, n 083}</v>
      </c>
    </row>
    <row r="83" spans="2:12" x14ac:dyDescent="0.25">
      <c r="B83" s="44">
        <f t="shared" si="25"/>
        <v>83</v>
      </c>
      <c r="C83" s="44" t="s">
        <v>329</v>
      </c>
      <c r="D83" s="39" t="str">
        <f t="shared" si="26"/>
        <v>&gt;&gt;</v>
      </c>
      <c r="G83" s="45">
        <f t="shared" si="32"/>
        <v>84</v>
      </c>
      <c r="H83" s="40" t="str">
        <f t="shared" si="27"/>
        <v/>
      </c>
      <c r="I83" s="45" t="str">
        <f t="shared" si="28"/>
        <v>c 900</v>
      </c>
      <c r="J83" s="46" t="str">
        <f t="shared" si="29"/>
        <v/>
      </c>
      <c r="K83" s="40" t="str">
        <f t="shared" si="30"/>
        <v/>
      </c>
      <c r="L83" s="42" t="str">
        <f t="shared" si="31"/>
        <v>&lt;unit083&gt; "&gt;&gt;" {c 900, d 000, n 084}</v>
      </c>
    </row>
    <row r="84" spans="2:12" x14ac:dyDescent="0.25">
      <c r="B84" s="44">
        <f t="shared" si="25"/>
        <v>84</v>
      </c>
      <c r="C84" s="44" t="s">
        <v>79</v>
      </c>
      <c r="D84" s="39" t="str">
        <f t="shared" si="26"/>
        <v/>
      </c>
      <c r="G84" s="45">
        <f t="shared" si="32"/>
        <v>85</v>
      </c>
      <c r="H84" s="40" t="str">
        <f t="shared" si="27"/>
        <v/>
      </c>
      <c r="I84" s="45" t="str">
        <f t="shared" si="28"/>
        <v>c 902</v>
      </c>
      <c r="J84" s="46" t="str">
        <f t="shared" si="29"/>
        <v/>
      </c>
      <c r="L84" s="42" t="str">
        <f t="shared" si="31"/>
        <v>&lt;unit084&gt; "" {c 902, d 000, n 085}</v>
      </c>
    </row>
    <row r="85" spans="2:12" x14ac:dyDescent="0.25">
      <c r="B85" s="44">
        <f t="shared" si="25"/>
        <v>85</v>
      </c>
      <c r="C85" s="44" t="s">
        <v>329</v>
      </c>
      <c r="D85" s="39" t="str">
        <f t="shared" si="26"/>
        <v>&gt;&gt;</v>
      </c>
      <c r="G85" s="45">
        <f t="shared" si="32"/>
        <v>86</v>
      </c>
      <c r="H85" s="40" t="str">
        <f t="shared" si="27"/>
        <v/>
      </c>
      <c r="I85" s="45" t="str">
        <f t="shared" si="28"/>
        <v>c 900</v>
      </c>
      <c r="J85" s="46" t="str">
        <f t="shared" si="29"/>
        <v/>
      </c>
      <c r="L85" s="42" t="str">
        <f t="shared" si="31"/>
        <v>&lt;unit085&gt; "&gt;&gt;" {c 900, d 000, n 086}</v>
      </c>
    </row>
    <row r="86" spans="2:12" x14ac:dyDescent="0.25">
      <c r="B86" s="44">
        <f t="shared" si="25"/>
        <v>86</v>
      </c>
      <c r="C86" s="44" t="s">
        <v>79</v>
      </c>
      <c r="D86" s="39" t="str">
        <f t="shared" si="26"/>
        <v/>
      </c>
      <c r="G86" s="45">
        <f t="shared" si="32"/>
        <v>87</v>
      </c>
      <c r="H86" s="40" t="str">
        <f t="shared" si="27"/>
        <v/>
      </c>
      <c r="I86" s="45" t="str">
        <f t="shared" si="28"/>
        <v>c 902</v>
      </c>
      <c r="J86" s="46" t="str">
        <f t="shared" si="29"/>
        <v/>
      </c>
      <c r="L86" s="42" t="str">
        <f t="shared" si="31"/>
        <v>&lt;unit086&gt; "" {c 902, d 000, n 087}</v>
      </c>
    </row>
    <row r="87" spans="2:12" x14ac:dyDescent="0.25">
      <c r="B87" s="44">
        <f t="shared" si="25"/>
        <v>87</v>
      </c>
      <c r="C87" s="44" t="s">
        <v>329</v>
      </c>
      <c r="D87" s="39" t="str">
        <f t="shared" si="26"/>
        <v>&gt;&gt;</v>
      </c>
      <c r="G87" s="45">
        <f t="shared" si="32"/>
        <v>88</v>
      </c>
      <c r="H87" s="40" t="str">
        <f t="shared" si="27"/>
        <v/>
      </c>
      <c r="I87" s="45" t="str">
        <f t="shared" si="28"/>
        <v>c 900</v>
      </c>
      <c r="J87" s="46" t="str">
        <f t="shared" si="29"/>
        <v/>
      </c>
      <c r="L87" s="42" t="str">
        <f t="shared" si="31"/>
        <v>&lt;unit087&gt; "&gt;&gt;" {c 900, d 000, n 088}</v>
      </c>
    </row>
    <row r="88" spans="2:12" x14ac:dyDescent="0.25">
      <c r="B88" s="44">
        <f t="shared" si="25"/>
        <v>88</v>
      </c>
      <c r="C88" s="44" t="s">
        <v>79</v>
      </c>
      <c r="D88" s="39" t="str">
        <f t="shared" si="26"/>
        <v/>
      </c>
      <c r="G88" s="45">
        <f t="shared" si="32"/>
        <v>89</v>
      </c>
      <c r="H88" s="40" t="str">
        <f t="shared" si="27"/>
        <v/>
      </c>
      <c r="I88" s="45" t="str">
        <f t="shared" si="28"/>
        <v>c 902</v>
      </c>
      <c r="J88" s="46" t="str">
        <f t="shared" si="29"/>
        <v/>
      </c>
      <c r="K88" s="40" t="str">
        <f t="shared" si="30"/>
        <v/>
      </c>
      <c r="L88" s="42" t="str">
        <f t="shared" si="31"/>
        <v>&lt;unit088&gt; "" {c 902, d 000, n 089}</v>
      </c>
    </row>
    <row r="89" spans="2:12" x14ac:dyDescent="0.25">
      <c r="B89" s="44">
        <f t="shared" si="25"/>
        <v>89</v>
      </c>
      <c r="C89" s="44" t="s">
        <v>329</v>
      </c>
      <c r="D89" s="39" t="str">
        <f t="shared" si="26"/>
        <v>&gt;&gt;</v>
      </c>
      <c r="G89" s="45">
        <f t="shared" si="32"/>
        <v>90</v>
      </c>
      <c r="H89" s="40" t="str">
        <f t="shared" si="27"/>
        <v/>
      </c>
      <c r="I89" s="45" t="str">
        <f t="shared" si="28"/>
        <v>c 900</v>
      </c>
      <c r="J89" s="46" t="str">
        <f t="shared" si="29"/>
        <v/>
      </c>
      <c r="K89" s="40" t="str">
        <f t="shared" si="30"/>
        <v/>
      </c>
      <c r="L89" s="42" t="str">
        <f t="shared" si="31"/>
        <v>&lt;unit089&gt; "&gt;&gt;" {c 900, d 000, n 090}</v>
      </c>
    </row>
    <row r="90" spans="2:12" x14ac:dyDescent="0.25">
      <c r="B90" s="44">
        <f t="shared" si="25"/>
        <v>90</v>
      </c>
      <c r="C90" s="44" t="s">
        <v>79</v>
      </c>
      <c r="D90" s="39" t="str">
        <f t="shared" si="26"/>
        <v/>
      </c>
      <c r="G90" s="45">
        <f t="shared" si="32"/>
        <v>91</v>
      </c>
      <c r="H90" s="40" t="str">
        <f t="shared" si="27"/>
        <v/>
      </c>
      <c r="I90" s="45" t="str">
        <f t="shared" si="28"/>
        <v>c 902</v>
      </c>
      <c r="J90" s="46" t="str">
        <f t="shared" si="29"/>
        <v/>
      </c>
      <c r="K90" s="40" t="str">
        <f t="shared" si="30"/>
        <v/>
      </c>
      <c r="L90" s="42" t="str">
        <f t="shared" si="31"/>
        <v>&lt;unit090&gt; "" {c 902, d 000, n 091}</v>
      </c>
    </row>
    <row r="91" spans="2:12" x14ac:dyDescent="0.25">
      <c r="B91" s="44">
        <f t="shared" si="25"/>
        <v>91</v>
      </c>
      <c r="C91" s="44" t="s">
        <v>329</v>
      </c>
      <c r="D91" s="39" t="str">
        <f t="shared" si="26"/>
        <v>&gt;&gt;</v>
      </c>
      <c r="G91" s="45">
        <f t="shared" si="32"/>
        <v>92</v>
      </c>
      <c r="H91" s="40" t="str">
        <f t="shared" si="27"/>
        <v/>
      </c>
      <c r="I91" s="45" t="str">
        <f t="shared" si="28"/>
        <v>c 900</v>
      </c>
      <c r="J91" s="46" t="str">
        <f t="shared" si="29"/>
        <v/>
      </c>
      <c r="K91" s="40" t="str">
        <f t="shared" si="30"/>
        <v/>
      </c>
      <c r="L91" s="42" t="str">
        <f t="shared" si="31"/>
        <v>&lt;unit091&gt; "&gt;&gt;" {c 900, d 000, n 092}</v>
      </c>
    </row>
    <row r="92" spans="2:12" x14ac:dyDescent="0.25">
      <c r="B92" s="44">
        <f t="shared" si="25"/>
        <v>92</v>
      </c>
      <c r="C92" s="44" t="s">
        <v>79</v>
      </c>
      <c r="D92" s="39" t="str">
        <f t="shared" si="26"/>
        <v/>
      </c>
      <c r="G92" s="45">
        <f>B103</f>
        <v>103</v>
      </c>
      <c r="H92" s="40" t="str">
        <f t="shared" si="27"/>
        <v/>
      </c>
      <c r="I92" s="45" t="str">
        <f t="shared" si="28"/>
        <v>c 902</v>
      </c>
      <c r="J92" s="46" t="str">
        <f t="shared" si="29"/>
        <v/>
      </c>
      <c r="K92" s="40" t="str">
        <f t="shared" si="30"/>
        <v/>
      </c>
      <c r="L92" s="42" t="str">
        <f t="shared" si="31"/>
        <v>&lt;unit092&gt; "" {c 902, d 000, n 103}</v>
      </c>
    </row>
    <row r="93" spans="2:12" x14ac:dyDescent="0.25">
      <c r="B93" s="44">
        <f t="shared" si="25"/>
        <v>93</v>
      </c>
      <c r="C93" s="44" t="s">
        <v>329</v>
      </c>
      <c r="D93" s="39" t="str">
        <f t="shared" ref="D93:D100" si="33">IF(I93="c 900","&gt;&gt;","")</f>
        <v>&gt;&gt;</v>
      </c>
      <c r="G93" s="45">
        <f t="shared" ref="G93" si="34">B94</f>
        <v>94</v>
      </c>
      <c r="H93" s="40" t="str">
        <f t="shared" ref="H93:H100" si="35">IFERROR("p "&amp;VLOOKUP(E93,Tablo_Tab,2,FALSE),"")</f>
        <v/>
      </c>
      <c r="I93" s="45" t="str">
        <f t="shared" ref="I93:I100" si="36">IFERROR("c "&amp;VLOOKUP(C93,Punkti,2,FALSE),"")</f>
        <v>c 900</v>
      </c>
      <c r="J93" s="46" t="str">
        <f t="shared" ref="J93:J100" si="37">IFERROR(VLOOKUP(E93,Ostanovki,7,FALSE),"")</f>
        <v/>
      </c>
      <c r="K93" s="40" t="str">
        <f t="shared" ref="K93:K100" si="38">IFERROR("c "&amp;VLOOKUP(F93,Punkti,2,FALSE),"")</f>
        <v/>
      </c>
      <c r="L93" s="42" t="str">
        <f t="shared" ref="L93:L100" si="39">"&lt;unit"&amp;TEXT(B93,"000")&amp;"&gt; """&amp;СцепитьМного(D93:E93,"")&amp;""" {"&amp;СцепитьМного(H93:K93,", ")&amp;", d 000, n "&amp;TEXT(G93,"000")&amp;"}"</f>
        <v>&lt;unit093&gt; "&gt;&gt;" {c 900, d 000, n 094}</v>
      </c>
    </row>
    <row r="94" spans="2:12" x14ac:dyDescent="0.25">
      <c r="B94" s="44">
        <f t="shared" si="25"/>
        <v>94</v>
      </c>
      <c r="C94" s="44" t="s">
        <v>79</v>
      </c>
      <c r="D94" s="39" t="str">
        <f t="shared" si="33"/>
        <v/>
      </c>
      <c r="G94" s="45">
        <f>B101</f>
        <v>101</v>
      </c>
      <c r="H94" s="40" t="str">
        <f t="shared" si="35"/>
        <v/>
      </c>
      <c r="I94" s="45" t="str">
        <f t="shared" si="36"/>
        <v>c 902</v>
      </c>
      <c r="J94" s="46" t="str">
        <f t="shared" si="37"/>
        <v/>
      </c>
      <c r="K94" s="40" t="str">
        <f t="shared" si="38"/>
        <v/>
      </c>
      <c r="L94" s="42" t="str">
        <f t="shared" si="39"/>
        <v>&lt;unit094&gt; "" {c 902, d 000, n 101}</v>
      </c>
    </row>
    <row r="95" spans="2:12" x14ac:dyDescent="0.25">
      <c r="B95" s="44">
        <f t="shared" si="25"/>
        <v>95</v>
      </c>
      <c r="C95" s="44" t="s">
        <v>329</v>
      </c>
      <c r="D95" s="39" t="str">
        <f t="shared" si="33"/>
        <v>&gt;&gt;</v>
      </c>
      <c r="G95" s="45">
        <f t="shared" ref="G95" si="40">B96</f>
        <v>96</v>
      </c>
      <c r="H95" s="40" t="str">
        <f t="shared" si="35"/>
        <v/>
      </c>
      <c r="I95" s="45" t="str">
        <f t="shared" si="36"/>
        <v>c 900</v>
      </c>
      <c r="J95" s="46" t="str">
        <f t="shared" si="37"/>
        <v/>
      </c>
      <c r="K95" s="40" t="str">
        <f t="shared" si="38"/>
        <v/>
      </c>
      <c r="L95" s="42" t="str">
        <f t="shared" si="39"/>
        <v>&lt;unit095&gt; "&gt;&gt;" {c 900, d 000, n 096}</v>
      </c>
    </row>
    <row r="96" spans="2:12" x14ac:dyDescent="0.25">
      <c r="B96" s="44">
        <f t="shared" si="25"/>
        <v>96</v>
      </c>
      <c r="C96" s="44" t="s">
        <v>79</v>
      </c>
      <c r="D96" s="39" t="str">
        <f t="shared" si="33"/>
        <v/>
      </c>
      <c r="G96" s="45">
        <f>B101</f>
        <v>101</v>
      </c>
      <c r="H96" s="40" t="str">
        <f t="shared" si="35"/>
        <v/>
      </c>
      <c r="I96" s="45" t="str">
        <f t="shared" si="36"/>
        <v>c 902</v>
      </c>
      <c r="J96" s="46" t="str">
        <f t="shared" si="37"/>
        <v/>
      </c>
      <c r="K96" s="40" t="str">
        <f t="shared" si="38"/>
        <v/>
      </c>
      <c r="L96" s="42" t="str">
        <f t="shared" si="39"/>
        <v>&lt;unit096&gt; "" {c 902, d 000, n 101}</v>
      </c>
    </row>
    <row r="97" spans="2:12" x14ac:dyDescent="0.25">
      <c r="B97" s="44">
        <f t="shared" si="25"/>
        <v>97</v>
      </c>
      <c r="C97" s="44" t="s">
        <v>329</v>
      </c>
      <c r="D97" s="39" t="str">
        <f t="shared" si="33"/>
        <v>&gt;&gt;</v>
      </c>
      <c r="G97" s="45">
        <f t="shared" ref="G97" si="41">B98</f>
        <v>98</v>
      </c>
      <c r="H97" s="40" t="str">
        <f t="shared" si="35"/>
        <v/>
      </c>
      <c r="I97" s="45" t="str">
        <f t="shared" si="36"/>
        <v>c 900</v>
      </c>
      <c r="J97" s="46" t="str">
        <f t="shared" si="37"/>
        <v/>
      </c>
      <c r="K97" s="40" t="str">
        <f t="shared" si="38"/>
        <v/>
      </c>
      <c r="L97" s="42" t="str">
        <f t="shared" si="39"/>
        <v>&lt;unit097&gt; "&gt;&gt;" {c 900, d 000, n 098}</v>
      </c>
    </row>
    <row r="98" spans="2:12" x14ac:dyDescent="0.25">
      <c r="B98" s="44">
        <f t="shared" si="25"/>
        <v>98</v>
      </c>
      <c r="C98" s="44" t="s">
        <v>79</v>
      </c>
      <c r="D98" s="39" t="str">
        <f t="shared" si="33"/>
        <v/>
      </c>
      <c r="G98" s="45">
        <f>B101</f>
        <v>101</v>
      </c>
      <c r="H98" s="40" t="str">
        <f t="shared" si="35"/>
        <v/>
      </c>
      <c r="I98" s="45" t="str">
        <f t="shared" si="36"/>
        <v>c 902</v>
      </c>
      <c r="J98" s="46" t="str">
        <f t="shared" si="37"/>
        <v/>
      </c>
      <c r="K98" s="40" t="str">
        <f t="shared" si="38"/>
        <v/>
      </c>
      <c r="L98" s="42" t="str">
        <f t="shared" si="39"/>
        <v>&lt;unit098&gt; "" {c 902, d 000, n 101}</v>
      </c>
    </row>
    <row r="99" spans="2:12" x14ac:dyDescent="0.25">
      <c r="B99" s="44">
        <f t="shared" si="25"/>
        <v>99</v>
      </c>
      <c r="C99" s="44" t="s">
        <v>329</v>
      </c>
      <c r="D99" s="39" t="str">
        <f t="shared" si="33"/>
        <v>&gt;&gt;</v>
      </c>
      <c r="G99" s="45">
        <f t="shared" ref="G99:G100" si="42">B100</f>
        <v>100</v>
      </c>
      <c r="H99" s="40" t="str">
        <f t="shared" si="35"/>
        <v/>
      </c>
      <c r="I99" s="45" t="str">
        <f t="shared" si="36"/>
        <v>c 900</v>
      </c>
      <c r="J99" s="46" t="str">
        <f t="shared" si="37"/>
        <v/>
      </c>
      <c r="K99" s="40" t="str">
        <f t="shared" si="38"/>
        <v/>
      </c>
      <c r="L99" s="42" t="str">
        <f t="shared" si="39"/>
        <v>&lt;unit099&gt; "&gt;&gt;" {c 900, d 000, n 100}</v>
      </c>
    </row>
    <row r="100" spans="2:12" x14ac:dyDescent="0.25">
      <c r="B100" s="44">
        <f t="shared" si="25"/>
        <v>100</v>
      </c>
      <c r="C100" s="44" t="s">
        <v>79</v>
      </c>
      <c r="D100" s="39" t="str">
        <f t="shared" si="33"/>
        <v/>
      </c>
      <c r="G100" s="45">
        <f t="shared" si="42"/>
        <v>101</v>
      </c>
      <c r="H100" s="40" t="str">
        <f t="shared" si="35"/>
        <v/>
      </c>
      <c r="I100" s="45" t="str">
        <f t="shared" si="36"/>
        <v>c 902</v>
      </c>
      <c r="J100" s="46" t="str">
        <f t="shared" si="37"/>
        <v/>
      </c>
      <c r="K100" s="40" t="str">
        <f t="shared" si="38"/>
        <v/>
      </c>
      <c r="L100" s="42" t="str">
        <f t="shared" si="39"/>
        <v>&lt;unit100&gt; "" {c 902, d 000, n 101}</v>
      </c>
    </row>
    <row r="101" spans="2:12" x14ac:dyDescent="0.25">
      <c r="B101" s="44">
        <f t="shared" si="25"/>
        <v>101</v>
      </c>
      <c r="C101" s="44" t="s">
        <v>329</v>
      </c>
      <c r="D101" s="39" t="str">
        <f t="shared" ref="D101:D102" si="43">IF(I101="c 900","&gt;&gt;","")</f>
        <v>&gt;&gt;</v>
      </c>
      <c r="G101" s="45">
        <f t="shared" ref="G101:G102" si="44">B102</f>
        <v>102</v>
      </c>
      <c r="H101" s="40" t="str">
        <f t="shared" ref="H101:H102" si="45">IFERROR("p "&amp;VLOOKUP(E101,Tablo_Tab,2,FALSE),"")</f>
        <v/>
      </c>
      <c r="I101" s="45" t="str">
        <f t="shared" ref="I101:I102" si="46">IFERROR("c "&amp;VLOOKUP(C101,Punkti,2,FALSE),"")</f>
        <v>c 900</v>
      </c>
      <c r="J101" s="46" t="str">
        <f t="shared" ref="J101:J102" si="47">IFERROR(VLOOKUP(E101,Ostanovki,7,FALSE),"")</f>
        <v/>
      </c>
      <c r="K101" s="40" t="str">
        <f t="shared" ref="K101:K102" si="48">IFERROR("c "&amp;VLOOKUP(F101,Punkti,2,FALSE),"")</f>
        <v/>
      </c>
      <c r="L101" s="42" t="str">
        <f t="shared" ref="L101:L102" si="49">"&lt;unit"&amp;TEXT(B101,"000")&amp;"&gt; """&amp;СцепитьМного(D101:E101,"")&amp;""" {"&amp;СцепитьМного(H101:K101,", ")&amp;", d 000, n "&amp;TEXT(G101,"000")&amp;"}"</f>
        <v>&lt;unit101&gt; "&gt;&gt;" {c 900, d 000, n 102}</v>
      </c>
    </row>
    <row r="102" spans="2:12" x14ac:dyDescent="0.25">
      <c r="B102" s="44">
        <f t="shared" si="25"/>
        <v>102</v>
      </c>
      <c r="C102" s="44" t="s">
        <v>79</v>
      </c>
      <c r="D102" s="39" t="str">
        <f t="shared" si="43"/>
        <v/>
      </c>
      <c r="G102" s="45">
        <f t="shared" si="44"/>
        <v>103</v>
      </c>
      <c r="H102" s="40" t="str">
        <f t="shared" si="45"/>
        <v/>
      </c>
      <c r="I102" s="45" t="str">
        <f t="shared" si="46"/>
        <v>c 902</v>
      </c>
      <c r="J102" s="46" t="str">
        <f t="shared" si="47"/>
        <v/>
      </c>
      <c r="K102" s="40" t="str">
        <f t="shared" si="48"/>
        <v/>
      </c>
      <c r="L102" s="42" t="str">
        <f t="shared" si="49"/>
        <v>&lt;unit102&gt; "" {c 902, d 000, n 103}</v>
      </c>
    </row>
    <row r="103" spans="2:12" x14ac:dyDescent="0.25">
      <c r="B103" s="44">
        <f t="shared" si="25"/>
        <v>103</v>
      </c>
      <c r="C103" s="44" t="s">
        <v>329</v>
      </c>
      <c r="D103" s="39" t="str">
        <f t="shared" si="26"/>
        <v>&gt;&gt;</v>
      </c>
      <c r="G103" s="45">
        <f t="shared" si="32"/>
        <v>104</v>
      </c>
      <c r="H103" s="40" t="str">
        <f t="shared" si="27"/>
        <v/>
      </c>
      <c r="I103" s="45" t="str">
        <f t="shared" si="28"/>
        <v>c 900</v>
      </c>
      <c r="J103" s="46" t="str">
        <f t="shared" si="29"/>
        <v/>
      </c>
      <c r="K103" s="40" t="str">
        <f t="shared" si="30"/>
        <v/>
      </c>
      <c r="L103" s="42" t="str">
        <f t="shared" si="31"/>
        <v>&lt;unit103&gt; "&gt;&gt;" {c 900, d 000, n 104}</v>
      </c>
    </row>
    <row r="104" spans="2:12" x14ac:dyDescent="0.25">
      <c r="B104" s="44">
        <f t="shared" si="25"/>
        <v>104</v>
      </c>
      <c r="C104" s="44" t="s">
        <v>79</v>
      </c>
      <c r="D104" s="39" t="str">
        <f t="shared" si="26"/>
        <v/>
      </c>
      <c r="G104" s="45">
        <f t="shared" si="32"/>
        <v>105</v>
      </c>
      <c r="H104" s="40" t="str">
        <f t="shared" si="27"/>
        <v/>
      </c>
      <c r="I104" s="45" t="str">
        <f t="shared" si="28"/>
        <v>c 902</v>
      </c>
      <c r="J104" s="46" t="str">
        <f t="shared" si="29"/>
        <v/>
      </c>
      <c r="K104" s="40" t="str">
        <f t="shared" si="30"/>
        <v/>
      </c>
      <c r="L104" s="42" t="str">
        <f t="shared" si="31"/>
        <v>&lt;unit104&gt; "" {c 902, d 000, n 105}</v>
      </c>
    </row>
    <row r="105" spans="2:12" x14ac:dyDescent="0.25">
      <c r="B105" s="44">
        <f t="shared" si="25"/>
        <v>105</v>
      </c>
      <c r="C105" s="44" t="s">
        <v>329</v>
      </c>
      <c r="D105" s="39" t="str">
        <f t="shared" si="26"/>
        <v>&gt;&gt;</v>
      </c>
      <c r="G105" s="45">
        <f t="shared" si="32"/>
        <v>106</v>
      </c>
      <c r="H105" s="40" t="str">
        <f t="shared" si="27"/>
        <v/>
      </c>
      <c r="I105" s="45" t="str">
        <f t="shared" si="28"/>
        <v>c 900</v>
      </c>
      <c r="J105" s="46" t="str">
        <f t="shared" si="29"/>
        <v/>
      </c>
      <c r="K105" s="40" t="str">
        <f t="shared" si="30"/>
        <v/>
      </c>
      <c r="L105" s="42" t="str">
        <f t="shared" si="31"/>
        <v>&lt;unit105&gt; "&gt;&gt;" {c 900, d 000, n 106}</v>
      </c>
    </row>
    <row r="106" spans="2:12" x14ac:dyDescent="0.25">
      <c r="B106" s="44">
        <f t="shared" si="25"/>
        <v>106</v>
      </c>
      <c r="C106" s="44" t="s">
        <v>79</v>
      </c>
      <c r="D106" s="39" t="str">
        <f t="shared" si="26"/>
        <v/>
      </c>
      <c r="E106" s="44" t="s">
        <v>279</v>
      </c>
      <c r="F106" s="44" t="s">
        <v>331</v>
      </c>
      <c r="G106" s="45">
        <f>B108</f>
        <v>108</v>
      </c>
      <c r="H106" s="40" t="str">
        <f t="shared" si="27"/>
        <v>p 078</v>
      </c>
      <c r="I106" s="45" t="str">
        <f t="shared" si="28"/>
        <v>c 902</v>
      </c>
      <c r="J106" s="46" t="str">
        <f t="shared" si="29"/>
        <v>c 928, v "\mp3_ost\truda.mp3"</v>
      </c>
      <c r="K106" s="40" t="str">
        <f t="shared" si="30"/>
        <v>c 903</v>
      </c>
      <c r="L106" s="42" t="str">
        <f t="shared" si="31"/>
        <v>&lt;unit106&gt; "ул.Труда" {p 078, c 902, c 928, v "\mp3_ost\truda.mp3", c 903, d 000, n 108}</v>
      </c>
    </row>
    <row r="107" spans="2:12" s="39" customFormat="1" x14ac:dyDescent="0.25">
      <c r="G107" s="40"/>
      <c r="H107" s="40"/>
      <c r="I107" s="40"/>
      <c r="J107" s="40"/>
      <c r="K107" s="40"/>
      <c r="L107" s="42"/>
    </row>
    <row r="108" spans="2:12" s="39" customFormat="1" x14ac:dyDescent="0.25">
      <c r="B108" s="39">
        <f t="shared" si="25"/>
        <v>108</v>
      </c>
      <c r="E108" s="43" t="s">
        <v>328</v>
      </c>
      <c r="F108" s="43"/>
      <c r="G108" s="40">
        <f>B3</f>
        <v>3</v>
      </c>
      <c r="H108" s="40"/>
      <c r="I108" s="40"/>
      <c r="J108" s="40"/>
      <c r="K108" s="40"/>
      <c r="L108" s="42" t="str">
        <f>"&lt;unit"&amp;TEXT(B108,"000")&amp;"&gt; """&amp;E108&amp;""" {d 000, n "&amp;TEXT(G108,"000")&amp;"}"</f>
        <v>&lt;unit108&gt; "----- Конец -----" {d 000, n 003}</v>
      </c>
    </row>
    <row r="109" spans="2:12" s="39" customFormat="1" x14ac:dyDescent="0.25">
      <c r="G109" s="40"/>
      <c r="H109" s="40"/>
      <c r="I109" s="40"/>
      <c r="J109" s="40"/>
      <c r="K109" s="40"/>
      <c r="L109" s="42"/>
    </row>
    <row r="110" spans="2:12" s="39" customFormat="1" x14ac:dyDescent="0.25">
      <c r="G110" s="40"/>
      <c r="H110" s="40"/>
      <c r="I110" s="40"/>
      <c r="J110" s="40"/>
      <c r="K110" s="40"/>
      <c r="L110" s="42" t="str">
        <f>Константы!D2</f>
        <v>&lt;unit921&gt; "Автовокзал" {v "\mp3_knst\av.mp3"}</v>
      </c>
    </row>
    <row r="111" spans="2:12" s="39" customFormat="1" x14ac:dyDescent="0.25">
      <c r="G111" s="40"/>
      <c r="H111" s="40"/>
      <c r="I111" s="40"/>
      <c r="J111" s="40"/>
      <c r="K111" s="40"/>
      <c r="L111" s="42" t="str">
        <f>Константы!D3</f>
        <v>&lt;unit923&gt; "Гостиница" {v "\mp3_knst\gos.mp3"}</v>
      </c>
    </row>
    <row r="112" spans="2:12" s="39" customFormat="1" x14ac:dyDescent="0.25">
      <c r="G112" s="40"/>
      <c r="H112" s="40"/>
      <c r="I112" s="40"/>
      <c r="J112" s="40"/>
      <c r="K112" s="40"/>
      <c r="L112" s="42" t="str">
        <f>Константы!D4</f>
        <v>&lt;unit922&gt; "Дисп. станция" {v "\mp3_knst\ds.mp3"}</v>
      </c>
    </row>
    <row r="113" spans="7:12" s="39" customFormat="1" x14ac:dyDescent="0.25">
      <c r="G113" s="40"/>
      <c r="H113" s="40"/>
      <c r="I113" s="40"/>
      <c r="J113" s="40"/>
      <c r="K113" s="40"/>
      <c r="L113" s="42" t="str">
        <f>Константы!D5</f>
        <v>&lt;unit903&gt; "Канцавая" {v "\mp3_knst\kanc.mp3"}</v>
      </c>
    </row>
    <row r="114" spans="7:12" s="39" customFormat="1" x14ac:dyDescent="0.25">
      <c r="G114" s="40"/>
      <c r="H114" s="40"/>
      <c r="I114" s="40"/>
      <c r="J114" s="40"/>
      <c r="K114" s="40"/>
      <c r="L114" s="42" t="str">
        <f>Константы!D6</f>
        <v>&lt;unit924&gt; "Конечная" {v "\mp3_knst\ko.mp3"}</v>
      </c>
    </row>
    <row r="115" spans="7:12" s="39" customFormat="1" x14ac:dyDescent="0.25">
      <c r="G115" s="40"/>
      <c r="H115" s="40"/>
      <c r="I115" s="40"/>
      <c r="J115" s="40"/>
      <c r="K115" s="40"/>
      <c r="L115" s="42" t="str">
        <f>Константы!D7</f>
        <v>&lt;unit902&gt; "Остановка" {v "\mp3_knst\ost.mp3"}</v>
      </c>
    </row>
    <row r="116" spans="7:12" s="39" customFormat="1" x14ac:dyDescent="0.25">
      <c r="G116" s="40"/>
      <c r="H116" s="40"/>
      <c r="I116" s="40"/>
      <c r="J116" s="40"/>
      <c r="K116" s="40"/>
      <c r="L116" s="42" t="str">
        <f>Константы!D8</f>
        <v>&lt;unit900&gt; "Дв. закр. След. ост." {v "\mp3_knst\ostor.mp3"}</v>
      </c>
    </row>
    <row r="117" spans="7:12" s="39" customFormat="1" x14ac:dyDescent="0.25">
      <c r="G117" s="40"/>
      <c r="H117" s="40"/>
      <c r="I117" s="40"/>
      <c r="J117" s="40"/>
      <c r="K117" s="40"/>
      <c r="L117" s="42" t="str">
        <f>Константы!D9</f>
        <v>&lt;unit925&gt; "Площадь" {v "\mp3_knst\pl.mp3"}</v>
      </c>
    </row>
    <row r="118" spans="7:12" s="39" customFormat="1" x14ac:dyDescent="0.25">
      <c r="G118" s="40"/>
      <c r="H118" s="40"/>
      <c r="I118" s="40"/>
      <c r="J118" s="40"/>
      <c r="K118" s="40"/>
      <c r="L118" s="42" t="str">
        <f>Константы!D10</f>
        <v>&lt;unit926&gt; "Проспект" {v "\mp3_knst\pr.mp3"}</v>
      </c>
    </row>
    <row r="119" spans="7:12" s="39" customFormat="1" x14ac:dyDescent="0.25">
      <c r="G119" s="40"/>
      <c r="H119" s="40"/>
      <c r="I119" s="40"/>
      <c r="J119" s="40"/>
      <c r="K119" s="40"/>
      <c r="L119" s="42" t="str">
        <f>Константы!D11</f>
        <v>&lt;unit927&gt; "Станция метро" {v "\mp3_knst\sm.mp3"}</v>
      </c>
    </row>
    <row r="120" spans="7:12" s="39" customFormat="1" x14ac:dyDescent="0.25">
      <c r="G120" s="40"/>
      <c r="H120" s="40"/>
      <c r="I120" s="40"/>
      <c r="J120" s="40"/>
      <c r="K120" s="40"/>
      <c r="L120" s="42" t="str">
        <f>Константы!D12</f>
        <v>&lt;unit928&gt; "Улица" {v "\mp3_knst\ul.mp3"}</v>
      </c>
    </row>
  </sheetData>
  <dataValidations count="2">
    <dataValidation type="list" allowBlank="1" showInputMessage="1" showErrorMessage="1" sqref="F8:F54 C8:C54 C58:C106 F58:F106">
      <formula1>Pref_Punktov</formula1>
    </dataValidation>
    <dataValidation type="list" allowBlank="1" showInputMessage="1" showErrorMessage="1" sqref="E8:E54 E58:E106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E42"/>
  <sheetViews>
    <sheetView workbookViewId="0">
      <selection activeCell="D5" sqref="D5"/>
    </sheetView>
  </sheetViews>
  <sheetFormatPr defaultRowHeight="14.3" x14ac:dyDescent="0.25"/>
  <cols>
    <col min="1" max="1" width="9" style="15"/>
    <col min="2" max="2" width="19.25" style="15" bestFit="1" customWidth="1"/>
    <col min="3" max="3" width="9" style="18"/>
    <col min="4" max="4" width="16.25" style="19" bestFit="1" customWidth="1"/>
    <col min="5" max="5" width="17.25" style="19" bestFit="1" customWidth="1"/>
  </cols>
  <sheetData>
    <row r="1" spans="1:5" s="20" customFormat="1" x14ac:dyDescent="0.25">
      <c r="A1" s="22"/>
      <c r="B1" s="22"/>
      <c r="C1" s="7" t="s">
        <v>326</v>
      </c>
      <c r="D1" s="21" t="s">
        <v>280</v>
      </c>
      <c r="E1" s="21" t="s">
        <v>281</v>
      </c>
    </row>
    <row r="2" spans="1:5" x14ac:dyDescent="0.25">
      <c r="A2" s="23">
        <f>route!A3</f>
        <v>1</v>
      </c>
      <c r="B2" s="15" t="str">
        <f>route!B3</f>
        <v>1 Труда - КЗТШ</v>
      </c>
      <c r="C2" s="18" t="s">
        <v>282</v>
      </c>
      <c r="D2" s="19" t="s">
        <v>283</v>
      </c>
      <c r="E2" s="19" t="s">
        <v>213</v>
      </c>
    </row>
    <row r="3" spans="1:5" x14ac:dyDescent="0.25">
      <c r="A3" s="23">
        <f>route!A4</f>
        <v>2</v>
      </c>
      <c r="B3" s="15" t="str">
        <f>route!B4</f>
        <v>2 Бажора-Пож. часть</v>
      </c>
      <c r="C3" s="18" t="s">
        <v>17</v>
      </c>
      <c r="D3" s="19" t="s">
        <v>284</v>
      </c>
      <c r="E3" s="19" t="s">
        <v>287</v>
      </c>
    </row>
    <row r="4" spans="1:5" x14ac:dyDescent="0.25">
      <c r="A4" s="23">
        <f>route!A5</f>
        <v>3</v>
      </c>
      <c r="B4" s="15" t="str">
        <f>route!B5</f>
        <v>3 Автостанция-Новогрядск.</v>
      </c>
      <c r="C4" s="18" t="s">
        <v>23</v>
      </c>
      <c r="D4" s="19" t="s">
        <v>177</v>
      </c>
      <c r="E4" s="19" t="s">
        <v>289</v>
      </c>
    </row>
    <row r="5" spans="1:5" x14ac:dyDescent="0.25">
      <c r="A5" s="23">
        <f>route!A6</f>
        <v>4</v>
      </c>
      <c r="B5" s="15" t="str">
        <f>route!B6</f>
        <v>4 Советская-Косьё</v>
      </c>
      <c r="C5" s="18" t="s">
        <v>18</v>
      </c>
      <c r="D5" s="19" t="s">
        <v>285</v>
      </c>
      <c r="E5" s="19" t="s">
        <v>286</v>
      </c>
    </row>
    <row r="6" spans="1:5" x14ac:dyDescent="0.25">
      <c r="A6" s="23">
        <f>route!A7</f>
        <v>6</v>
      </c>
      <c r="B6" s="15" t="str">
        <f>route!B7</f>
        <v>6 Советск.-Пож.часть</v>
      </c>
      <c r="C6" s="18" t="s">
        <v>19</v>
      </c>
      <c r="D6" s="19" t="s">
        <v>285</v>
      </c>
      <c r="E6" s="19" t="s">
        <v>291</v>
      </c>
    </row>
    <row r="7" spans="1:5" x14ac:dyDescent="0.25">
      <c r="A7" s="23">
        <f>route!A8</f>
        <v>60</v>
      </c>
      <c r="B7" s="15" t="str">
        <f>route!B8</f>
        <v>6а 9 мр-н-Советск.</v>
      </c>
      <c r="C7" s="18" t="s">
        <v>292</v>
      </c>
      <c r="D7" s="19" t="s">
        <v>285</v>
      </c>
      <c r="E7" s="19" t="s">
        <v>293</v>
      </c>
    </row>
    <row r="8" spans="1:5" x14ac:dyDescent="0.25">
      <c r="A8" s="23">
        <f>route!A9</f>
        <v>8</v>
      </c>
      <c r="B8" s="15" t="str">
        <f>route!B9</f>
        <v>8 АС Жодино-КЗТШ</v>
      </c>
      <c r="C8" s="18" t="s">
        <v>20</v>
      </c>
      <c r="D8" s="19" t="s">
        <v>290</v>
      </c>
      <c r="E8" s="19" t="s">
        <v>213</v>
      </c>
    </row>
    <row r="9" spans="1:5" x14ac:dyDescent="0.25">
      <c r="A9" s="23">
        <f>route!A10</f>
        <v>80</v>
      </c>
      <c r="B9" s="15" t="str">
        <f>route!B10</f>
        <v>8a АС Жодино-КЗТШ</v>
      </c>
      <c r="C9" s="18" t="s">
        <v>294</v>
      </c>
      <c r="D9" s="19" t="s">
        <v>290</v>
      </c>
      <c r="E9" s="19" t="s">
        <v>213</v>
      </c>
    </row>
    <row r="10" spans="1:5" x14ac:dyDescent="0.25">
      <c r="A10" s="23">
        <f>route!A11</f>
        <v>81</v>
      </c>
      <c r="B10" s="15" t="str">
        <f>route!B11</f>
        <v>8_ КЗТШ-АС Жодино</v>
      </c>
      <c r="C10" s="18" t="s">
        <v>20</v>
      </c>
      <c r="D10" s="19" t="s">
        <v>295</v>
      </c>
      <c r="E10" s="19" t="s">
        <v>296</v>
      </c>
    </row>
    <row r="11" spans="1:5" x14ac:dyDescent="0.25">
      <c r="A11" s="23">
        <f>route!A12</f>
        <v>9</v>
      </c>
      <c r="B11" s="15" t="str">
        <f>route!B12</f>
        <v>9 Бажора-КЗТШ</v>
      </c>
      <c r="C11" s="18" t="s">
        <v>21</v>
      </c>
      <c r="D11" s="19" t="s">
        <v>284</v>
      </c>
      <c r="E11" s="19" t="s">
        <v>213</v>
      </c>
    </row>
    <row r="12" spans="1:5" x14ac:dyDescent="0.25">
      <c r="A12" s="23">
        <f>route!A13</f>
        <v>11</v>
      </c>
      <c r="B12" s="15" t="str">
        <f>route!B13</f>
        <v>11 Труда-Вост.кладб.</v>
      </c>
      <c r="C12" s="18" t="s">
        <v>22</v>
      </c>
      <c r="D12" s="19" t="s">
        <v>283</v>
      </c>
      <c r="E12" s="19" t="s">
        <v>297</v>
      </c>
    </row>
    <row r="13" spans="1:5" x14ac:dyDescent="0.25">
      <c r="A13" s="23"/>
    </row>
    <row r="14" spans="1:5" x14ac:dyDescent="0.25">
      <c r="A14" s="23">
        <f>route!A15</f>
        <v>10</v>
      </c>
      <c r="B14" s="15" t="str">
        <f>route!B15</f>
        <v>Город 1 Смолевичи</v>
      </c>
      <c r="C14" s="18" t="s">
        <v>282</v>
      </c>
      <c r="D14" s="19" t="s">
        <v>298</v>
      </c>
      <c r="E14" s="19" t="s">
        <v>299</v>
      </c>
    </row>
    <row r="15" spans="1:5" x14ac:dyDescent="0.25">
      <c r="A15" s="23"/>
    </row>
    <row r="16" spans="1:5" x14ac:dyDescent="0.25">
      <c r="A16" s="23">
        <f>route!A17</f>
        <v>208</v>
      </c>
      <c r="B16" s="15" t="str">
        <f>route!B17</f>
        <v>Барсуки</v>
      </c>
      <c r="C16" s="18" t="s">
        <v>300</v>
      </c>
      <c r="D16" s="19" t="s">
        <v>301</v>
      </c>
      <c r="E16" s="19" t="s">
        <v>6</v>
      </c>
    </row>
    <row r="17" spans="1:5" x14ac:dyDescent="0.25">
      <c r="A17" s="23">
        <f>route!A18</f>
        <v>212</v>
      </c>
      <c r="B17" s="15" t="str">
        <f>route!B18</f>
        <v>Будагово</v>
      </c>
      <c r="C17" s="18" t="s">
        <v>302</v>
      </c>
      <c r="D17" s="19" t="s">
        <v>301</v>
      </c>
      <c r="E17" s="19" t="s">
        <v>56</v>
      </c>
    </row>
    <row r="18" spans="1:5" x14ac:dyDescent="0.25">
      <c r="A18" s="23">
        <f>route!A19</f>
        <v>219</v>
      </c>
      <c r="B18" s="15" t="str">
        <f>route!B19</f>
        <v>Замлынье</v>
      </c>
      <c r="C18" s="18" t="s">
        <v>303</v>
      </c>
      <c r="D18" s="19" t="s">
        <v>301</v>
      </c>
      <c r="E18" s="19" t="s">
        <v>7</v>
      </c>
    </row>
    <row r="19" spans="1:5" x14ac:dyDescent="0.25">
      <c r="A19" s="23">
        <f>route!A20</f>
        <v>211</v>
      </c>
      <c r="B19" s="15" t="str">
        <f>route!B20</f>
        <v>Зеленый Бор</v>
      </c>
      <c r="C19" s="18" t="s">
        <v>305</v>
      </c>
      <c r="D19" s="19" t="s">
        <v>301</v>
      </c>
      <c r="E19" s="19" t="s">
        <v>70</v>
      </c>
    </row>
    <row r="20" spans="1:5" x14ac:dyDescent="0.25">
      <c r="A20" s="23">
        <f>route!A21</f>
        <v>197</v>
      </c>
      <c r="B20" s="15" t="str">
        <f>route!B21</f>
        <v>Логойск</v>
      </c>
      <c r="C20" s="18" t="s">
        <v>308</v>
      </c>
      <c r="D20" s="19" t="s">
        <v>301</v>
      </c>
      <c r="E20" s="19" t="s">
        <v>60</v>
      </c>
    </row>
    <row r="21" spans="1:5" x14ac:dyDescent="0.25">
      <c r="A21" s="23">
        <f>route!A22</f>
        <v>204</v>
      </c>
      <c r="B21" s="15" t="str">
        <f>route!B22</f>
        <v>Лютка</v>
      </c>
      <c r="C21" s="18" t="s">
        <v>304</v>
      </c>
      <c r="D21" s="19" t="s">
        <v>301</v>
      </c>
      <c r="E21" s="19" t="s">
        <v>59</v>
      </c>
    </row>
    <row r="22" spans="1:5" x14ac:dyDescent="0.25">
      <c r="A22" s="23">
        <f>route!A23</f>
        <v>205</v>
      </c>
      <c r="B22" s="15" t="str">
        <f>route!B23</f>
        <v>Напалки</v>
      </c>
      <c r="C22" s="18" t="s">
        <v>307</v>
      </c>
      <c r="D22" s="19" t="s">
        <v>301</v>
      </c>
      <c r="E22" s="19" t="s">
        <v>61</v>
      </c>
    </row>
    <row r="23" spans="1:5" x14ac:dyDescent="0.25">
      <c r="A23" s="23">
        <f>route!A24</f>
        <v>216</v>
      </c>
      <c r="B23" s="15" t="str">
        <f>route!B24</f>
        <v>Сутоки</v>
      </c>
      <c r="C23" s="18" t="s">
        <v>310</v>
      </c>
      <c r="D23" s="19" t="s">
        <v>301</v>
      </c>
      <c r="E23" s="19" t="s">
        <v>65</v>
      </c>
    </row>
    <row r="24" spans="1:5" x14ac:dyDescent="0.25">
      <c r="A24" s="23">
        <f>route!A25</f>
        <v>209</v>
      </c>
      <c r="B24" s="15" t="str">
        <f>route!B25</f>
        <v>Точилище</v>
      </c>
      <c r="C24" s="18" t="s">
        <v>306</v>
      </c>
      <c r="D24" s="19" t="s">
        <v>301</v>
      </c>
      <c r="E24" s="19" t="s">
        <v>309</v>
      </c>
    </row>
    <row r="25" spans="1:5" x14ac:dyDescent="0.25">
      <c r="A25" s="23">
        <f>route!A26</f>
        <v>202</v>
      </c>
      <c r="B25" s="15" t="str">
        <f>route!B26</f>
        <v>Юзефово</v>
      </c>
      <c r="C25" s="18" t="s">
        <v>311</v>
      </c>
      <c r="D25" s="19" t="s">
        <v>301</v>
      </c>
      <c r="E25" s="19" t="s">
        <v>67</v>
      </c>
    </row>
    <row r="26" spans="1:5" x14ac:dyDescent="0.25">
      <c r="A26" s="23">
        <f>route!A27</f>
        <v>210</v>
      </c>
      <c r="B26" s="15" t="str">
        <f>route!B27</f>
        <v>Яловица</v>
      </c>
      <c r="C26" s="18" t="s">
        <v>312</v>
      </c>
      <c r="D26" s="19" t="s">
        <v>301</v>
      </c>
      <c r="E26" s="19" t="s">
        <v>58</v>
      </c>
    </row>
    <row r="27" spans="1:5" x14ac:dyDescent="0.25">
      <c r="A27" s="23"/>
    </row>
    <row r="28" spans="1:5" x14ac:dyDescent="0.25">
      <c r="A28" s="23">
        <f>route!A29</f>
        <v>207</v>
      </c>
      <c r="B28" s="15" t="str">
        <f>route!B29</f>
        <v>с/т Автомобилист</v>
      </c>
      <c r="C28" s="18" t="s">
        <v>313</v>
      </c>
      <c r="D28" s="19" t="s">
        <v>301</v>
      </c>
      <c r="E28" s="19" t="s">
        <v>318</v>
      </c>
    </row>
    <row r="29" spans="1:5" x14ac:dyDescent="0.25">
      <c r="A29" s="23">
        <f>route!A30</f>
        <v>214</v>
      </c>
      <c r="B29" s="15" t="str">
        <f>route!B30</f>
        <v>с/т Журавинка</v>
      </c>
      <c r="C29" s="18" t="s">
        <v>314</v>
      </c>
      <c r="D29" s="19" t="s">
        <v>301</v>
      </c>
      <c r="E29" s="19" t="s">
        <v>54</v>
      </c>
    </row>
    <row r="30" spans="1:5" x14ac:dyDescent="0.25">
      <c r="A30" s="23">
        <f>route!A31</f>
        <v>614</v>
      </c>
      <c r="B30" s="15" t="str">
        <f>route!B31</f>
        <v>пов. с/т Журавинка</v>
      </c>
      <c r="C30" s="18" t="s">
        <v>314</v>
      </c>
      <c r="D30" s="19" t="s">
        <v>301</v>
      </c>
      <c r="E30" s="19" t="s">
        <v>319</v>
      </c>
    </row>
    <row r="31" spans="1:5" x14ac:dyDescent="0.25">
      <c r="A31" s="23">
        <f>route!A32</f>
        <v>201</v>
      </c>
      <c r="B31" s="15" t="str">
        <f>route!B32</f>
        <v>с/т Радуга</v>
      </c>
      <c r="C31" s="18" t="s">
        <v>315</v>
      </c>
      <c r="D31" s="19" t="s">
        <v>301</v>
      </c>
      <c r="E31" s="19" t="s">
        <v>52</v>
      </c>
    </row>
    <row r="32" spans="1:5" x14ac:dyDescent="0.25">
      <c r="A32" s="23">
        <f>route!A33</f>
        <v>213</v>
      </c>
      <c r="B32" s="15" t="str">
        <f>route!B33</f>
        <v>с/т Родничок</v>
      </c>
      <c r="C32" s="18" t="s">
        <v>316</v>
      </c>
      <c r="D32" s="19" t="s">
        <v>301</v>
      </c>
      <c r="E32" s="19" t="s">
        <v>62</v>
      </c>
    </row>
    <row r="33" spans="1:5" x14ac:dyDescent="0.25">
      <c r="A33" s="23">
        <f>route!A34</f>
        <v>203</v>
      </c>
      <c r="B33" s="15" t="str">
        <f>route!B34</f>
        <v>с/т Строитель</v>
      </c>
      <c r="C33" s="18" t="s">
        <v>317</v>
      </c>
      <c r="D33" s="19" t="s">
        <v>301</v>
      </c>
      <c r="E33" s="19" t="s">
        <v>53</v>
      </c>
    </row>
    <row r="34" spans="1:5" x14ac:dyDescent="0.25">
      <c r="A34" s="23"/>
    </row>
    <row r="35" spans="1:5" x14ac:dyDescent="0.25">
      <c r="A35" s="23">
        <f>route!A36</f>
        <v>100</v>
      </c>
      <c r="B35" s="15" t="str">
        <f>route!B36</f>
        <v>СЛУЖЕБНЫЙ</v>
      </c>
      <c r="D35" s="19" t="s">
        <v>63</v>
      </c>
    </row>
    <row r="36" spans="1:5" x14ac:dyDescent="0.25">
      <c r="A36" s="23">
        <f>route!A37</f>
        <v>101</v>
      </c>
      <c r="B36" s="15" t="str">
        <f>route!B37</f>
        <v>ЗАКАЗНОЙ</v>
      </c>
      <c r="D36" s="19" t="s">
        <v>69</v>
      </c>
    </row>
    <row r="37" spans="1:5" x14ac:dyDescent="0.25">
      <c r="A37" s="23">
        <f>route!A38</f>
        <v>102</v>
      </c>
      <c r="B37" s="15" t="str">
        <f>route!B38</f>
        <v>СНЕКПРО</v>
      </c>
      <c r="D37" s="19" t="s">
        <v>64</v>
      </c>
    </row>
    <row r="38" spans="1:5" x14ac:dyDescent="0.25">
      <c r="A38" s="23">
        <f>route!A39</f>
        <v>103</v>
      </c>
      <c r="B38" s="15" t="str">
        <f>route!B39</f>
        <v>ДЕТИ</v>
      </c>
      <c r="D38" s="19" t="s">
        <v>57</v>
      </c>
    </row>
    <row r="39" spans="1:5" x14ac:dyDescent="0.25">
      <c r="A39" s="23">
        <f>route!A40</f>
        <v>104</v>
      </c>
      <c r="B39" s="15" t="str">
        <f>route!B40</f>
        <v>В ПАРК</v>
      </c>
      <c r="D39" s="19" t="s">
        <v>320</v>
      </c>
      <c r="E39" s="19" t="s">
        <v>321</v>
      </c>
    </row>
    <row r="40" spans="1:5" x14ac:dyDescent="0.25">
      <c r="A40" s="23"/>
    </row>
    <row r="41" spans="1:5" x14ac:dyDescent="0.25">
      <c r="A41" s="23"/>
    </row>
    <row r="42" spans="1:5" x14ac:dyDescent="0.25">
      <c r="A42" s="23"/>
    </row>
  </sheetData>
  <pageMargins left="0.7" right="0.7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90"/>
  <sheetViews>
    <sheetView topLeftCell="B73" workbookViewId="0">
      <selection activeCell="A86" sqref="A86"/>
    </sheetView>
  </sheetViews>
  <sheetFormatPr defaultColWidth="9" defaultRowHeight="14.3" x14ac:dyDescent="0.25"/>
  <cols>
    <col min="1" max="1" width="61.25" style="24" customWidth="1"/>
    <col min="2" max="3" width="9.75" style="25" customWidth="1"/>
    <col min="4" max="4" width="85.875" style="24" hidden="1" customWidth="1"/>
    <col min="5" max="5" width="27.875" style="16" bestFit="1" customWidth="1"/>
    <col min="6" max="16384" width="9" style="24"/>
  </cols>
  <sheetData>
    <row r="1" spans="1:5" x14ac:dyDescent="0.25">
      <c r="A1" s="24" t="str">
        <f>Остановки!B2</f>
        <v>8 микрорайон</v>
      </c>
      <c r="B1" s="25" t="str">
        <f t="shared" ref="B1:B3" si="0">TEXT(ROW(B1),"000")</f>
        <v>001</v>
      </c>
      <c r="D1" s="24" t="str">
        <f>""""&amp;LEFT(REPT(" ",8-LEN(A1)/2)&amp;A1&amp;REPT(" ",16),16)&amp;""""</f>
        <v>"  8 микрорайон  "</v>
      </c>
      <c r="E1" s="16" t="str">
        <f t="shared" ref="E1:E32" si="1">"&lt;"&amp;B1&amp;"&gt;"&amp;LEFT(REPT(" ",8-LEN(A1)/2)&amp;A1&amp;REPT(" ",16),16)</f>
        <v xml:space="preserve">&lt;001&gt;  8 микрорайон  </v>
      </c>
    </row>
    <row r="2" spans="1:5" x14ac:dyDescent="0.25">
      <c r="A2" s="24" t="str">
        <f>Остановки!B3</f>
        <v>Автостанция</v>
      </c>
      <c r="B2" s="25" t="str">
        <f t="shared" si="0"/>
        <v>002</v>
      </c>
      <c r="D2" s="24" t="str">
        <f t="shared" ref="D2:D67" si="2">""""&amp;LEFT(REPT(" ",8-LEN(A2)/2)&amp;A2&amp;REPT(" ",16),16)&amp;""""</f>
        <v>"  Автостанция   "</v>
      </c>
      <c r="E2" s="16" t="str">
        <f t="shared" si="1"/>
        <v xml:space="preserve">&lt;002&gt;  Автостанция   </v>
      </c>
    </row>
    <row r="3" spans="1:5" x14ac:dyDescent="0.25">
      <c r="A3" s="24" t="str">
        <f>Остановки!B4</f>
        <v>АЗС</v>
      </c>
      <c r="B3" s="25" t="str">
        <f t="shared" si="0"/>
        <v>003</v>
      </c>
      <c r="D3" s="24" t="str">
        <f t="shared" si="2"/>
        <v>"      АЗС       "</v>
      </c>
      <c r="E3" s="16" t="str">
        <f t="shared" si="1"/>
        <v xml:space="preserve">&lt;003&gt;      АЗС       </v>
      </c>
    </row>
    <row r="4" spans="1:5" x14ac:dyDescent="0.25">
      <c r="A4" s="24" t="str">
        <f>Остановки!B5</f>
        <v>БелНИИЖ</v>
      </c>
      <c r="B4" s="25" t="str">
        <f t="shared" ref="B4:B69" si="3">TEXT(ROW(B4),"000")</f>
        <v>004</v>
      </c>
      <c r="D4" s="24" t="str">
        <f t="shared" si="2"/>
        <v>"    БелНИИЖ     "</v>
      </c>
      <c r="E4" s="16" t="str">
        <f t="shared" si="1"/>
        <v xml:space="preserve">&lt;004&gt;    БелНИИЖ     </v>
      </c>
    </row>
    <row r="5" spans="1:5" x14ac:dyDescent="0.25">
      <c r="A5" s="24" t="str">
        <f>Остановки!B6</f>
        <v>БелНИИЗ</v>
      </c>
      <c r="B5" s="25" t="str">
        <f t="shared" si="3"/>
        <v>005</v>
      </c>
      <c r="D5" s="24" t="str">
        <f t="shared" si="2"/>
        <v>"    БелНИИЗ     "</v>
      </c>
      <c r="E5" s="16" t="str">
        <f t="shared" si="1"/>
        <v xml:space="preserve">&lt;005&gt;    БелНИИЗ     </v>
      </c>
    </row>
    <row r="6" spans="1:5" x14ac:dyDescent="0.25">
      <c r="A6" s="24" t="str">
        <f>Остановки!B7</f>
        <v>Больница</v>
      </c>
      <c r="B6" s="25" t="str">
        <f t="shared" si="3"/>
        <v>006</v>
      </c>
      <c r="D6" s="24" t="str">
        <f t="shared" si="2"/>
        <v>"    Больница    "</v>
      </c>
      <c r="E6" s="16" t="str">
        <f t="shared" si="1"/>
        <v xml:space="preserve">&lt;006&gt;    Больница    </v>
      </c>
    </row>
    <row r="7" spans="1:5" x14ac:dyDescent="0.25">
      <c r="A7" s="24" t="str">
        <f>Остановки!B8</f>
        <v>Воинская часть</v>
      </c>
      <c r="B7" s="25" t="str">
        <f t="shared" si="3"/>
        <v>007</v>
      </c>
      <c r="D7" s="24" t="str">
        <f t="shared" si="2"/>
        <v>" Воинская часть "</v>
      </c>
      <c r="E7" s="16" t="str">
        <f t="shared" si="1"/>
        <v xml:space="preserve">&lt;007&gt; Воинская часть </v>
      </c>
    </row>
    <row r="8" spans="1:5" x14ac:dyDescent="0.25">
      <c r="A8" s="24" t="str">
        <f>Остановки!B9</f>
        <v>Гимназия № 1</v>
      </c>
      <c r="B8" s="25" t="str">
        <f t="shared" si="3"/>
        <v>008</v>
      </c>
      <c r="D8" s="24" t="str">
        <f t="shared" si="2"/>
        <v>"  Гимназия № 1  "</v>
      </c>
      <c r="E8" s="16" t="str">
        <f t="shared" si="1"/>
        <v xml:space="preserve">&lt;008&gt;  Гимназия № 1  </v>
      </c>
    </row>
    <row r="9" spans="1:5" x14ac:dyDescent="0.25">
      <c r="A9" s="24" t="str">
        <f>Остановки!B10</f>
        <v>Дом культуры</v>
      </c>
      <c r="B9" s="25" t="str">
        <f t="shared" si="3"/>
        <v>009</v>
      </c>
      <c r="D9" s="24" t="str">
        <f t="shared" si="2"/>
        <v>"  Дом культуры  "</v>
      </c>
      <c r="E9" s="16" t="str">
        <f t="shared" si="1"/>
        <v xml:space="preserve">&lt;009&gt;  Дом культуры  </v>
      </c>
    </row>
    <row r="10" spans="1:5" x14ac:dyDescent="0.25">
      <c r="A10" s="24" t="str">
        <f>Остановки!B11</f>
        <v>ЖД Вокзал</v>
      </c>
      <c r="B10" s="25" t="str">
        <f t="shared" si="3"/>
        <v>010</v>
      </c>
      <c r="D10" s="24" t="str">
        <f t="shared" si="2"/>
        <v>"   ЖД Вокзал    "</v>
      </c>
      <c r="E10" s="16" t="str">
        <f t="shared" si="1"/>
        <v xml:space="preserve">&lt;010&gt;   ЖД Вокзал    </v>
      </c>
    </row>
    <row r="11" spans="1:5" x14ac:dyDescent="0.25">
      <c r="A11" s="24" t="str">
        <f>Остановки!B12</f>
        <v>Женская гимназия</v>
      </c>
      <c r="B11" s="25" t="str">
        <f t="shared" si="3"/>
        <v>011</v>
      </c>
      <c r="D11" s="24" t="str">
        <f t="shared" si="2"/>
        <v>"Женская гимназия"</v>
      </c>
      <c r="E11" s="16" t="str">
        <f t="shared" si="1"/>
        <v>&lt;011&gt;Женская гимназия</v>
      </c>
    </row>
    <row r="12" spans="1:5" x14ac:dyDescent="0.25">
      <c r="A12" s="24" t="str">
        <f>Остановки!B13</f>
        <v>ИТК-8</v>
      </c>
      <c r="B12" s="25" t="str">
        <f t="shared" si="3"/>
        <v>012</v>
      </c>
      <c r="D12" s="24" t="str">
        <f t="shared" si="2"/>
        <v>"     ИТК-8      "</v>
      </c>
      <c r="E12" s="16" t="str">
        <f t="shared" si="1"/>
        <v xml:space="preserve">&lt;012&gt;     ИТК-8      </v>
      </c>
    </row>
    <row r="13" spans="1:5" x14ac:dyDescent="0.25">
      <c r="A13" s="24" t="str">
        <f>Остановки!B14</f>
        <v>к/т Юность</v>
      </c>
      <c r="B13" s="25" t="str">
        <f t="shared" si="3"/>
        <v>013</v>
      </c>
      <c r="D13" s="24" t="str">
        <f t="shared" si="2"/>
        <v>"   к/т Юность   "</v>
      </c>
      <c r="E13" s="16" t="str">
        <f t="shared" si="1"/>
        <v xml:space="preserve">&lt;013&gt;   к/т Юность   </v>
      </c>
    </row>
    <row r="14" spans="1:5" x14ac:dyDescent="0.25">
      <c r="A14" s="24" t="str">
        <f>Остановки!B15</f>
        <v>КЗТШ</v>
      </c>
      <c r="B14" s="25" t="str">
        <f t="shared" si="3"/>
        <v>014</v>
      </c>
      <c r="D14" s="24" t="str">
        <f t="shared" si="2"/>
        <v>"      КЗТШ      "</v>
      </c>
      <c r="E14" s="16" t="str">
        <f t="shared" si="1"/>
        <v xml:space="preserve">&lt;014&gt;      КЗТШ      </v>
      </c>
    </row>
    <row r="15" spans="1:5" x14ac:dyDescent="0.25">
      <c r="A15" s="24" t="str">
        <f>Остановки!B16</f>
        <v>кл. Восточное</v>
      </c>
      <c r="B15" s="25" t="str">
        <f t="shared" si="3"/>
        <v>015</v>
      </c>
      <c r="D15" s="24" t="str">
        <f t="shared" si="2"/>
        <v>" кл. Восточное  "</v>
      </c>
      <c r="E15" s="16" t="str">
        <f t="shared" si="1"/>
        <v xml:space="preserve">&lt;015&gt; кл. Восточное  </v>
      </c>
    </row>
    <row r="16" spans="1:5" x14ac:dyDescent="0.25">
      <c r="A16" s="24" t="str">
        <f>Остановки!B17</f>
        <v>кл. Судобовское</v>
      </c>
      <c r="B16" s="25" t="str">
        <f t="shared" si="3"/>
        <v>016</v>
      </c>
      <c r="D16" s="24" t="str">
        <f t="shared" si="2"/>
        <v>"кл. Судобовское "</v>
      </c>
      <c r="E16" s="16" t="str">
        <f t="shared" si="1"/>
        <v xml:space="preserve">&lt;016&gt;кл. Судобовское </v>
      </c>
    </row>
    <row r="17" spans="1:5" x14ac:dyDescent="0.25">
      <c r="A17" s="24" t="str">
        <f>Остановки!B18</f>
        <v>Костел</v>
      </c>
      <c r="B17" s="25" t="str">
        <f t="shared" si="3"/>
        <v>017</v>
      </c>
      <c r="D17" s="24" t="str">
        <f t="shared" si="2"/>
        <v>"     Костел     "</v>
      </c>
      <c r="E17" s="16" t="str">
        <f t="shared" si="1"/>
        <v xml:space="preserve">&lt;017&gt;     Костел     </v>
      </c>
    </row>
    <row r="18" spans="1:5" x14ac:dyDescent="0.25">
      <c r="A18" s="24" t="str">
        <f>Остановки!B19</f>
        <v>Кузнечный-3</v>
      </c>
      <c r="B18" s="25" t="str">
        <f t="shared" si="3"/>
        <v>018</v>
      </c>
      <c r="D18" s="24" t="str">
        <f t="shared" si="2"/>
        <v>"  Кузнечный-3   "</v>
      </c>
      <c r="E18" s="16" t="str">
        <f t="shared" si="1"/>
        <v xml:space="preserve">&lt;018&gt;  Кузнечный-3   </v>
      </c>
    </row>
    <row r="19" spans="1:5" x14ac:dyDescent="0.25">
      <c r="A19" s="24" t="str">
        <f>Остановки!B20</f>
        <v>Лесоцех</v>
      </c>
      <c r="B19" s="25" t="str">
        <f t="shared" si="3"/>
        <v>019</v>
      </c>
      <c r="D19" s="24" t="str">
        <f t="shared" si="2"/>
        <v>"    Лесоцех     "</v>
      </c>
      <c r="E19" s="16" t="str">
        <f t="shared" si="1"/>
        <v xml:space="preserve">&lt;019&gt;    Лесоцех     </v>
      </c>
    </row>
    <row r="20" spans="1:5" x14ac:dyDescent="0.25">
      <c r="A20" s="24" t="str">
        <f>Остановки!B21</f>
        <v>маг. Рублевский</v>
      </c>
      <c r="B20" s="25" t="str">
        <f t="shared" si="3"/>
        <v>020</v>
      </c>
      <c r="D20" s="24" t="str">
        <f t="shared" si="2"/>
        <v>"маг. Рублевский "</v>
      </c>
      <c r="E20" s="16" t="str">
        <f t="shared" si="1"/>
        <v xml:space="preserve">&lt;020&gt;маг. Рублевский </v>
      </c>
    </row>
    <row r="21" spans="1:5" x14ac:dyDescent="0.25">
      <c r="A21" s="24" t="str">
        <f>Остановки!B22</f>
        <v>Магазин</v>
      </c>
      <c r="B21" s="25" t="str">
        <f t="shared" si="3"/>
        <v>021</v>
      </c>
      <c r="D21" s="24" t="str">
        <f t="shared" si="2"/>
        <v>"    Магазин     "</v>
      </c>
      <c r="E21" s="16" t="str">
        <f t="shared" si="1"/>
        <v xml:space="preserve">&lt;021&gt;    Магазин     </v>
      </c>
    </row>
    <row r="22" spans="1:5" x14ac:dyDescent="0.25">
      <c r="A22" s="24" t="str">
        <f>Остановки!B23</f>
        <v>Парк культуры</v>
      </c>
      <c r="B22" s="25" t="str">
        <f t="shared" si="3"/>
        <v>022</v>
      </c>
      <c r="D22" s="24" t="str">
        <f t="shared" si="2"/>
        <v>" Парк культуры  "</v>
      </c>
      <c r="E22" s="16" t="str">
        <f t="shared" si="1"/>
        <v xml:space="preserve">&lt;022&gt; Парк культуры  </v>
      </c>
    </row>
    <row r="23" spans="1:5" x14ac:dyDescent="0.25">
      <c r="A23" s="24" t="str">
        <f>Остановки!B24</f>
        <v>Перекресток</v>
      </c>
      <c r="B23" s="25" t="str">
        <f t="shared" si="3"/>
        <v>023</v>
      </c>
      <c r="D23" s="24" t="str">
        <f t="shared" si="2"/>
        <v>"  Перекресток   "</v>
      </c>
      <c r="E23" s="16" t="str">
        <f t="shared" si="1"/>
        <v xml:space="preserve">&lt;023&gt;  Перекресток   </v>
      </c>
    </row>
    <row r="24" spans="1:5" x14ac:dyDescent="0.25">
      <c r="A24" s="24" t="str">
        <f>Остановки!B25</f>
        <v>пов. Нов. Грядки</v>
      </c>
      <c r="B24" s="25" t="str">
        <f t="shared" si="3"/>
        <v>024</v>
      </c>
      <c r="D24" s="24" t="str">
        <f t="shared" si="2"/>
        <v>"пов. Нов. Грядки"</v>
      </c>
      <c r="E24" s="16" t="str">
        <f t="shared" si="1"/>
        <v>&lt;024&gt;пов. Нов. Грядки</v>
      </c>
    </row>
    <row r="25" spans="1:5" x14ac:dyDescent="0.25">
      <c r="A25" s="24" t="str">
        <f>Остановки!B26</f>
        <v>пов. с/т Заря</v>
      </c>
      <c r="B25" s="25" t="str">
        <f t="shared" si="3"/>
        <v>025</v>
      </c>
      <c r="D25" s="24" t="str">
        <f t="shared" si="2"/>
        <v>" пов. с/т Заря  "</v>
      </c>
      <c r="E25" s="16" t="str">
        <f t="shared" si="1"/>
        <v xml:space="preserve">&lt;025&gt; пов. с/т Заря  </v>
      </c>
    </row>
    <row r="26" spans="1:5" x14ac:dyDescent="0.25">
      <c r="A26" s="24" t="str">
        <f>Остановки!B27</f>
        <v>Пожарная часть</v>
      </c>
      <c r="B26" s="25" t="str">
        <f t="shared" si="3"/>
        <v>026</v>
      </c>
      <c r="D26" s="24" t="str">
        <f t="shared" si="2"/>
        <v>" Пожарная часть "</v>
      </c>
      <c r="E26" s="16" t="str">
        <f t="shared" si="1"/>
        <v xml:space="preserve">&lt;026&gt; Пожарная часть </v>
      </c>
    </row>
    <row r="27" spans="1:5" x14ac:dyDescent="0.25">
      <c r="A27" s="24" t="str">
        <f>Остановки!B28</f>
        <v>Поликлиника</v>
      </c>
      <c r="B27" s="25" t="str">
        <f t="shared" si="3"/>
        <v>027</v>
      </c>
      <c r="D27" s="24" t="str">
        <f t="shared" si="2"/>
        <v>"  Поликлиника   "</v>
      </c>
      <c r="E27" s="16" t="str">
        <f t="shared" si="1"/>
        <v xml:space="preserve">&lt;027&gt;  Поликлиника   </v>
      </c>
    </row>
    <row r="28" spans="1:5" x14ac:dyDescent="0.25">
      <c r="A28" s="24" t="str">
        <f>Остановки!B29</f>
        <v>Почта</v>
      </c>
      <c r="B28" s="25" t="str">
        <f t="shared" si="3"/>
        <v>028</v>
      </c>
      <c r="D28" s="24" t="str">
        <f t="shared" si="2"/>
        <v>"     Почта      "</v>
      </c>
      <c r="E28" s="16" t="str">
        <f t="shared" si="1"/>
        <v xml:space="preserve">&lt;028&gt;     Почта      </v>
      </c>
    </row>
    <row r="29" spans="1:5" x14ac:dyDescent="0.25">
      <c r="A29" s="24" t="str">
        <f>Остановки!B30</f>
        <v>пр-т Венисье</v>
      </c>
      <c r="B29" s="25" t="str">
        <f t="shared" si="3"/>
        <v>029</v>
      </c>
      <c r="D29" s="24" t="str">
        <f t="shared" si="2"/>
        <v>"  пр-т Венисье  "</v>
      </c>
      <c r="E29" s="16" t="str">
        <f t="shared" si="1"/>
        <v xml:space="preserve">&lt;029&gt;  пр-т Венисье  </v>
      </c>
    </row>
    <row r="30" spans="1:5" x14ac:dyDescent="0.25">
      <c r="A30" s="24" t="str">
        <f>Остановки!B31</f>
        <v>пр-т Ленина</v>
      </c>
      <c r="B30" s="25" t="str">
        <f t="shared" si="3"/>
        <v>030</v>
      </c>
      <c r="D30" s="24" t="str">
        <f t="shared" si="2"/>
        <v>"  пр-т Ленина   "</v>
      </c>
      <c r="E30" s="16" t="str">
        <f t="shared" si="1"/>
        <v xml:space="preserve">&lt;030&gt;  пр-т Ленина   </v>
      </c>
    </row>
    <row r="31" spans="1:5" x14ac:dyDescent="0.25">
      <c r="A31" s="24" t="str">
        <f>Остановки!B32</f>
        <v>пр-т Мира</v>
      </c>
      <c r="B31" s="25" t="str">
        <f t="shared" si="3"/>
        <v>031</v>
      </c>
      <c r="D31" s="24" t="str">
        <f t="shared" si="2"/>
        <v>"   пр-т Мира    "</v>
      </c>
      <c r="E31" s="16" t="str">
        <f t="shared" si="1"/>
        <v xml:space="preserve">&lt;031&gt;   пр-т Мира    </v>
      </c>
    </row>
    <row r="32" spans="1:5" x14ac:dyDescent="0.25">
      <c r="A32" s="24" t="str">
        <f>Остановки!B33</f>
        <v>пр-т Скорины</v>
      </c>
      <c r="B32" s="25" t="str">
        <f t="shared" si="3"/>
        <v>032</v>
      </c>
      <c r="D32" s="24" t="str">
        <f t="shared" si="2"/>
        <v>"  пр-т Скорины  "</v>
      </c>
      <c r="E32" s="16" t="str">
        <f t="shared" si="1"/>
        <v xml:space="preserve">&lt;032&gt;  пр-т Скорины  </v>
      </c>
    </row>
    <row r="33" spans="1:5" x14ac:dyDescent="0.25">
      <c r="A33" s="24" t="str">
        <f>Остановки!B34</f>
        <v>Рынок</v>
      </c>
      <c r="B33" s="25" t="str">
        <f t="shared" si="3"/>
        <v>033</v>
      </c>
      <c r="D33" s="24" t="str">
        <f t="shared" si="2"/>
        <v>"     Рынок      "</v>
      </c>
      <c r="E33" s="16" t="str">
        <f t="shared" ref="E33:E64" si="4">"&lt;"&amp;B33&amp;"&gt;"&amp;LEFT(REPT(" ",8-LEN(A33)/2)&amp;A33&amp;REPT(" ",16),16)</f>
        <v xml:space="preserve">&lt;033&gt;     Рынок      </v>
      </c>
    </row>
    <row r="34" spans="1:5" x14ac:dyDescent="0.25">
      <c r="A34" s="24" t="str">
        <f>Остановки!B35</f>
        <v>Сбербанк</v>
      </c>
      <c r="B34" s="25" t="str">
        <f t="shared" si="3"/>
        <v>034</v>
      </c>
      <c r="D34" s="24" t="str">
        <f t="shared" si="2"/>
        <v>"    Сбербанк    "</v>
      </c>
      <c r="E34" s="16" t="str">
        <f t="shared" si="4"/>
        <v xml:space="preserve">&lt;034&gt;    Сбербанк    </v>
      </c>
    </row>
    <row r="35" spans="1:5" x14ac:dyDescent="0.25">
      <c r="A35" s="24" t="str">
        <f>Остановки!B36</f>
        <v>Свитанок</v>
      </c>
      <c r="B35" s="25" t="str">
        <f t="shared" si="3"/>
        <v>035</v>
      </c>
      <c r="D35" s="24" t="str">
        <f t="shared" si="2"/>
        <v>"    Свитанок    "</v>
      </c>
      <c r="E35" s="16" t="str">
        <f t="shared" si="4"/>
        <v xml:space="preserve">&lt;035&gt;    Свитанок    </v>
      </c>
    </row>
    <row r="36" spans="1:5" x14ac:dyDescent="0.25">
      <c r="A36" s="24" t="str">
        <f>Остановки!B37</f>
        <v>Стодедовский</v>
      </c>
      <c r="B36" s="25" t="str">
        <f t="shared" si="3"/>
        <v>036</v>
      </c>
      <c r="D36" s="24" t="str">
        <f t="shared" si="2"/>
        <v>"  Стодедовский  "</v>
      </c>
      <c r="E36" s="16" t="str">
        <f t="shared" si="4"/>
        <v xml:space="preserve">&lt;036&gt;  Стодедовский  </v>
      </c>
    </row>
    <row r="37" spans="1:5" x14ac:dyDescent="0.25">
      <c r="A37" s="24" t="str">
        <f>Остановки!B38</f>
        <v>СШ № 5</v>
      </c>
      <c r="B37" s="25" t="str">
        <f t="shared" si="3"/>
        <v>037</v>
      </c>
      <c r="D37" s="24" t="str">
        <f t="shared" si="2"/>
        <v>"     СШ № 5     "</v>
      </c>
      <c r="E37" s="16" t="str">
        <f t="shared" si="4"/>
        <v xml:space="preserve">&lt;037&gt;     СШ № 5     </v>
      </c>
    </row>
    <row r="38" spans="1:5" x14ac:dyDescent="0.25">
      <c r="A38" s="24" t="str">
        <f>Остановки!B39</f>
        <v>СШ № 8</v>
      </c>
      <c r="B38" s="25" t="str">
        <f t="shared" si="3"/>
        <v>038</v>
      </c>
      <c r="D38" s="24" t="str">
        <f t="shared" si="2"/>
        <v>"     СШ № 8     "</v>
      </c>
      <c r="E38" s="16" t="str">
        <f t="shared" si="4"/>
        <v xml:space="preserve">&lt;038&gt;     СШ № 8     </v>
      </c>
    </row>
    <row r="39" spans="1:5" x14ac:dyDescent="0.25">
      <c r="A39" s="24" t="str">
        <f>Остановки!B40</f>
        <v>Таможня</v>
      </c>
      <c r="B39" s="25" t="str">
        <f t="shared" si="3"/>
        <v>039</v>
      </c>
      <c r="D39" s="24" t="str">
        <f t="shared" si="2"/>
        <v>"    Таможня     "</v>
      </c>
      <c r="E39" s="16" t="str">
        <f t="shared" si="4"/>
        <v xml:space="preserve">&lt;039&gt;    Таможня     </v>
      </c>
    </row>
    <row r="40" spans="1:5" x14ac:dyDescent="0.25">
      <c r="A40" s="24" t="str">
        <f>Остановки!B41</f>
        <v>Торг.центр</v>
      </c>
      <c r="B40" s="25" t="str">
        <f t="shared" si="3"/>
        <v>040</v>
      </c>
      <c r="D40" s="24" t="str">
        <f t="shared" si="2"/>
        <v>"   Торг.центр   "</v>
      </c>
      <c r="E40" s="16" t="str">
        <f t="shared" si="4"/>
        <v xml:space="preserve">&lt;040&gt;   Торг.центр   </v>
      </c>
    </row>
    <row r="41" spans="1:5" x14ac:dyDescent="0.25">
      <c r="A41" s="24" t="str">
        <f>Остановки!B42</f>
        <v>Транс.прох.БелАЗ</v>
      </c>
      <c r="B41" s="25" t="str">
        <f t="shared" si="3"/>
        <v>041</v>
      </c>
      <c r="D41" s="24" t="str">
        <f t="shared" si="2"/>
        <v>"Транс.прох.БелАЗ"</v>
      </c>
      <c r="E41" s="16" t="str">
        <f t="shared" si="4"/>
        <v>&lt;041&gt;Транс.прох.БелАЗ</v>
      </c>
    </row>
    <row r="42" spans="1:5" x14ac:dyDescent="0.25">
      <c r="A42" s="24" t="str">
        <f>Остановки!B43</f>
        <v>ТЭЦ</v>
      </c>
      <c r="B42" s="25" t="str">
        <f t="shared" si="3"/>
        <v>042</v>
      </c>
      <c r="D42" s="24" t="str">
        <f t="shared" si="2"/>
        <v>"      ТЭЦ       "</v>
      </c>
      <c r="E42" s="16" t="str">
        <f t="shared" si="4"/>
        <v xml:space="preserve">&lt;042&gt;      ТЭЦ       </v>
      </c>
    </row>
    <row r="43" spans="1:5" x14ac:dyDescent="0.25">
      <c r="A43" s="24" t="str">
        <f>Остановки!B44</f>
        <v>Углы</v>
      </c>
      <c r="B43" s="25" t="str">
        <f t="shared" si="3"/>
        <v>043</v>
      </c>
      <c r="D43" s="24" t="str">
        <f t="shared" ref="D43:D45" si="5">""""&amp;LEFT(REPT(" ",8-LEN(A43)/2)&amp;A43&amp;REPT(" ",16),16)&amp;""""</f>
        <v>"      Углы      "</v>
      </c>
      <c r="E43" s="16" t="str">
        <f t="shared" si="4"/>
        <v xml:space="preserve">&lt;043&gt;      Углы      </v>
      </c>
    </row>
    <row r="44" spans="1:5" x14ac:dyDescent="0.25">
      <c r="A44" s="24" t="str">
        <f>Остановки!B45</f>
        <v>Углы-2</v>
      </c>
      <c r="B44" s="25" t="str">
        <f t="shared" si="3"/>
        <v>044</v>
      </c>
      <c r="D44" s="24" t="str">
        <f t="shared" si="5"/>
        <v>"     Углы-2     "</v>
      </c>
      <c r="E44" s="16" t="str">
        <f t="shared" si="4"/>
        <v xml:space="preserve">&lt;044&gt;     Углы-2     </v>
      </c>
    </row>
    <row r="45" spans="1:5" x14ac:dyDescent="0.25">
      <c r="A45" s="24" t="str">
        <f>Остановки!B46</f>
        <v>ул.50 лет Октяб.</v>
      </c>
      <c r="B45" s="25" t="str">
        <f t="shared" si="3"/>
        <v>045</v>
      </c>
      <c r="D45" s="24" t="str">
        <f t="shared" si="5"/>
        <v>"ул.50 лет Октяб."</v>
      </c>
      <c r="E45" s="16" t="str">
        <f t="shared" si="4"/>
        <v>&lt;045&gt;ул.50 лет Октяб.</v>
      </c>
    </row>
    <row r="46" spans="1:5" x14ac:dyDescent="0.25">
      <c r="A46" s="24" t="str">
        <f>Остановки!B47</f>
        <v>ул.8 Марта</v>
      </c>
      <c r="B46" s="25" t="str">
        <f t="shared" si="3"/>
        <v>046</v>
      </c>
      <c r="D46" s="24" t="str">
        <f t="shared" si="2"/>
        <v>"   ул.8 Марта   "</v>
      </c>
      <c r="E46" s="16" t="str">
        <f t="shared" si="4"/>
        <v xml:space="preserve">&lt;046&gt;   ул.8 Марта   </v>
      </c>
    </row>
    <row r="47" spans="1:5" x14ac:dyDescent="0.25">
      <c r="A47" s="24" t="str">
        <f>Остановки!B48</f>
        <v>ул.Автомобилист.</v>
      </c>
      <c r="B47" s="25" t="str">
        <f t="shared" si="3"/>
        <v>047</v>
      </c>
      <c r="D47" s="24" t="str">
        <f t="shared" si="2"/>
        <v>"ул.Автомобилист."</v>
      </c>
      <c r="E47" s="16" t="str">
        <f t="shared" si="4"/>
        <v>&lt;047&gt;ул.Автомобилист.</v>
      </c>
    </row>
    <row r="48" spans="1:5" x14ac:dyDescent="0.25">
      <c r="A48" s="24" t="str">
        <f>Остановки!B49</f>
        <v>ул.Бажора</v>
      </c>
      <c r="B48" s="25" t="str">
        <f t="shared" si="3"/>
        <v>048</v>
      </c>
      <c r="D48" s="24" t="str">
        <f t="shared" si="2"/>
        <v>"   ул.Бажора    "</v>
      </c>
      <c r="E48" s="16" t="str">
        <f t="shared" si="4"/>
        <v xml:space="preserve">&lt;048&gt;   ул.Бажора    </v>
      </c>
    </row>
    <row r="49" spans="1:5" x14ac:dyDescent="0.25">
      <c r="A49" s="24" t="str">
        <f>Остановки!B50</f>
        <v>ул.Богуслав Поле</v>
      </c>
      <c r="B49" s="25" t="str">
        <f t="shared" si="3"/>
        <v>049</v>
      </c>
      <c r="D49" s="24" t="str">
        <f t="shared" si="2"/>
        <v>"ул.Богуслав Поле"</v>
      </c>
      <c r="E49" s="16" t="str">
        <f t="shared" si="4"/>
        <v>&lt;049&gt;ул.Богуслав Поле</v>
      </c>
    </row>
    <row r="50" spans="1:5" x14ac:dyDescent="0.25">
      <c r="A50" s="24" t="str">
        <f>Остановки!B51</f>
        <v>ул.Боровая</v>
      </c>
      <c r="B50" s="25" t="str">
        <f t="shared" si="3"/>
        <v>050</v>
      </c>
      <c r="D50" s="24" t="str">
        <f t="shared" si="2"/>
        <v>"   ул.Боровая   "</v>
      </c>
      <c r="E50" s="16" t="str">
        <f t="shared" si="4"/>
        <v xml:space="preserve">&lt;050&gt;   ул.Боровая   </v>
      </c>
    </row>
    <row r="51" spans="1:5" x14ac:dyDescent="0.25">
      <c r="A51" s="24" t="str">
        <f>Остановки!B52</f>
        <v>ул.Витебская</v>
      </c>
      <c r="B51" s="25" t="str">
        <f t="shared" si="3"/>
        <v>051</v>
      </c>
      <c r="D51" s="24" t="str">
        <f t="shared" si="2"/>
        <v>"  ул.Витебская  "</v>
      </c>
      <c r="E51" s="16" t="str">
        <f t="shared" si="4"/>
        <v xml:space="preserve">&lt;051&gt;  ул.Витебская  </v>
      </c>
    </row>
    <row r="52" spans="1:5" x14ac:dyDescent="0.25">
      <c r="A52" s="24" t="str">
        <f>Остановки!B53</f>
        <v>ул.Гагарина</v>
      </c>
      <c r="B52" s="25" t="str">
        <f t="shared" si="3"/>
        <v>052</v>
      </c>
      <c r="D52" s="24" t="str">
        <f t="shared" si="2"/>
        <v>"  ул.Гагарина   "</v>
      </c>
      <c r="E52" s="16" t="str">
        <f t="shared" si="4"/>
        <v xml:space="preserve">&lt;052&gt;  ул.Гагарина   </v>
      </c>
    </row>
    <row r="53" spans="1:5" x14ac:dyDescent="0.25">
      <c r="A53" s="24" t="str">
        <f>Остановки!B54</f>
        <v>ул.Дорожная</v>
      </c>
      <c r="B53" s="25" t="str">
        <f t="shared" si="3"/>
        <v>053</v>
      </c>
      <c r="D53" s="24" t="str">
        <f t="shared" si="2"/>
        <v>"  ул.Дорожная   "</v>
      </c>
      <c r="E53" s="16" t="str">
        <f t="shared" si="4"/>
        <v xml:space="preserve">&lt;053&gt;  ул.Дорожная   </v>
      </c>
    </row>
    <row r="54" spans="1:5" x14ac:dyDescent="0.25">
      <c r="A54" s="24" t="str">
        <f>Остановки!B55</f>
        <v>ул.Жодинская</v>
      </c>
      <c r="B54" s="25" t="str">
        <f t="shared" si="3"/>
        <v>054</v>
      </c>
      <c r="D54" s="24" t="str">
        <f t="shared" si="2"/>
        <v>"  ул.Жодинская  "</v>
      </c>
      <c r="E54" s="16" t="str">
        <f t="shared" si="4"/>
        <v xml:space="preserve">&lt;054&gt;  ул.Жодинская  </v>
      </c>
    </row>
    <row r="55" spans="1:5" x14ac:dyDescent="0.25">
      <c r="A55" s="24" t="str">
        <f>Остановки!B56</f>
        <v>ул.Калинина</v>
      </c>
      <c r="B55" s="25" t="str">
        <f t="shared" si="3"/>
        <v>055</v>
      </c>
      <c r="D55" s="24" t="str">
        <f t="shared" si="2"/>
        <v>"  ул.Калинина   "</v>
      </c>
      <c r="E55" s="16" t="str">
        <f t="shared" si="4"/>
        <v xml:space="preserve">&lt;055&gt;  ул.Калинина   </v>
      </c>
    </row>
    <row r="56" spans="1:5" x14ac:dyDescent="0.25">
      <c r="A56" s="24" t="str">
        <f>Остановки!B57</f>
        <v>ул.Куприянова</v>
      </c>
      <c r="B56" s="25" t="str">
        <f t="shared" si="3"/>
        <v>056</v>
      </c>
      <c r="D56" s="24" t="str">
        <f t="shared" si="2"/>
        <v>" ул.Куприянова  "</v>
      </c>
      <c r="E56" s="16" t="str">
        <f t="shared" si="4"/>
        <v xml:space="preserve">&lt;056&gt; ул.Куприянова  </v>
      </c>
    </row>
    <row r="57" spans="1:5" x14ac:dyDescent="0.25">
      <c r="A57" s="24" t="str">
        <f>Остановки!B58</f>
        <v>ул.Ленинградская</v>
      </c>
      <c r="B57" s="25" t="str">
        <f t="shared" si="3"/>
        <v>057</v>
      </c>
      <c r="D57" s="24" t="str">
        <f t="shared" si="2"/>
        <v>"ул.Ленинградская"</v>
      </c>
      <c r="E57" s="16" t="str">
        <f t="shared" si="4"/>
        <v>&lt;057&gt;ул.Ленинградская</v>
      </c>
    </row>
    <row r="58" spans="1:5" x14ac:dyDescent="0.25">
      <c r="A58" s="24" t="str">
        <f>Остановки!B59</f>
        <v>ул.Ленинская</v>
      </c>
      <c r="B58" s="25" t="str">
        <f t="shared" si="3"/>
        <v>058</v>
      </c>
      <c r="D58" s="24" t="str">
        <f t="shared" si="2"/>
        <v>"  ул.Ленинская  "</v>
      </c>
      <c r="E58" s="16" t="str">
        <f t="shared" si="4"/>
        <v xml:space="preserve">&lt;058&gt;  ул.Ленинская  </v>
      </c>
    </row>
    <row r="59" spans="1:5" x14ac:dyDescent="0.25">
      <c r="A59" s="24" t="str">
        <f>Остановки!B60</f>
        <v>ул.Лесная</v>
      </c>
      <c r="B59" s="25" t="str">
        <f t="shared" si="3"/>
        <v>059</v>
      </c>
      <c r="D59" s="24" t="str">
        <f t="shared" si="2"/>
        <v>"   ул.Лесная    "</v>
      </c>
      <c r="E59" s="16" t="str">
        <f t="shared" si="4"/>
        <v xml:space="preserve">&lt;059&gt;   ул.Лесная    </v>
      </c>
    </row>
    <row r="60" spans="1:5" x14ac:dyDescent="0.25">
      <c r="A60" s="24" t="str">
        <f>Остановки!B61</f>
        <v>ул.Логойская</v>
      </c>
      <c r="B60" s="25" t="str">
        <f t="shared" si="3"/>
        <v>060</v>
      </c>
      <c r="D60" s="24" t="str">
        <f t="shared" si="2"/>
        <v>"  ул.Логойская  "</v>
      </c>
      <c r="E60" s="16" t="str">
        <f t="shared" si="4"/>
        <v xml:space="preserve">&lt;060&gt;  ул.Логойская  </v>
      </c>
    </row>
    <row r="61" spans="1:5" x14ac:dyDescent="0.25">
      <c r="A61" s="24" t="str">
        <f>Остановки!B62</f>
        <v>ул.Логойская,21</v>
      </c>
      <c r="B61" s="25" t="str">
        <f t="shared" si="3"/>
        <v>061</v>
      </c>
      <c r="D61" s="24" t="str">
        <f t="shared" si="2"/>
        <v>"ул.Логойская,21 "</v>
      </c>
      <c r="E61" s="16" t="str">
        <f t="shared" si="4"/>
        <v xml:space="preserve">&lt;061&gt;ул.Логойская,21 </v>
      </c>
    </row>
    <row r="62" spans="1:5" x14ac:dyDescent="0.25">
      <c r="A62" s="24" t="str">
        <f>Остановки!B63</f>
        <v>ул.Логойская,23</v>
      </c>
      <c r="B62" s="25" t="str">
        <f t="shared" si="3"/>
        <v>062</v>
      </c>
      <c r="D62" s="24" t="str">
        <f t="shared" si="2"/>
        <v>"ул.Логойская,23 "</v>
      </c>
      <c r="E62" s="16" t="str">
        <f t="shared" si="4"/>
        <v xml:space="preserve">&lt;062&gt;ул.Логойская,23 </v>
      </c>
    </row>
    <row r="63" spans="1:5" x14ac:dyDescent="0.25">
      <c r="A63" s="24" t="str">
        <f>Остановки!B64</f>
        <v>ул.Магистральная</v>
      </c>
      <c r="B63" s="25" t="str">
        <f t="shared" si="3"/>
        <v>063</v>
      </c>
      <c r="D63" s="24" t="str">
        <f t="shared" si="2"/>
        <v>"ул.Магистральная"</v>
      </c>
      <c r="E63" s="16" t="str">
        <f t="shared" si="4"/>
        <v>&lt;063&gt;ул.Магистральная</v>
      </c>
    </row>
    <row r="64" spans="1:5" x14ac:dyDescent="0.25">
      <c r="A64" s="24" t="str">
        <f>Остановки!B65</f>
        <v>ул.Московская</v>
      </c>
      <c r="B64" s="25" t="str">
        <f t="shared" si="3"/>
        <v>064</v>
      </c>
      <c r="D64" s="24" t="str">
        <f t="shared" si="2"/>
        <v>" ул.Московская  "</v>
      </c>
      <c r="E64" s="16" t="str">
        <f t="shared" si="4"/>
        <v xml:space="preserve">&lt;064&gt; ул.Московская  </v>
      </c>
    </row>
    <row r="65" spans="1:5" x14ac:dyDescent="0.25">
      <c r="A65" s="24" t="str">
        <f>Остановки!B66</f>
        <v>ул.Нагорная</v>
      </c>
      <c r="B65" s="25" t="str">
        <f t="shared" si="3"/>
        <v>065</v>
      </c>
      <c r="D65" s="24" t="str">
        <f t="shared" si="2"/>
        <v>"  ул.Нагорная   "</v>
      </c>
      <c r="E65" s="16" t="str">
        <f t="shared" ref="E65:E84" si="6">"&lt;"&amp;B65&amp;"&gt;"&amp;LEFT(REPT(" ",8-LEN(A65)/2)&amp;A65&amp;REPT(" ",16),16)</f>
        <v xml:space="preserve">&lt;065&gt;  ул.Нагорная   </v>
      </c>
    </row>
    <row r="66" spans="1:5" x14ac:dyDescent="0.25">
      <c r="A66" s="24" t="str">
        <f>Остановки!B67</f>
        <v>ул.Новогрядская</v>
      </c>
      <c r="B66" s="25" t="str">
        <f t="shared" si="3"/>
        <v>066</v>
      </c>
      <c r="D66" s="24" t="str">
        <f t="shared" si="2"/>
        <v>"ул.Новогрядская "</v>
      </c>
      <c r="E66" s="16" t="str">
        <f t="shared" si="6"/>
        <v xml:space="preserve">&lt;066&gt;ул.Новогрядская </v>
      </c>
    </row>
    <row r="67" spans="1:5" x14ac:dyDescent="0.25">
      <c r="A67" s="24" t="str">
        <f>Остановки!B68</f>
        <v>ул.Островского</v>
      </c>
      <c r="B67" s="25" t="str">
        <f t="shared" si="3"/>
        <v>067</v>
      </c>
      <c r="D67" s="24" t="str">
        <f t="shared" si="2"/>
        <v>" ул.Островского "</v>
      </c>
      <c r="E67" s="16" t="str">
        <f t="shared" si="6"/>
        <v xml:space="preserve">&lt;067&gt; ул.Островского </v>
      </c>
    </row>
    <row r="68" spans="1:5" x14ac:dyDescent="0.25">
      <c r="A68" s="24" t="str">
        <f>Остановки!B69</f>
        <v>ул.Партизанская</v>
      </c>
      <c r="B68" s="25" t="str">
        <f t="shared" si="3"/>
        <v>068</v>
      </c>
      <c r="D68" s="24" t="str">
        <f t="shared" ref="D68:D79" si="7">""""&amp;LEFT(REPT(" ",8-LEN(A68)/2)&amp;A68&amp;REPT(" ",16),16)&amp;""""</f>
        <v>"ул.Партизанская "</v>
      </c>
      <c r="E68" s="16" t="str">
        <f t="shared" si="6"/>
        <v xml:space="preserve">&lt;068&gt;ул.Партизанская </v>
      </c>
    </row>
    <row r="69" spans="1:5" x14ac:dyDescent="0.25">
      <c r="A69" s="24" t="str">
        <f>Остановки!B70</f>
        <v>ул.Песчаная</v>
      </c>
      <c r="B69" s="25" t="str">
        <f t="shared" si="3"/>
        <v>069</v>
      </c>
      <c r="D69" s="24" t="str">
        <f t="shared" si="7"/>
        <v>"  ул.Песчаная   "</v>
      </c>
      <c r="E69" s="16" t="str">
        <f t="shared" si="6"/>
        <v xml:space="preserve">&lt;069&gt;  ул.Песчаная   </v>
      </c>
    </row>
    <row r="70" spans="1:5" x14ac:dyDescent="0.25">
      <c r="A70" s="24" t="str">
        <f>Остановки!B71</f>
        <v>ул.Родниковая</v>
      </c>
      <c r="B70" s="25" t="str">
        <f t="shared" ref="B70:B90" si="8">TEXT(ROW(B70),"000")</f>
        <v>070</v>
      </c>
      <c r="D70" s="24" t="str">
        <f t="shared" si="7"/>
        <v>" ул.Родниковая  "</v>
      </c>
      <c r="E70" s="16" t="str">
        <f t="shared" si="6"/>
        <v xml:space="preserve">&lt;070&gt; ул.Родниковая  </v>
      </c>
    </row>
    <row r="71" spans="1:5" x14ac:dyDescent="0.25">
      <c r="A71" s="24" t="str">
        <f>Остановки!B72</f>
        <v>ул.Рокоссовского</v>
      </c>
      <c r="B71" s="25" t="str">
        <f t="shared" si="8"/>
        <v>071</v>
      </c>
      <c r="D71" s="24" t="str">
        <f t="shared" si="7"/>
        <v>"ул.Рокоссовского"</v>
      </c>
      <c r="E71" s="16" t="str">
        <f t="shared" si="6"/>
        <v>&lt;071&gt;ул.Рокоссовского</v>
      </c>
    </row>
    <row r="72" spans="1:5" x14ac:dyDescent="0.25">
      <c r="A72" s="24" t="str">
        <f>Остановки!B73</f>
        <v>ул.Слуцкая</v>
      </c>
      <c r="B72" s="25" t="str">
        <f t="shared" si="8"/>
        <v>072</v>
      </c>
      <c r="D72" s="24" t="str">
        <f t="shared" si="7"/>
        <v>"   ул.Слуцкая   "</v>
      </c>
      <c r="E72" s="16" t="str">
        <f t="shared" si="6"/>
        <v xml:space="preserve">&lt;072&gt;   ул.Слуцкая   </v>
      </c>
    </row>
    <row r="73" spans="1:5" x14ac:dyDescent="0.25">
      <c r="A73" s="24" t="str">
        <f>Остановки!B74</f>
        <v>ул.Советская</v>
      </c>
      <c r="B73" s="25" t="str">
        <f t="shared" si="8"/>
        <v>073</v>
      </c>
      <c r="D73" s="24" t="str">
        <f t="shared" si="7"/>
        <v>"  ул.Советская  "</v>
      </c>
      <c r="E73" s="16" t="str">
        <f t="shared" si="6"/>
        <v xml:space="preserve">&lt;073&gt;  ул.Советская  </v>
      </c>
    </row>
    <row r="74" spans="1:5" x14ac:dyDescent="0.25">
      <c r="A74" s="24" t="str">
        <f>Остановки!B75</f>
        <v>ул.Солигорская</v>
      </c>
      <c r="B74" s="25" t="str">
        <f t="shared" si="8"/>
        <v>074</v>
      </c>
      <c r="D74" s="24" t="str">
        <f t="shared" si="7"/>
        <v>" ул.Солигорская "</v>
      </c>
      <c r="E74" s="16" t="str">
        <f t="shared" si="6"/>
        <v xml:space="preserve">&lt;074&gt; ул.Солигорская </v>
      </c>
    </row>
    <row r="75" spans="1:5" x14ac:dyDescent="0.25">
      <c r="A75" s="24" t="str">
        <f>Остановки!B76</f>
        <v>ул.Сосновая</v>
      </c>
      <c r="B75" s="25" t="str">
        <f t="shared" si="8"/>
        <v>075</v>
      </c>
      <c r="D75" s="24" t="str">
        <f t="shared" si="7"/>
        <v>"  ул.Сосновая   "</v>
      </c>
      <c r="E75" s="16" t="str">
        <f t="shared" si="6"/>
        <v xml:space="preserve">&lt;075&gt;  ул.Сосновая   </v>
      </c>
    </row>
    <row r="76" spans="1:5" x14ac:dyDescent="0.25">
      <c r="A76" s="24" t="str">
        <f>Остановки!B77</f>
        <v>ул.Сухогрядская</v>
      </c>
      <c r="B76" s="25" t="str">
        <f t="shared" si="8"/>
        <v>076</v>
      </c>
      <c r="D76" s="24" t="str">
        <f t="shared" si="7"/>
        <v>"ул.Сухогрядская "</v>
      </c>
      <c r="E76" s="16" t="str">
        <f t="shared" si="6"/>
        <v xml:space="preserve">&lt;076&gt;ул.Сухогрядская </v>
      </c>
    </row>
    <row r="77" spans="1:5" x14ac:dyDescent="0.25">
      <c r="A77" s="24" t="str">
        <f>Остановки!B78</f>
        <v>ул.Сырокваша</v>
      </c>
      <c r="B77" s="25" t="str">
        <f t="shared" si="8"/>
        <v>077</v>
      </c>
      <c r="D77" s="24" t="str">
        <f t="shared" si="7"/>
        <v>"  ул.Сырокваша  "</v>
      </c>
      <c r="E77" s="16" t="str">
        <f t="shared" si="6"/>
        <v xml:space="preserve">&lt;077&gt;  ул.Сырокваша  </v>
      </c>
    </row>
    <row r="78" spans="1:5" x14ac:dyDescent="0.25">
      <c r="A78" s="24" t="str">
        <f>Остановки!B79</f>
        <v>ул.Труда</v>
      </c>
      <c r="B78" s="25" t="str">
        <f t="shared" si="8"/>
        <v>078</v>
      </c>
      <c r="D78" s="24" t="str">
        <f t="shared" si="7"/>
        <v>"    ул.Труда    "</v>
      </c>
      <c r="E78" s="16" t="str">
        <f t="shared" si="6"/>
        <v xml:space="preserve">&lt;078&gt;    ул.Труда    </v>
      </c>
    </row>
    <row r="79" spans="1:5" x14ac:dyDescent="0.25">
      <c r="A79" s="24" t="str">
        <f>Остановки!B80</f>
        <v>ул.Юбилейная</v>
      </c>
      <c r="B79" s="25" t="str">
        <f t="shared" si="8"/>
        <v>079</v>
      </c>
      <c r="D79" s="24" t="str">
        <f t="shared" si="7"/>
        <v>"  ул.Юбилейная  "</v>
      </c>
      <c r="E79" s="16" t="str">
        <f t="shared" si="6"/>
        <v xml:space="preserve">&lt;079&gt;  ул.Юбилейная  </v>
      </c>
    </row>
    <row r="80" spans="1:5" x14ac:dyDescent="0.25">
      <c r="A80" s="24" t="str">
        <f>Остановки!B81</f>
        <v>Универсам</v>
      </c>
      <c r="B80" s="25" t="str">
        <f t="shared" si="8"/>
        <v>080</v>
      </c>
      <c r="D80" s="24" t="str">
        <f t="shared" ref="D80:D83" si="9">""""&amp;LEFT(REPT(" ",8-LEN(A80)/2)&amp;A80&amp;REPT(" ",16),16)&amp;""""</f>
        <v>"   Универсам    "</v>
      </c>
      <c r="E80" s="16" t="str">
        <f t="shared" si="6"/>
        <v xml:space="preserve">&lt;080&gt;   Универсам    </v>
      </c>
    </row>
    <row r="81" spans="1:5" x14ac:dyDescent="0.25">
      <c r="A81" s="24" t="str">
        <f>Остановки!B82</f>
        <v>Универмаг</v>
      </c>
      <c r="B81" s="25" t="str">
        <f t="shared" si="8"/>
        <v>081</v>
      </c>
      <c r="D81" s="24" t="str">
        <f t="shared" si="9"/>
        <v>"   Универмаг    "</v>
      </c>
      <c r="E81" s="16" t="str">
        <f t="shared" si="6"/>
        <v xml:space="preserve">&lt;081&gt;   Универмаг    </v>
      </c>
    </row>
    <row r="82" spans="1:5" x14ac:dyDescent="0.25">
      <c r="A82" s="24" t="str">
        <f>Остановки!B83</f>
        <v>Церковь</v>
      </c>
      <c r="B82" s="25" t="str">
        <f t="shared" si="8"/>
        <v>082</v>
      </c>
      <c r="D82" s="24" t="str">
        <f t="shared" si="9"/>
        <v>"    Церковь     "</v>
      </c>
      <c r="E82" s="16" t="str">
        <f t="shared" si="6"/>
        <v xml:space="preserve">&lt;082&gt;    Церковь     </v>
      </c>
    </row>
    <row r="83" spans="1:5" x14ac:dyDescent="0.25">
      <c r="A83" s="24" t="str">
        <f>Остановки!B84</f>
        <v>Электросети</v>
      </c>
      <c r="B83" s="25" t="str">
        <f t="shared" si="8"/>
        <v>083</v>
      </c>
      <c r="D83" s="24" t="str">
        <f t="shared" si="9"/>
        <v>"  Электросети   "</v>
      </c>
      <c r="E83" s="16" t="str">
        <f t="shared" si="6"/>
        <v xml:space="preserve">&lt;083&gt;  Электросети   </v>
      </c>
    </row>
    <row r="84" spans="1:5" x14ac:dyDescent="0.25">
      <c r="A84" s="24" t="s">
        <v>293</v>
      </c>
      <c r="B84" s="25" t="str">
        <f t="shared" si="8"/>
        <v>084</v>
      </c>
      <c r="D84" s="24" t="str">
        <f t="shared" ref="D84" si="10">""""&amp;LEFT(REPT(" ",8-LEN(A84)/2)&amp;A84&amp;REPT(" ",16),16)&amp;""""</f>
        <v>" 9-й микрорайон "</v>
      </c>
      <c r="E84" s="16" t="str">
        <f t="shared" si="6"/>
        <v xml:space="preserve">&lt;084&gt; 9-й микрорайон </v>
      </c>
    </row>
    <row r="86" spans="1:5" x14ac:dyDescent="0.25">
      <c r="A86" s="24" t="s">
        <v>378</v>
      </c>
      <c r="B86" s="25" t="str">
        <f t="shared" si="8"/>
        <v>086</v>
      </c>
      <c r="C86" s="25">
        <f>LEN(A86)</f>
        <v>64</v>
      </c>
      <c r="D86" s="24" t="str">
        <f>""""&amp;LEFT(A86&amp;REPT(" ",20),64)&amp;""""</f>
        <v>"Филиалу "Автомобильный парк №18 г. Жодино на постоянную работу т"</v>
      </c>
      <c r="E86" s="16" t="str">
        <f>"&lt;"&amp;B86&amp;"&gt;"&amp;LEFT(A86&amp;REPT(" ",20),64)</f>
        <v>&lt;086&gt;Филиалу "Автомобильный парк №18 г. Жодино на постоянную работу т</v>
      </c>
    </row>
    <row r="87" spans="1:5" x14ac:dyDescent="0.25">
      <c r="A87" s="24" t="s">
        <v>379</v>
      </c>
      <c r="B87" s="25" t="str">
        <f t="shared" si="8"/>
        <v>087</v>
      </c>
      <c r="C87" s="25">
        <f>LEN(A87)</f>
        <v>64</v>
      </c>
      <c r="D87" s="24" t="str">
        <f>""""&amp;LEFT(A87&amp;REPT(" ",20),64)&amp;""""</f>
        <v>"ребуются водители категории D. З/п от 800 до 1500 руб. Тел. 8 (0"</v>
      </c>
      <c r="E87" s="16" t="str">
        <f>"&lt;"&amp;B87&amp;"&gt;"&amp;LEFT(A87&amp;REPT(" ",20),64)</f>
        <v>&lt;087&gt;ребуются водители категории D. З/п от 800 до 1500 руб. Тел. 8 (0</v>
      </c>
    </row>
    <row r="88" spans="1:5" x14ac:dyDescent="0.25">
      <c r="A88" s="24" t="s">
        <v>380</v>
      </c>
      <c r="B88" s="25" t="str">
        <f t="shared" si="8"/>
        <v>088</v>
      </c>
      <c r="C88" s="25">
        <f>LEN(A88)</f>
        <v>18</v>
      </c>
      <c r="D88" s="24" t="str">
        <f>""""&amp;LEFT(A88&amp;REPT(" ",20),64)&amp;""""</f>
        <v>"1775) 66014, 66007                    "</v>
      </c>
      <c r="E88" s="16" t="str">
        <f>"&lt;"&amp;B88&amp;"&gt;"&amp;LEFT(A88&amp;REPT(" ",20),64)</f>
        <v xml:space="preserve">&lt;088&gt;1775) 66014, 66007                    </v>
      </c>
    </row>
    <row r="89" spans="1:5" x14ac:dyDescent="0.25">
      <c r="A89" s="24" t="s">
        <v>397</v>
      </c>
      <c r="B89" s="25" t="str">
        <f t="shared" si="8"/>
        <v>089</v>
      </c>
      <c r="C89" s="25">
        <f>LEN(A89)</f>
        <v>64</v>
      </c>
      <c r="D89" s="24" t="str">
        <f>""""&amp;LEFT(A89&amp;REPT(" ",20),64)&amp;""""</f>
        <v>"                    Госэнергогазнадзор предупреждает - ловля рыб"</v>
      </c>
      <c r="E89" s="16" t="str">
        <f>"&lt;"&amp;B89&amp;"&gt;"&amp;LEFT(A89&amp;REPT(" ",20),64)</f>
        <v>&lt;089&gt;                    Госэнергогазнадзор предупреждает - ловля рыб</v>
      </c>
    </row>
    <row r="90" spans="1:5" x14ac:dyDescent="0.25">
      <c r="A90" s="24" t="s">
        <v>398</v>
      </c>
      <c r="B90" s="25" t="str">
        <f t="shared" si="8"/>
        <v>090</v>
      </c>
      <c r="C90" s="25">
        <f>LEN(A90)</f>
        <v>53</v>
      </c>
      <c r="D90" s="24" t="str">
        <f>""""&amp;LEFT(A90&amp;REPT(" ",20),64)&amp;""""</f>
        <v>"ы в охранных зонах электропередач опасна для жизни!!!           "</v>
      </c>
      <c r="E90" s="16" t="str">
        <f>"&lt;"&amp;B90&amp;"&gt;"&amp;LEFT(A90&amp;REPT(" ",20),64)</f>
        <v xml:space="preserve">&lt;090&gt;ы в охранных зонах электропередач опасна для жизни!!!           </v>
      </c>
    </row>
  </sheetData>
  <sortState ref="A1:E70">
    <sortCondition ref="A1:A70"/>
  </sortState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E40"/>
  <sheetViews>
    <sheetView topLeftCell="A31" workbookViewId="0">
      <selection activeCell="E3" sqref="E3:E40"/>
    </sheetView>
  </sheetViews>
  <sheetFormatPr defaultRowHeight="14.3" x14ac:dyDescent="0.25"/>
  <cols>
    <col min="1" max="1" width="16.25" style="12" bestFit="1" customWidth="1"/>
    <col min="2" max="2" width="27.625" bestFit="1" customWidth="1"/>
    <col min="3" max="3" width="14" style="9" bestFit="1" customWidth="1"/>
    <col min="5" max="5" width="60.625" style="6" customWidth="1"/>
  </cols>
  <sheetData>
    <row r="1" spans="1:5" s="1" customFormat="1" x14ac:dyDescent="0.25">
      <c r="A1" s="10" t="s">
        <v>0</v>
      </c>
      <c r="B1" s="1" t="s">
        <v>1</v>
      </c>
      <c r="C1" s="7" t="s">
        <v>2</v>
      </c>
      <c r="E1" s="4" t="s">
        <v>8</v>
      </c>
    </row>
    <row r="2" spans="1:5" s="3" customFormat="1" ht="11.55" x14ac:dyDescent="0.2">
      <c r="A2" s="11" t="s">
        <v>73</v>
      </c>
      <c r="B2" s="3" t="s">
        <v>10</v>
      </c>
      <c r="C2" s="8" t="s">
        <v>9</v>
      </c>
      <c r="E2" s="5" t="s">
        <v>74</v>
      </c>
    </row>
    <row r="3" spans="1:5" x14ac:dyDescent="0.25">
      <c r="A3" s="12">
        <v>1</v>
      </c>
      <c r="B3" t="s">
        <v>11</v>
      </c>
      <c r="C3" s="9">
        <v>1</v>
      </c>
      <c r="E3" s="16" t="str">
        <f t="shared" ref="E3:E13" si="0">"&lt;type"&amp;TEXT(ROW()+NumRoute-3,"00")&amp;"&gt; """&amp;B3&amp;""" {"&amp;C3&amp;".ini}"</f>
        <v>&lt;type00&gt; "1 Труда - КЗТШ" {1.ini}</v>
      </c>
    </row>
    <row r="4" spans="1:5" x14ac:dyDescent="0.25">
      <c r="A4" s="12">
        <v>2</v>
      </c>
      <c r="B4" t="s">
        <v>27</v>
      </c>
      <c r="C4" s="9" t="s">
        <v>17</v>
      </c>
      <c r="E4" s="16" t="str">
        <f t="shared" si="0"/>
        <v>&lt;type01&gt; "2 Бажора-Пож. часть" {2.ini}</v>
      </c>
    </row>
    <row r="5" spans="1:5" x14ac:dyDescent="0.25">
      <c r="A5" s="12">
        <v>3</v>
      </c>
      <c r="B5" t="s">
        <v>402</v>
      </c>
      <c r="C5" s="9" t="s">
        <v>23</v>
      </c>
      <c r="E5" s="16" t="str">
        <f t="shared" si="0"/>
        <v>&lt;type02&gt; "3 Автостанция-Новогрядск." {3.ini}</v>
      </c>
    </row>
    <row r="6" spans="1:5" x14ac:dyDescent="0.25">
      <c r="A6" s="12">
        <v>4</v>
      </c>
      <c r="B6" t="s">
        <v>12</v>
      </c>
      <c r="C6" s="9" t="s">
        <v>18</v>
      </c>
      <c r="E6" s="16" t="str">
        <f t="shared" si="0"/>
        <v>&lt;type03&gt; "4 Советская-Косьё" {4.ini}</v>
      </c>
    </row>
    <row r="7" spans="1:5" x14ac:dyDescent="0.25">
      <c r="A7" s="12">
        <v>6</v>
      </c>
      <c r="B7" t="s">
        <v>28</v>
      </c>
      <c r="C7" s="9" t="s">
        <v>19</v>
      </c>
      <c r="E7" s="16" t="str">
        <f t="shared" si="0"/>
        <v>&lt;type04&gt; "6 Советск.-Пож.часть" {6.ini}</v>
      </c>
    </row>
    <row r="8" spans="1:5" x14ac:dyDescent="0.25">
      <c r="A8" s="12">
        <v>60</v>
      </c>
      <c r="B8" t="s">
        <v>364</v>
      </c>
      <c r="C8" s="9" t="s">
        <v>24</v>
      </c>
      <c r="E8" s="16" t="str">
        <f t="shared" si="0"/>
        <v>&lt;type05&gt; "6а 9 мр-н-Советск." {6a.ini}</v>
      </c>
    </row>
    <row r="9" spans="1:5" x14ac:dyDescent="0.25">
      <c r="A9" s="12">
        <v>8</v>
      </c>
      <c r="B9" t="s">
        <v>13</v>
      </c>
      <c r="C9" s="9" t="s">
        <v>20</v>
      </c>
      <c r="E9" s="16" t="str">
        <f t="shared" si="0"/>
        <v>&lt;type06&gt; "8 АС Жодино-КЗТШ" {8.ini}</v>
      </c>
    </row>
    <row r="10" spans="1:5" x14ac:dyDescent="0.25">
      <c r="A10" s="12">
        <v>80</v>
      </c>
      <c r="B10" t="s">
        <v>14</v>
      </c>
      <c r="C10" s="9" t="s">
        <v>25</v>
      </c>
      <c r="E10" s="16" t="str">
        <f t="shared" si="0"/>
        <v>&lt;type07&gt; "8a АС Жодино-КЗТШ" {8a.ini}</v>
      </c>
    </row>
    <row r="11" spans="1:5" x14ac:dyDescent="0.25">
      <c r="A11" s="12">
        <v>81</v>
      </c>
      <c r="B11" t="s">
        <v>15</v>
      </c>
      <c r="C11" s="9" t="s">
        <v>26</v>
      </c>
      <c r="E11" s="16" t="str">
        <f t="shared" si="0"/>
        <v>&lt;type08&gt; "8_ КЗТШ-АС Жодино" {8_.ini}</v>
      </c>
    </row>
    <row r="12" spans="1:5" x14ac:dyDescent="0.25">
      <c r="A12" s="12">
        <v>9</v>
      </c>
      <c r="B12" t="s">
        <v>16</v>
      </c>
      <c r="C12" s="9" t="s">
        <v>21</v>
      </c>
      <c r="E12" s="16" t="str">
        <f t="shared" si="0"/>
        <v>&lt;type09&gt; "9 Бажора-КЗТШ" {9.ini}</v>
      </c>
    </row>
    <row r="13" spans="1:5" x14ac:dyDescent="0.25">
      <c r="A13" s="12">
        <v>11</v>
      </c>
      <c r="B13" t="s">
        <v>29</v>
      </c>
      <c r="C13" s="9" t="s">
        <v>22</v>
      </c>
      <c r="E13" s="16" t="str">
        <f t="shared" si="0"/>
        <v>&lt;type10&gt; "11 Труда-Вост.кладб." {11.ini}</v>
      </c>
    </row>
    <row r="14" spans="1:5" x14ac:dyDescent="0.25">
      <c r="E14" s="16"/>
    </row>
    <row r="15" spans="1:5" x14ac:dyDescent="0.25">
      <c r="A15" s="12">
        <v>10</v>
      </c>
      <c r="B15" t="s">
        <v>50</v>
      </c>
      <c r="C15" s="9" t="s">
        <v>33</v>
      </c>
      <c r="E15" s="16" t="str">
        <f>"&lt;type"&amp;TEXT(ROW()+NumRoute-3,"00")&amp;"&gt; """&amp;B15&amp;""" {"&amp;C15&amp;".ini}"</f>
        <v>&lt;type12&gt; "Город 1 Смолевичи" {gor1smol.ini}</v>
      </c>
    </row>
    <row r="16" spans="1:5" x14ac:dyDescent="0.25">
      <c r="E16" s="16"/>
    </row>
    <row r="17" spans="1:5" x14ac:dyDescent="0.25">
      <c r="A17" s="12">
        <v>208</v>
      </c>
      <c r="B17" t="s">
        <v>6</v>
      </c>
      <c r="C17" s="9" t="s">
        <v>3</v>
      </c>
      <c r="E17" s="16" t="str">
        <f t="shared" ref="E17:E27" si="1">"&lt;type"&amp;TEXT(ROW()+NumRoute-3,"00")&amp;"&gt; """&amp;B17&amp;""" {"&amp;C17&amp;".ini}"</f>
        <v>&lt;type14&gt; "Барсуки" {barsuki.ini}</v>
      </c>
    </row>
    <row r="18" spans="1:5" x14ac:dyDescent="0.25">
      <c r="A18" s="12">
        <v>212</v>
      </c>
      <c r="B18" t="s">
        <v>56</v>
      </c>
      <c r="C18" s="9" t="s">
        <v>31</v>
      </c>
      <c r="E18" s="16" t="str">
        <f t="shared" si="1"/>
        <v>&lt;type15&gt; "Будагово" {budagovo.ini}</v>
      </c>
    </row>
    <row r="19" spans="1:5" x14ac:dyDescent="0.25">
      <c r="A19" s="12">
        <v>219</v>
      </c>
      <c r="B19" t="s">
        <v>7</v>
      </c>
      <c r="C19" s="9" t="s">
        <v>5</v>
      </c>
      <c r="E19" s="16" t="str">
        <f t="shared" si="1"/>
        <v>&lt;type16&gt; "Замлынье" {zamlinie.ini}</v>
      </c>
    </row>
    <row r="20" spans="1:5" x14ac:dyDescent="0.25">
      <c r="A20" s="12">
        <v>211</v>
      </c>
      <c r="B20" t="s">
        <v>70</v>
      </c>
      <c r="C20" s="9" t="s">
        <v>48</v>
      </c>
      <c r="E20" s="16" t="str">
        <f t="shared" si="1"/>
        <v>&lt;type17&gt; "Зеленый Бор" {zel_bor.ini}</v>
      </c>
    </row>
    <row r="21" spans="1:5" x14ac:dyDescent="0.25">
      <c r="A21" s="12">
        <v>197</v>
      </c>
      <c r="B21" t="s">
        <v>60</v>
      </c>
      <c r="C21" s="9" t="s">
        <v>36</v>
      </c>
      <c r="E21" s="16" t="str">
        <f t="shared" si="1"/>
        <v>&lt;type18&gt; "Логойск" {logoisk.ini}</v>
      </c>
    </row>
    <row r="22" spans="1:5" x14ac:dyDescent="0.25">
      <c r="A22" s="12">
        <v>204</v>
      </c>
      <c r="B22" t="s">
        <v>59</v>
      </c>
      <c r="C22" s="9" t="s">
        <v>35</v>
      </c>
      <c r="E22" s="16" t="str">
        <f t="shared" si="1"/>
        <v>&lt;type19&gt; "Лютка" {ljutka.ini}</v>
      </c>
    </row>
    <row r="23" spans="1:5" x14ac:dyDescent="0.25">
      <c r="A23" s="12">
        <v>205</v>
      </c>
      <c r="B23" t="s">
        <v>61</v>
      </c>
      <c r="C23" s="9" t="s">
        <v>37</v>
      </c>
      <c r="E23" s="16" t="str">
        <f t="shared" si="1"/>
        <v>&lt;type20&gt; "Напалки" {napalki.ini}</v>
      </c>
    </row>
    <row r="24" spans="1:5" x14ac:dyDescent="0.25">
      <c r="A24" s="12">
        <v>216</v>
      </c>
      <c r="B24" t="s">
        <v>65</v>
      </c>
      <c r="C24" s="9" t="s">
        <v>43</v>
      </c>
      <c r="E24" s="16" t="str">
        <f t="shared" si="1"/>
        <v>&lt;type21&gt; "Сутоки" {sutoki.ini}</v>
      </c>
    </row>
    <row r="25" spans="1:5" x14ac:dyDescent="0.25">
      <c r="A25" s="12">
        <v>209</v>
      </c>
      <c r="B25" t="s">
        <v>66</v>
      </c>
      <c r="C25" s="9" t="s">
        <v>44</v>
      </c>
      <c r="E25" s="16" t="str">
        <f t="shared" si="1"/>
        <v>&lt;type22&gt; "Точилище" {tochil.ini}</v>
      </c>
    </row>
    <row r="26" spans="1:5" x14ac:dyDescent="0.25">
      <c r="A26" s="12">
        <v>202</v>
      </c>
      <c r="B26" t="s">
        <v>67</v>
      </c>
      <c r="C26" s="9" t="s">
        <v>45</v>
      </c>
      <c r="E26" s="16" t="str">
        <f t="shared" si="1"/>
        <v>&lt;type23&gt; "Юзефово" {uzefovo.ini}</v>
      </c>
    </row>
    <row r="27" spans="1:5" x14ac:dyDescent="0.25">
      <c r="A27" s="12">
        <v>210</v>
      </c>
      <c r="B27" t="s">
        <v>58</v>
      </c>
      <c r="C27" s="9" t="s">
        <v>34</v>
      </c>
      <c r="E27" s="16" t="str">
        <f t="shared" si="1"/>
        <v>&lt;type24&gt; "Яловица" {jalov.ini}</v>
      </c>
    </row>
    <row r="28" spans="1:5" x14ac:dyDescent="0.25">
      <c r="E28" s="16"/>
    </row>
    <row r="29" spans="1:5" x14ac:dyDescent="0.25">
      <c r="A29" s="12">
        <v>207</v>
      </c>
      <c r="B29" t="s">
        <v>51</v>
      </c>
      <c r="C29" s="9" t="s">
        <v>30</v>
      </c>
      <c r="E29" s="16" t="str">
        <f t="shared" ref="E29:E34" si="2">"&lt;type"&amp;TEXT(ROW()+NumRoute-3,"00")&amp;"&gt; """&amp;B29&amp;""" {"&amp;C29&amp;".ini}"</f>
        <v>&lt;type26&gt; "с/т Автомобилист" {automob.ini}</v>
      </c>
    </row>
    <row r="30" spans="1:5" x14ac:dyDescent="0.25">
      <c r="A30" s="12">
        <v>214</v>
      </c>
      <c r="B30" t="s">
        <v>54</v>
      </c>
      <c r="C30" s="9" t="s">
        <v>49</v>
      </c>
      <c r="E30" s="16" t="str">
        <f t="shared" si="2"/>
        <v>&lt;type27&gt; "с/т Журавинка" {zhurav.ini}</v>
      </c>
    </row>
    <row r="31" spans="1:5" x14ac:dyDescent="0.25">
      <c r="A31" s="12">
        <v>614</v>
      </c>
      <c r="B31" t="s">
        <v>55</v>
      </c>
      <c r="C31" s="9" t="s">
        <v>38</v>
      </c>
      <c r="E31" s="16" t="str">
        <f t="shared" si="2"/>
        <v>&lt;type28&gt; "пов. с/т Журавинка" {pov_zur.ini}</v>
      </c>
    </row>
    <row r="32" spans="1:5" x14ac:dyDescent="0.25">
      <c r="A32" s="12">
        <v>201</v>
      </c>
      <c r="B32" t="s">
        <v>52</v>
      </c>
      <c r="C32" s="9" t="s">
        <v>4</v>
      </c>
      <c r="E32" s="16" t="str">
        <f t="shared" si="2"/>
        <v>&lt;type29&gt; "с/т Радуга" {raduga.ini}</v>
      </c>
    </row>
    <row r="33" spans="1:5" x14ac:dyDescent="0.25">
      <c r="A33" s="12">
        <v>213</v>
      </c>
      <c r="B33" t="s">
        <v>62</v>
      </c>
      <c r="C33" s="9" t="s">
        <v>39</v>
      </c>
      <c r="E33" s="16" t="str">
        <f t="shared" si="2"/>
        <v>&lt;type30&gt; "с/т Родничок" {rodnik.ini}</v>
      </c>
    </row>
    <row r="34" spans="1:5" x14ac:dyDescent="0.25">
      <c r="A34" s="12">
        <v>203</v>
      </c>
      <c r="B34" t="s">
        <v>53</v>
      </c>
      <c r="C34" s="9" t="s">
        <v>42</v>
      </c>
      <c r="E34" s="16" t="str">
        <f t="shared" si="2"/>
        <v>&lt;type31&gt; "с/т Строитель" {stroit.ini}</v>
      </c>
    </row>
    <row r="35" spans="1:5" x14ac:dyDescent="0.25">
      <c r="E35" s="16"/>
    </row>
    <row r="36" spans="1:5" x14ac:dyDescent="0.25">
      <c r="A36" s="12">
        <v>100</v>
      </c>
      <c r="B36" t="s">
        <v>63</v>
      </c>
      <c r="C36" s="9" t="s">
        <v>40</v>
      </c>
      <c r="E36" s="16" t="str">
        <f>"&lt;type"&amp;TEXT(ROW()+NumRoute-3,"00")&amp;"&gt; """&amp;B36&amp;""" {"&amp;C36&amp;".ini}"</f>
        <v>&lt;type33&gt; "СЛУЖЕБНЫЙ" {sluzhebn.ini}</v>
      </c>
    </row>
    <row r="37" spans="1:5" x14ac:dyDescent="0.25">
      <c r="A37" s="12">
        <v>101</v>
      </c>
      <c r="B37" t="s">
        <v>69</v>
      </c>
      <c r="C37" s="9" t="s">
        <v>47</v>
      </c>
      <c r="E37" s="16" t="str">
        <f>"&lt;type"&amp;TEXT(ROW()+NumRoute-3,"00")&amp;"&gt; """&amp;B37&amp;""" {"&amp;C37&amp;".ini}"</f>
        <v>&lt;type34&gt; "ЗАКАЗНОЙ" {zakaz.ini}</v>
      </c>
    </row>
    <row r="38" spans="1:5" x14ac:dyDescent="0.25">
      <c r="A38" s="12">
        <v>102</v>
      </c>
      <c r="B38" t="s">
        <v>64</v>
      </c>
      <c r="C38" s="9" t="s">
        <v>41</v>
      </c>
      <c r="E38" s="16" t="str">
        <f>"&lt;type"&amp;TEXT(ROW()+NumRoute-3,"00")&amp;"&gt; """&amp;B38&amp;""" {"&amp;C38&amp;".ini}"</f>
        <v>&lt;type35&gt; "СНЕКПРО" {snekpro.ini}</v>
      </c>
    </row>
    <row r="39" spans="1:5" x14ac:dyDescent="0.25">
      <c r="A39" s="12">
        <v>103</v>
      </c>
      <c r="B39" t="s">
        <v>57</v>
      </c>
      <c r="C39" s="9" t="s">
        <v>32</v>
      </c>
      <c r="E39" s="16" t="str">
        <f>"&lt;type"&amp;TEXT(ROW()+NumRoute-3,"00")&amp;"&gt; """&amp;B39&amp;""" {"&amp;C39&amp;".ini}"</f>
        <v>&lt;type36&gt; "ДЕТИ" {deti.ini}</v>
      </c>
    </row>
    <row r="40" spans="1:5" x14ac:dyDescent="0.25">
      <c r="A40" s="12">
        <v>104</v>
      </c>
      <c r="B40" t="s">
        <v>68</v>
      </c>
      <c r="C40" s="9" t="s">
        <v>46</v>
      </c>
      <c r="E40" s="16" t="str">
        <f>"&lt;type"&amp;TEXT(ROW()+NumRoute-3,"00")&amp;"&gt; """&amp;B40&amp;""" {"&amp;C40&amp;".ini}"</f>
        <v>&lt;type37&gt; "В ПАРК" {v_park.ini}</v>
      </c>
    </row>
  </sheetData>
  <sortState ref="B19:F29">
    <sortCondition ref="B19:B29"/>
  </sortState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ignoredErrors>
    <ignoredError sqref="C4:C6 C7:C8 C9:C13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5"/>
  <dimension ref="A1:M125"/>
  <sheetViews>
    <sheetView topLeftCell="B1" workbookViewId="0">
      <pane ySplit="2" topLeftCell="A93" activePane="bottomLeft" state="frozen"/>
      <selection activeCell="B1" sqref="B1"/>
      <selection pane="bottomLeft" activeCell="G61" sqref="G61:G107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7.875" style="45" hidden="1" customWidth="1"/>
    <col min="10" max="11" width="15.125" style="45" hidden="1" customWidth="1"/>
    <col min="12" max="12" width="8.5" style="40" customWidth="1"/>
    <col min="13" max="13" width="74.25" style="42" bestFit="1" customWidth="1"/>
    <col min="14" max="16384" width="9" style="44"/>
  </cols>
  <sheetData>
    <row r="1" spans="1:13" s="38" customFormat="1" x14ac:dyDescent="0.25">
      <c r="A1" s="32" t="s">
        <v>75</v>
      </c>
      <c r="B1" s="33">
        <v>3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5"/>
      <c r="M1" s="37" t="s">
        <v>8</v>
      </c>
    </row>
    <row r="2" spans="1:13" s="39" customFormat="1" x14ac:dyDescent="0.25">
      <c r="A2" s="39">
        <f ca="1">INDIRECT(ADDRESS($B$1,3,4,1,"route"))</f>
        <v>1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0"/>
      <c r="M2" s="41" t="str">
        <f ca="1">"&lt;unit"&amp;NomZagMar&amp;"&gt; """&amp;$A$3&amp;""""&amp;" {i 0, t 002, l "&amp;$A$4&amp;" "&amp;$A$4&amp;", d 000}"</f>
        <v>&lt;unit500&gt; "1 Труда - КЗТШ" {i 0, t 002, l 001 001, d 000}</v>
      </c>
    </row>
    <row r="3" spans="1:13" s="39" customFormat="1" x14ac:dyDescent="0.25">
      <c r="A3" s="39" t="str">
        <f ca="1">INDIRECT(ADDRESS($B$1,2,4,1,"route"))</f>
        <v>1 Труда - КЗТШ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0"/>
      <c r="M3" s="42" t="str">
        <f>"&lt;unit"&amp;TEXT(B3,"000")&amp;"&gt; """&amp;E3&amp;""" {d 000, n "&amp;TEXT(G3,"000")&amp;"}"</f>
        <v>&lt;unit003&gt; "Прямой" {d 000, n 008}</v>
      </c>
    </row>
    <row r="4" spans="1:13" s="39" customFormat="1" x14ac:dyDescent="0.25">
      <c r="A4" s="39" t="str">
        <f ca="1">TEXT(INDIRECT(ADDRESS($B$1,1,4,1,"route")),"000")</f>
        <v>001</v>
      </c>
      <c r="B4" s="39">
        <f>ROW(B4)</f>
        <v>4</v>
      </c>
      <c r="E4" s="39" t="s">
        <v>323</v>
      </c>
      <c r="G4" s="40">
        <f>B60</f>
        <v>60</v>
      </c>
      <c r="H4" s="40"/>
      <c r="I4" s="40"/>
      <c r="J4" s="40"/>
      <c r="K4" s="40"/>
      <c r="L4" s="40"/>
      <c r="M4" s="42" t="str">
        <f>"&lt;unit"&amp;TEXT(B4,"000")&amp;"&gt; """&amp;E4&amp;""" {d 000, n "&amp;TEXT(G4,"000")&amp;"}"</f>
        <v>&lt;unit004&gt; "Обратный" {d 000, n 060}</v>
      </c>
    </row>
    <row r="5" spans="1:13" s="39" customFormat="1" x14ac:dyDescent="0.25">
      <c r="G5" s="40"/>
      <c r="H5" s="40"/>
      <c r="I5" s="40"/>
      <c r="J5" s="40"/>
      <c r="K5" s="40"/>
      <c r="L5" s="40"/>
      <c r="M5" s="42"/>
    </row>
    <row r="6" spans="1:13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0"/>
      <c r="M6" s="42" t="str">
        <f>"&lt;unit"&amp;TEXT(B6,"000")&amp;"&gt; """&amp;E6&amp;""" {d 000, n "&amp;TEXT(G6,"000")&amp;"}"</f>
        <v>&lt;unit006&gt; "----- Прямой -----" {d 000, n 008}</v>
      </c>
    </row>
    <row r="7" spans="1:13" s="39" customFormat="1" x14ac:dyDescent="0.25">
      <c r="G7" s="40"/>
      <c r="H7" s="40"/>
      <c r="I7" s="40"/>
      <c r="J7" s="40"/>
      <c r="K7" s="40"/>
      <c r="L7" s="40"/>
      <c r="M7" s="42"/>
    </row>
    <row r="8" spans="1:13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279</v>
      </c>
      <c r="G8" s="45">
        <f t="shared" ref="G8:G55" si="0">B9</f>
        <v>9</v>
      </c>
      <c r="H8" s="40" t="str">
        <f t="shared" ref="H8:H56" si="1">IFERROR("p "&amp;VLOOKUP(E8,Tablo_Tab,2,FALSE),"")</f>
        <v>p 078</v>
      </c>
      <c r="I8" s="45" t="str">
        <f t="shared" ref="I8:I56" si="2">IFERROR("c "&amp;VLOOKUP(C8,Punkti,2,FALSE),"")</f>
        <v>c 902</v>
      </c>
      <c r="J8" s="46" t="str">
        <f t="shared" ref="J8:J56" si="3">IFERROR(VLOOKUP(E8,Ostanovki,7,FALSE),"")</f>
        <v>c 928, v "\mp3_ost\truda.mp3"</v>
      </c>
      <c r="K8" s="46"/>
      <c r="L8" s="40" t="str">
        <f t="shared" ref="L8:L39" si="4">IFERROR("c "&amp;VLOOKUP(F8,Punkti,2,FALSE),"")</f>
        <v/>
      </c>
      <c r="M8" s="42" t="str">
        <f t="shared" ref="M8:M39" si="5">"&lt;unit"&amp;TEXT(B8,"000")&amp;"&gt; """&amp;СцепитьМного(D8:E8,"")&amp;""" {e, "&amp;СцепитьМного(H8:L8,", ")&amp;", d 000, n "&amp;TEXT(G8,"000")&amp;"}"</f>
        <v>&lt;unit008&gt; "ул.Труда" {e, p 078, c 902, c 928, v "\mp3_ost\truda.mp3", d 000, n 009}</v>
      </c>
    </row>
    <row r="9" spans="1:13" x14ac:dyDescent="0.25">
      <c r="B9" s="44">
        <f t="shared" ref="B9:B56" si="6">ROW(B9)</f>
        <v>9</v>
      </c>
      <c r="C9" s="44" t="s">
        <v>329</v>
      </c>
      <c r="D9" s="39" t="str">
        <f>IF(I9="c 900","&gt;&gt;","")</f>
        <v>&gt;&gt;</v>
      </c>
      <c r="E9" s="44" t="s">
        <v>202</v>
      </c>
      <c r="F9" s="44" t="s">
        <v>381</v>
      </c>
      <c r="G9" s="45">
        <f t="shared" si="0"/>
        <v>10</v>
      </c>
      <c r="H9" s="40" t="str">
        <f t="shared" si="1"/>
        <v>p 083</v>
      </c>
      <c r="I9" s="45" t="str">
        <f t="shared" si="2"/>
        <v>c 900</v>
      </c>
      <c r="J9" s="46" t="str">
        <f t="shared" si="3"/>
        <v>v "\mp3_ost\elseti.mp3"</v>
      </c>
      <c r="K9" s="46"/>
      <c r="L9" s="40" t="str">
        <f t="shared" si="4"/>
        <v>c 930</v>
      </c>
      <c r="M9" s="42" t="str">
        <f t="shared" si="5"/>
        <v>&lt;unit009&gt; "&gt;&gt;Электросети" {e, p 083, c 900, v "\mp3_ost\elseti.mp3", c 930, d 000, n 010}</v>
      </c>
    </row>
    <row r="10" spans="1:13" x14ac:dyDescent="0.25">
      <c r="B10" s="44">
        <f t="shared" si="6"/>
        <v>10</v>
      </c>
      <c r="C10" s="44" t="s">
        <v>79</v>
      </c>
      <c r="D10" s="39" t="str">
        <f t="shared" ref="D10:D56" si="7">IF(I10="c 900","&gt;&gt;","")</f>
        <v/>
      </c>
      <c r="E10" s="44" t="s">
        <v>202</v>
      </c>
      <c r="G10" s="45">
        <f t="shared" si="0"/>
        <v>11</v>
      </c>
      <c r="H10" s="40" t="str">
        <f t="shared" si="1"/>
        <v>p 083</v>
      </c>
      <c r="I10" s="45" t="str">
        <f t="shared" si="2"/>
        <v>c 902</v>
      </c>
      <c r="J10" s="46" t="str">
        <f t="shared" si="3"/>
        <v>v "\mp3_ost\elseti.mp3"</v>
      </c>
      <c r="K10" s="46"/>
      <c r="L10" s="40" t="str">
        <f t="shared" si="4"/>
        <v/>
      </c>
      <c r="M10" s="42" t="str">
        <f t="shared" si="5"/>
        <v>&lt;unit010&gt; "Электросети" {e, p 083, c 902, v "\mp3_ost\elseti.mp3", d 000, n 011}</v>
      </c>
    </row>
    <row r="11" spans="1:13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E11" s="44" t="s">
        <v>271</v>
      </c>
      <c r="F11" s="44" t="s">
        <v>381</v>
      </c>
      <c r="G11" s="45">
        <f t="shared" si="0"/>
        <v>12</v>
      </c>
      <c r="H11" s="40" t="str">
        <f t="shared" si="1"/>
        <v>p 056</v>
      </c>
      <c r="I11" s="45" t="str">
        <f t="shared" si="2"/>
        <v>c 900</v>
      </c>
      <c r="J11" s="46" t="str">
        <f t="shared" si="3"/>
        <v>c 928, v "\mp3_ost\kupriyan.mp3"</v>
      </c>
      <c r="K11" s="46"/>
      <c r="L11" s="40" t="str">
        <f t="shared" si="4"/>
        <v>c 930</v>
      </c>
      <c r="M11" s="42" t="str">
        <f t="shared" si="5"/>
        <v>&lt;unit011&gt; "&gt;&gt;ул.Куприянова" {e, p 056, c 900, c 928, v "\mp3_ost\kupriyan.mp3", c 930, d 000, n 012}</v>
      </c>
    </row>
    <row r="12" spans="1:13" x14ac:dyDescent="0.25">
      <c r="B12" s="44">
        <f t="shared" si="6"/>
        <v>12</v>
      </c>
      <c r="C12" s="44" t="s">
        <v>79</v>
      </c>
      <c r="D12" s="39" t="str">
        <f t="shared" si="7"/>
        <v/>
      </c>
      <c r="E12" s="44" t="s">
        <v>271</v>
      </c>
      <c r="G12" s="45">
        <f t="shared" si="0"/>
        <v>13</v>
      </c>
      <c r="H12" s="40" t="str">
        <f t="shared" si="1"/>
        <v>p 056</v>
      </c>
      <c r="I12" s="45" t="str">
        <f t="shared" si="2"/>
        <v>c 902</v>
      </c>
      <c r="J12" s="46" t="str">
        <f t="shared" si="3"/>
        <v>c 928, v "\mp3_ost\kupriyan.mp3"</v>
      </c>
      <c r="K12" s="46"/>
      <c r="L12" s="40" t="str">
        <f t="shared" si="4"/>
        <v/>
      </c>
      <c r="M12" s="42" t="str">
        <f t="shared" si="5"/>
        <v>&lt;unit012&gt; "ул.Куприянова" {e, p 056, c 902, c 928, v "\mp3_ost\kupriyan.mp3", d 000, n 013}</v>
      </c>
    </row>
    <row r="13" spans="1:13" x14ac:dyDescent="0.25">
      <c r="B13" s="44">
        <f t="shared" si="6"/>
        <v>13</v>
      </c>
      <c r="C13" s="44" t="s">
        <v>329</v>
      </c>
      <c r="D13" s="39" t="str">
        <f t="shared" si="7"/>
        <v>&gt;&gt;</v>
      </c>
      <c r="E13" s="44" t="s">
        <v>253</v>
      </c>
      <c r="F13" s="44" t="s">
        <v>381</v>
      </c>
      <c r="G13" s="45">
        <f t="shared" si="0"/>
        <v>14</v>
      </c>
      <c r="H13" s="40" t="str">
        <f t="shared" si="1"/>
        <v>p 042</v>
      </c>
      <c r="I13" s="45" t="str">
        <f t="shared" si="2"/>
        <v>c 900</v>
      </c>
      <c r="J13" s="46" t="str">
        <f t="shared" si="3"/>
        <v>v "\mp3_ost\tec.mp3"</v>
      </c>
      <c r="K13" s="46"/>
      <c r="L13" s="40" t="str">
        <f t="shared" si="4"/>
        <v>c 930</v>
      </c>
      <c r="M13" s="42" t="str">
        <f t="shared" si="5"/>
        <v>&lt;unit013&gt; "&gt;&gt;ТЭЦ" {e, p 042, c 900, v "\mp3_ost\tec.mp3", c 930, d 000, n 014}</v>
      </c>
    </row>
    <row r="14" spans="1:13" x14ac:dyDescent="0.25">
      <c r="B14" s="44">
        <f t="shared" si="6"/>
        <v>14</v>
      </c>
      <c r="C14" s="44" t="s">
        <v>79</v>
      </c>
      <c r="D14" s="39" t="str">
        <f t="shared" si="7"/>
        <v/>
      </c>
      <c r="E14" s="44" t="s">
        <v>253</v>
      </c>
      <c r="G14" s="45">
        <f t="shared" si="0"/>
        <v>15</v>
      </c>
      <c r="H14" s="40" t="str">
        <f t="shared" si="1"/>
        <v>p 042</v>
      </c>
      <c r="I14" s="45" t="str">
        <f t="shared" si="2"/>
        <v>c 902</v>
      </c>
      <c r="J14" s="46" t="str">
        <f t="shared" si="3"/>
        <v>v "\mp3_ost\tec.mp3"</v>
      </c>
      <c r="K14" s="46"/>
      <c r="L14" s="40" t="str">
        <f t="shared" si="4"/>
        <v/>
      </c>
      <c r="M14" s="42" t="str">
        <f t="shared" si="5"/>
        <v>&lt;unit014&gt; "ТЭЦ" {e, p 042, c 902, v "\mp3_ost\tec.mp3", d 000, n 015}</v>
      </c>
    </row>
    <row r="15" spans="1:13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E15" s="44" t="s">
        <v>346</v>
      </c>
      <c r="F15" s="44" t="s">
        <v>381</v>
      </c>
      <c r="G15" s="45">
        <f t="shared" si="0"/>
        <v>16</v>
      </c>
      <c r="H15" s="40" t="str">
        <f t="shared" si="1"/>
        <v>p 054</v>
      </c>
      <c r="I15" s="45" t="str">
        <f t="shared" si="2"/>
        <v>c 900</v>
      </c>
      <c r="J15" s="46" t="str">
        <f t="shared" si="3"/>
        <v>c 928, v "\mp3_ost\zhodinsk.mp3"</v>
      </c>
      <c r="K15" s="46"/>
      <c r="L15" s="40" t="str">
        <f t="shared" si="4"/>
        <v>c 930</v>
      </c>
      <c r="M15" s="42" t="str">
        <f t="shared" si="5"/>
        <v>&lt;unit015&gt; "&gt;&gt;ул.Жодинская" {e, p 054, c 900, c 928, v "\mp3_ost\zhodinsk.mp3", c 930, d 000, n 016}</v>
      </c>
    </row>
    <row r="16" spans="1:13" x14ac:dyDescent="0.25">
      <c r="B16" s="44">
        <f t="shared" si="6"/>
        <v>16</v>
      </c>
      <c r="C16" s="44" t="s">
        <v>79</v>
      </c>
      <c r="D16" s="39" t="str">
        <f t="shared" si="7"/>
        <v/>
      </c>
      <c r="E16" s="44" t="s">
        <v>346</v>
      </c>
      <c r="G16" s="45">
        <f t="shared" si="0"/>
        <v>17</v>
      </c>
      <c r="H16" s="40" t="str">
        <f t="shared" si="1"/>
        <v>p 054</v>
      </c>
      <c r="I16" s="45" t="str">
        <f t="shared" si="2"/>
        <v>c 902</v>
      </c>
      <c r="J16" s="46" t="str">
        <f t="shared" si="3"/>
        <v>c 928, v "\mp3_ost\zhodinsk.mp3"</v>
      </c>
      <c r="K16" s="46"/>
      <c r="L16" s="40" t="str">
        <f t="shared" si="4"/>
        <v/>
      </c>
      <c r="M16" s="42" t="str">
        <f t="shared" si="5"/>
        <v>&lt;unit016&gt; "ул.Жодинская" {e, p 054, c 902, c 928, v "\mp3_ost\zhodinsk.mp3", d 000, n 017}</v>
      </c>
    </row>
    <row r="17" spans="2:13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E17" s="44" t="s">
        <v>163</v>
      </c>
      <c r="F17" s="44" t="s">
        <v>381</v>
      </c>
      <c r="G17" s="45">
        <f t="shared" si="0"/>
        <v>18</v>
      </c>
      <c r="H17" s="40" t="str">
        <f t="shared" si="1"/>
        <v>p 010</v>
      </c>
      <c r="I17" s="45" t="str">
        <f t="shared" si="2"/>
        <v>c 900</v>
      </c>
      <c r="J17" s="46" t="str">
        <f t="shared" si="3"/>
        <v>v "\mp3_ost\jd.mp3"</v>
      </c>
      <c r="K17" s="46"/>
      <c r="L17" s="40" t="str">
        <f t="shared" si="4"/>
        <v>c 930</v>
      </c>
      <c r="M17" s="42" t="str">
        <f t="shared" si="5"/>
        <v>&lt;unit017&gt; "&gt;&gt;ЖД Вокзал" {e, p 010, c 900, v "\mp3_ost\jd.mp3", c 930, d 000, n 018}</v>
      </c>
    </row>
    <row r="18" spans="2:13" x14ac:dyDescent="0.25">
      <c r="B18" s="44">
        <f t="shared" si="6"/>
        <v>18</v>
      </c>
      <c r="C18" s="44" t="s">
        <v>79</v>
      </c>
      <c r="D18" s="39" t="str">
        <f t="shared" si="7"/>
        <v/>
      </c>
      <c r="E18" s="44" t="s">
        <v>163</v>
      </c>
      <c r="G18" s="45">
        <f t="shared" si="0"/>
        <v>19</v>
      </c>
      <c r="H18" s="40" t="str">
        <f t="shared" si="1"/>
        <v>p 010</v>
      </c>
      <c r="I18" s="45" t="str">
        <f t="shared" si="2"/>
        <v>c 902</v>
      </c>
      <c r="J18" s="46" t="str">
        <f t="shared" si="3"/>
        <v>v "\mp3_ost\jd.mp3"</v>
      </c>
      <c r="K18" s="46"/>
      <c r="L18" s="40" t="str">
        <f t="shared" si="4"/>
        <v/>
      </c>
      <c r="M18" s="42" t="str">
        <f t="shared" si="5"/>
        <v>&lt;unit018&gt; "ЖД Вокзал" {e, p 010, c 902, v "\mp3_ost\jd.mp3", d 000, n 019}</v>
      </c>
    </row>
    <row r="19" spans="2:13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E19" s="44" t="s">
        <v>166</v>
      </c>
      <c r="F19" s="44" t="s">
        <v>381</v>
      </c>
      <c r="G19" s="45">
        <f t="shared" si="0"/>
        <v>20</v>
      </c>
      <c r="H19" s="40" t="str">
        <f t="shared" si="1"/>
        <v>p 068</v>
      </c>
      <c r="I19" s="45" t="str">
        <f t="shared" si="2"/>
        <v>c 900</v>
      </c>
      <c r="J19" s="46" t="str">
        <f t="shared" si="3"/>
        <v>c 928, v "\mp3_ost\partizan.mp3"</v>
      </c>
      <c r="K19" s="46"/>
      <c r="L19" s="40" t="str">
        <f t="shared" si="4"/>
        <v>c 930</v>
      </c>
      <c r="M19" s="42" t="str">
        <f t="shared" si="5"/>
        <v>&lt;unit019&gt; "&gt;&gt;ул.Партизанская" {e, p 068, c 900, c 928, v "\mp3_ost\partizan.mp3", c 930, d 000, n 020}</v>
      </c>
    </row>
    <row r="20" spans="2:13" x14ac:dyDescent="0.25">
      <c r="B20" s="44">
        <f t="shared" si="6"/>
        <v>20</v>
      </c>
      <c r="C20" s="44" t="s">
        <v>79</v>
      </c>
      <c r="D20" s="39" t="str">
        <f t="shared" si="7"/>
        <v/>
      </c>
      <c r="E20" s="44" t="s">
        <v>166</v>
      </c>
      <c r="G20" s="45">
        <f t="shared" si="0"/>
        <v>21</v>
      </c>
      <c r="H20" s="40" t="str">
        <f t="shared" si="1"/>
        <v>p 068</v>
      </c>
      <c r="I20" s="45" t="str">
        <f t="shared" si="2"/>
        <v>c 902</v>
      </c>
      <c r="J20" s="46" t="str">
        <f t="shared" si="3"/>
        <v>c 928, v "\mp3_ost\partizan.mp3"</v>
      </c>
      <c r="K20" s="46"/>
      <c r="L20" s="40" t="str">
        <f t="shared" si="4"/>
        <v/>
      </c>
      <c r="M20" s="42" t="str">
        <f t="shared" si="5"/>
        <v>&lt;unit020&gt; "ул.Партизанская" {e, p 068, c 902, c 928, v "\mp3_ost\partizan.mp3", d 000, n 021}</v>
      </c>
    </row>
    <row r="21" spans="2:13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E21" s="44" t="s">
        <v>165</v>
      </c>
      <c r="F21" s="44" t="s">
        <v>381</v>
      </c>
      <c r="G21" s="45">
        <f t="shared" si="0"/>
        <v>22</v>
      </c>
      <c r="H21" s="40" t="str">
        <f t="shared" si="1"/>
        <v>p 064</v>
      </c>
      <c r="I21" s="45" t="str">
        <f t="shared" si="2"/>
        <v>c 900</v>
      </c>
      <c r="J21" s="46" t="str">
        <f t="shared" si="3"/>
        <v>c 928, v "\mp3_ost\moskovsk.mp3"</v>
      </c>
      <c r="K21" s="46"/>
      <c r="L21" s="40" t="str">
        <f t="shared" si="4"/>
        <v>c 930</v>
      </c>
      <c r="M21" s="42" t="str">
        <f t="shared" si="5"/>
        <v>&lt;unit021&gt; "&gt;&gt;ул.Московская" {e, p 064, c 900, c 928, v "\mp3_ost\moskovsk.mp3", c 930, d 000, n 022}</v>
      </c>
    </row>
    <row r="22" spans="2:13" x14ac:dyDescent="0.25">
      <c r="B22" s="44">
        <f t="shared" si="6"/>
        <v>22</v>
      </c>
      <c r="C22" s="44" t="s">
        <v>79</v>
      </c>
      <c r="D22" s="39" t="str">
        <f t="shared" si="7"/>
        <v/>
      </c>
      <c r="E22" s="44" t="s">
        <v>165</v>
      </c>
      <c r="G22" s="45">
        <f t="shared" si="0"/>
        <v>23</v>
      </c>
      <c r="H22" s="40" t="str">
        <f t="shared" si="1"/>
        <v>p 064</v>
      </c>
      <c r="I22" s="45" t="str">
        <f t="shared" si="2"/>
        <v>c 902</v>
      </c>
      <c r="J22" s="46" t="str">
        <f t="shared" si="3"/>
        <v>c 928, v "\mp3_ost\moskovsk.mp3"</v>
      </c>
      <c r="K22" s="46"/>
      <c r="L22" s="40" t="str">
        <f t="shared" si="4"/>
        <v/>
      </c>
      <c r="M22" s="42" t="str">
        <f t="shared" si="5"/>
        <v>&lt;unit022&gt; "ул.Московская" {e, p 064, c 902, c 928, v "\mp3_ost\moskovsk.mp3", d 000, n 023}</v>
      </c>
    </row>
    <row r="23" spans="2:13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E23" s="44" t="s">
        <v>167</v>
      </c>
      <c r="F23" s="44" t="s">
        <v>381</v>
      </c>
      <c r="G23" s="45">
        <f t="shared" si="0"/>
        <v>24</v>
      </c>
      <c r="H23" s="40" t="str">
        <f t="shared" si="1"/>
        <v>p 077</v>
      </c>
      <c r="I23" s="45" t="str">
        <f t="shared" si="2"/>
        <v>c 900</v>
      </c>
      <c r="J23" s="46" t="str">
        <f t="shared" si="3"/>
        <v>c 928, v "\mp3_ost\swrokvas.mp3"</v>
      </c>
      <c r="K23" s="46"/>
      <c r="L23" s="40" t="str">
        <f t="shared" si="4"/>
        <v>c 930</v>
      </c>
      <c r="M23" s="42" t="str">
        <f t="shared" si="5"/>
        <v>&lt;unit023&gt; "&gt;&gt;ул.Сырокваша" {e, p 077, c 900, c 928, v "\mp3_ost\swrokvas.mp3", c 930, d 000, n 024}</v>
      </c>
    </row>
    <row r="24" spans="2:13" x14ac:dyDescent="0.25">
      <c r="B24" s="44">
        <f t="shared" si="6"/>
        <v>24</v>
      </c>
      <c r="C24" s="44" t="s">
        <v>79</v>
      </c>
      <c r="D24" s="39" t="str">
        <f t="shared" si="7"/>
        <v/>
      </c>
      <c r="E24" s="44" t="s">
        <v>167</v>
      </c>
      <c r="G24" s="45">
        <f t="shared" si="0"/>
        <v>25</v>
      </c>
      <c r="H24" s="40" t="str">
        <f t="shared" si="1"/>
        <v>p 077</v>
      </c>
      <c r="I24" s="45" t="str">
        <f t="shared" si="2"/>
        <v>c 902</v>
      </c>
      <c r="J24" s="46" t="str">
        <f t="shared" si="3"/>
        <v>c 928, v "\mp3_ost\swrokvas.mp3"</v>
      </c>
      <c r="K24" s="46"/>
      <c r="L24" s="40" t="str">
        <f t="shared" si="4"/>
        <v/>
      </c>
      <c r="M24" s="42" t="str">
        <f t="shared" si="5"/>
        <v>&lt;unit024&gt; "ул.Сырокваша" {e, p 077, c 902, c 928, v "\mp3_ost\swrokvas.mp3", d 000, n 025}</v>
      </c>
    </row>
    <row r="25" spans="2:13" x14ac:dyDescent="0.25">
      <c r="B25" s="44">
        <f t="shared" si="6"/>
        <v>25</v>
      </c>
      <c r="C25" s="44" t="s">
        <v>329</v>
      </c>
      <c r="D25" s="39" t="str">
        <f t="shared" si="7"/>
        <v>&gt;&gt;</v>
      </c>
      <c r="E25" s="44" t="s">
        <v>168</v>
      </c>
      <c r="F25" s="44" t="s">
        <v>381</v>
      </c>
      <c r="G25" s="45">
        <f t="shared" si="0"/>
        <v>26</v>
      </c>
      <c r="H25" s="40" t="str">
        <f t="shared" si="1"/>
        <v>p 031</v>
      </c>
      <c r="I25" s="45" t="str">
        <f t="shared" si="2"/>
        <v>c 900</v>
      </c>
      <c r="J25" s="46" t="str">
        <f t="shared" si="3"/>
        <v>v "\mp3_ost\mira.mp3"</v>
      </c>
      <c r="K25" s="46"/>
      <c r="L25" s="40" t="str">
        <f t="shared" si="4"/>
        <v>c 930</v>
      </c>
      <c r="M25" s="42" t="str">
        <f t="shared" si="5"/>
        <v>&lt;unit025&gt; "&gt;&gt;пр-т Мира" {e, p 031, c 900, v "\mp3_ost\mira.mp3", c 930, d 000, n 026}</v>
      </c>
    </row>
    <row r="26" spans="2:13" x14ac:dyDescent="0.25">
      <c r="B26" s="44">
        <f t="shared" si="6"/>
        <v>26</v>
      </c>
      <c r="C26" s="44" t="s">
        <v>79</v>
      </c>
      <c r="D26" s="39" t="str">
        <f t="shared" si="7"/>
        <v/>
      </c>
      <c r="E26" s="44" t="s">
        <v>168</v>
      </c>
      <c r="G26" s="45">
        <f t="shared" si="0"/>
        <v>27</v>
      </c>
      <c r="H26" s="40" t="str">
        <f t="shared" si="1"/>
        <v>p 031</v>
      </c>
      <c r="I26" s="45" t="str">
        <f t="shared" si="2"/>
        <v>c 902</v>
      </c>
      <c r="J26" s="46" t="str">
        <f t="shared" si="3"/>
        <v>v "\mp3_ost\mira.mp3"</v>
      </c>
      <c r="K26" s="46"/>
      <c r="L26" s="40" t="str">
        <f t="shared" si="4"/>
        <v/>
      </c>
      <c r="M26" s="42" t="str">
        <f t="shared" si="5"/>
        <v>&lt;unit026&gt; "пр-т Мира" {e, p 031, c 902, v "\mp3_ost\mira.mp3", d 000, n 027}</v>
      </c>
    </row>
    <row r="27" spans="2:13" x14ac:dyDescent="0.25">
      <c r="B27" s="44">
        <f t="shared" si="6"/>
        <v>27</v>
      </c>
      <c r="C27" s="44" t="s">
        <v>329</v>
      </c>
      <c r="D27" s="39" t="str">
        <f t="shared" si="7"/>
        <v>&gt;&gt;</v>
      </c>
      <c r="E27" s="44" t="s">
        <v>266</v>
      </c>
      <c r="F27" s="44" t="s">
        <v>381</v>
      </c>
      <c r="G27" s="45">
        <f t="shared" si="0"/>
        <v>28</v>
      </c>
      <c r="H27" s="40" t="str">
        <f t="shared" si="1"/>
        <v>p 045</v>
      </c>
      <c r="I27" s="45" t="str">
        <f t="shared" si="2"/>
        <v>c 900</v>
      </c>
      <c r="J27" s="46" t="str">
        <f t="shared" si="3"/>
        <v>c 928, v "\mp3_ost\50letokt.mp3"</v>
      </c>
      <c r="K27" s="46"/>
      <c r="L27" s="40" t="str">
        <f t="shared" si="4"/>
        <v>c 930</v>
      </c>
      <c r="M27" s="42" t="str">
        <f t="shared" si="5"/>
        <v>&lt;unit027&gt; "&gt;&gt;ул.50 лет Октяб." {e, p 045, c 900, c 928, v "\mp3_ost\50letokt.mp3", c 930, d 000, n 028}</v>
      </c>
    </row>
    <row r="28" spans="2:13" x14ac:dyDescent="0.25">
      <c r="B28" s="44">
        <f t="shared" si="6"/>
        <v>28</v>
      </c>
      <c r="C28" s="44" t="s">
        <v>79</v>
      </c>
      <c r="D28" s="39" t="str">
        <f t="shared" si="7"/>
        <v/>
      </c>
      <c r="E28" s="44" t="s">
        <v>266</v>
      </c>
      <c r="G28" s="45">
        <f t="shared" si="0"/>
        <v>29</v>
      </c>
      <c r="H28" s="40" t="str">
        <f t="shared" si="1"/>
        <v>p 045</v>
      </c>
      <c r="I28" s="45" t="str">
        <f t="shared" si="2"/>
        <v>c 902</v>
      </c>
      <c r="J28" s="46" t="str">
        <f t="shared" si="3"/>
        <v>c 928, v "\mp3_ost\50letokt.mp3"</v>
      </c>
      <c r="K28" s="46"/>
      <c r="L28" s="40" t="str">
        <f t="shared" si="4"/>
        <v/>
      </c>
      <c r="M28" s="42" t="str">
        <f t="shared" si="5"/>
        <v>&lt;unit028&gt; "ул.50 лет Октяб." {e, p 045, c 902, c 928, v "\mp3_ost\50letokt.mp3", d 000, n 029}</v>
      </c>
    </row>
    <row r="29" spans="2:13" x14ac:dyDescent="0.25">
      <c r="B29" s="44">
        <f t="shared" si="6"/>
        <v>29</v>
      </c>
      <c r="C29" s="44" t="s">
        <v>329</v>
      </c>
      <c r="D29" s="39" t="str">
        <f t="shared" si="7"/>
        <v>&gt;&gt;</v>
      </c>
      <c r="E29" s="44" t="s">
        <v>251</v>
      </c>
      <c r="F29" s="44" t="s">
        <v>381</v>
      </c>
      <c r="G29" s="45">
        <f t="shared" si="0"/>
        <v>30</v>
      </c>
      <c r="H29" s="40" t="str">
        <f t="shared" si="1"/>
        <v>p 040</v>
      </c>
      <c r="I29" s="45" t="str">
        <f t="shared" si="2"/>
        <v>c 900</v>
      </c>
      <c r="J29" s="46" t="str">
        <f t="shared" si="3"/>
        <v>v "\mp3_ost\tc.mp3"</v>
      </c>
      <c r="K29" s="46"/>
      <c r="L29" s="40" t="str">
        <f t="shared" si="4"/>
        <v>c 930</v>
      </c>
      <c r="M29" s="42" t="str">
        <f t="shared" si="5"/>
        <v>&lt;unit029&gt; "&gt;&gt;Торг.центр" {e, p 040, c 900, v "\mp3_ost\tc.mp3", c 930, d 000, n 030}</v>
      </c>
    </row>
    <row r="30" spans="2:13" x14ac:dyDescent="0.25">
      <c r="B30" s="44">
        <f t="shared" si="6"/>
        <v>30</v>
      </c>
      <c r="C30" s="44" t="s">
        <v>79</v>
      </c>
      <c r="D30" s="39" t="str">
        <f t="shared" si="7"/>
        <v/>
      </c>
      <c r="E30" s="44" t="s">
        <v>251</v>
      </c>
      <c r="G30" s="45">
        <f t="shared" si="0"/>
        <v>31</v>
      </c>
      <c r="H30" s="40" t="str">
        <f t="shared" si="1"/>
        <v>p 040</v>
      </c>
      <c r="I30" s="45" t="str">
        <f t="shared" si="2"/>
        <v>c 902</v>
      </c>
      <c r="J30" s="46" t="str">
        <f t="shared" si="3"/>
        <v>v "\mp3_ost\tc.mp3"</v>
      </c>
      <c r="K30" s="46"/>
      <c r="L30" s="40" t="str">
        <f t="shared" si="4"/>
        <v/>
      </c>
      <c r="M30" s="42" t="str">
        <f t="shared" si="5"/>
        <v>&lt;unit030&gt; "Торг.центр" {e, p 040, c 902, v "\mp3_ost\tc.mp3", d 000, n 031}</v>
      </c>
    </row>
    <row r="31" spans="2:13" x14ac:dyDescent="0.25">
      <c r="B31" s="44">
        <f t="shared" si="6"/>
        <v>31</v>
      </c>
      <c r="C31" s="44" t="s">
        <v>329</v>
      </c>
      <c r="D31" s="39" t="str">
        <f t="shared" si="7"/>
        <v>&gt;&gt;</v>
      </c>
      <c r="E31" s="44" t="s">
        <v>361</v>
      </c>
      <c r="F31" s="44" t="s">
        <v>381</v>
      </c>
      <c r="G31" s="45">
        <f t="shared" si="0"/>
        <v>32</v>
      </c>
      <c r="H31" s="40" t="str">
        <f t="shared" si="1"/>
        <v>p 081</v>
      </c>
      <c r="I31" s="45" t="str">
        <f t="shared" si="2"/>
        <v>c 900</v>
      </c>
      <c r="J31" s="46" t="str">
        <f t="shared" si="3"/>
        <v>v "\mp3_ost\univmag.mp3"</v>
      </c>
      <c r="K31" s="46"/>
      <c r="L31" s="40" t="str">
        <f t="shared" si="4"/>
        <v>c 930</v>
      </c>
      <c r="M31" s="42" t="str">
        <f t="shared" si="5"/>
        <v>&lt;unit031&gt; "&gt;&gt;Универмаг" {e, p 081, c 900, v "\mp3_ost\univmag.mp3", c 930, d 000, n 032}</v>
      </c>
    </row>
    <row r="32" spans="2:13" x14ac:dyDescent="0.25">
      <c r="B32" s="44">
        <f t="shared" si="6"/>
        <v>32</v>
      </c>
      <c r="C32" s="44" t="s">
        <v>79</v>
      </c>
      <c r="D32" s="39" t="str">
        <f t="shared" si="7"/>
        <v/>
      </c>
      <c r="E32" s="44" t="s">
        <v>361</v>
      </c>
      <c r="G32" s="45">
        <f t="shared" si="0"/>
        <v>33</v>
      </c>
      <c r="H32" s="40" t="str">
        <f t="shared" si="1"/>
        <v>p 081</v>
      </c>
      <c r="I32" s="45" t="str">
        <f t="shared" si="2"/>
        <v>c 902</v>
      </c>
      <c r="J32" s="46" t="str">
        <f t="shared" si="3"/>
        <v>v "\mp3_ost\univmag.mp3"</v>
      </c>
      <c r="K32" s="46"/>
      <c r="L32" s="40" t="str">
        <f t="shared" si="4"/>
        <v/>
      </c>
      <c r="M32" s="42" t="str">
        <f t="shared" si="5"/>
        <v>&lt;unit032&gt; "Универмаг" {e, p 081, c 902, v "\mp3_ost\univmag.mp3", d 000, n 033}</v>
      </c>
    </row>
    <row r="33" spans="2:13" x14ac:dyDescent="0.25">
      <c r="B33" s="44">
        <f t="shared" si="6"/>
        <v>33</v>
      </c>
      <c r="C33" s="44" t="s">
        <v>329</v>
      </c>
      <c r="D33" s="39" t="str">
        <f t="shared" si="7"/>
        <v>&gt;&gt;</v>
      </c>
      <c r="E33" s="44" t="s">
        <v>260</v>
      </c>
      <c r="F33" s="44" t="s">
        <v>381</v>
      </c>
      <c r="G33" s="45">
        <f t="shared" si="0"/>
        <v>34</v>
      </c>
      <c r="H33" s="40" t="str">
        <f t="shared" si="1"/>
        <v>p 029</v>
      </c>
      <c r="I33" s="45" t="str">
        <f t="shared" si="2"/>
        <v>c 900</v>
      </c>
      <c r="J33" s="46" t="str">
        <f t="shared" si="3"/>
        <v>v "\mp3_ost\venis`e.mp3"</v>
      </c>
      <c r="K33" s="46"/>
      <c r="L33" s="40" t="str">
        <f t="shared" si="4"/>
        <v>c 930</v>
      </c>
      <c r="M33" s="42" t="str">
        <f t="shared" si="5"/>
        <v>&lt;unit033&gt; "&gt;&gt;пр-т Венисье" {e, p 029, c 900, v "\mp3_ost\venis`e.mp3", c 930, d 000, n 034}</v>
      </c>
    </row>
    <row r="34" spans="2:13" x14ac:dyDescent="0.25">
      <c r="B34" s="44">
        <f t="shared" si="6"/>
        <v>34</v>
      </c>
      <c r="C34" s="44" t="s">
        <v>79</v>
      </c>
      <c r="D34" s="39" t="str">
        <f t="shared" si="7"/>
        <v/>
      </c>
      <c r="E34" s="44" t="s">
        <v>260</v>
      </c>
      <c r="G34" s="45">
        <f t="shared" si="0"/>
        <v>35</v>
      </c>
      <c r="H34" s="40" t="str">
        <f t="shared" si="1"/>
        <v>p 029</v>
      </c>
      <c r="I34" s="45" t="str">
        <f t="shared" si="2"/>
        <v>c 902</v>
      </c>
      <c r="J34" s="46" t="str">
        <f t="shared" si="3"/>
        <v>v "\mp3_ost\venis`e.mp3"</v>
      </c>
      <c r="K34" s="46"/>
      <c r="L34" s="40" t="str">
        <f t="shared" si="4"/>
        <v/>
      </c>
      <c r="M34" s="42" t="str">
        <f t="shared" si="5"/>
        <v>&lt;unit034&gt; "пр-т Венисье" {e, p 029, c 902, v "\mp3_ost\venis`e.mp3", d 000, n 035}</v>
      </c>
    </row>
    <row r="35" spans="2:13" x14ac:dyDescent="0.25">
      <c r="B35" s="44">
        <f t="shared" si="6"/>
        <v>35</v>
      </c>
      <c r="C35" s="44" t="s">
        <v>329</v>
      </c>
      <c r="D35" s="39" t="str">
        <f t="shared" si="7"/>
        <v>&gt;&gt;</v>
      </c>
      <c r="E35" s="44" t="s">
        <v>347</v>
      </c>
      <c r="F35" s="44" t="s">
        <v>381</v>
      </c>
      <c r="G35" s="45">
        <f t="shared" si="0"/>
        <v>36</v>
      </c>
      <c r="H35" s="40" t="str">
        <f t="shared" si="1"/>
        <v>p 050</v>
      </c>
      <c r="I35" s="45" t="str">
        <f t="shared" si="2"/>
        <v>c 900</v>
      </c>
      <c r="J35" s="46" t="str">
        <f t="shared" si="3"/>
        <v>c 928, v "\mp3_ost\borovaja.mp3"</v>
      </c>
      <c r="K35" s="46"/>
      <c r="L35" s="40" t="str">
        <f t="shared" si="4"/>
        <v>c 930</v>
      </c>
      <c r="M35" s="42" t="str">
        <f t="shared" si="5"/>
        <v>&lt;unit035&gt; "&gt;&gt;ул.Боровая" {e, p 050, c 900, c 928, v "\mp3_ost\borovaja.mp3", c 930, d 000, n 036}</v>
      </c>
    </row>
    <row r="36" spans="2:13" x14ac:dyDescent="0.25">
      <c r="B36" s="44">
        <f t="shared" si="6"/>
        <v>36</v>
      </c>
      <c r="C36" s="44" t="s">
        <v>79</v>
      </c>
      <c r="D36" s="39" t="str">
        <f t="shared" si="7"/>
        <v/>
      </c>
      <c r="E36" s="44" t="s">
        <v>347</v>
      </c>
      <c r="G36" s="45">
        <f t="shared" si="0"/>
        <v>37</v>
      </c>
      <c r="H36" s="40" t="str">
        <f t="shared" si="1"/>
        <v>p 050</v>
      </c>
      <c r="I36" s="45" t="str">
        <f t="shared" si="2"/>
        <v>c 902</v>
      </c>
      <c r="J36" s="46" t="str">
        <f t="shared" si="3"/>
        <v>c 928, v "\mp3_ost\borovaja.mp3"</v>
      </c>
      <c r="K36" s="46"/>
      <c r="L36" s="40" t="str">
        <f t="shared" si="4"/>
        <v/>
      </c>
      <c r="M36" s="42" t="str">
        <f t="shared" si="5"/>
        <v>&lt;unit036&gt; "ул.Боровая" {e, p 050, c 902, c 928, v "\mp3_ost\borovaja.mp3", d 000, n 037}</v>
      </c>
    </row>
    <row r="37" spans="2:13" x14ac:dyDescent="0.25">
      <c r="B37" s="44">
        <f t="shared" si="6"/>
        <v>37</v>
      </c>
      <c r="C37" s="44" t="s">
        <v>329</v>
      </c>
      <c r="D37" s="39" t="str">
        <f t="shared" si="7"/>
        <v>&gt;&gt;</v>
      </c>
      <c r="E37" s="44" t="s">
        <v>180</v>
      </c>
      <c r="F37" s="44" t="s">
        <v>381</v>
      </c>
      <c r="G37" s="45">
        <f t="shared" si="0"/>
        <v>38</v>
      </c>
      <c r="H37" s="40" t="str">
        <f t="shared" si="1"/>
        <v>p 006</v>
      </c>
      <c r="I37" s="45" t="str">
        <f t="shared" si="2"/>
        <v>c 900</v>
      </c>
      <c r="J37" s="46" t="str">
        <f t="shared" si="3"/>
        <v>v "\mp3_ost\bolnica.mp3"</v>
      </c>
      <c r="K37" s="46"/>
      <c r="L37" s="40" t="str">
        <f t="shared" si="4"/>
        <v>c 930</v>
      </c>
      <c r="M37" s="42" t="str">
        <f t="shared" si="5"/>
        <v>&lt;unit037&gt; "&gt;&gt;Больница" {e, p 006, c 900, v "\mp3_ost\bolnica.mp3", c 930, d 000, n 038}</v>
      </c>
    </row>
    <row r="38" spans="2:13" x14ac:dyDescent="0.25">
      <c r="B38" s="44">
        <f t="shared" si="6"/>
        <v>38</v>
      </c>
      <c r="C38" s="44" t="s">
        <v>79</v>
      </c>
      <c r="D38" s="39" t="str">
        <f t="shared" si="7"/>
        <v/>
      </c>
      <c r="E38" s="44" t="s">
        <v>180</v>
      </c>
      <c r="G38" s="45">
        <f t="shared" si="0"/>
        <v>39</v>
      </c>
      <c r="H38" s="40" t="str">
        <f t="shared" si="1"/>
        <v>p 006</v>
      </c>
      <c r="I38" s="45" t="str">
        <f t="shared" si="2"/>
        <v>c 902</v>
      </c>
      <c r="J38" s="46" t="str">
        <f t="shared" si="3"/>
        <v>v "\mp3_ost\bolnica.mp3"</v>
      </c>
      <c r="K38" s="46"/>
      <c r="L38" s="40" t="str">
        <f t="shared" si="4"/>
        <v/>
      </c>
      <c r="M38" s="42" t="str">
        <f t="shared" si="5"/>
        <v>&lt;unit038&gt; "Больница" {e, p 006, c 902, v "\mp3_ost\bolnica.mp3", d 000, n 039}</v>
      </c>
    </row>
    <row r="39" spans="2:13" x14ac:dyDescent="0.25">
      <c r="B39" s="44">
        <f t="shared" si="6"/>
        <v>39</v>
      </c>
      <c r="C39" s="44" t="s">
        <v>329</v>
      </c>
      <c r="D39" s="39" t="str">
        <f t="shared" si="7"/>
        <v>&gt;&gt;</v>
      </c>
      <c r="E39" s="44" t="s">
        <v>174</v>
      </c>
      <c r="F39" s="44" t="s">
        <v>381</v>
      </c>
      <c r="G39" s="45">
        <f t="shared" si="0"/>
        <v>40</v>
      </c>
      <c r="H39" s="40" t="str">
        <f t="shared" si="1"/>
        <v>p 038</v>
      </c>
      <c r="I39" s="45" t="str">
        <f t="shared" si="2"/>
        <v>c 900</v>
      </c>
      <c r="J39" s="46" t="str">
        <f t="shared" si="3"/>
        <v>v "\mp3_ost\8ssh.mp3"</v>
      </c>
      <c r="K39" s="46"/>
      <c r="L39" s="40" t="str">
        <f t="shared" si="4"/>
        <v>c 930</v>
      </c>
      <c r="M39" s="42" t="str">
        <f t="shared" si="5"/>
        <v>&lt;unit039&gt; "&gt;&gt;СШ № 8" {e, p 038, c 900, v "\mp3_ost\8ssh.mp3", c 930, d 000, n 040}</v>
      </c>
    </row>
    <row r="40" spans="2:13" x14ac:dyDescent="0.25">
      <c r="B40" s="44">
        <f t="shared" si="6"/>
        <v>40</v>
      </c>
      <c r="C40" s="44" t="s">
        <v>79</v>
      </c>
      <c r="D40" s="39" t="str">
        <f t="shared" si="7"/>
        <v/>
      </c>
      <c r="E40" s="44" t="s">
        <v>174</v>
      </c>
      <c r="G40" s="45">
        <f t="shared" si="0"/>
        <v>41</v>
      </c>
      <c r="H40" s="40" t="str">
        <f t="shared" si="1"/>
        <v>p 038</v>
      </c>
      <c r="I40" s="45" t="str">
        <f t="shared" si="2"/>
        <v>c 902</v>
      </c>
      <c r="J40" s="46" t="str">
        <f t="shared" si="3"/>
        <v>v "\mp3_ost\8ssh.mp3"</v>
      </c>
      <c r="K40" s="46"/>
      <c r="L40" s="40" t="str">
        <f t="shared" ref="L40:L56" si="8">IFERROR("c "&amp;VLOOKUP(F40,Punkti,2,FALSE),"")</f>
        <v/>
      </c>
      <c r="M40" s="42" t="str">
        <f t="shared" ref="M40:M56" si="9">"&lt;unit"&amp;TEXT(B40,"000")&amp;"&gt; """&amp;СцепитьМного(D40:E40,"")&amp;""" {e, "&amp;СцепитьМного(H40:L40,", ")&amp;", d 000, n "&amp;TEXT(G40,"000")&amp;"}"</f>
        <v>&lt;unit040&gt; "СШ № 8" {e, p 038, c 902, v "\mp3_ost\8ssh.mp3", d 000, n 041}</v>
      </c>
    </row>
    <row r="41" spans="2:13" x14ac:dyDescent="0.25">
      <c r="B41" s="44">
        <f t="shared" si="6"/>
        <v>41</v>
      </c>
      <c r="C41" s="44" t="s">
        <v>329</v>
      </c>
      <c r="D41" s="39" t="str">
        <f t="shared" si="7"/>
        <v>&gt;&gt;</v>
      </c>
      <c r="E41" s="44" t="s">
        <v>275</v>
      </c>
      <c r="F41" s="44" t="s">
        <v>381</v>
      </c>
      <c r="G41" s="45">
        <f t="shared" si="0"/>
        <v>42</v>
      </c>
      <c r="H41" s="40" t="str">
        <f t="shared" si="1"/>
        <v>p 063</v>
      </c>
      <c r="I41" s="45" t="str">
        <f t="shared" si="2"/>
        <v>c 900</v>
      </c>
      <c r="J41" s="46" t="str">
        <f t="shared" si="3"/>
        <v>c 928, v "\mp3_ost\magistra.mp3"</v>
      </c>
      <c r="K41" s="46"/>
      <c r="L41" s="40" t="str">
        <f t="shared" si="8"/>
        <v>c 930</v>
      </c>
      <c r="M41" s="42" t="str">
        <f t="shared" si="9"/>
        <v>&lt;unit041&gt; "&gt;&gt;ул.Магистральная" {e, p 063, c 900, c 928, v "\mp3_ost\magistra.mp3", c 930, d 000, n 042}</v>
      </c>
    </row>
    <row r="42" spans="2:13" x14ac:dyDescent="0.25">
      <c r="B42" s="44">
        <f t="shared" si="6"/>
        <v>42</v>
      </c>
      <c r="C42" s="44" t="s">
        <v>79</v>
      </c>
      <c r="D42" s="39" t="str">
        <f t="shared" si="7"/>
        <v/>
      </c>
      <c r="E42" s="44" t="s">
        <v>275</v>
      </c>
      <c r="G42" s="45">
        <f t="shared" si="0"/>
        <v>43</v>
      </c>
      <c r="H42" s="40" t="str">
        <f t="shared" si="1"/>
        <v>p 063</v>
      </c>
      <c r="I42" s="45" t="str">
        <f t="shared" si="2"/>
        <v>c 902</v>
      </c>
      <c r="J42" s="46" t="str">
        <f t="shared" ref="J42:J52" si="10">IFERROR(VLOOKUP(E42,Ostanovki,7,FALSE),"")</f>
        <v>c 928, v "\mp3_ost\magistra.mp3"</v>
      </c>
      <c r="K42" s="46"/>
      <c r="L42" s="40" t="str">
        <f t="shared" si="8"/>
        <v/>
      </c>
      <c r="M42" s="42" t="str">
        <f t="shared" si="9"/>
        <v>&lt;unit042&gt; "ул.Магистральная" {e, p 063, c 902, c 928, v "\mp3_ost\magistra.mp3", d 000, n 043}</v>
      </c>
    </row>
    <row r="43" spans="2:13" x14ac:dyDescent="0.25">
      <c r="B43" s="44">
        <f t="shared" si="6"/>
        <v>43</v>
      </c>
      <c r="C43" s="44" t="s">
        <v>329</v>
      </c>
      <c r="D43" s="39" t="str">
        <f t="shared" si="7"/>
        <v>&gt;&gt;</v>
      </c>
      <c r="E43" s="44" t="s">
        <v>362</v>
      </c>
      <c r="F43" s="44" t="s">
        <v>381</v>
      </c>
      <c r="G43" s="45">
        <f t="shared" si="0"/>
        <v>44</v>
      </c>
      <c r="H43" s="40" t="str">
        <f t="shared" si="1"/>
        <v>p 043</v>
      </c>
      <c r="I43" s="45" t="str">
        <f t="shared" si="2"/>
        <v>c 900</v>
      </c>
      <c r="J43" s="46" t="str">
        <f t="shared" si="10"/>
        <v>v "\mp3_ost\ugli.mp3"</v>
      </c>
      <c r="K43" s="46"/>
      <c r="L43" s="40" t="str">
        <f t="shared" si="8"/>
        <v>c 930</v>
      </c>
      <c r="M43" s="42" t="str">
        <f t="shared" si="9"/>
        <v>&lt;unit043&gt; "&gt;&gt;Углы" {e, p 043, c 900, v "\mp3_ost\ugli.mp3", c 930, d 000, n 044}</v>
      </c>
    </row>
    <row r="44" spans="2:13" x14ac:dyDescent="0.25">
      <c r="B44" s="44">
        <f t="shared" si="6"/>
        <v>44</v>
      </c>
      <c r="C44" s="44" t="s">
        <v>79</v>
      </c>
      <c r="D44" s="39" t="str">
        <f t="shared" si="7"/>
        <v/>
      </c>
      <c r="E44" s="44" t="s">
        <v>362</v>
      </c>
      <c r="G44" s="45">
        <f t="shared" si="0"/>
        <v>45</v>
      </c>
      <c r="H44" s="40" t="str">
        <f t="shared" si="1"/>
        <v>p 043</v>
      </c>
      <c r="I44" s="45" t="str">
        <f t="shared" si="2"/>
        <v>c 902</v>
      </c>
      <c r="J44" s="46" t="str">
        <f t="shared" si="10"/>
        <v>v "\mp3_ost\ugli.mp3"</v>
      </c>
      <c r="K44" s="46"/>
      <c r="L44" s="40" t="str">
        <f t="shared" si="8"/>
        <v/>
      </c>
      <c r="M44" s="42" t="str">
        <f t="shared" si="9"/>
        <v>&lt;unit044&gt; "Углы" {e, p 043, c 902, v "\mp3_ost\ugli.mp3", d 000, n 045}</v>
      </c>
    </row>
    <row r="45" spans="2:13" x14ac:dyDescent="0.25">
      <c r="B45" s="44">
        <f t="shared" si="6"/>
        <v>45</v>
      </c>
      <c r="C45" s="44" t="s">
        <v>329</v>
      </c>
      <c r="D45" s="39" t="str">
        <f t="shared" si="7"/>
        <v>&gt;&gt;</v>
      </c>
      <c r="E45" s="44" t="s">
        <v>363</v>
      </c>
      <c r="F45" s="44" t="s">
        <v>381</v>
      </c>
      <c r="G45" s="45">
        <f t="shared" si="0"/>
        <v>46</v>
      </c>
      <c r="H45" s="40" t="str">
        <f t="shared" si="1"/>
        <v>p 044</v>
      </c>
      <c r="I45" s="45" t="str">
        <f t="shared" si="2"/>
        <v>c 900</v>
      </c>
      <c r="J45" s="46" t="str">
        <f t="shared" si="10"/>
        <v>v "\mp3_ost\ugli-2.mp3"</v>
      </c>
      <c r="K45" s="46"/>
      <c r="L45" s="40" t="str">
        <f t="shared" si="8"/>
        <v>c 930</v>
      </c>
      <c r="M45" s="42" t="str">
        <f t="shared" si="9"/>
        <v>&lt;unit045&gt; "&gt;&gt;Углы-2" {e, p 044, c 900, v "\mp3_ost\ugli-2.mp3", c 930, d 000, n 046}</v>
      </c>
    </row>
    <row r="46" spans="2:13" x14ac:dyDescent="0.25">
      <c r="B46" s="44">
        <f t="shared" si="6"/>
        <v>46</v>
      </c>
      <c r="C46" s="44" t="s">
        <v>79</v>
      </c>
      <c r="D46" s="39" t="str">
        <f t="shared" si="7"/>
        <v/>
      </c>
      <c r="E46" s="44" t="s">
        <v>363</v>
      </c>
      <c r="G46" s="45">
        <f t="shared" si="0"/>
        <v>47</v>
      </c>
      <c r="H46" s="40" t="str">
        <f t="shared" si="1"/>
        <v>p 044</v>
      </c>
      <c r="I46" s="45" t="str">
        <f t="shared" si="2"/>
        <v>c 902</v>
      </c>
      <c r="J46" s="46" t="str">
        <f t="shared" si="10"/>
        <v>v "\mp3_ost\ugli-2.mp3"</v>
      </c>
      <c r="K46" s="46"/>
      <c r="L46" s="40" t="str">
        <f t="shared" si="8"/>
        <v/>
      </c>
      <c r="M46" s="42" t="str">
        <f t="shared" si="9"/>
        <v>&lt;unit046&gt; "Углы-2" {e, p 044, c 902, v "\mp3_ost\ugli-2.mp3", d 000, n 047}</v>
      </c>
    </row>
    <row r="47" spans="2:13" x14ac:dyDescent="0.25">
      <c r="B47" s="44">
        <f t="shared" si="6"/>
        <v>47</v>
      </c>
      <c r="C47" s="44" t="s">
        <v>329</v>
      </c>
      <c r="D47" s="39" t="str">
        <f t="shared" si="7"/>
        <v>&gt;&gt;</v>
      </c>
      <c r="E47" s="44" t="s">
        <v>288</v>
      </c>
      <c r="F47" s="44" t="s">
        <v>381</v>
      </c>
      <c r="G47" s="45">
        <f t="shared" si="0"/>
        <v>48</v>
      </c>
      <c r="H47" s="40" t="str">
        <f t="shared" si="1"/>
        <v>p 018</v>
      </c>
      <c r="I47" s="45" t="str">
        <f t="shared" si="2"/>
        <v>c 900</v>
      </c>
      <c r="J47" s="46" t="str">
        <f t="shared" si="10"/>
        <v>v "\mp3_ost\kuzn-3.mp3"</v>
      </c>
      <c r="K47" s="46"/>
      <c r="L47" s="40" t="str">
        <f t="shared" si="8"/>
        <v>c 930</v>
      </c>
      <c r="M47" s="42" t="str">
        <f t="shared" si="9"/>
        <v>&lt;unit047&gt; "&gt;&gt;Кузнечный-3" {e, p 018, c 900, v "\mp3_ost\kuzn-3.mp3", c 930, d 000, n 048}</v>
      </c>
    </row>
    <row r="48" spans="2:13" x14ac:dyDescent="0.25">
      <c r="B48" s="44">
        <f t="shared" si="6"/>
        <v>48</v>
      </c>
      <c r="C48" s="44" t="s">
        <v>79</v>
      </c>
      <c r="D48" s="39" t="str">
        <f t="shared" si="7"/>
        <v/>
      </c>
      <c r="E48" s="44" t="s">
        <v>288</v>
      </c>
      <c r="G48" s="45">
        <f t="shared" si="0"/>
        <v>49</v>
      </c>
      <c r="H48" s="40" t="str">
        <f t="shared" si="1"/>
        <v>p 018</v>
      </c>
      <c r="I48" s="45" t="str">
        <f t="shared" si="2"/>
        <v>c 902</v>
      </c>
      <c r="J48" s="46" t="str">
        <f t="shared" si="10"/>
        <v>v "\mp3_ost\kuzn-3.mp3"</v>
      </c>
      <c r="K48" s="46"/>
      <c r="L48" s="40" t="str">
        <f t="shared" si="8"/>
        <v/>
      </c>
      <c r="M48" s="42" t="str">
        <f t="shared" si="9"/>
        <v>&lt;unit048&gt; "Кузнечный-3" {e, p 018, c 902, v "\mp3_ost\kuzn-3.mp3", d 000, n 049}</v>
      </c>
    </row>
    <row r="49" spans="2:13" x14ac:dyDescent="0.25">
      <c r="B49" s="44">
        <f t="shared" si="6"/>
        <v>49</v>
      </c>
      <c r="C49" s="44" t="s">
        <v>329</v>
      </c>
      <c r="D49" s="39" t="str">
        <f t="shared" si="7"/>
        <v>&gt;&gt;</v>
      </c>
      <c r="E49" s="44" t="s">
        <v>354</v>
      </c>
      <c r="F49" s="44" t="s">
        <v>381</v>
      </c>
      <c r="G49" s="45">
        <f t="shared" si="0"/>
        <v>50</v>
      </c>
      <c r="H49" s="40" t="str">
        <f t="shared" si="1"/>
        <v>p 074</v>
      </c>
      <c r="I49" s="45" t="str">
        <f t="shared" si="2"/>
        <v>c 900</v>
      </c>
      <c r="J49" s="46" t="str">
        <f t="shared" si="10"/>
        <v>c 928, v "\mp3_ost\soligors.mp3"</v>
      </c>
      <c r="K49" s="46"/>
      <c r="L49" s="40" t="str">
        <f t="shared" si="8"/>
        <v>c 930</v>
      </c>
      <c r="M49" s="42" t="str">
        <f t="shared" si="9"/>
        <v>&lt;unit049&gt; "&gt;&gt;ул.Солигорская" {e, p 074, c 900, c 928, v "\mp3_ost\soligors.mp3", c 930, d 000, n 050}</v>
      </c>
    </row>
    <row r="50" spans="2:13" x14ac:dyDescent="0.25">
      <c r="B50" s="44">
        <f t="shared" si="6"/>
        <v>50</v>
      </c>
      <c r="C50" s="44" t="s">
        <v>79</v>
      </c>
      <c r="D50" s="39" t="str">
        <f t="shared" si="7"/>
        <v/>
      </c>
      <c r="E50" s="44" t="s">
        <v>354</v>
      </c>
      <c r="G50" s="45">
        <f t="shared" si="0"/>
        <v>51</v>
      </c>
      <c r="H50" s="40" t="str">
        <f t="shared" si="1"/>
        <v>p 074</v>
      </c>
      <c r="I50" s="45" t="str">
        <f t="shared" si="2"/>
        <v>c 902</v>
      </c>
      <c r="J50" s="46" t="str">
        <f t="shared" si="10"/>
        <v>c 928, v "\mp3_ost\soligors.mp3"</v>
      </c>
      <c r="K50" s="46"/>
      <c r="L50" s="40" t="str">
        <f t="shared" si="8"/>
        <v/>
      </c>
      <c r="M50" s="42" t="str">
        <f t="shared" si="9"/>
        <v>&lt;unit050&gt; "ул.Солигорская" {e, p 074, c 902, c 928, v "\mp3_ost\soligors.mp3", d 000, n 051}</v>
      </c>
    </row>
    <row r="51" spans="2:13" x14ac:dyDescent="0.25">
      <c r="B51" s="44">
        <f t="shared" si="6"/>
        <v>51</v>
      </c>
      <c r="C51" s="44" t="s">
        <v>329</v>
      </c>
      <c r="D51" s="39" t="str">
        <f t="shared" si="7"/>
        <v>&gt;&gt;</v>
      </c>
      <c r="E51" s="44" t="s">
        <v>355</v>
      </c>
      <c r="F51" s="44" t="s">
        <v>381</v>
      </c>
      <c r="G51" s="45">
        <f t="shared" si="0"/>
        <v>52</v>
      </c>
      <c r="H51" s="40" t="str">
        <f t="shared" si="1"/>
        <v>p 051</v>
      </c>
      <c r="I51" s="45" t="str">
        <f t="shared" si="2"/>
        <v>c 900</v>
      </c>
      <c r="J51" s="46" t="str">
        <f t="shared" si="10"/>
        <v>c 928, v "\mp3_ost\vitebsk.mp3"</v>
      </c>
      <c r="K51" s="46"/>
      <c r="L51" s="40" t="str">
        <f t="shared" si="8"/>
        <v>c 930</v>
      </c>
      <c r="M51" s="42" t="str">
        <f t="shared" si="9"/>
        <v>&lt;unit051&gt; "&gt;&gt;ул.Витебская" {e, p 051, c 900, c 928, v "\mp3_ost\vitebsk.mp3", c 930, d 000, n 052}</v>
      </c>
    </row>
    <row r="52" spans="2:13" x14ac:dyDescent="0.25">
      <c r="B52" s="44">
        <f t="shared" si="6"/>
        <v>52</v>
      </c>
      <c r="C52" s="44" t="s">
        <v>79</v>
      </c>
      <c r="D52" s="39" t="str">
        <f t="shared" si="7"/>
        <v/>
      </c>
      <c r="E52" s="44" t="s">
        <v>355</v>
      </c>
      <c r="G52" s="45">
        <f t="shared" si="0"/>
        <v>53</v>
      </c>
      <c r="H52" s="40" t="str">
        <f t="shared" si="1"/>
        <v>p 051</v>
      </c>
      <c r="I52" s="45" t="str">
        <f t="shared" si="2"/>
        <v>c 902</v>
      </c>
      <c r="J52" s="46" t="str">
        <f t="shared" si="10"/>
        <v>c 928, v "\mp3_ost\vitebsk.mp3"</v>
      </c>
      <c r="K52" s="46"/>
      <c r="L52" s="40" t="str">
        <f t="shared" si="8"/>
        <v/>
      </c>
      <c r="M52" s="42" t="str">
        <f t="shared" si="9"/>
        <v>&lt;unit052&gt; "ул.Витебская" {e, p 051, c 902, c 928, v "\mp3_ost\vitebsk.mp3", d 000, n 053}</v>
      </c>
    </row>
    <row r="53" spans="2:13" x14ac:dyDescent="0.25">
      <c r="B53" s="44">
        <f t="shared" si="6"/>
        <v>53</v>
      </c>
      <c r="C53" s="44" t="s">
        <v>329</v>
      </c>
      <c r="D53" s="39" t="str">
        <f t="shared" si="7"/>
        <v>&gt;&gt;</v>
      </c>
      <c r="E53" s="44" t="s">
        <v>272</v>
      </c>
      <c r="F53" s="44" t="s">
        <v>381</v>
      </c>
      <c r="G53" s="45">
        <f t="shared" si="0"/>
        <v>54</v>
      </c>
      <c r="H53" s="40" t="str">
        <f t="shared" si="1"/>
        <v>p 058</v>
      </c>
      <c r="I53" s="45" t="str">
        <f t="shared" si="2"/>
        <v>c 900</v>
      </c>
      <c r="J53" s="46" t="str">
        <f t="shared" si="3"/>
        <v>c 928, v "\mp3_ost\leninska.mp3"</v>
      </c>
      <c r="K53" s="46"/>
      <c r="L53" s="40" t="str">
        <f t="shared" si="8"/>
        <v>c 930</v>
      </c>
      <c r="M53" s="42" t="str">
        <f t="shared" si="9"/>
        <v>&lt;unit053&gt; "&gt;&gt;ул.Ленинская" {e, p 058, c 900, c 928, v "\mp3_ost\leninska.mp3", c 930, d 000, n 054}</v>
      </c>
    </row>
    <row r="54" spans="2:13" x14ac:dyDescent="0.25">
      <c r="B54" s="44">
        <f t="shared" si="6"/>
        <v>54</v>
      </c>
      <c r="C54" s="44" t="s">
        <v>79</v>
      </c>
      <c r="D54" s="39" t="str">
        <f t="shared" si="7"/>
        <v/>
      </c>
      <c r="E54" s="44" t="s">
        <v>272</v>
      </c>
      <c r="G54" s="45">
        <f t="shared" si="0"/>
        <v>55</v>
      </c>
      <c r="H54" s="40" t="str">
        <f t="shared" si="1"/>
        <v>p 058</v>
      </c>
      <c r="I54" s="45" t="str">
        <f t="shared" si="2"/>
        <v>c 902</v>
      </c>
      <c r="J54" s="46" t="str">
        <f t="shared" si="3"/>
        <v>c 928, v "\mp3_ost\leninska.mp3"</v>
      </c>
      <c r="K54" s="46"/>
      <c r="L54" s="40" t="str">
        <f t="shared" si="8"/>
        <v/>
      </c>
      <c r="M54" s="42" t="str">
        <f t="shared" si="9"/>
        <v>&lt;unit054&gt; "ул.Ленинская" {e, p 058, c 902, c 928, v "\mp3_ost\leninska.mp3", d 000, n 055}</v>
      </c>
    </row>
    <row r="55" spans="2:13" x14ac:dyDescent="0.25">
      <c r="B55" s="44">
        <f t="shared" si="6"/>
        <v>55</v>
      </c>
      <c r="C55" s="44" t="s">
        <v>329</v>
      </c>
      <c r="D55" s="39" t="str">
        <f t="shared" si="7"/>
        <v>&gt;&gt;</v>
      </c>
      <c r="E55" s="44" t="s">
        <v>213</v>
      </c>
      <c r="F55" s="44" t="s">
        <v>381</v>
      </c>
      <c r="G55" s="45">
        <f t="shared" si="0"/>
        <v>56</v>
      </c>
      <c r="H55" s="40" t="str">
        <f t="shared" si="1"/>
        <v>p 014</v>
      </c>
      <c r="I55" s="45" t="str">
        <f t="shared" si="2"/>
        <v>c 900</v>
      </c>
      <c r="J55" s="46" t="str">
        <f t="shared" si="3"/>
        <v>v "\mp3_ost\kztsh.mp3"</v>
      </c>
      <c r="K55" s="46"/>
      <c r="L55" s="40" t="str">
        <f t="shared" si="8"/>
        <v>c 930</v>
      </c>
      <c r="M55" s="42" t="str">
        <f t="shared" si="9"/>
        <v>&lt;unit055&gt; "&gt;&gt;КЗТШ" {e, p 014, c 900, v "\mp3_ost\kztsh.mp3", c 930, d 000, n 056}</v>
      </c>
    </row>
    <row r="56" spans="2:13" x14ac:dyDescent="0.25">
      <c r="B56" s="44">
        <f t="shared" si="6"/>
        <v>56</v>
      </c>
      <c r="C56" s="44" t="s">
        <v>79</v>
      </c>
      <c r="D56" s="39" t="str">
        <f t="shared" si="7"/>
        <v/>
      </c>
      <c r="E56" s="44" t="s">
        <v>213</v>
      </c>
      <c r="F56" s="44" t="s">
        <v>331</v>
      </c>
      <c r="G56" s="45">
        <f>B58</f>
        <v>58</v>
      </c>
      <c r="H56" s="40" t="str">
        <f t="shared" si="1"/>
        <v>p 014</v>
      </c>
      <c r="I56" s="45" t="str">
        <f t="shared" si="2"/>
        <v>c 902</v>
      </c>
      <c r="J56" s="46" t="str">
        <f t="shared" si="3"/>
        <v>v "\mp3_ost\kztsh.mp3"</v>
      </c>
      <c r="K56" s="46"/>
      <c r="L56" s="40" t="str">
        <f t="shared" si="8"/>
        <v>c 903</v>
      </c>
      <c r="M56" s="42" t="str">
        <f t="shared" si="9"/>
        <v>&lt;unit056&gt; "КЗТШ" {e, p 014, c 902, v "\mp3_ost\kztsh.mp3", c 903, d 000, n 058}</v>
      </c>
    </row>
    <row r="57" spans="2:13" s="39" customFormat="1" x14ac:dyDescent="0.25">
      <c r="G57" s="40"/>
      <c r="H57" s="40"/>
      <c r="I57" s="40"/>
      <c r="J57" s="40"/>
      <c r="K57" s="40"/>
      <c r="L57" s="40"/>
      <c r="M57" s="42"/>
    </row>
    <row r="58" spans="2:13" s="39" customFormat="1" x14ac:dyDescent="0.25">
      <c r="B58" s="39">
        <f t="shared" ref="B58:B110" si="11">ROW(B58)</f>
        <v>58</v>
      </c>
      <c r="E58" s="43" t="s">
        <v>327</v>
      </c>
      <c r="F58" s="43"/>
      <c r="G58" s="40">
        <f>B60</f>
        <v>60</v>
      </c>
      <c r="H58" s="40"/>
      <c r="I58" s="40"/>
      <c r="J58" s="40"/>
      <c r="K58" s="40"/>
      <c r="L58" s="40"/>
      <c r="M58" s="42" t="str">
        <f>"&lt;unit"&amp;TEXT(B58,"000")&amp;"&gt; """&amp;E58&amp;""" {d 000, n "&amp;TEXT(G58,"000")&amp;"}"</f>
        <v>&lt;unit058&gt; "----- Обратный -----" {d 000, n 060}</v>
      </c>
    </row>
    <row r="59" spans="2:13" s="39" customFormat="1" x14ac:dyDescent="0.25">
      <c r="G59" s="40"/>
      <c r="H59" s="40"/>
      <c r="I59" s="40"/>
      <c r="J59" s="40"/>
      <c r="K59" s="40"/>
      <c r="L59" s="40"/>
      <c r="M59" s="42"/>
    </row>
    <row r="60" spans="2:13" x14ac:dyDescent="0.25">
      <c r="B60" s="44">
        <f t="shared" si="11"/>
        <v>60</v>
      </c>
      <c r="C60" s="44" t="s">
        <v>79</v>
      </c>
      <c r="D60" s="39" t="str">
        <f t="shared" ref="D60:D108" si="12">IF(I60="c 900","&gt;&gt;","")</f>
        <v/>
      </c>
      <c r="E60" s="44" t="s">
        <v>213</v>
      </c>
      <c r="G60" s="45">
        <f>B61</f>
        <v>61</v>
      </c>
      <c r="H60" s="40" t="str">
        <f t="shared" ref="H60:H108" si="13">IFERROR("p "&amp;VLOOKUP(E60,Tablo_Tab,2,FALSE),"")</f>
        <v>p 014</v>
      </c>
      <c r="I60" s="45" t="str">
        <f t="shared" ref="I60:I108" si="14">IFERROR("c "&amp;VLOOKUP(C60,Punkti,2,FALSE),"")</f>
        <v>c 902</v>
      </c>
      <c r="J60" s="46" t="str">
        <f t="shared" ref="J60:J108" si="15">IFERROR(VLOOKUP(E60,Ostanovki,7,FALSE),"")</f>
        <v>v "\mp3_ost\kztsh.mp3"</v>
      </c>
      <c r="K60" s="46"/>
      <c r="L60" s="40" t="str">
        <f t="shared" ref="L60:L91" si="16">IFERROR("c "&amp;VLOOKUP(F60,Punkti,2,FALSE),"")</f>
        <v/>
      </c>
      <c r="M60" s="42" t="str">
        <f t="shared" ref="M60:M91" si="17">"&lt;unit"&amp;TEXT(B60,"000")&amp;"&gt; """&amp;СцепитьМного(D60:E60,"")&amp;""" {e, "&amp;СцепитьМного(H60:L60,", ")&amp;", d 000, n "&amp;TEXT(G60,"000")&amp;"}"</f>
        <v>&lt;unit060&gt; "КЗТШ" {e, p 014, c 902, v "\mp3_ost\kztsh.mp3", d 000, n 061}</v>
      </c>
    </row>
    <row r="61" spans="2:13" x14ac:dyDescent="0.25">
      <c r="B61" s="44">
        <f t="shared" si="11"/>
        <v>61</v>
      </c>
      <c r="C61" s="44" t="s">
        <v>329</v>
      </c>
      <c r="D61" s="39" t="str">
        <f t="shared" si="12"/>
        <v>&gt;&gt;</v>
      </c>
      <c r="E61" s="44" t="s">
        <v>272</v>
      </c>
      <c r="F61" s="44" t="s">
        <v>381</v>
      </c>
      <c r="G61" s="45">
        <f t="shared" ref="G61:G107" si="18">B62</f>
        <v>62</v>
      </c>
      <c r="H61" s="40" t="str">
        <f t="shared" si="13"/>
        <v>p 058</v>
      </c>
      <c r="I61" s="45" t="str">
        <f t="shared" si="14"/>
        <v>c 900</v>
      </c>
      <c r="J61" s="46" t="str">
        <f t="shared" si="15"/>
        <v>c 928, v "\mp3_ost\leninska.mp3"</v>
      </c>
      <c r="K61" s="46"/>
      <c r="L61" s="40" t="str">
        <f t="shared" si="16"/>
        <v>c 930</v>
      </c>
      <c r="M61" s="42" t="str">
        <f t="shared" si="17"/>
        <v>&lt;unit061&gt; "&gt;&gt;ул.Ленинская" {e, p 058, c 900, c 928, v "\mp3_ost\leninska.mp3", c 930, d 000, n 062}</v>
      </c>
    </row>
    <row r="62" spans="2:13" x14ac:dyDescent="0.25">
      <c r="B62" s="44">
        <f t="shared" si="11"/>
        <v>62</v>
      </c>
      <c r="C62" s="44" t="s">
        <v>79</v>
      </c>
      <c r="D62" s="39" t="str">
        <f t="shared" si="12"/>
        <v/>
      </c>
      <c r="E62" s="44" t="s">
        <v>272</v>
      </c>
      <c r="G62" s="45">
        <f t="shared" si="18"/>
        <v>63</v>
      </c>
      <c r="H62" s="40" t="str">
        <f t="shared" si="13"/>
        <v>p 058</v>
      </c>
      <c r="I62" s="45" t="str">
        <f t="shared" si="14"/>
        <v>c 902</v>
      </c>
      <c r="J62" s="46" t="str">
        <f t="shared" si="15"/>
        <v>c 928, v "\mp3_ost\leninska.mp3"</v>
      </c>
      <c r="K62" s="46"/>
      <c r="L62" s="40" t="str">
        <f t="shared" si="16"/>
        <v/>
      </c>
      <c r="M62" s="42" t="str">
        <f t="shared" si="17"/>
        <v>&lt;unit062&gt; "ул.Ленинская" {e, p 058, c 902, c 928, v "\mp3_ost\leninska.mp3", d 000, n 063}</v>
      </c>
    </row>
    <row r="63" spans="2:13" x14ac:dyDescent="0.25">
      <c r="B63" s="44">
        <f t="shared" si="11"/>
        <v>63</v>
      </c>
      <c r="C63" s="44" t="s">
        <v>329</v>
      </c>
      <c r="D63" s="39" t="str">
        <f t="shared" si="12"/>
        <v>&gt;&gt;</v>
      </c>
      <c r="E63" s="44" t="s">
        <v>355</v>
      </c>
      <c r="F63" s="44" t="s">
        <v>381</v>
      </c>
      <c r="G63" s="45">
        <f t="shared" si="18"/>
        <v>64</v>
      </c>
      <c r="H63" s="40" t="str">
        <f t="shared" si="13"/>
        <v>p 051</v>
      </c>
      <c r="I63" s="45" t="str">
        <f t="shared" si="14"/>
        <v>c 900</v>
      </c>
      <c r="J63" s="46" t="str">
        <f t="shared" ref="J63:J71" si="19">IFERROR(VLOOKUP(E63,Ostanovki,7,FALSE),"")</f>
        <v>c 928, v "\mp3_ost\vitebsk.mp3"</v>
      </c>
      <c r="K63" s="46"/>
      <c r="L63" s="40" t="str">
        <f t="shared" si="16"/>
        <v>c 930</v>
      </c>
      <c r="M63" s="42" t="str">
        <f t="shared" si="17"/>
        <v>&lt;unit063&gt; "&gt;&gt;ул.Витебская" {e, p 051, c 900, c 928, v "\mp3_ost\vitebsk.mp3", c 930, d 000, n 064}</v>
      </c>
    </row>
    <row r="64" spans="2:13" x14ac:dyDescent="0.25">
      <c r="B64" s="44">
        <f t="shared" si="11"/>
        <v>64</v>
      </c>
      <c r="C64" s="44" t="s">
        <v>79</v>
      </c>
      <c r="D64" s="39" t="str">
        <f t="shared" si="12"/>
        <v/>
      </c>
      <c r="E64" s="44" t="s">
        <v>355</v>
      </c>
      <c r="G64" s="45">
        <f t="shared" si="18"/>
        <v>65</v>
      </c>
      <c r="H64" s="40" t="str">
        <f t="shared" si="13"/>
        <v>p 051</v>
      </c>
      <c r="I64" s="45" t="str">
        <f t="shared" si="14"/>
        <v>c 902</v>
      </c>
      <c r="J64" s="46" t="str">
        <f t="shared" si="19"/>
        <v>c 928, v "\mp3_ost\vitebsk.mp3"</v>
      </c>
      <c r="K64" s="46"/>
      <c r="L64" s="40" t="str">
        <f t="shared" si="16"/>
        <v/>
      </c>
      <c r="M64" s="42" t="str">
        <f t="shared" si="17"/>
        <v>&lt;unit064&gt; "ул.Витебская" {e, p 051, c 902, c 928, v "\mp3_ost\vitebsk.mp3", d 000, n 065}</v>
      </c>
    </row>
    <row r="65" spans="2:13" x14ac:dyDescent="0.25">
      <c r="B65" s="44">
        <f t="shared" si="11"/>
        <v>65</v>
      </c>
      <c r="C65" s="44" t="s">
        <v>329</v>
      </c>
      <c r="D65" s="39" t="str">
        <f t="shared" si="12"/>
        <v>&gt;&gt;</v>
      </c>
      <c r="E65" s="44" t="s">
        <v>354</v>
      </c>
      <c r="F65" s="44" t="s">
        <v>381</v>
      </c>
      <c r="G65" s="45">
        <f t="shared" si="18"/>
        <v>66</v>
      </c>
      <c r="H65" s="40" t="str">
        <f t="shared" si="13"/>
        <v>p 074</v>
      </c>
      <c r="I65" s="45" t="str">
        <f t="shared" si="14"/>
        <v>c 900</v>
      </c>
      <c r="J65" s="46" t="str">
        <f t="shared" si="19"/>
        <v>c 928, v "\mp3_ost\soligors.mp3"</v>
      </c>
      <c r="K65" s="46"/>
      <c r="L65" s="40" t="str">
        <f t="shared" si="16"/>
        <v>c 930</v>
      </c>
      <c r="M65" s="42" t="str">
        <f t="shared" si="17"/>
        <v>&lt;unit065&gt; "&gt;&gt;ул.Солигорская" {e, p 074, c 900, c 928, v "\mp3_ost\soligors.mp3", c 930, d 000, n 066}</v>
      </c>
    </row>
    <row r="66" spans="2:13" x14ac:dyDescent="0.25">
      <c r="B66" s="44">
        <f t="shared" si="11"/>
        <v>66</v>
      </c>
      <c r="C66" s="44" t="s">
        <v>79</v>
      </c>
      <c r="D66" s="39" t="str">
        <f t="shared" si="12"/>
        <v/>
      </c>
      <c r="E66" s="44" t="s">
        <v>354</v>
      </c>
      <c r="G66" s="45">
        <f t="shared" si="18"/>
        <v>67</v>
      </c>
      <c r="H66" s="40" t="str">
        <f t="shared" si="13"/>
        <v>p 074</v>
      </c>
      <c r="I66" s="45" t="str">
        <f t="shared" si="14"/>
        <v>c 902</v>
      </c>
      <c r="J66" s="46" t="str">
        <f t="shared" si="19"/>
        <v>c 928, v "\mp3_ost\soligors.mp3"</v>
      </c>
      <c r="K66" s="46"/>
      <c r="L66" s="40" t="str">
        <f t="shared" si="16"/>
        <v/>
      </c>
      <c r="M66" s="42" t="str">
        <f t="shared" si="17"/>
        <v>&lt;unit066&gt; "ул.Солигорская" {e, p 074, c 902, c 928, v "\mp3_ost\soligors.mp3", d 000, n 067}</v>
      </c>
    </row>
    <row r="67" spans="2:13" x14ac:dyDescent="0.25">
      <c r="B67" s="44">
        <f t="shared" si="11"/>
        <v>67</v>
      </c>
      <c r="C67" s="44" t="s">
        <v>329</v>
      </c>
      <c r="D67" s="39" t="str">
        <f t="shared" si="12"/>
        <v>&gt;&gt;</v>
      </c>
      <c r="E67" s="44" t="s">
        <v>356</v>
      </c>
      <c r="F67" s="44" t="s">
        <v>381</v>
      </c>
      <c r="G67" s="45">
        <f t="shared" si="18"/>
        <v>68</v>
      </c>
      <c r="H67" s="40" t="str">
        <f t="shared" si="13"/>
        <v>p 072</v>
      </c>
      <c r="I67" s="45" t="str">
        <f t="shared" si="14"/>
        <v>c 900</v>
      </c>
      <c r="J67" s="46" t="str">
        <f t="shared" si="19"/>
        <v>c 928, v "\mp3_ost\sluchk.mp3"</v>
      </c>
      <c r="K67" s="46"/>
      <c r="L67" s="40" t="str">
        <f t="shared" si="16"/>
        <v>c 930</v>
      </c>
      <c r="M67" s="42" t="str">
        <f t="shared" si="17"/>
        <v>&lt;unit067&gt; "&gt;&gt;ул.Слуцкая" {e, p 072, c 900, c 928, v "\mp3_ost\sluchk.mp3", c 930, d 000, n 068}</v>
      </c>
    </row>
    <row r="68" spans="2:13" x14ac:dyDescent="0.25">
      <c r="B68" s="44">
        <f t="shared" si="11"/>
        <v>68</v>
      </c>
      <c r="C68" s="44" t="s">
        <v>79</v>
      </c>
      <c r="D68" s="39" t="str">
        <f t="shared" si="12"/>
        <v/>
      </c>
      <c r="E68" s="44" t="s">
        <v>356</v>
      </c>
      <c r="G68" s="45">
        <f t="shared" si="18"/>
        <v>69</v>
      </c>
      <c r="H68" s="40" t="str">
        <f t="shared" si="13"/>
        <v>p 072</v>
      </c>
      <c r="I68" s="45" t="str">
        <f t="shared" si="14"/>
        <v>c 902</v>
      </c>
      <c r="J68" s="46" t="str">
        <f t="shared" si="19"/>
        <v>c 928, v "\mp3_ost\sluchk.mp3"</v>
      </c>
      <c r="K68" s="46"/>
      <c r="L68" s="40" t="str">
        <f t="shared" si="16"/>
        <v/>
      </c>
      <c r="M68" s="42" t="str">
        <f t="shared" si="17"/>
        <v>&lt;unit068&gt; "ул.Слуцкая" {e, p 072, c 902, c 928, v "\mp3_ost\sluchk.mp3", d 000, n 069}</v>
      </c>
    </row>
    <row r="69" spans="2:13" x14ac:dyDescent="0.25">
      <c r="B69" s="44">
        <f t="shared" si="11"/>
        <v>69</v>
      </c>
      <c r="C69" s="44" t="s">
        <v>329</v>
      </c>
      <c r="D69" s="39" t="str">
        <f t="shared" si="12"/>
        <v>&gt;&gt;</v>
      </c>
      <c r="E69" s="44" t="s">
        <v>363</v>
      </c>
      <c r="F69" s="44" t="s">
        <v>381</v>
      </c>
      <c r="G69" s="45">
        <f t="shared" si="18"/>
        <v>70</v>
      </c>
      <c r="H69" s="40" t="str">
        <f t="shared" si="13"/>
        <v>p 044</v>
      </c>
      <c r="I69" s="45" t="str">
        <f t="shared" si="14"/>
        <v>c 900</v>
      </c>
      <c r="J69" s="46" t="str">
        <f t="shared" si="19"/>
        <v>v "\mp3_ost\ugli-2.mp3"</v>
      </c>
      <c r="K69" s="46"/>
      <c r="L69" s="40" t="str">
        <f t="shared" si="16"/>
        <v>c 930</v>
      </c>
      <c r="M69" s="42" t="str">
        <f t="shared" si="17"/>
        <v>&lt;unit069&gt; "&gt;&gt;Углы-2" {e, p 044, c 900, v "\mp3_ost\ugli-2.mp3", c 930, d 000, n 070}</v>
      </c>
    </row>
    <row r="70" spans="2:13" x14ac:dyDescent="0.25">
      <c r="B70" s="44">
        <f t="shared" si="11"/>
        <v>70</v>
      </c>
      <c r="C70" s="44" t="s">
        <v>79</v>
      </c>
      <c r="D70" s="39" t="str">
        <f t="shared" si="12"/>
        <v/>
      </c>
      <c r="E70" s="44" t="s">
        <v>363</v>
      </c>
      <c r="G70" s="45">
        <f t="shared" si="18"/>
        <v>71</v>
      </c>
      <c r="H70" s="40" t="str">
        <f t="shared" si="13"/>
        <v>p 044</v>
      </c>
      <c r="I70" s="45" t="str">
        <f t="shared" si="14"/>
        <v>c 902</v>
      </c>
      <c r="J70" s="46" t="str">
        <f t="shared" si="19"/>
        <v>v "\mp3_ost\ugli-2.mp3"</v>
      </c>
      <c r="K70" s="46"/>
      <c r="L70" s="40" t="str">
        <f t="shared" si="16"/>
        <v/>
      </c>
      <c r="M70" s="42" t="str">
        <f t="shared" si="17"/>
        <v>&lt;unit070&gt; "Углы-2" {e, p 044, c 902, v "\mp3_ost\ugli-2.mp3", d 000, n 071}</v>
      </c>
    </row>
    <row r="71" spans="2:13" x14ac:dyDescent="0.25">
      <c r="B71" s="44">
        <f t="shared" si="11"/>
        <v>71</v>
      </c>
      <c r="C71" s="44" t="s">
        <v>329</v>
      </c>
      <c r="D71" s="39" t="str">
        <f t="shared" si="12"/>
        <v>&gt;&gt;</v>
      </c>
      <c r="E71" s="44" t="s">
        <v>275</v>
      </c>
      <c r="F71" s="44" t="s">
        <v>381</v>
      </c>
      <c r="G71" s="45">
        <f t="shared" si="18"/>
        <v>72</v>
      </c>
      <c r="H71" s="40" t="str">
        <f t="shared" si="13"/>
        <v>p 063</v>
      </c>
      <c r="I71" s="45" t="str">
        <f t="shared" si="14"/>
        <v>c 900</v>
      </c>
      <c r="J71" s="46" t="str">
        <f t="shared" si="19"/>
        <v>c 928, v "\mp3_ost\magistra.mp3"</v>
      </c>
      <c r="K71" s="46"/>
      <c r="L71" s="40" t="str">
        <f t="shared" si="16"/>
        <v>c 930</v>
      </c>
      <c r="M71" s="42" t="str">
        <f t="shared" si="17"/>
        <v>&lt;unit071&gt; "&gt;&gt;ул.Магистральная" {e, p 063, c 900, c 928, v "\mp3_ost\magistra.mp3", c 930, d 000, n 072}</v>
      </c>
    </row>
    <row r="72" spans="2:13" x14ac:dyDescent="0.25">
      <c r="B72" s="44">
        <f t="shared" si="11"/>
        <v>72</v>
      </c>
      <c r="C72" s="44" t="s">
        <v>79</v>
      </c>
      <c r="D72" s="39" t="str">
        <f t="shared" si="12"/>
        <v/>
      </c>
      <c r="E72" s="44" t="s">
        <v>275</v>
      </c>
      <c r="G72" s="45">
        <f t="shared" si="18"/>
        <v>73</v>
      </c>
      <c r="H72" s="40" t="str">
        <f t="shared" si="13"/>
        <v>p 063</v>
      </c>
      <c r="I72" s="45" t="str">
        <f t="shared" si="14"/>
        <v>c 902</v>
      </c>
      <c r="J72" s="46" t="str">
        <f t="shared" si="15"/>
        <v>c 928, v "\mp3_ost\magistra.mp3"</v>
      </c>
      <c r="K72" s="46"/>
      <c r="L72" s="40" t="str">
        <f t="shared" si="16"/>
        <v/>
      </c>
      <c r="M72" s="42" t="str">
        <f t="shared" si="17"/>
        <v>&lt;unit072&gt; "ул.Магистральная" {e, p 063, c 902, c 928, v "\mp3_ost\magistra.mp3", d 000, n 073}</v>
      </c>
    </row>
    <row r="73" spans="2:13" x14ac:dyDescent="0.25">
      <c r="B73" s="44">
        <f t="shared" si="11"/>
        <v>73</v>
      </c>
      <c r="C73" s="44" t="s">
        <v>329</v>
      </c>
      <c r="D73" s="39" t="str">
        <f t="shared" si="12"/>
        <v>&gt;&gt;</v>
      </c>
      <c r="E73" s="44" t="s">
        <v>348</v>
      </c>
      <c r="F73" s="44" t="s">
        <v>381</v>
      </c>
      <c r="G73" s="45">
        <f t="shared" si="18"/>
        <v>74</v>
      </c>
      <c r="H73" s="40" t="str">
        <f t="shared" si="13"/>
        <v>p 070</v>
      </c>
      <c r="I73" s="45" t="str">
        <f t="shared" si="14"/>
        <v>c 900</v>
      </c>
      <c r="J73" s="46" t="str">
        <f t="shared" si="15"/>
        <v>c 928, v "\mp3_ost\rodnik.mp3"</v>
      </c>
      <c r="K73" s="46"/>
      <c r="L73" s="40" t="str">
        <f t="shared" si="16"/>
        <v>c 930</v>
      </c>
      <c r="M73" s="42" t="str">
        <f t="shared" si="17"/>
        <v>&lt;unit073&gt; "&gt;&gt;ул.Родниковая" {e, p 070, c 900, c 928, v "\mp3_ost\rodnik.mp3", c 930, d 000, n 074}</v>
      </c>
    </row>
    <row r="74" spans="2:13" x14ac:dyDescent="0.25">
      <c r="B74" s="44">
        <f t="shared" si="11"/>
        <v>74</v>
      </c>
      <c r="C74" s="44" t="s">
        <v>79</v>
      </c>
      <c r="D74" s="39" t="str">
        <f t="shared" si="12"/>
        <v/>
      </c>
      <c r="E74" s="44" t="s">
        <v>348</v>
      </c>
      <c r="G74" s="45">
        <f t="shared" si="18"/>
        <v>75</v>
      </c>
      <c r="H74" s="40" t="str">
        <f t="shared" si="13"/>
        <v>p 070</v>
      </c>
      <c r="I74" s="45" t="str">
        <f t="shared" si="14"/>
        <v>c 902</v>
      </c>
      <c r="J74" s="46" t="str">
        <f t="shared" si="15"/>
        <v>c 928, v "\mp3_ost\rodnik.mp3"</v>
      </c>
      <c r="K74" s="46"/>
      <c r="L74" s="40" t="str">
        <f t="shared" si="16"/>
        <v/>
      </c>
      <c r="M74" s="42" t="str">
        <f t="shared" si="17"/>
        <v>&lt;unit074&gt; "ул.Родниковая" {e, p 070, c 902, c 928, v "\mp3_ost\rodnik.mp3", d 000, n 075}</v>
      </c>
    </row>
    <row r="75" spans="2:13" x14ac:dyDescent="0.25">
      <c r="B75" s="44">
        <f t="shared" si="11"/>
        <v>75</v>
      </c>
      <c r="C75" s="44" t="s">
        <v>329</v>
      </c>
      <c r="D75" s="39" t="str">
        <f t="shared" si="12"/>
        <v>&gt;&gt;</v>
      </c>
      <c r="E75" s="44" t="s">
        <v>174</v>
      </c>
      <c r="F75" s="44" t="s">
        <v>381</v>
      </c>
      <c r="G75" s="45">
        <f t="shared" si="18"/>
        <v>76</v>
      </c>
      <c r="H75" s="40" t="str">
        <f t="shared" si="13"/>
        <v>p 038</v>
      </c>
      <c r="I75" s="45" t="str">
        <f t="shared" si="14"/>
        <v>c 900</v>
      </c>
      <c r="J75" s="46" t="str">
        <f t="shared" si="15"/>
        <v>v "\mp3_ost\8ssh.mp3"</v>
      </c>
      <c r="K75" s="46"/>
      <c r="L75" s="40" t="str">
        <f t="shared" si="16"/>
        <v>c 930</v>
      </c>
      <c r="M75" s="42" t="str">
        <f t="shared" si="17"/>
        <v>&lt;unit075&gt; "&gt;&gt;СШ № 8" {e, p 038, c 900, v "\mp3_ost\8ssh.mp3", c 930, d 000, n 076}</v>
      </c>
    </row>
    <row r="76" spans="2:13" x14ac:dyDescent="0.25">
      <c r="B76" s="44">
        <f t="shared" si="11"/>
        <v>76</v>
      </c>
      <c r="C76" s="44" t="s">
        <v>79</v>
      </c>
      <c r="D76" s="39" t="str">
        <f t="shared" si="12"/>
        <v/>
      </c>
      <c r="E76" s="44" t="s">
        <v>174</v>
      </c>
      <c r="G76" s="45">
        <f t="shared" si="18"/>
        <v>77</v>
      </c>
      <c r="H76" s="40" t="str">
        <f t="shared" si="13"/>
        <v>p 038</v>
      </c>
      <c r="I76" s="45" t="str">
        <f t="shared" si="14"/>
        <v>c 902</v>
      </c>
      <c r="J76" s="46" t="str">
        <f t="shared" si="15"/>
        <v>v "\mp3_ost\8ssh.mp3"</v>
      </c>
      <c r="K76" s="46"/>
      <c r="L76" s="40" t="str">
        <f t="shared" si="16"/>
        <v/>
      </c>
      <c r="M76" s="42" t="str">
        <f t="shared" si="17"/>
        <v>&lt;unit076&gt; "СШ № 8" {e, p 038, c 902, v "\mp3_ost\8ssh.mp3", d 000, n 077}</v>
      </c>
    </row>
    <row r="77" spans="2:13" x14ac:dyDescent="0.25">
      <c r="B77" s="44">
        <f t="shared" si="11"/>
        <v>77</v>
      </c>
      <c r="C77" s="44" t="s">
        <v>329</v>
      </c>
      <c r="D77" s="39" t="str">
        <f t="shared" si="12"/>
        <v>&gt;&gt;</v>
      </c>
      <c r="E77" s="44" t="s">
        <v>180</v>
      </c>
      <c r="F77" s="44" t="s">
        <v>381</v>
      </c>
      <c r="G77" s="45">
        <f t="shared" si="18"/>
        <v>78</v>
      </c>
      <c r="H77" s="40" t="str">
        <f t="shared" si="13"/>
        <v>p 006</v>
      </c>
      <c r="I77" s="45" t="str">
        <f t="shared" si="14"/>
        <v>c 900</v>
      </c>
      <c r="J77" s="46" t="str">
        <f t="shared" si="15"/>
        <v>v "\mp3_ost\bolnica.mp3"</v>
      </c>
      <c r="K77" s="46"/>
      <c r="L77" s="40" t="str">
        <f t="shared" si="16"/>
        <v>c 930</v>
      </c>
      <c r="M77" s="42" t="str">
        <f t="shared" si="17"/>
        <v>&lt;unit077&gt; "&gt;&gt;Больница" {e, p 006, c 900, v "\mp3_ost\bolnica.mp3", c 930, d 000, n 078}</v>
      </c>
    </row>
    <row r="78" spans="2:13" x14ac:dyDescent="0.25">
      <c r="B78" s="44">
        <f t="shared" si="11"/>
        <v>78</v>
      </c>
      <c r="C78" s="44" t="s">
        <v>79</v>
      </c>
      <c r="D78" s="39" t="str">
        <f t="shared" si="12"/>
        <v/>
      </c>
      <c r="E78" s="44" t="s">
        <v>180</v>
      </c>
      <c r="G78" s="45">
        <f t="shared" si="18"/>
        <v>79</v>
      </c>
      <c r="H78" s="40" t="str">
        <f t="shared" si="13"/>
        <v>p 006</v>
      </c>
      <c r="I78" s="45" t="str">
        <f t="shared" si="14"/>
        <v>c 902</v>
      </c>
      <c r="J78" s="46" t="str">
        <f t="shared" si="15"/>
        <v>v "\mp3_ost\bolnica.mp3"</v>
      </c>
      <c r="K78" s="46"/>
      <c r="L78" s="40" t="str">
        <f t="shared" si="16"/>
        <v/>
      </c>
      <c r="M78" s="42" t="str">
        <f t="shared" si="17"/>
        <v>&lt;unit078&gt; "Больница" {e, p 006, c 902, v "\mp3_ost\bolnica.mp3", d 000, n 079}</v>
      </c>
    </row>
    <row r="79" spans="2:13" x14ac:dyDescent="0.25">
      <c r="B79" s="44">
        <f t="shared" si="11"/>
        <v>79</v>
      </c>
      <c r="C79" s="44" t="s">
        <v>329</v>
      </c>
      <c r="D79" s="39" t="str">
        <f t="shared" si="12"/>
        <v>&gt;&gt;</v>
      </c>
      <c r="E79" s="44" t="s">
        <v>347</v>
      </c>
      <c r="F79" s="44" t="s">
        <v>381</v>
      </c>
      <c r="G79" s="45">
        <f t="shared" si="18"/>
        <v>80</v>
      </c>
      <c r="H79" s="40" t="str">
        <f t="shared" si="13"/>
        <v>p 050</v>
      </c>
      <c r="I79" s="45" t="str">
        <f t="shared" si="14"/>
        <v>c 900</v>
      </c>
      <c r="J79" s="46" t="str">
        <f t="shared" si="15"/>
        <v>c 928, v "\mp3_ost\borovaja.mp3"</v>
      </c>
      <c r="K79" s="46"/>
      <c r="L79" s="40" t="str">
        <f t="shared" si="16"/>
        <v>c 930</v>
      </c>
      <c r="M79" s="42" t="str">
        <f t="shared" si="17"/>
        <v>&lt;unit079&gt; "&gt;&gt;ул.Боровая" {e, p 050, c 900, c 928, v "\mp3_ost\borovaja.mp3", c 930, d 000, n 080}</v>
      </c>
    </row>
    <row r="80" spans="2:13" x14ac:dyDescent="0.25">
      <c r="B80" s="44">
        <f t="shared" si="11"/>
        <v>80</v>
      </c>
      <c r="C80" s="44" t="s">
        <v>79</v>
      </c>
      <c r="D80" s="39" t="str">
        <f t="shared" si="12"/>
        <v/>
      </c>
      <c r="E80" s="44" t="s">
        <v>347</v>
      </c>
      <c r="G80" s="45">
        <f t="shared" si="18"/>
        <v>81</v>
      </c>
      <c r="H80" s="40" t="str">
        <f t="shared" si="13"/>
        <v>p 050</v>
      </c>
      <c r="I80" s="45" t="str">
        <f t="shared" si="14"/>
        <v>c 902</v>
      </c>
      <c r="J80" s="46" t="str">
        <f t="shared" si="15"/>
        <v>c 928, v "\mp3_ost\borovaja.mp3"</v>
      </c>
      <c r="K80" s="46"/>
      <c r="L80" s="40" t="str">
        <f t="shared" si="16"/>
        <v/>
      </c>
      <c r="M80" s="42" t="str">
        <f t="shared" si="17"/>
        <v>&lt;unit080&gt; "ул.Боровая" {e, p 050, c 902, c 928, v "\mp3_ost\borovaja.mp3", d 000, n 081}</v>
      </c>
    </row>
    <row r="81" spans="2:13" x14ac:dyDescent="0.25">
      <c r="B81" s="44">
        <f t="shared" si="11"/>
        <v>81</v>
      </c>
      <c r="C81" s="44" t="s">
        <v>329</v>
      </c>
      <c r="D81" s="39" t="str">
        <f t="shared" si="12"/>
        <v>&gt;&gt;</v>
      </c>
      <c r="E81" s="44" t="s">
        <v>260</v>
      </c>
      <c r="F81" s="44" t="s">
        <v>381</v>
      </c>
      <c r="G81" s="45">
        <f t="shared" si="18"/>
        <v>82</v>
      </c>
      <c r="H81" s="40" t="str">
        <f t="shared" si="13"/>
        <v>p 029</v>
      </c>
      <c r="I81" s="45" t="str">
        <f t="shared" si="14"/>
        <v>c 900</v>
      </c>
      <c r="J81" s="46" t="str">
        <f t="shared" si="15"/>
        <v>v "\mp3_ost\venis`e.mp3"</v>
      </c>
      <c r="K81" s="46"/>
      <c r="L81" s="40" t="str">
        <f t="shared" si="16"/>
        <v>c 930</v>
      </c>
      <c r="M81" s="42" t="str">
        <f t="shared" si="17"/>
        <v>&lt;unit081&gt; "&gt;&gt;пр-т Венисье" {e, p 029, c 900, v "\mp3_ost\venis`e.mp3", c 930, d 000, n 082}</v>
      </c>
    </row>
    <row r="82" spans="2:13" x14ac:dyDescent="0.25">
      <c r="B82" s="44">
        <f t="shared" si="11"/>
        <v>82</v>
      </c>
      <c r="C82" s="44" t="s">
        <v>79</v>
      </c>
      <c r="D82" s="39" t="str">
        <f t="shared" si="12"/>
        <v/>
      </c>
      <c r="E82" s="44" t="s">
        <v>260</v>
      </c>
      <c r="G82" s="45">
        <f t="shared" si="18"/>
        <v>83</v>
      </c>
      <c r="H82" s="40" t="str">
        <f t="shared" si="13"/>
        <v>p 029</v>
      </c>
      <c r="I82" s="45" t="str">
        <f t="shared" si="14"/>
        <v>c 902</v>
      </c>
      <c r="J82" s="46" t="str">
        <f t="shared" si="15"/>
        <v>v "\mp3_ost\venis`e.mp3"</v>
      </c>
      <c r="K82" s="46"/>
      <c r="L82" s="40" t="str">
        <f t="shared" si="16"/>
        <v/>
      </c>
      <c r="M82" s="42" t="str">
        <f t="shared" si="17"/>
        <v>&lt;unit082&gt; "пр-т Венисье" {e, p 029, c 902, v "\mp3_ost\venis`e.mp3", d 000, n 083}</v>
      </c>
    </row>
    <row r="83" spans="2:13" x14ac:dyDescent="0.25">
      <c r="B83" s="44">
        <f t="shared" si="11"/>
        <v>83</v>
      </c>
      <c r="C83" s="44" t="s">
        <v>329</v>
      </c>
      <c r="D83" s="39" t="str">
        <f t="shared" si="12"/>
        <v>&gt;&gt;</v>
      </c>
      <c r="E83" s="44" t="s">
        <v>240</v>
      </c>
      <c r="F83" s="44" t="s">
        <v>381</v>
      </c>
      <c r="G83" s="45">
        <f t="shared" si="18"/>
        <v>84</v>
      </c>
      <c r="H83" s="40" t="str">
        <f t="shared" si="13"/>
        <v>p 034</v>
      </c>
      <c r="I83" s="45" t="str">
        <f t="shared" si="14"/>
        <v>c 900</v>
      </c>
      <c r="J83" s="46" t="str">
        <f t="shared" si="15"/>
        <v>v "\mp3_ost\sberbank.mp3"</v>
      </c>
      <c r="K83" s="46"/>
      <c r="L83" s="40" t="str">
        <f t="shared" si="16"/>
        <v>c 930</v>
      </c>
      <c r="M83" s="42" t="str">
        <f t="shared" si="17"/>
        <v>&lt;unit083&gt; "&gt;&gt;Сбербанк" {e, p 034, c 900, v "\mp3_ost\sberbank.mp3", c 930, d 000, n 084}</v>
      </c>
    </row>
    <row r="84" spans="2:13" x14ac:dyDescent="0.25">
      <c r="B84" s="44">
        <f t="shared" si="11"/>
        <v>84</v>
      </c>
      <c r="C84" s="44" t="s">
        <v>79</v>
      </c>
      <c r="D84" s="39" t="str">
        <f t="shared" si="12"/>
        <v/>
      </c>
      <c r="E84" s="44" t="s">
        <v>240</v>
      </c>
      <c r="G84" s="45">
        <f t="shared" si="18"/>
        <v>85</v>
      </c>
      <c r="H84" s="40" t="str">
        <f t="shared" si="13"/>
        <v>p 034</v>
      </c>
      <c r="I84" s="45" t="str">
        <f t="shared" si="14"/>
        <v>c 902</v>
      </c>
      <c r="J84" s="46" t="str">
        <f t="shared" si="15"/>
        <v>v "\mp3_ost\sberbank.mp3"</v>
      </c>
      <c r="K84" s="46"/>
      <c r="L84" s="40" t="str">
        <f t="shared" si="16"/>
        <v/>
      </c>
      <c r="M84" s="42" t="str">
        <f t="shared" si="17"/>
        <v>&lt;unit084&gt; "Сбербанк" {e, p 034, c 902, v "\mp3_ost\sberbank.mp3", d 000, n 085}</v>
      </c>
    </row>
    <row r="85" spans="2:13" x14ac:dyDescent="0.25">
      <c r="B85" s="44">
        <f t="shared" si="11"/>
        <v>85</v>
      </c>
      <c r="C85" s="44" t="s">
        <v>329</v>
      </c>
      <c r="D85" s="39" t="str">
        <f t="shared" si="12"/>
        <v>&gt;&gt;</v>
      </c>
      <c r="E85" s="44" t="s">
        <v>225</v>
      </c>
      <c r="F85" s="44" t="s">
        <v>381</v>
      </c>
      <c r="G85" s="45">
        <f t="shared" si="18"/>
        <v>86</v>
      </c>
      <c r="H85" s="40" t="str">
        <f t="shared" si="13"/>
        <v>p 027</v>
      </c>
      <c r="I85" s="45" t="str">
        <f t="shared" si="14"/>
        <v>c 900</v>
      </c>
      <c r="J85" s="46" t="str">
        <f t="shared" si="15"/>
        <v>v "\mp3_ost\paliklin.mp3"</v>
      </c>
      <c r="K85" s="46"/>
      <c r="L85" s="40" t="str">
        <f t="shared" si="16"/>
        <v>c 930</v>
      </c>
      <c r="M85" s="42" t="str">
        <f t="shared" si="17"/>
        <v>&lt;unit085&gt; "&gt;&gt;Поликлиника" {e, p 027, c 900, v "\mp3_ost\paliklin.mp3", c 930, d 000, n 086}</v>
      </c>
    </row>
    <row r="86" spans="2:13" x14ac:dyDescent="0.25">
      <c r="B86" s="44">
        <f t="shared" si="11"/>
        <v>86</v>
      </c>
      <c r="C86" s="44" t="s">
        <v>79</v>
      </c>
      <c r="D86" s="39" t="str">
        <f t="shared" si="12"/>
        <v/>
      </c>
      <c r="E86" s="44" t="s">
        <v>225</v>
      </c>
      <c r="G86" s="45">
        <f t="shared" si="18"/>
        <v>87</v>
      </c>
      <c r="H86" s="40" t="str">
        <f t="shared" si="13"/>
        <v>p 027</v>
      </c>
      <c r="I86" s="45" t="str">
        <f t="shared" si="14"/>
        <v>c 902</v>
      </c>
      <c r="J86" s="46" t="str">
        <f t="shared" si="15"/>
        <v>v "\mp3_ost\paliklin.mp3"</v>
      </c>
      <c r="K86" s="46"/>
      <c r="L86" s="40" t="str">
        <f t="shared" si="16"/>
        <v/>
      </c>
      <c r="M86" s="42" t="str">
        <f t="shared" si="17"/>
        <v>&lt;unit086&gt; "Поликлиника" {e, p 027, c 902, v "\mp3_ost\paliklin.mp3", d 000, n 087}</v>
      </c>
    </row>
    <row r="87" spans="2:13" x14ac:dyDescent="0.25">
      <c r="B87" s="44">
        <f t="shared" si="11"/>
        <v>87</v>
      </c>
      <c r="C87" s="44" t="s">
        <v>329</v>
      </c>
      <c r="D87" s="39" t="str">
        <f t="shared" si="12"/>
        <v>&gt;&gt;</v>
      </c>
      <c r="E87" s="44" t="s">
        <v>349</v>
      </c>
      <c r="F87" s="44" t="s">
        <v>381</v>
      </c>
      <c r="G87" s="45">
        <f t="shared" si="18"/>
        <v>88</v>
      </c>
      <c r="H87" s="40" t="str">
        <f t="shared" si="13"/>
        <v>p 022</v>
      </c>
      <c r="I87" s="45" t="str">
        <f t="shared" si="14"/>
        <v>c 900</v>
      </c>
      <c r="J87" s="46" t="str">
        <f t="shared" si="15"/>
        <v>v "\mp3_ost\park.mp3"</v>
      </c>
      <c r="K87" s="46"/>
      <c r="L87" s="40" t="str">
        <f t="shared" si="16"/>
        <v>c 930</v>
      </c>
      <c r="M87" s="42" t="str">
        <f t="shared" si="17"/>
        <v>&lt;unit087&gt; "&gt;&gt;Парк культуры" {e, p 022, c 900, v "\mp3_ost\park.mp3", c 930, d 000, n 088}</v>
      </c>
    </row>
    <row r="88" spans="2:13" x14ac:dyDescent="0.25">
      <c r="B88" s="44">
        <f t="shared" si="11"/>
        <v>88</v>
      </c>
      <c r="C88" s="44" t="s">
        <v>79</v>
      </c>
      <c r="D88" s="39" t="str">
        <f t="shared" si="12"/>
        <v/>
      </c>
      <c r="E88" s="44" t="s">
        <v>349</v>
      </c>
      <c r="G88" s="45">
        <f t="shared" si="18"/>
        <v>89</v>
      </c>
      <c r="H88" s="40" t="str">
        <f t="shared" si="13"/>
        <v>p 022</v>
      </c>
      <c r="I88" s="45" t="str">
        <f t="shared" si="14"/>
        <v>c 902</v>
      </c>
      <c r="J88" s="46" t="str">
        <f t="shared" si="15"/>
        <v>v "\mp3_ost\park.mp3"</v>
      </c>
      <c r="K88" s="46"/>
      <c r="L88" s="40" t="str">
        <f t="shared" si="16"/>
        <v/>
      </c>
      <c r="M88" s="42" t="str">
        <f t="shared" si="17"/>
        <v>&lt;unit088&gt; "Парк культуры" {e, p 022, c 902, v "\mp3_ost\park.mp3", d 000, n 089}</v>
      </c>
    </row>
    <row r="89" spans="2:13" x14ac:dyDescent="0.25">
      <c r="B89" s="44">
        <f t="shared" si="11"/>
        <v>89</v>
      </c>
      <c r="C89" s="44" t="s">
        <v>329</v>
      </c>
      <c r="D89" s="39" t="str">
        <f t="shared" si="12"/>
        <v>&gt;&gt;</v>
      </c>
      <c r="E89" s="44" t="s">
        <v>233</v>
      </c>
      <c r="F89" s="44" t="s">
        <v>381</v>
      </c>
      <c r="G89" s="45">
        <f t="shared" si="18"/>
        <v>90</v>
      </c>
      <c r="H89" s="40" t="str">
        <f t="shared" si="13"/>
        <v>p 028</v>
      </c>
      <c r="I89" s="45" t="str">
        <f t="shared" si="14"/>
        <v>c 900</v>
      </c>
      <c r="J89" s="46" t="str">
        <f t="shared" si="15"/>
        <v>v "\mp3_ost\pochta.mp3"</v>
      </c>
      <c r="K89" s="46"/>
      <c r="L89" s="40" t="str">
        <f t="shared" si="16"/>
        <v>c 930</v>
      </c>
      <c r="M89" s="42" t="str">
        <f t="shared" si="17"/>
        <v>&lt;unit089&gt; "&gt;&gt;Почта" {e, p 028, c 900, v "\mp3_ost\pochta.mp3", c 930, d 000, n 090}</v>
      </c>
    </row>
    <row r="90" spans="2:13" x14ac:dyDescent="0.25">
      <c r="B90" s="44">
        <f t="shared" si="11"/>
        <v>90</v>
      </c>
      <c r="C90" s="44" t="s">
        <v>79</v>
      </c>
      <c r="D90" s="39" t="str">
        <f t="shared" si="12"/>
        <v/>
      </c>
      <c r="E90" s="44" t="s">
        <v>233</v>
      </c>
      <c r="G90" s="45">
        <f t="shared" si="18"/>
        <v>91</v>
      </c>
      <c r="H90" s="40" t="str">
        <f t="shared" si="13"/>
        <v>p 028</v>
      </c>
      <c r="I90" s="45" t="str">
        <f t="shared" si="14"/>
        <v>c 902</v>
      </c>
      <c r="J90" s="46" t="str">
        <f t="shared" si="15"/>
        <v>v "\mp3_ost\pochta.mp3"</v>
      </c>
      <c r="K90" s="46"/>
      <c r="L90" s="40" t="str">
        <f t="shared" si="16"/>
        <v/>
      </c>
      <c r="M90" s="42" t="str">
        <f t="shared" si="17"/>
        <v>&lt;unit090&gt; "Почта" {e, p 028, c 902, v "\mp3_ost\pochta.mp3", d 000, n 091}</v>
      </c>
    </row>
    <row r="91" spans="2:13" x14ac:dyDescent="0.25">
      <c r="B91" s="44">
        <f t="shared" si="11"/>
        <v>91</v>
      </c>
      <c r="C91" s="44" t="s">
        <v>329</v>
      </c>
      <c r="D91" s="39" t="str">
        <f t="shared" si="12"/>
        <v>&gt;&gt;</v>
      </c>
      <c r="E91" s="44" t="s">
        <v>167</v>
      </c>
      <c r="F91" s="44" t="s">
        <v>381</v>
      </c>
      <c r="G91" s="45">
        <f t="shared" si="18"/>
        <v>92</v>
      </c>
      <c r="H91" s="40" t="str">
        <f t="shared" si="13"/>
        <v>p 077</v>
      </c>
      <c r="I91" s="45" t="str">
        <f t="shared" si="14"/>
        <v>c 900</v>
      </c>
      <c r="J91" s="46" t="str">
        <f t="shared" si="15"/>
        <v>c 928, v "\mp3_ost\swrokvas.mp3"</v>
      </c>
      <c r="K91" s="46"/>
      <c r="L91" s="40" t="str">
        <f t="shared" si="16"/>
        <v>c 930</v>
      </c>
      <c r="M91" s="42" t="str">
        <f t="shared" si="17"/>
        <v>&lt;unit091&gt; "&gt;&gt;ул.Сырокваша" {e, p 077, c 900, c 928, v "\mp3_ost\swrokvas.mp3", c 930, d 000, n 092}</v>
      </c>
    </row>
    <row r="92" spans="2:13" x14ac:dyDescent="0.25">
      <c r="B92" s="44">
        <f t="shared" si="11"/>
        <v>92</v>
      </c>
      <c r="C92" s="44" t="s">
        <v>79</v>
      </c>
      <c r="D92" s="39" t="str">
        <f t="shared" si="12"/>
        <v/>
      </c>
      <c r="E92" s="44" t="s">
        <v>167</v>
      </c>
      <c r="G92" s="45">
        <f t="shared" si="18"/>
        <v>93</v>
      </c>
      <c r="H92" s="40" t="str">
        <f t="shared" si="13"/>
        <v>p 077</v>
      </c>
      <c r="I92" s="45" t="str">
        <f t="shared" si="14"/>
        <v>c 902</v>
      </c>
      <c r="J92" s="46" t="str">
        <f t="shared" si="15"/>
        <v>c 928, v "\mp3_ost\swrokvas.mp3"</v>
      </c>
      <c r="K92" s="46"/>
      <c r="L92" s="40" t="str">
        <f t="shared" ref="L92:L108" si="20">IFERROR("c "&amp;VLOOKUP(F92,Punkti,2,FALSE),"")</f>
        <v/>
      </c>
      <c r="M92" s="42" t="str">
        <f t="shared" ref="M92:M108" si="21">"&lt;unit"&amp;TEXT(B92,"000")&amp;"&gt; """&amp;СцепитьМного(D92:E92,"")&amp;""" {e, "&amp;СцепитьМного(H92:L92,", ")&amp;", d 000, n "&amp;TEXT(G92,"000")&amp;"}"</f>
        <v>&lt;unit092&gt; "ул.Сырокваша" {e, p 077, c 902, c 928, v "\mp3_ost\swrokvas.mp3", d 000, n 093}</v>
      </c>
    </row>
    <row r="93" spans="2:13" x14ac:dyDescent="0.25">
      <c r="B93" s="44">
        <f t="shared" si="11"/>
        <v>93</v>
      </c>
      <c r="C93" s="44" t="s">
        <v>329</v>
      </c>
      <c r="D93" s="39" t="str">
        <f t="shared" si="12"/>
        <v>&gt;&gt;</v>
      </c>
      <c r="E93" s="44" t="s">
        <v>165</v>
      </c>
      <c r="F93" s="44" t="s">
        <v>381</v>
      </c>
      <c r="G93" s="45">
        <f t="shared" si="18"/>
        <v>94</v>
      </c>
      <c r="H93" s="40" t="str">
        <f t="shared" si="13"/>
        <v>p 064</v>
      </c>
      <c r="I93" s="45" t="str">
        <f t="shared" si="14"/>
        <v>c 900</v>
      </c>
      <c r="J93" s="46" t="str">
        <f t="shared" si="15"/>
        <v>c 928, v "\mp3_ost\moskovsk.mp3"</v>
      </c>
      <c r="K93" s="46"/>
      <c r="L93" s="40" t="str">
        <f t="shared" si="20"/>
        <v>c 930</v>
      </c>
      <c r="M93" s="42" t="str">
        <f t="shared" si="21"/>
        <v>&lt;unit093&gt; "&gt;&gt;ул.Московская" {e, p 064, c 900, c 928, v "\mp3_ost\moskovsk.mp3", c 930, d 000, n 094}</v>
      </c>
    </row>
    <row r="94" spans="2:13" x14ac:dyDescent="0.25">
      <c r="B94" s="44">
        <f t="shared" si="11"/>
        <v>94</v>
      </c>
      <c r="C94" s="44" t="s">
        <v>79</v>
      </c>
      <c r="D94" s="39" t="str">
        <f t="shared" si="12"/>
        <v/>
      </c>
      <c r="E94" s="44" t="s">
        <v>165</v>
      </c>
      <c r="G94" s="45">
        <f t="shared" si="18"/>
        <v>95</v>
      </c>
      <c r="H94" s="40" t="str">
        <f t="shared" si="13"/>
        <v>p 064</v>
      </c>
      <c r="I94" s="45" t="str">
        <f t="shared" si="14"/>
        <v>c 902</v>
      </c>
      <c r="J94" s="46" t="str">
        <f t="shared" si="15"/>
        <v>c 928, v "\mp3_ost\moskovsk.mp3"</v>
      </c>
      <c r="K94" s="46"/>
      <c r="L94" s="40" t="str">
        <f t="shared" si="20"/>
        <v/>
      </c>
      <c r="M94" s="42" t="str">
        <f t="shared" si="21"/>
        <v>&lt;unit094&gt; "ул.Московская" {e, p 064, c 902, c 928, v "\mp3_ost\moskovsk.mp3", d 000, n 095}</v>
      </c>
    </row>
    <row r="95" spans="2:13" x14ac:dyDescent="0.25">
      <c r="B95" s="44">
        <f t="shared" si="11"/>
        <v>95</v>
      </c>
      <c r="C95" s="44" t="s">
        <v>329</v>
      </c>
      <c r="D95" s="39" t="str">
        <f t="shared" si="12"/>
        <v>&gt;&gt;</v>
      </c>
      <c r="E95" s="44" t="s">
        <v>166</v>
      </c>
      <c r="F95" s="44" t="s">
        <v>381</v>
      </c>
      <c r="G95" s="45">
        <f t="shared" si="18"/>
        <v>96</v>
      </c>
      <c r="H95" s="40" t="str">
        <f t="shared" si="13"/>
        <v>p 068</v>
      </c>
      <c r="I95" s="45" t="str">
        <f t="shared" si="14"/>
        <v>c 900</v>
      </c>
      <c r="J95" s="46" t="str">
        <f t="shared" si="15"/>
        <v>c 928, v "\mp3_ost\partizan.mp3"</v>
      </c>
      <c r="K95" s="46"/>
      <c r="L95" s="40" t="str">
        <f t="shared" si="20"/>
        <v>c 930</v>
      </c>
      <c r="M95" s="42" t="str">
        <f t="shared" si="21"/>
        <v>&lt;unit095&gt; "&gt;&gt;ул.Партизанская" {e, p 068, c 900, c 928, v "\mp3_ost\partizan.mp3", c 930, d 000, n 096}</v>
      </c>
    </row>
    <row r="96" spans="2:13" x14ac:dyDescent="0.25">
      <c r="B96" s="44">
        <f t="shared" si="11"/>
        <v>96</v>
      </c>
      <c r="C96" s="44" t="s">
        <v>79</v>
      </c>
      <c r="D96" s="39" t="str">
        <f t="shared" si="12"/>
        <v/>
      </c>
      <c r="E96" s="44" t="s">
        <v>166</v>
      </c>
      <c r="G96" s="45">
        <f t="shared" si="18"/>
        <v>97</v>
      </c>
      <c r="H96" s="40" t="str">
        <f t="shared" si="13"/>
        <v>p 068</v>
      </c>
      <c r="I96" s="45" t="str">
        <f t="shared" si="14"/>
        <v>c 902</v>
      </c>
      <c r="J96" s="46" t="str">
        <f t="shared" si="15"/>
        <v>c 928, v "\mp3_ost\partizan.mp3"</v>
      </c>
      <c r="K96" s="46"/>
      <c r="L96" s="40" t="str">
        <f t="shared" si="20"/>
        <v/>
      </c>
      <c r="M96" s="42" t="str">
        <f t="shared" si="21"/>
        <v>&lt;unit096&gt; "ул.Партизанская" {e, p 068, c 902, c 928, v "\mp3_ost\partizan.mp3", d 000, n 097}</v>
      </c>
    </row>
    <row r="97" spans="2:13" x14ac:dyDescent="0.25">
      <c r="B97" s="44">
        <f t="shared" si="11"/>
        <v>97</v>
      </c>
      <c r="C97" s="44" t="s">
        <v>329</v>
      </c>
      <c r="D97" s="39" t="str">
        <f t="shared" si="12"/>
        <v>&gt;&gt;</v>
      </c>
      <c r="E97" s="44" t="s">
        <v>163</v>
      </c>
      <c r="F97" s="44" t="s">
        <v>381</v>
      </c>
      <c r="G97" s="45">
        <f t="shared" si="18"/>
        <v>98</v>
      </c>
      <c r="H97" s="40" t="str">
        <f t="shared" si="13"/>
        <v>p 010</v>
      </c>
      <c r="I97" s="45" t="str">
        <f t="shared" si="14"/>
        <v>c 900</v>
      </c>
      <c r="J97" s="46" t="str">
        <f t="shared" si="15"/>
        <v>v "\mp3_ost\jd.mp3"</v>
      </c>
      <c r="K97" s="46"/>
      <c r="L97" s="40" t="str">
        <f t="shared" si="20"/>
        <v>c 930</v>
      </c>
      <c r="M97" s="42" t="str">
        <f t="shared" si="21"/>
        <v>&lt;unit097&gt; "&gt;&gt;ЖД Вокзал" {e, p 010, c 900, v "\mp3_ost\jd.mp3", c 930, d 000, n 098}</v>
      </c>
    </row>
    <row r="98" spans="2:13" x14ac:dyDescent="0.25">
      <c r="B98" s="44">
        <f t="shared" si="11"/>
        <v>98</v>
      </c>
      <c r="C98" s="44" t="s">
        <v>79</v>
      </c>
      <c r="D98" s="39" t="str">
        <f t="shared" si="12"/>
        <v/>
      </c>
      <c r="E98" s="44" t="s">
        <v>163</v>
      </c>
      <c r="G98" s="45">
        <f t="shared" si="18"/>
        <v>99</v>
      </c>
      <c r="H98" s="40" t="str">
        <f t="shared" si="13"/>
        <v>p 010</v>
      </c>
      <c r="I98" s="45" t="str">
        <f t="shared" si="14"/>
        <v>c 902</v>
      </c>
      <c r="J98" s="46" t="str">
        <f t="shared" si="15"/>
        <v>v "\mp3_ost\jd.mp3"</v>
      </c>
      <c r="K98" s="46"/>
      <c r="L98" s="40" t="str">
        <f t="shared" si="20"/>
        <v/>
      </c>
      <c r="M98" s="42" t="str">
        <f t="shared" si="21"/>
        <v>&lt;unit098&gt; "ЖД Вокзал" {e, p 010, c 902, v "\mp3_ost\jd.mp3", d 000, n 099}</v>
      </c>
    </row>
    <row r="99" spans="2:13" x14ac:dyDescent="0.25">
      <c r="B99" s="44">
        <f t="shared" si="11"/>
        <v>99</v>
      </c>
      <c r="C99" s="44" t="s">
        <v>329</v>
      </c>
      <c r="D99" s="39" t="str">
        <f t="shared" si="12"/>
        <v>&gt;&gt;</v>
      </c>
      <c r="E99" s="44" t="s">
        <v>346</v>
      </c>
      <c r="F99" s="44" t="s">
        <v>381</v>
      </c>
      <c r="G99" s="45">
        <f t="shared" si="18"/>
        <v>100</v>
      </c>
      <c r="H99" s="40" t="str">
        <f t="shared" si="13"/>
        <v>p 054</v>
      </c>
      <c r="I99" s="45" t="str">
        <f t="shared" si="14"/>
        <v>c 900</v>
      </c>
      <c r="J99" s="46" t="str">
        <f t="shared" si="15"/>
        <v>c 928, v "\mp3_ost\zhodinsk.mp3"</v>
      </c>
      <c r="K99" s="46"/>
      <c r="L99" s="40" t="str">
        <f t="shared" si="20"/>
        <v>c 930</v>
      </c>
      <c r="M99" s="42" t="str">
        <f t="shared" si="21"/>
        <v>&lt;unit099&gt; "&gt;&gt;ул.Жодинская" {e, p 054, c 900, c 928, v "\mp3_ost\zhodinsk.mp3", c 930, d 000, n 100}</v>
      </c>
    </row>
    <row r="100" spans="2:13" x14ac:dyDescent="0.25">
      <c r="B100" s="44">
        <f t="shared" si="11"/>
        <v>100</v>
      </c>
      <c r="C100" s="44" t="s">
        <v>79</v>
      </c>
      <c r="D100" s="39" t="str">
        <f t="shared" si="12"/>
        <v/>
      </c>
      <c r="E100" s="44" t="s">
        <v>346</v>
      </c>
      <c r="G100" s="45">
        <f t="shared" si="18"/>
        <v>101</v>
      </c>
      <c r="H100" s="40" t="str">
        <f t="shared" si="13"/>
        <v>p 054</v>
      </c>
      <c r="I100" s="45" t="str">
        <f t="shared" si="14"/>
        <v>c 902</v>
      </c>
      <c r="J100" s="46" t="str">
        <f t="shared" si="15"/>
        <v>c 928, v "\mp3_ost\zhodinsk.mp3"</v>
      </c>
      <c r="K100" s="46"/>
      <c r="L100" s="40" t="str">
        <f t="shared" si="20"/>
        <v/>
      </c>
      <c r="M100" s="42" t="str">
        <f t="shared" si="21"/>
        <v>&lt;unit100&gt; "ул.Жодинская" {e, p 054, c 902, c 928, v "\mp3_ost\zhodinsk.mp3", d 000, n 101}</v>
      </c>
    </row>
    <row r="101" spans="2:13" x14ac:dyDescent="0.25">
      <c r="B101" s="44">
        <f t="shared" si="11"/>
        <v>101</v>
      </c>
      <c r="C101" s="44" t="s">
        <v>329</v>
      </c>
      <c r="D101" s="39" t="str">
        <f t="shared" si="12"/>
        <v>&gt;&gt;</v>
      </c>
      <c r="E101" s="44" t="s">
        <v>253</v>
      </c>
      <c r="F101" s="44" t="s">
        <v>381</v>
      </c>
      <c r="G101" s="45">
        <f t="shared" si="18"/>
        <v>102</v>
      </c>
      <c r="H101" s="40" t="str">
        <f t="shared" si="13"/>
        <v>p 042</v>
      </c>
      <c r="I101" s="45" t="str">
        <f t="shared" si="14"/>
        <v>c 900</v>
      </c>
      <c r="J101" s="46" t="str">
        <f t="shared" si="15"/>
        <v>v "\mp3_ost\tec.mp3"</v>
      </c>
      <c r="K101" s="46"/>
      <c r="L101" s="40" t="str">
        <f t="shared" si="20"/>
        <v>c 930</v>
      </c>
      <c r="M101" s="42" t="str">
        <f t="shared" si="21"/>
        <v>&lt;unit101&gt; "&gt;&gt;ТЭЦ" {e, p 042, c 900, v "\mp3_ost\tec.mp3", c 930, d 000, n 102}</v>
      </c>
    </row>
    <row r="102" spans="2:13" x14ac:dyDescent="0.25">
      <c r="B102" s="44">
        <f t="shared" si="11"/>
        <v>102</v>
      </c>
      <c r="C102" s="44" t="s">
        <v>79</v>
      </c>
      <c r="D102" s="39" t="str">
        <f t="shared" si="12"/>
        <v/>
      </c>
      <c r="E102" s="44" t="s">
        <v>253</v>
      </c>
      <c r="G102" s="45">
        <f t="shared" si="18"/>
        <v>103</v>
      </c>
      <c r="H102" s="40" t="str">
        <f t="shared" si="13"/>
        <v>p 042</v>
      </c>
      <c r="I102" s="45" t="str">
        <f t="shared" si="14"/>
        <v>c 902</v>
      </c>
      <c r="J102" s="46" t="str">
        <f t="shared" si="15"/>
        <v>v "\mp3_ost\tec.mp3"</v>
      </c>
      <c r="K102" s="46"/>
      <c r="L102" s="40" t="str">
        <f t="shared" si="20"/>
        <v/>
      </c>
      <c r="M102" s="42" t="str">
        <f t="shared" si="21"/>
        <v>&lt;unit102&gt; "ТЭЦ" {e, p 042, c 902, v "\mp3_ost\tec.mp3", d 000, n 103}</v>
      </c>
    </row>
    <row r="103" spans="2:13" x14ac:dyDescent="0.25">
      <c r="B103" s="44">
        <f t="shared" si="11"/>
        <v>103</v>
      </c>
      <c r="C103" s="44" t="s">
        <v>329</v>
      </c>
      <c r="D103" s="39" t="str">
        <f t="shared" si="12"/>
        <v>&gt;&gt;</v>
      </c>
      <c r="E103" s="44" t="s">
        <v>271</v>
      </c>
      <c r="F103" s="44" t="s">
        <v>381</v>
      </c>
      <c r="G103" s="45">
        <f t="shared" si="18"/>
        <v>104</v>
      </c>
      <c r="H103" s="40" t="str">
        <f t="shared" si="13"/>
        <v>p 056</v>
      </c>
      <c r="I103" s="45" t="str">
        <f t="shared" si="14"/>
        <v>c 900</v>
      </c>
      <c r="J103" s="46" t="str">
        <f t="shared" si="15"/>
        <v>c 928, v "\mp3_ost\kupriyan.mp3"</v>
      </c>
      <c r="K103" s="46"/>
      <c r="L103" s="40" t="str">
        <f t="shared" si="20"/>
        <v>c 930</v>
      </c>
      <c r="M103" s="42" t="str">
        <f t="shared" si="21"/>
        <v>&lt;unit103&gt; "&gt;&gt;ул.Куприянова" {e, p 056, c 900, c 928, v "\mp3_ost\kupriyan.mp3", c 930, d 000, n 104}</v>
      </c>
    </row>
    <row r="104" spans="2:13" x14ac:dyDescent="0.25">
      <c r="B104" s="44">
        <f t="shared" si="11"/>
        <v>104</v>
      </c>
      <c r="C104" s="44" t="s">
        <v>79</v>
      </c>
      <c r="D104" s="39" t="str">
        <f t="shared" si="12"/>
        <v/>
      </c>
      <c r="E104" s="44" t="s">
        <v>271</v>
      </c>
      <c r="G104" s="45">
        <f t="shared" si="18"/>
        <v>105</v>
      </c>
      <c r="H104" s="40" t="str">
        <f t="shared" si="13"/>
        <v>p 056</v>
      </c>
      <c r="I104" s="45" t="str">
        <f t="shared" si="14"/>
        <v>c 902</v>
      </c>
      <c r="J104" s="46" t="str">
        <f t="shared" si="15"/>
        <v>c 928, v "\mp3_ost\kupriyan.mp3"</v>
      </c>
      <c r="K104" s="46"/>
      <c r="L104" s="40" t="str">
        <f t="shared" si="20"/>
        <v/>
      </c>
      <c r="M104" s="42" t="str">
        <f t="shared" si="21"/>
        <v>&lt;unit104&gt; "ул.Куприянова" {e, p 056, c 902, c 928, v "\mp3_ost\kupriyan.mp3", d 000, n 105}</v>
      </c>
    </row>
    <row r="105" spans="2:13" x14ac:dyDescent="0.25">
      <c r="B105" s="44">
        <f t="shared" si="11"/>
        <v>105</v>
      </c>
      <c r="C105" s="44" t="s">
        <v>329</v>
      </c>
      <c r="D105" s="39" t="str">
        <f t="shared" si="12"/>
        <v>&gt;&gt;</v>
      </c>
      <c r="E105" s="44" t="s">
        <v>202</v>
      </c>
      <c r="F105" s="44" t="s">
        <v>381</v>
      </c>
      <c r="G105" s="45">
        <f t="shared" si="18"/>
        <v>106</v>
      </c>
      <c r="H105" s="40" t="str">
        <f t="shared" si="13"/>
        <v>p 083</v>
      </c>
      <c r="I105" s="45" t="str">
        <f t="shared" si="14"/>
        <v>c 900</v>
      </c>
      <c r="J105" s="46" t="str">
        <f t="shared" si="15"/>
        <v>v "\mp3_ost\elseti.mp3"</v>
      </c>
      <c r="K105" s="46"/>
      <c r="L105" s="40" t="str">
        <f t="shared" si="20"/>
        <v>c 930</v>
      </c>
      <c r="M105" s="42" t="str">
        <f t="shared" si="21"/>
        <v>&lt;unit105&gt; "&gt;&gt;Электросети" {e, p 083, c 900, v "\mp3_ost\elseti.mp3", c 930, d 000, n 106}</v>
      </c>
    </row>
    <row r="106" spans="2:13" x14ac:dyDescent="0.25">
      <c r="B106" s="44">
        <f t="shared" si="11"/>
        <v>106</v>
      </c>
      <c r="C106" s="44" t="s">
        <v>79</v>
      </c>
      <c r="D106" s="39" t="str">
        <f t="shared" si="12"/>
        <v/>
      </c>
      <c r="E106" s="44" t="s">
        <v>202</v>
      </c>
      <c r="G106" s="45">
        <f t="shared" si="18"/>
        <v>107</v>
      </c>
      <c r="H106" s="40" t="str">
        <f t="shared" si="13"/>
        <v>p 083</v>
      </c>
      <c r="I106" s="45" t="str">
        <f t="shared" si="14"/>
        <v>c 902</v>
      </c>
      <c r="J106" s="46" t="str">
        <f t="shared" si="15"/>
        <v>v "\mp3_ost\elseti.mp3"</v>
      </c>
      <c r="K106" s="46"/>
      <c r="L106" s="40" t="str">
        <f t="shared" si="20"/>
        <v/>
      </c>
      <c r="M106" s="42" t="str">
        <f t="shared" si="21"/>
        <v>&lt;unit106&gt; "Электросети" {e, p 083, c 902, v "\mp3_ost\elseti.mp3", d 000, n 107}</v>
      </c>
    </row>
    <row r="107" spans="2:13" x14ac:dyDescent="0.25">
      <c r="B107" s="44">
        <f t="shared" si="11"/>
        <v>107</v>
      </c>
      <c r="C107" s="44" t="s">
        <v>329</v>
      </c>
      <c r="D107" s="39" t="str">
        <f t="shared" si="12"/>
        <v>&gt;&gt;</v>
      </c>
      <c r="E107" s="44" t="s">
        <v>279</v>
      </c>
      <c r="F107" s="44" t="s">
        <v>381</v>
      </c>
      <c r="G107" s="45">
        <f t="shared" si="18"/>
        <v>108</v>
      </c>
      <c r="H107" s="40" t="str">
        <f t="shared" si="13"/>
        <v>p 078</v>
      </c>
      <c r="I107" s="45" t="str">
        <f t="shared" si="14"/>
        <v>c 900</v>
      </c>
      <c r="J107" s="46" t="str">
        <f t="shared" si="15"/>
        <v>c 928, v "\mp3_ost\truda.mp3"</v>
      </c>
      <c r="K107" s="46"/>
      <c r="L107" s="40" t="str">
        <f t="shared" si="20"/>
        <v>c 930</v>
      </c>
      <c r="M107" s="42" t="str">
        <f t="shared" si="21"/>
        <v>&lt;unit107&gt; "&gt;&gt;ул.Труда" {e, p 078, c 900, c 928, v "\mp3_ost\truda.mp3", c 930, d 000, n 108}</v>
      </c>
    </row>
    <row r="108" spans="2:13" x14ac:dyDescent="0.25">
      <c r="B108" s="44">
        <f t="shared" si="11"/>
        <v>108</v>
      </c>
      <c r="C108" s="44" t="s">
        <v>79</v>
      </c>
      <c r="D108" s="39" t="str">
        <f t="shared" si="12"/>
        <v/>
      </c>
      <c r="E108" s="44" t="s">
        <v>279</v>
      </c>
      <c r="F108" s="44" t="s">
        <v>331</v>
      </c>
      <c r="G108" s="45">
        <f>B110</f>
        <v>110</v>
      </c>
      <c r="H108" s="40" t="str">
        <f t="shared" si="13"/>
        <v>p 078</v>
      </c>
      <c r="I108" s="45" t="str">
        <f t="shared" si="14"/>
        <v>c 902</v>
      </c>
      <c r="J108" s="46" t="str">
        <f t="shared" si="15"/>
        <v>c 928, v "\mp3_ost\truda.mp3"</v>
      </c>
      <c r="K108" s="46"/>
      <c r="L108" s="40" t="str">
        <f t="shared" si="20"/>
        <v>c 903</v>
      </c>
      <c r="M108" s="42" t="str">
        <f t="shared" si="21"/>
        <v>&lt;unit108&gt; "ул.Труда" {e, p 078, c 902, c 928, v "\mp3_ost\truda.mp3", c 903, d 000, n 110}</v>
      </c>
    </row>
    <row r="109" spans="2:13" s="39" customFormat="1" x14ac:dyDescent="0.25">
      <c r="G109" s="40"/>
      <c r="H109" s="40"/>
      <c r="I109" s="40"/>
      <c r="J109" s="40"/>
      <c r="K109" s="40"/>
      <c r="L109" s="40"/>
      <c r="M109" s="42"/>
    </row>
    <row r="110" spans="2:13" s="39" customFormat="1" x14ac:dyDescent="0.25">
      <c r="B110" s="39">
        <f t="shared" si="11"/>
        <v>110</v>
      </c>
      <c r="E110" s="43" t="s">
        <v>328</v>
      </c>
      <c r="F110" s="43"/>
      <c r="G110" s="40">
        <f>B3</f>
        <v>3</v>
      </c>
      <c r="H110" s="40"/>
      <c r="I110" s="40"/>
      <c r="J110" s="40"/>
      <c r="K110" s="40"/>
      <c r="L110" s="40"/>
      <c r="M110" s="42" t="str">
        <f>"&lt;unit"&amp;TEXT(B110,"000")&amp;"&gt; """&amp;E110&amp;""" {d 000, n "&amp;TEXT(G110,"000")&amp;"}"</f>
        <v>&lt;unit110&gt; "----- Конец -----" {d 000, n 003}</v>
      </c>
    </row>
    <row r="111" spans="2:13" s="39" customFormat="1" x14ac:dyDescent="0.25">
      <c r="G111" s="40"/>
      <c r="H111" s="40"/>
      <c r="I111" s="40"/>
      <c r="J111" s="40"/>
      <c r="K111" s="40"/>
      <c r="L111" s="40"/>
      <c r="M111" s="42"/>
    </row>
    <row r="112" spans="2:13" s="39" customFormat="1" x14ac:dyDescent="0.25">
      <c r="G112" s="40"/>
      <c r="H112" s="40"/>
      <c r="I112" s="40"/>
      <c r="J112" s="40"/>
      <c r="K112" s="40"/>
      <c r="L112" s="40"/>
      <c r="M112" s="42" t="str">
        <f>Константы!D2</f>
        <v>&lt;unit921&gt; "Автовокзал" {v "\mp3_knst\av.mp3"}</v>
      </c>
    </row>
    <row r="113" spans="7:13" s="39" customFormat="1" x14ac:dyDescent="0.25">
      <c r="G113" s="40"/>
      <c r="H113" s="40"/>
      <c r="I113" s="40"/>
      <c r="J113" s="40"/>
      <c r="K113" s="40"/>
      <c r="L113" s="40"/>
      <c r="M113" s="42" t="str">
        <f>Константы!D3</f>
        <v>&lt;unit923&gt; "Гостиница" {v "\mp3_knst\gos.mp3"}</v>
      </c>
    </row>
    <row r="114" spans="7:13" s="39" customFormat="1" x14ac:dyDescent="0.25">
      <c r="G114" s="40"/>
      <c r="H114" s="40"/>
      <c r="I114" s="40"/>
      <c r="J114" s="40"/>
      <c r="K114" s="40"/>
      <c r="L114" s="40"/>
      <c r="M114" s="42" t="str">
        <f>Константы!D4</f>
        <v>&lt;unit922&gt; "Дисп. станция" {v "\mp3_knst\ds.mp3"}</v>
      </c>
    </row>
    <row r="115" spans="7:13" s="39" customFormat="1" x14ac:dyDescent="0.25">
      <c r="G115" s="40"/>
      <c r="H115" s="40"/>
      <c r="I115" s="40"/>
      <c r="J115" s="40"/>
      <c r="K115" s="40"/>
      <c r="L115" s="40"/>
      <c r="M115" s="42" t="str">
        <f>Константы!D5</f>
        <v>&lt;unit903&gt; "Канцавая" {v "\mp3_knst\kanc.mp3"}</v>
      </c>
    </row>
    <row r="116" spans="7:13" s="39" customFormat="1" x14ac:dyDescent="0.25">
      <c r="G116" s="40"/>
      <c r="H116" s="40"/>
      <c r="I116" s="40"/>
      <c r="J116" s="40"/>
      <c r="K116" s="40"/>
      <c r="L116" s="40"/>
      <c r="M116" s="42" t="str">
        <f>Константы!D6</f>
        <v>&lt;unit924&gt; "Конечная" {v "\mp3_knst\ko.mp3"}</v>
      </c>
    </row>
    <row r="117" spans="7:13" s="39" customFormat="1" x14ac:dyDescent="0.25">
      <c r="G117" s="40"/>
      <c r="H117" s="40"/>
      <c r="I117" s="40"/>
      <c r="J117" s="40"/>
      <c r="K117" s="40"/>
      <c r="L117" s="40"/>
      <c r="M117" s="42" t="str">
        <f>Константы!D7</f>
        <v>&lt;unit902&gt; "Остановка" {v "\mp3_knst\ost.mp3"}</v>
      </c>
    </row>
    <row r="118" spans="7:13" s="39" customFormat="1" x14ac:dyDescent="0.25">
      <c r="G118" s="40"/>
      <c r="H118" s="40"/>
      <c r="I118" s="40"/>
      <c r="J118" s="40"/>
      <c r="K118" s="40"/>
      <c r="L118" s="40"/>
      <c r="M118" s="42" t="str">
        <f>Константы!D8</f>
        <v>&lt;unit900&gt; "Дв. закр. След. ост." {v "\mp3_knst\ostor.mp3"}</v>
      </c>
    </row>
    <row r="119" spans="7:13" s="39" customFormat="1" x14ac:dyDescent="0.25">
      <c r="G119" s="40"/>
      <c r="H119" s="40"/>
      <c r="I119" s="40"/>
      <c r="J119" s="40"/>
      <c r="K119" s="40"/>
      <c r="L119" s="40"/>
      <c r="M119" s="42" t="str">
        <f>Константы!D9</f>
        <v>&lt;unit925&gt; "Площадь" {v "\mp3_knst\pl.mp3"}</v>
      </c>
    </row>
    <row r="120" spans="7:13" s="39" customFormat="1" x14ac:dyDescent="0.25">
      <c r="G120" s="40"/>
      <c r="H120" s="40"/>
      <c r="I120" s="40"/>
      <c r="J120" s="40"/>
      <c r="K120" s="40"/>
      <c r="L120" s="40"/>
      <c r="M120" s="42" t="str">
        <f>Константы!D10</f>
        <v>&lt;unit926&gt; "Проспект" {v "\mp3_knst\pr.mp3"}</v>
      </c>
    </row>
    <row r="121" spans="7:13" s="39" customFormat="1" x14ac:dyDescent="0.25">
      <c r="G121" s="40"/>
      <c r="H121" s="40"/>
      <c r="I121" s="40"/>
      <c r="J121" s="40"/>
      <c r="K121" s="40"/>
      <c r="L121" s="40"/>
      <c r="M121" s="42" t="str">
        <f>Константы!D11</f>
        <v>&lt;unit927&gt; "Станция метро" {v "\mp3_knst\sm.mp3"}</v>
      </c>
    </row>
    <row r="122" spans="7:13" s="39" customFormat="1" x14ac:dyDescent="0.25">
      <c r="G122" s="40"/>
      <c r="H122" s="40"/>
      <c r="I122" s="40"/>
      <c r="J122" s="40"/>
      <c r="K122" s="40"/>
      <c r="L122" s="40"/>
      <c r="M122" s="42" t="str">
        <f>Константы!D12</f>
        <v>&lt;unit928&gt; "Улица" {v "\mp3_knst\ul.mp3"}</v>
      </c>
    </row>
    <row r="124" spans="7:13" x14ac:dyDescent="0.25">
      <c r="M124" s="42" t="str">
        <f>Константы!D14</f>
        <v>&lt;unit930&gt; "Реклама" {s 3, r 000 086 090 000}</v>
      </c>
    </row>
    <row r="125" spans="7:13" x14ac:dyDescent="0.25">
      <c r="M125" s="42">
        <f>Константы!D15</f>
        <v>0</v>
      </c>
    </row>
  </sheetData>
  <dataValidations count="2">
    <dataValidation type="list" allowBlank="1" showInputMessage="1" showErrorMessage="1" sqref="C8:C56 F8:F56 C60:C108 F60:F108">
      <formula1>Pref_Punktov</formula1>
    </dataValidation>
    <dataValidation type="list" allowBlank="1" showInputMessage="1" showErrorMessage="1" sqref="E8:E56 E60:E108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"/>
  <dimension ref="A1:L108"/>
  <sheetViews>
    <sheetView topLeftCell="B1" workbookViewId="0">
      <pane ySplit="2" topLeftCell="A73" activePane="bottomLeft" state="frozen"/>
      <selection activeCell="B1" sqref="B1"/>
      <selection pane="bottomLeft" activeCell="G54" sqref="G54:G91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4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2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"2 Бажора-Пож. часть" {i 0, t 002, l 002 002, d 000}</v>
      </c>
    </row>
    <row r="3" spans="1:12" s="39" customFormat="1" x14ac:dyDescent="0.25">
      <c r="A3" s="39" t="str">
        <f ca="1">INDIRECT(ADDRESS($B$1,2,4,1,"route"))</f>
        <v>2 Бажора-Пож. часть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002</v>
      </c>
      <c r="B4" s="39">
        <f>ROW(B4)</f>
        <v>4</v>
      </c>
      <c r="E4" s="39" t="s">
        <v>323</v>
      </c>
      <c r="G4" s="40">
        <f>B54</f>
        <v>54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054}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172</v>
      </c>
      <c r="G8" s="45">
        <f t="shared" ref="G8:G50" si="0">B9</f>
        <v>9</v>
      </c>
      <c r="H8" s="40" t="str">
        <f t="shared" ref="H8:H50" si="1">IFERROR("p "&amp;VLOOKUP(E8,Tablo_Tab,2,FALSE),"")</f>
        <v>p 048</v>
      </c>
      <c r="I8" s="45" t="str">
        <f t="shared" ref="I8:I50" si="2">IFERROR("c "&amp;VLOOKUP(C8,Punkti,2,FALSE),"")</f>
        <v>c 902</v>
      </c>
      <c r="J8" s="46" t="str">
        <f t="shared" ref="J8:J50" si="3">IFERROR(VLOOKUP(E8,Ostanovki,7,FALSE),"")</f>
        <v>c 928, v "\mp3_ost\bajora.mp3"</v>
      </c>
      <c r="K8" s="40" t="str">
        <f t="shared" ref="K8:K50" si="4">IFERROR("c "&amp;VLOOKUP(F8,Punkti,2,FALSE),"")</f>
        <v/>
      </c>
      <c r="L8" s="42" t="str">
        <f t="shared" ref="L8:L50" si="5">"&lt;unit"&amp;TEXT(B8,"000")&amp;"&gt; """&amp;СцепитьМного(D8:E8,"")&amp;""" {e, "&amp;СцепитьМного(H8:K8,", ")&amp;", d 000, n "&amp;TEXT(G8,"000")&amp;"}"</f>
        <v>&lt;unit008&gt; "ул.Бажора" {e, p 048, c 902, c 928, v "\mp3_ost\bajora.mp3", d 000, n 009}</v>
      </c>
    </row>
    <row r="9" spans="1:12" x14ac:dyDescent="0.25">
      <c r="B9" s="44">
        <f t="shared" ref="B9:B50" si="6">ROW(B9)</f>
        <v>9</v>
      </c>
      <c r="C9" s="44" t="s">
        <v>329</v>
      </c>
      <c r="D9" s="39" t="str">
        <f>IF(I9="c 900","&gt;&gt;","")</f>
        <v>&gt;&gt;</v>
      </c>
      <c r="E9" s="44" t="s">
        <v>276</v>
      </c>
      <c r="F9" s="44" t="s">
        <v>381</v>
      </c>
      <c r="G9" s="45">
        <f t="shared" si="0"/>
        <v>10</v>
      </c>
      <c r="H9" s="40" t="str">
        <f t="shared" si="1"/>
        <v>p 065</v>
      </c>
      <c r="I9" s="45" t="str">
        <f t="shared" si="2"/>
        <v>c 900</v>
      </c>
      <c r="J9" s="46" t="str">
        <f t="shared" si="3"/>
        <v>c 928, v "\mp3_ost\nagornay.mp3"</v>
      </c>
      <c r="K9" s="40" t="str">
        <f t="shared" si="4"/>
        <v>c 930</v>
      </c>
      <c r="L9" s="42" t="str">
        <f t="shared" si="5"/>
        <v>&lt;unit009&gt; "&gt;&gt;ул.Нагорная" {e, p 065, c 900, c 928, v "\mp3_ost\nagornay.mp3", c 930, d 000, n 010}</v>
      </c>
    </row>
    <row r="10" spans="1:12" x14ac:dyDescent="0.25">
      <c r="B10" s="44">
        <f t="shared" si="6"/>
        <v>10</v>
      </c>
      <c r="C10" s="44" t="s">
        <v>79</v>
      </c>
      <c r="D10" s="39" t="str">
        <f t="shared" ref="D10:D50" si="7">IF(I10="c 900","&gt;&gt;","")</f>
        <v/>
      </c>
      <c r="E10" s="44" t="s">
        <v>276</v>
      </c>
      <c r="G10" s="45">
        <f t="shared" si="0"/>
        <v>11</v>
      </c>
      <c r="H10" s="40" t="str">
        <f t="shared" si="1"/>
        <v>p 065</v>
      </c>
      <c r="I10" s="45" t="str">
        <f t="shared" si="2"/>
        <v>c 902</v>
      </c>
      <c r="J10" s="46" t="str">
        <f t="shared" si="3"/>
        <v>c 928, v "\mp3_ost\nagornay.mp3"</v>
      </c>
      <c r="K10" s="40" t="str">
        <f t="shared" si="4"/>
        <v/>
      </c>
      <c r="L10" s="42" t="str">
        <f t="shared" si="5"/>
        <v>&lt;unit010&gt; "ул.Нагорная" {e, p 065, c 902, c 928, v "\mp3_ost\nagornay.mp3", d 000, n 011}</v>
      </c>
    </row>
    <row r="11" spans="1:12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E11" s="44" t="s">
        <v>350</v>
      </c>
      <c r="F11" s="44" t="s">
        <v>381</v>
      </c>
      <c r="G11" s="45">
        <f t="shared" si="0"/>
        <v>12</v>
      </c>
      <c r="H11" s="40" t="str">
        <f t="shared" si="1"/>
        <v>p 079</v>
      </c>
      <c r="I11" s="45" t="str">
        <f t="shared" si="2"/>
        <v>c 900</v>
      </c>
      <c r="J11" s="46" t="str">
        <f t="shared" si="3"/>
        <v>c 928, v "\mp3_ost\ubiley.mp3"</v>
      </c>
      <c r="K11" s="40" t="str">
        <f t="shared" si="4"/>
        <v>c 930</v>
      </c>
      <c r="L11" s="42" t="str">
        <f t="shared" si="5"/>
        <v>&lt;unit011&gt; "&gt;&gt;ул.Юбилейная" {e, p 079, c 900, c 928, v "\mp3_ost\ubiley.mp3", c 930, d 000, n 012}</v>
      </c>
    </row>
    <row r="12" spans="1:12" x14ac:dyDescent="0.25">
      <c r="B12" s="44">
        <f t="shared" si="6"/>
        <v>12</v>
      </c>
      <c r="C12" s="44" t="s">
        <v>79</v>
      </c>
      <c r="D12" s="39" t="str">
        <f t="shared" si="7"/>
        <v/>
      </c>
      <c r="E12" s="44" t="s">
        <v>350</v>
      </c>
      <c r="G12" s="45">
        <f t="shared" si="0"/>
        <v>13</v>
      </c>
      <c r="H12" s="40" t="str">
        <f t="shared" si="1"/>
        <v>p 079</v>
      </c>
      <c r="I12" s="45" t="str">
        <f t="shared" si="2"/>
        <v>c 902</v>
      </c>
      <c r="J12" s="46" t="str">
        <f t="shared" si="3"/>
        <v>c 928, v "\mp3_ost\ubiley.mp3"</v>
      </c>
      <c r="K12" s="40" t="str">
        <f t="shared" si="4"/>
        <v/>
      </c>
      <c r="L12" s="42" t="str">
        <f t="shared" si="5"/>
        <v>&lt;unit012&gt; "ул.Юбилейная" {e, p 079, c 902, c 928, v "\mp3_ost\ubiley.mp3", d 000, n 013}</v>
      </c>
    </row>
    <row r="13" spans="1:12" x14ac:dyDescent="0.25">
      <c r="B13" s="44">
        <f t="shared" si="6"/>
        <v>13</v>
      </c>
      <c r="C13" s="44" t="s">
        <v>329</v>
      </c>
      <c r="D13" s="39" t="str">
        <f t="shared" si="7"/>
        <v>&gt;&gt;</v>
      </c>
      <c r="E13" s="44" t="s">
        <v>277</v>
      </c>
      <c r="F13" s="44" t="s">
        <v>381</v>
      </c>
      <c r="G13" s="45">
        <f t="shared" si="0"/>
        <v>14</v>
      </c>
      <c r="H13" s="40" t="str">
        <f t="shared" si="1"/>
        <v>p 069</v>
      </c>
      <c r="I13" s="45" t="str">
        <f t="shared" si="2"/>
        <v>c 900</v>
      </c>
      <c r="J13" s="46" t="str">
        <f t="shared" si="3"/>
        <v>c 928, v "\mp3_ost\pyaschan.mp3"</v>
      </c>
      <c r="K13" s="40" t="str">
        <f t="shared" si="4"/>
        <v>c 930</v>
      </c>
      <c r="L13" s="42" t="str">
        <f t="shared" si="5"/>
        <v>&lt;unit013&gt; "&gt;&gt;ул.Песчаная" {e, p 069, c 900, c 928, v "\mp3_ost\pyaschan.mp3", c 930, d 000, n 014}</v>
      </c>
    </row>
    <row r="14" spans="1:12" x14ac:dyDescent="0.25">
      <c r="B14" s="44">
        <f t="shared" si="6"/>
        <v>14</v>
      </c>
      <c r="C14" s="44" t="s">
        <v>79</v>
      </c>
      <c r="D14" s="39" t="str">
        <f t="shared" si="7"/>
        <v/>
      </c>
      <c r="E14" s="44" t="s">
        <v>277</v>
      </c>
      <c r="G14" s="45">
        <f t="shared" si="0"/>
        <v>15</v>
      </c>
      <c r="H14" s="40" t="str">
        <f t="shared" si="1"/>
        <v>p 069</v>
      </c>
      <c r="I14" s="45" t="str">
        <f t="shared" si="2"/>
        <v>c 902</v>
      </c>
      <c r="J14" s="46" t="str">
        <f t="shared" si="3"/>
        <v>c 928, v "\mp3_ost\pyaschan.mp3"</v>
      </c>
      <c r="K14" s="40" t="str">
        <f t="shared" si="4"/>
        <v/>
      </c>
      <c r="L14" s="42" t="str">
        <f t="shared" si="5"/>
        <v>&lt;unit014&gt; "ул.Песчаная" {e, p 069, c 902, c 928, v "\mp3_ost\pyaschan.mp3", d 000, n 015}</v>
      </c>
    </row>
    <row r="15" spans="1:12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E15" s="44" t="s">
        <v>270</v>
      </c>
      <c r="F15" s="44" t="s">
        <v>381</v>
      </c>
      <c r="G15" s="45">
        <f t="shared" si="0"/>
        <v>16</v>
      </c>
      <c r="H15" s="40" t="str">
        <f t="shared" si="1"/>
        <v>p 053</v>
      </c>
      <c r="I15" s="45" t="str">
        <f t="shared" si="2"/>
        <v>c 900</v>
      </c>
      <c r="J15" s="46" t="str">
        <f t="shared" si="3"/>
        <v>c 928, v "\mp3_ost\darojnay.mp3"</v>
      </c>
      <c r="K15" s="40" t="str">
        <f t="shared" si="4"/>
        <v>c 930</v>
      </c>
      <c r="L15" s="42" t="str">
        <f t="shared" si="5"/>
        <v>&lt;unit015&gt; "&gt;&gt;ул.Дорожная" {e, p 053, c 900, c 928, v "\mp3_ost\darojnay.mp3", c 930, d 000, n 016}</v>
      </c>
    </row>
    <row r="16" spans="1:12" x14ac:dyDescent="0.25">
      <c r="B16" s="44">
        <f t="shared" si="6"/>
        <v>16</v>
      </c>
      <c r="C16" s="44" t="s">
        <v>79</v>
      </c>
      <c r="D16" s="39" t="str">
        <f t="shared" si="7"/>
        <v/>
      </c>
      <c r="E16" s="44" t="s">
        <v>270</v>
      </c>
      <c r="G16" s="45">
        <f t="shared" si="0"/>
        <v>17</v>
      </c>
      <c r="H16" s="40" t="str">
        <f t="shared" si="1"/>
        <v>p 053</v>
      </c>
      <c r="I16" s="45" t="str">
        <f t="shared" si="2"/>
        <v>c 902</v>
      </c>
      <c r="J16" s="46" t="str">
        <f t="shared" si="3"/>
        <v>c 928, v "\mp3_ost\darojnay.mp3"</v>
      </c>
      <c r="K16" s="40" t="str">
        <f t="shared" si="4"/>
        <v/>
      </c>
      <c r="L16" s="42" t="str">
        <f t="shared" si="5"/>
        <v>&lt;unit016&gt; "ул.Дорожная" {e, p 053, c 902, c 928, v "\mp3_ost\darojnay.mp3", d 000, n 017}</v>
      </c>
    </row>
    <row r="17" spans="2:12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E17" s="44" t="s">
        <v>268</v>
      </c>
      <c r="F17" s="44" t="s">
        <v>381</v>
      </c>
      <c r="G17" s="45">
        <f t="shared" si="0"/>
        <v>18</v>
      </c>
      <c r="H17" s="40" t="str">
        <f t="shared" si="1"/>
        <v>p 047</v>
      </c>
      <c r="I17" s="45" t="str">
        <f t="shared" si="2"/>
        <v>c 900</v>
      </c>
      <c r="J17" s="46" t="str">
        <f t="shared" si="3"/>
        <v>c 928, v "\mp3_ost\avtomobi.mp3"</v>
      </c>
      <c r="K17" s="40" t="str">
        <f t="shared" si="4"/>
        <v>c 930</v>
      </c>
      <c r="L17" s="42" t="str">
        <f t="shared" si="5"/>
        <v>&lt;unit017&gt; "&gt;&gt;ул.Автомобилист." {e, p 047, c 900, c 928, v "\mp3_ost\avtomobi.mp3", c 930, d 000, n 018}</v>
      </c>
    </row>
    <row r="18" spans="2:12" x14ac:dyDescent="0.25">
      <c r="B18" s="44">
        <f t="shared" si="6"/>
        <v>18</v>
      </c>
      <c r="C18" s="44" t="s">
        <v>79</v>
      </c>
      <c r="D18" s="39" t="str">
        <f t="shared" si="7"/>
        <v/>
      </c>
      <c r="E18" s="44" t="s">
        <v>268</v>
      </c>
      <c r="G18" s="45">
        <f t="shared" si="0"/>
        <v>19</v>
      </c>
      <c r="H18" s="40" t="str">
        <f t="shared" si="1"/>
        <v>p 047</v>
      </c>
      <c r="I18" s="45" t="str">
        <f t="shared" si="2"/>
        <v>c 902</v>
      </c>
      <c r="J18" s="46" t="str">
        <f t="shared" si="3"/>
        <v>c 928, v "\mp3_ost\avtomobi.mp3"</v>
      </c>
      <c r="K18" s="40" t="str">
        <f t="shared" si="4"/>
        <v/>
      </c>
      <c r="L18" s="42" t="str">
        <f t="shared" si="5"/>
        <v>&lt;unit018&gt; "ул.Автомобилист." {e, p 047, c 902, c 928, v "\mp3_ost\avtomobi.mp3", d 000, n 019}</v>
      </c>
    </row>
    <row r="19" spans="2:12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E19" s="44" t="s">
        <v>271</v>
      </c>
      <c r="F19" s="44" t="s">
        <v>381</v>
      </c>
      <c r="G19" s="45">
        <f t="shared" si="0"/>
        <v>20</v>
      </c>
      <c r="H19" s="40" t="str">
        <f t="shared" si="1"/>
        <v>p 056</v>
      </c>
      <c r="I19" s="45" t="str">
        <f t="shared" si="2"/>
        <v>c 900</v>
      </c>
      <c r="J19" s="46" t="str">
        <f t="shared" si="3"/>
        <v>c 928, v "\mp3_ost\kupriyan.mp3"</v>
      </c>
      <c r="K19" s="40" t="str">
        <f t="shared" si="4"/>
        <v>c 930</v>
      </c>
      <c r="L19" s="42" t="str">
        <f t="shared" si="5"/>
        <v>&lt;unit019&gt; "&gt;&gt;ул.Куприянова" {e, p 056, c 900, c 928, v "\mp3_ost\kupriyan.mp3", c 930, d 000, n 020}</v>
      </c>
    </row>
    <row r="20" spans="2:12" x14ac:dyDescent="0.25">
      <c r="B20" s="44">
        <f t="shared" si="6"/>
        <v>20</v>
      </c>
      <c r="C20" s="44" t="s">
        <v>79</v>
      </c>
      <c r="D20" s="39" t="str">
        <f t="shared" si="7"/>
        <v/>
      </c>
      <c r="E20" s="44" t="s">
        <v>271</v>
      </c>
      <c r="G20" s="45">
        <f t="shared" si="0"/>
        <v>21</v>
      </c>
      <c r="H20" s="40" t="str">
        <f t="shared" si="1"/>
        <v>p 056</v>
      </c>
      <c r="I20" s="45" t="str">
        <f t="shared" si="2"/>
        <v>c 902</v>
      </c>
      <c r="J20" s="46" t="str">
        <f t="shared" si="3"/>
        <v>c 928, v "\mp3_ost\kupriyan.mp3"</v>
      </c>
      <c r="K20" s="40" t="str">
        <f t="shared" si="4"/>
        <v/>
      </c>
      <c r="L20" s="42" t="str">
        <f t="shared" si="5"/>
        <v>&lt;unit020&gt; "ул.Куприянова" {e, p 056, c 902, c 928, v "\mp3_ost\kupriyan.mp3", d 000, n 021}</v>
      </c>
    </row>
    <row r="21" spans="2:12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E21" s="44" t="s">
        <v>253</v>
      </c>
      <c r="F21" s="44" t="s">
        <v>381</v>
      </c>
      <c r="G21" s="45">
        <f t="shared" si="0"/>
        <v>22</v>
      </c>
      <c r="H21" s="40" t="str">
        <f t="shared" si="1"/>
        <v>p 042</v>
      </c>
      <c r="I21" s="45" t="str">
        <f t="shared" si="2"/>
        <v>c 900</v>
      </c>
      <c r="J21" s="46" t="str">
        <f t="shared" si="3"/>
        <v>v "\mp3_ost\tec.mp3"</v>
      </c>
      <c r="K21" s="40" t="str">
        <f t="shared" si="4"/>
        <v>c 930</v>
      </c>
      <c r="L21" s="42" t="str">
        <f t="shared" si="5"/>
        <v>&lt;unit021&gt; "&gt;&gt;ТЭЦ" {e, p 042, c 900, v "\mp3_ost\tec.mp3", c 930, d 000, n 022}</v>
      </c>
    </row>
    <row r="22" spans="2:12" x14ac:dyDescent="0.25">
      <c r="B22" s="44">
        <f t="shared" si="6"/>
        <v>22</v>
      </c>
      <c r="C22" s="44" t="s">
        <v>79</v>
      </c>
      <c r="D22" s="39" t="str">
        <f t="shared" si="7"/>
        <v/>
      </c>
      <c r="E22" s="44" t="s">
        <v>253</v>
      </c>
      <c r="G22" s="45">
        <f t="shared" si="0"/>
        <v>23</v>
      </c>
      <c r="H22" s="40" t="str">
        <f t="shared" si="1"/>
        <v>p 042</v>
      </c>
      <c r="I22" s="45" t="str">
        <f t="shared" si="2"/>
        <v>c 902</v>
      </c>
      <c r="J22" s="46" t="str">
        <f t="shared" si="3"/>
        <v>v "\mp3_ost\tec.mp3"</v>
      </c>
      <c r="K22" s="40" t="str">
        <f t="shared" si="4"/>
        <v/>
      </c>
      <c r="L22" s="42" t="str">
        <f t="shared" si="5"/>
        <v>&lt;unit022&gt; "ТЭЦ" {e, p 042, c 902, v "\mp3_ost\tec.mp3", d 000, n 023}</v>
      </c>
    </row>
    <row r="23" spans="2:12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E23" s="44" t="s">
        <v>346</v>
      </c>
      <c r="F23" s="44" t="s">
        <v>381</v>
      </c>
      <c r="G23" s="45">
        <f t="shared" si="0"/>
        <v>24</v>
      </c>
      <c r="H23" s="40" t="str">
        <f t="shared" si="1"/>
        <v>p 054</v>
      </c>
      <c r="I23" s="45" t="str">
        <f t="shared" si="2"/>
        <v>c 900</v>
      </c>
      <c r="J23" s="46" t="str">
        <f t="shared" si="3"/>
        <v>c 928, v "\mp3_ost\zhodinsk.mp3"</v>
      </c>
      <c r="K23" s="40" t="str">
        <f t="shared" si="4"/>
        <v>c 930</v>
      </c>
      <c r="L23" s="42" t="str">
        <f t="shared" si="5"/>
        <v>&lt;unit023&gt; "&gt;&gt;ул.Жодинская" {e, p 054, c 900, c 928, v "\mp3_ost\zhodinsk.mp3", c 930, d 000, n 024}</v>
      </c>
    </row>
    <row r="24" spans="2:12" x14ac:dyDescent="0.25">
      <c r="B24" s="44">
        <f t="shared" si="6"/>
        <v>24</v>
      </c>
      <c r="C24" s="44" t="s">
        <v>79</v>
      </c>
      <c r="D24" s="39" t="str">
        <f t="shared" si="7"/>
        <v/>
      </c>
      <c r="E24" s="44" t="s">
        <v>346</v>
      </c>
      <c r="G24" s="45">
        <f t="shared" si="0"/>
        <v>25</v>
      </c>
      <c r="H24" s="40" t="str">
        <f t="shared" si="1"/>
        <v>p 054</v>
      </c>
      <c r="I24" s="45" t="str">
        <f t="shared" si="2"/>
        <v>c 902</v>
      </c>
      <c r="J24" s="46" t="str">
        <f t="shared" si="3"/>
        <v>c 928, v "\mp3_ost\zhodinsk.mp3"</v>
      </c>
      <c r="K24" s="40" t="str">
        <f t="shared" si="4"/>
        <v/>
      </c>
      <c r="L24" s="42" t="str">
        <f t="shared" si="5"/>
        <v>&lt;unit024&gt; "ул.Жодинская" {e, p 054, c 902, c 928, v "\mp3_ost\zhodinsk.mp3", d 000, n 025}</v>
      </c>
    </row>
    <row r="25" spans="2:12" x14ac:dyDescent="0.25">
      <c r="B25" s="44">
        <f t="shared" si="6"/>
        <v>25</v>
      </c>
      <c r="C25" s="44" t="s">
        <v>329</v>
      </c>
      <c r="D25" s="39" t="str">
        <f t="shared" si="7"/>
        <v>&gt;&gt;</v>
      </c>
      <c r="E25" s="44" t="s">
        <v>163</v>
      </c>
      <c r="F25" s="44" t="s">
        <v>381</v>
      </c>
      <c r="G25" s="45">
        <f t="shared" si="0"/>
        <v>26</v>
      </c>
      <c r="H25" s="40" t="str">
        <f t="shared" si="1"/>
        <v>p 010</v>
      </c>
      <c r="I25" s="45" t="str">
        <f t="shared" si="2"/>
        <v>c 900</v>
      </c>
      <c r="J25" s="46" t="str">
        <f t="shared" si="3"/>
        <v>v "\mp3_ost\jd.mp3"</v>
      </c>
      <c r="K25" s="40" t="str">
        <f t="shared" si="4"/>
        <v>c 930</v>
      </c>
      <c r="L25" s="42" t="str">
        <f t="shared" si="5"/>
        <v>&lt;unit025&gt; "&gt;&gt;ЖД Вокзал" {e, p 010, c 900, v "\mp3_ost\jd.mp3", c 930, d 000, n 026}</v>
      </c>
    </row>
    <row r="26" spans="2:12" x14ac:dyDescent="0.25">
      <c r="B26" s="44">
        <f t="shared" si="6"/>
        <v>26</v>
      </c>
      <c r="C26" s="44" t="s">
        <v>79</v>
      </c>
      <c r="D26" s="39" t="str">
        <f t="shared" si="7"/>
        <v/>
      </c>
      <c r="E26" s="44" t="s">
        <v>163</v>
      </c>
      <c r="G26" s="45">
        <f t="shared" si="0"/>
        <v>27</v>
      </c>
      <c r="H26" s="40" t="str">
        <f t="shared" si="1"/>
        <v>p 010</v>
      </c>
      <c r="I26" s="45" t="str">
        <f t="shared" si="2"/>
        <v>c 902</v>
      </c>
      <c r="J26" s="46" t="str">
        <f t="shared" si="3"/>
        <v>v "\mp3_ost\jd.mp3"</v>
      </c>
      <c r="K26" s="40" t="str">
        <f t="shared" si="4"/>
        <v/>
      </c>
      <c r="L26" s="42" t="str">
        <f t="shared" si="5"/>
        <v>&lt;unit026&gt; "ЖД Вокзал" {e, p 010, c 902, v "\mp3_ost\jd.mp3", d 000, n 027}</v>
      </c>
    </row>
    <row r="27" spans="2:12" x14ac:dyDescent="0.25">
      <c r="B27" s="44">
        <f t="shared" si="6"/>
        <v>27</v>
      </c>
      <c r="C27" s="44" t="s">
        <v>329</v>
      </c>
      <c r="D27" s="39" t="str">
        <f t="shared" si="7"/>
        <v>&gt;&gt;</v>
      </c>
      <c r="E27" s="44" t="s">
        <v>166</v>
      </c>
      <c r="F27" s="44" t="s">
        <v>381</v>
      </c>
      <c r="G27" s="45">
        <f t="shared" si="0"/>
        <v>28</v>
      </c>
      <c r="H27" s="40" t="str">
        <f t="shared" si="1"/>
        <v>p 068</v>
      </c>
      <c r="I27" s="45" t="str">
        <f t="shared" si="2"/>
        <v>c 900</v>
      </c>
      <c r="J27" s="46" t="str">
        <f t="shared" si="3"/>
        <v>c 928, v "\mp3_ost\partizan.mp3"</v>
      </c>
      <c r="K27" s="40" t="str">
        <f t="shared" si="4"/>
        <v>c 930</v>
      </c>
      <c r="L27" s="42" t="str">
        <f t="shared" si="5"/>
        <v>&lt;unit027&gt; "&gt;&gt;ул.Партизанская" {e, p 068, c 900, c 928, v "\mp3_ost\partizan.mp3", c 930, d 000, n 028}</v>
      </c>
    </row>
    <row r="28" spans="2:12" x14ac:dyDescent="0.25">
      <c r="B28" s="44">
        <f t="shared" si="6"/>
        <v>28</v>
      </c>
      <c r="C28" s="44" t="s">
        <v>79</v>
      </c>
      <c r="D28" s="39" t="str">
        <f t="shared" si="7"/>
        <v/>
      </c>
      <c r="E28" s="44" t="s">
        <v>166</v>
      </c>
      <c r="G28" s="45">
        <f t="shared" si="0"/>
        <v>29</v>
      </c>
      <c r="H28" s="40" t="str">
        <f t="shared" si="1"/>
        <v>p 068</v>
      </c>
      <c r="I28" s="45" t="str">
        <f t="shared" si="2"/>
        <v>c 902</v>
      </c>
      <c r="J28" s="46" t="str">
        <f t="shared" si="3"/>
        <v>c 928, v "\mp3_ost\partizan.mp3"</v>
      </c>
      <c r="K28" s="40" t="str">
        <f t="shared" si="4"/>
        <v/>
      </c>
      <c r="L28" s="42" t="str">
        <f t="shared" si="5"/>
        <v>&lt;unit028&gt; "ул.Партизанская" {e, p 068, c 902, c 928, v "\mp3_ost\partizan.mp3", d 000, n 029}</v>
      </c>
    </row>
    <row r="29" spans="2:12" x14ac:dyDescent="0.25">
      <c r="B29" s="44">
        <f t="shared" si="6"/>
        <v>29</v>
      </c>
      <c r="C29" s="44" t="s">
        <v>329</v>
      </c>
      <c r="D29" s="39" t="str">
        <f t="shared" si="7"/>
        <v>&gt;&gt;</v>
      </c>
      <c r="E29" s="44" t="s">
        <v>165</v>
      </c>
      <c r="F29" s="44" t="s">
        <v>381</v>
      </c>
      <c r="G29" s="45">
        <f t="shared" si="0"/>
        <v>30</v>
      </c>
      <c r="H29" s="40" t="str">
        <f t="shared" si="1"/>
        <v>p 064</v>
      </c>
      <c r="I29" s="45" t="str">
        <f t="shared" si="2"/>
        <v>c 900</v>
      </c>
      <c r="J29" s="46" t="str">
        <f t="shared" si="3"/>
        <v>c 928, v "\mp3_ost\moskovsk.mp3"</v>
      </c>
      <c r="K29" s="40" t="str">
        <f t="shared" si="4"/>
        <v>c 930</v>
      </c>
      <c r="L29" s="42" t="str">
        <f t="shared" si="5"/>
        <v>&lt;unit029&gt; "&gt;&gt;ул.Московская" {e, p 064, c 900, c 928, v "\mp3_ost\moskovsk.mp3", c 930, d 000, n 030}</v>
      </c>
    </row>
    <row r="30" spans="2:12" x14ac:dyDescent="0.25">
      <c r="B30" s="44">
        <f t="shared" si="6"/>
        <v>30</v>
      </c>
      <c r="C30" s="44" t="s">
        <v>79</v>
      </c>
      <c r="D30" s="39" t="str">
        <f t="shared" si="7"/>
        <v/>
      </c>
      <c r="E30" s="44" t="s">
        <v>165</v>
      </c>
      <c r="G30" s="45">
        <f t="shared" si="0"/>
        <v>31</v>
      </c>
      <c r="H30" s="40" t="str">
        <f t="shared" si="1"/>
        <v>p 064</v>
      </c>
      <c r="I30" s="45" t="str">
        <f t="shared" si="2"/>
        <v>c 902</v>
      </c>
      <c r="J30" s="46" t="str">
        <f t="shared" si="3"/>
        <v>c 928, v "\mp3_ost\moskovsk.mp3"</v>
      </c>
      <c r="K30" s="40" t="str">
        <f t="shared" si="4"/>
        <v/>
      </c>
      <c r="L30" s="42" t="str">
        <f t="shared" si="5"/>
        <v>&lt;unit030&gt; "ул.Московская" {e, p 064, c 902, c 928, v "\mp3_ost\moskovsk.mp3", d 000, n 031}</v>
      </c>
    </row>
    <row r="31" spans="2:12" x14ac:dyDescent="0.25">
      <c r="B31" s="44">
        <f t="shared" si="6"/>
        <v>31</v>
      </c>
      <c r="C31" s="44" t="s">
        <v>329</v>
      </c>
      <c r="D31" s="39" t="str">
        <f t="shared" si="7"/>
        <v>&gt;&gt;</v>
      </c>
      <c r="E31" s="44" t="s">
        <v>167</v>
      </c>
      <c r="F31" s="44" t="s">
        <v>381</v>
      </c>
      <c r="G31" s="45">
        <f t="shared" si="0"/>
        <v>32</v>
      </c>
      <c r="H31" s="40" t="str">
        <f t="shared" si="1"/>
        <v>p 077</v>
      </c>
      <c r="I31" s="45" t="str">
        <f t="shared" si="2"/>
        <v>c 900</v>
      </c>
      <c r="J31" s="46" t="str">
        <f t="shared" si="3"/>
        <v>c 928, v "\mp3_ost\swrokvas.mp3"</v>
      </c>
      <c r="K31" s="40" t="str">
        <f t="shared" si="4"/>
        <v>c 930</v>
      </c>
      <c r="L31" s="42" t="str">
        <f t="shared" si="5"/>
        <v>&lt;unit031&gt; "&gt;&gt;ул.Сырокваша" {e, p 077, c 900, c 928, v "\mp3_ost\swrokvas.mp3", c 930, d 000, n 032}</v>
      </c>
    </row>
    <row r="32" spans="2:12" x14ac:dyDescent="0.25">
      <c r="B32" s="44">
        <f t="shared" si="6"/>
        <v>32</v>
      </c>
      <c r="C32" s="44" t="s">
        <v>79</v>
      </c>
      <c r="D32" s="39" t="str">
        <f t="shared" si="7"/>
        <v/>
      </c>
      <c r="E32" s="44" t="s">
        <v>167</v>
      </c>
      <c r="G32" s="45">
        <f t="shared" si="0"/>
        <v>33</v>
      </c>
      <c r="H32" s="40" t="str">
        <f t="shared" si="1"/>
        <v>p 077</v>
      </c>
      <c r="I32" s="45" t="str">
        <f t="shared" si="2"/>
        <v>c 902</v>
      </c>
      <c r="J32" s="46" t="str">
        <f t="shared" si="3"/>
        <v>c 928, v "\mp3_ost\swrokvas.mp3"</v>
      </c>
      <c r="K32" s="40" t="str">
        <f t="shared" si="4"/>
        <v/>
      </c>
      <c r="L32" s="42" t="str">
        <f t="shared" si="5"/>
        <v>&lt;unit032&gt; "ул.Сырокваша" {e, p 077, c 902, c 928, v "\mp3_ost\swrokvas.mp3", d 000, n 033}</v>
      </c>
    </row>
    <row r="33" spans="2:12" x14ac:dyDescent="0.25">
      <c r="B33" s="44">
        <f>ROW(B33)</f>
        <v>33</v>
      </c>
      <c r="C33" s="44" t="s">
        <v>329</v>
      </c>
      <c r="D33" s="39" t="str">
        <f t="shared" si="7"/>
        <v>&gt;&gt;</v>
      </c>
      <c r="E33" s="44" t="s">
        <v>168</v>
      </c>
      <c r="F33" s="44" t="s">
        <v>381</v>
      </c>
      <c r="G33" s="45">
        <f t="shared" si="0"/>
        <v>34</v>
      </c>
      <c r="H33" s="40" t="str">
        <f t="shared" si="1"/>
        <v>p 031</v>
      </c>
      <c r="I33" s="45" t="str">
        <f t="shared" si="2"/>
        <v>c 900</v>
      </c>
      <c r="J33" s="46" t="str">
        <f t="shared" si="3"/>
        <v>v "\mp3_ost\mira.mp3"</v>
      </c>
      <c r="K33" s="40" t="str">
        <f t="shared" si="4"/>
        <v>c 930</v>
      </c>
      <c r="L33" s="42" t="str">
        <f t="shared" si="5"/>
        <v>&lt;unit033&gt; "&gt;&gt;пр-т Мира" {e, p 031, c 900, v "\mp3_ost\mira.mp3", c 930, d 000, n 034}</v>
      </c>
    </row>
    <row r="34" spans="2:12" x14ac:dyDescent="0.25">
      <c r="B34" s="44">
        <f t="shared" si="6"/>
        <v>34</v>
      </c>
      <c r="C34" s="44" t="s">
        <v>79</v>
      </c>
      <c r="D34" s="39" t="str">
        <f t="shared" si="7"/>
        <v/>
      </c>
      <c r="E34" s="44" t="s">
        <v>168</v>
      </c>
      <c r="G34" s="45">
        <f t="shared" si="0"/>
        <v>35</v>
      </c>
      <c r="H34" s="40" t="str">
        <f t="shared" si="1"/>
        <v>p 031</v>
      </c>
      <c r="I34" s="45" t="str">
        <f t="shared" si="2"/>
        <v>c 902</v>
      </c>
      <c r="J34" s="46" t="str">
        <f t="shared" si="3"/>
        <v>v "\mp3_ost\mira.mp3"</v>
      </c>
      <c r="K34" s="40" t="str">
        <f t="shared" si="4"/>
        <v/>
      </c>
      <c r="L34" s="42" t="str">
        <f t="shared" si="5"/>
        <v>&lt;unit034&gt; "пр-т Мира" {e, p 031, c 902, v "\mp3_ost\mira.mp3", d 000, n 035}</v>
      </c>
    </row>
    <row r="35" spans="2:12" x14ac:dyDescent="0.25">
      <c r="B35" s="44">
        <f t="shared" si="6"/>
        <v>35</v>
      </c>
      <c r="C35" s="44" t="s">
        <v>329</v>
      </c>
      <c r="D35" s="39" t="str">
        <f t="shared" si="7"/>
        <v>&gt;&gt;</v>
      </c>
      <c r="E35" s="44" t="s">
        <v>266</v>
      </c>
      <c r="F35" s="44" t="s">
        <v>381</v>
      </c>
      <c r="G35" s="45">
        <f t="shared" si="0"/>
        <v>36</v>
      </c>
      <c r="H35" s="40" t="str">
        <f t="shared" si="1"/>
        <v>p 045</v>
      </c>
      <c r="I35" s="45" t="str">
        <f t="shared" si="2"/>
        <v>c 900</v>
      </c>
      <c r="J35" s="46" t="str">
        <f t="shared" si="3"/>
        <v>c 928, v "\mp3_ost\50letokt.mp3"</v>
      </c>
      <c r="K35" s="40" t="str">
        <f t="shared" si="4"/>
        <v>c 930</v>
      </c>
      <c r="L35" s="42" t="str">
        <f t="shared" si="5"/>
        <v>&lt;unit035&gt; "&gt;&gt;ул.50 лет Октяб." {e, p 045, c 900, c 928, v "\mp3_ost\50letokt.mp3", c 930, d 000, n 036}</v>
      </c>
    </row>
    <row r="36" spans="2:12" x14ac:dyDescent="0.25">
      <c r="B36" s="44">
        <f t="shared" si="6"/>
        <v>36</v>
      </c>
      <c r="C36" s="44" t="s">
        <v>79</v>
      </c>
      <c r="D36" s="39" t="str">
        <f t="shared" si="7"/>
        <v/>
      </c>
      <c r="E36" s="44" t="s">
        <v>266</v>
      </c>
      <c r="G36" s="45">
        <f t="shared" si="0"/>
        <v>37</v>
      </c>
      <c r="H36" s="40" t="str">
        <f t="shared" si="1"/>
        <v>p 045</v>
      </c>
      <c r="I36" s="45" t="str">
        <f t="shared" si="2"/>
        <v>c 902</v>
      </c>
      <c r="J36" s="46" t="str">
        <f t="shared" si="3"/>
        <v>c 928, v "\mp3_ost\50letokt.mp3"</v>
      </c>
      <c r="K36" s="40" t="str">
        <f t="shared" si="4"/>
        <v/>
      </c>
      <c r="L36" s="42" t="str">
        <f t="shared" si="5"/>
        <v>&lt;unit036&gt; "ул.50 лет Октяб." {e, p 045, c 902, c 928, v "\mp3_ost\50letokt.mp3", d 000, n 037}</v>
      </c>
    </row>
    <row r="37" spans="2:12" x14ac:dyDescent="0.25">
      <c r="B37" s="44">
        <f t="shared" si="6"/>
        <v>37</v>
      </c>
      <c r="C37" s="44" t="s">
        <v>329</v>
      </c>
      <c r="E37" s="44" t="s">
        <v>251</v>
      </c>
      <c r="F37" s="44" t="s">
        <v>381</v>
      </c>
      <c r="G37" s="45">
        <f t="shared" si="0"/>
        <v>38</v>
      </c>
      <c r="H37" s="40" t="str">
        <f t="shared" ref="H37:H39" si="8">IFERROR("p "&amp;VLOOKUP(E37,Tablo_Tab,2,FALSE),"")</f>
        <v>p 040</v>
      </c>
      <c r="I37" s="45" t="str">
        <f t="shared" ref="I37:I39" si="9">IFERROR("c "&amp;VLOOKUP(C37,Punkti,2,FALSE),"")</f>
        <v>c 900</v>
      </c>
      <c r="J37" s="46" t="str">
        <f t="shared" ref="J37:J39" si="10">IFERROR(VLOOKUP(E37,Ostanovki,7,FALSE),"")</f>
        <v>v "\mp3_ost\tc.mp3"</v>
      </c>
      <c r="K37" s="40" t="str">
        <f t="shared" ref="K37:K39" si="11">IFERROR("c "&amp;VLOOKUP(F37,Punkti,2,FALSE),"")</f>
        <v>c 930</v>
      </c>
      <c r="L37" s="42" t="str">
        <f t="shared" ref="L37:L39" si="12">"&lt;unit"&amp;TEXT(B37,"000")&amp;"&gt; """&amp;СцепитьМного(D37:E37,"")&amp;""" {e, "&amp;СцепитьМного(H37:K37,", ")&amp;", d 000, n "&amp;TEXT(G37,"000")&amp;"}"</f>
        <v>&lt;unit037&gt; "Торг.центр" {e, p 040, c 900, v "\mp3_ost\tc.mp3", c 930, d 000, n 038}</v>
      </c>
    </row>
    <row r="38" spans="2:12" x14ac:dyDescent="0.25">
      <c r="B38" s="44">
        <f t="shared" si="6"/>
        <v>38</v>
      </c>
      <c r="C38" s="44" t="s">
        <v>79</v>
      </c>
      <c r="E38" s="44" t="s">
        <v>251</v>
      </c>
      <c r="G38" s="45">
        <f t="shared" si="0"/>
        <v>39</v>
      </c>
      <c r="H38" s="40" t="str">
        <f t="shared" si="8"/>
        <v>p 040</v>
      </c>
      <c r="I38" s="45" t="str">
        <f t="shared" si="9"/>
        <v>c 902</v>
      </c>
      <c r="J38" s="46" t="str">
        <f t="shared" si="10"/>
        <v>v "\mp3_ost\tc.mp3"</v>
      </c>
      <c r="K38" s="40" t="str">
        <f t="shared" si="11"/>
        <v/>
      </c>
      <c r="L38" s="42" t="str">
        <f t="shared" si="12"/>
        <v>&lt;unit038&gt; "Торг.центр" {e, p 040, c 902, v "\mp3_ost\tc.mp3", d 000, n 039}</v>
      </c>
    </row>
    <row r="39" spans="2:12" x14ac:dyDescent="0.25">
      <c r="B39" s="44">
        <f t="shared" si="6"/>
        <v>39</v>
      </c>
      <c r="C39" s="44" t="s">
        <v>329</v>
      </c>
      <c r="D39" s="39" t="str">
        <f t="shared" si="7"/>
        <v>&gt;&gt;</v>
      </c>
      <c r="E39" s="44" t="s">
        <v>169</v>
      </c>
      <c r="F39" s="44" t="s">
        <v>381</v>
      </c>
      <c r="G39" s="45">
        <f t="shared" si="0"/>
        <v>40</v>
      </c>
      <c r="H39" s="40" t="str">
        <f t="shared" si="8"/>
        <v>p 052</v>
      </c>
      <c r="I39" s="45" t="str">
        <f t="shared" si="9"/>
        <v>c 900</v>
      </c>
      <c r="J39" s="46" t="str">
        <f t="shared" si="10"/>
        <v>c 928, v "\mp3_ost\gagarina.mp3"</v>
      </c>
      <c r="K39" s="40" t="str">
        <f t="shared" si="11"/>
        <v>c 930</v>
      </c>
      <c r="L39" s="42" t="str">
        <f t="shared" si="12"/>
        <v>&lt;unit039&gt; "&gt;&gt;ул.Гагарина" {e, p 052, c 900, c 928, v "\mp3_ost\gagarina.mp3", c 930, d 000, n 040}</v>
      </c>
    </row>
    <row r="40" spans="2:12" x14ac:dyDescent="0.25">
      <c r="B40" s="44">
        <f t="shared" si="6"/>
        <v>40</v>
      </c>
      <c r="C40" s="44" t="s">
        <v>79</v>
      </c>
      <c r="D40" s="39" t="str">
        <f t="shared" si="7"/>
        <v/>
      </c>
      <c r="E40" s="44" t="s">
        <v>169</v>
      </c>
      <c r="G40" s="45">
        <f t="shared" si="0"/>
        <v>41</v>
      </c>
      <c r="H40" s="40" t="str">
        <f t="shared" ref="H40:H49" si="13">IFERROR("p "&amp;VLOOKUP(E40,Tablo_Tab,2,FALSE),"")</f>
        <v>p 052</v>
      </c>
      <c r="I40" s="45" t="str">
        <f t="shared" ref="I40:I49" si="14">IFERROR("c "&amp;VLOOKUP(C40,Punkti,2,FALSE),"")</f>
        <v>c 902</v>
      </c>
      <c r="J40" s="46" t="str">
        <f t="shared" ref="J40:J49" si="15">IFERROR(VLOOKUP(E40,Ostanovki,7,FALSE),"")</f>
        <v>c 928, v "\mp3_ost\gagarina.mp3"</v>
      </c>
      <c r="K40" s="40" t="str">
        <f t="shared" si="4"/>
        <v/>
      </c>
      <c r="L40" s="42" t="str">
        <f t="shared" si="5"/>
        <v>&lt;unit040&gt; "ул.Гагарина" {e, p 052, c 902, c 928, v "\mp3_ost\gagarina.mp3", d 000, n 041}</v>
      </c>
    </row>
    <row r="41" spans="2:12" x14ac:dyDescent="0.25">
      <c r="B41" s="44">
        <f t="shared" si="6"/>
        <v>41</v>
      </c>
      <c r="C41" s="44" t="s">
        <v>329</v>
      </c>
      <c r="D41" s="39" t="str">
        <f t="shared" si="7"/>
        <v>&gt;&gt;</v>
      </c>
      <c r="E41" s="44" t="s">
        <v>170</v>
      </c>
      <c r="F41" s="44" t="s">
        <v>381</v>
      </c>
      <c r="G41" s="45">
        <f t="shared" si="0"/>
        <v>42</v>
      </c>
      <c r="H41" s="40" t="str">
        <f t="shared" si="13"/>
        <v>p 037</v>
      </c>
      <c r="I41" s="45" t="str">
        <f t="shared" si="14"/>
        <v>c 900</v>
      </c>
      <c r="J41" s="46" t="str">
        <f t="shared" si="15"/>
        <v>v "\mp3_ost\5ssh.mp3"</v>
      </c>
      <c r="K41" s="40" t="str">
        <f t="shared" si="4"/>
        <v>c 930</v>
      </c>
      <c r="L41" s="42" t="str">
        <f t="shared" si="5"/>
        <v>&lt;unit041&gt; "&gt;&gt;СШ № 5" {e, p 037, c 900, v "\mp3_ost\5ssh.mp3", c 930, d 000, n 042}</v>
      </c>
    </row>
    <row r="42" spans="2:12" x14ac:dyDescent="0.25">
      <c r="B42" s="44">
        <f t="shared" si="6"/>
        <v>42</v>
      </c>
      <c r="C42" s="44" t="s">
        <v>79</v>
      </c>
      <c r="D42" s="39" t="str">
        <f t="shared" si="7"/>
        <v/>
      </c>
      <c r="E42" s="44" t="s">
        <v>170</v>
      </c>
      <c r="G42" s="45">
        <f t="shared" si="0"/>
        <v>43</v>
      </c>
      <c r="H42" s="40" t="str">
        <f t="shared" si="13"/>
        <v>p 037</v>
      </c>
      <c r="I42" s="45" t="str">
        <f t="shared" si="14"/>
        <v>c 902</v>
      </c>
      <c r="J42" s="46" t="str">
        <f t="shared" si="15"/>
        <v>v "\mp3_ost\5ssh.mp3"</v>
      </c>
      <c r="K42" s="40" t="str">
        <f t="shared" si="4"/>
        <v/>
      </c>
      <c r="L42" s="42" t="str">
        <f t="shared" si="5"/>
        <v>&lt;unit042&gt; "СШ № 5" {e, p 037, c 902, v "\mp3_ost\5ssh.mp3", d 000, n 043}</v>
      </c>
    </row>
    <row r="43" spans="2:12" x14ac:dyDescent="0.25">
      <c r="B43" s="44">
        <f t="shared" si="6"/>
        <v>43</v>
      </c>
      <c r="C43" s="44" t="s">
        <v>329</v>
      </c>
      <c r="D43" s="39" t="str">
        <f t="shared" si="7"/>
        <v>&gt;&gt;</v>
      </c>
      <c r="E43" s="44" t="s">
        <v>278</v>
      </c>
      <c r="F43" s="44" t="s">
        <v>381</v>
      </c>
      <c r="G43" s="45">
        <f t="shared" si="0"/>
        <v>44</v>
      </c>
      <c r="H43" s="40" t="str">
        <f t="shared" si="13"/>
        <v>p 076</v>
      </c>
      <c r="I43" s="45" t="str">
        <f t="shared" si="14"/>
        <v>c 900</v>
      </c>
      <c r="J43" s="46" t="str">
        <f t="shared" si="15"/>
        <v>c 928, v "\mp3_ost\suhogrya.mp3"</v>
      </c>
      <c r="K43" s="40" t="str">
        <f t="shared" si="4"/>
        <v>c 930</v>
      </c>
      <c r="L43" s="42" t="str">
        <f t="shared" si="5"/>
        <v>&lt;unit043&gt; "&gt;&gt;ул.Сухогрядская" {e, p 076, c 900, c 928, v "\mp3_ost\suhogrya.mp3", c 930, d 000, n 044}</v>
      </c>
    </row>
    <row r="44" spans="2:12" x14ac:dyDescent="0.25">
      <c r="B44" s="44">
        <f t="shared" si="6"/>
        <v>44</v>
      </c>
      <c r="C44" s="44" t="s">
        <v>79</v>
      </c>
      <c r="D44" s="39" t="str">
        <f t="shared" ref="D44:D47" si="16">IF(I44="c 900","&gt;&gt;","")</f>
        <v/>
      </c>
      <c r="E44" s="44" t="s">
        <v>278</v>
      </c>
      <c r="G44" s="45">
        <f t="shared" si="0"/>
        <v>45</v>
      </c>
      <c r="H44" s="40" t="str">
        <f t="shared" si="13"/>
        <v>p 076</v>
      </c>
      <c r="I44" s="45" t="str">
        <f t="shared" si="14"/>
        <v>c 902</v>
      </c>
      <c r="J44" s="46" t="str">
        <f t="shared" si="15"/>
        <v>c 928, v "\mp3_ost\suhogrya.mp3"</v>
      </c>
      <c r="K44" s="40" t="str">
        <f t="shared" si="4"/>
        <v/>
      </c>
      <c r="L44" s="42" t="str">
        <f t="shared" si="5"/>
        <v>&lt;unit044&gt; "ул.Сухогрядская" {e, p 076, c 902, c 928, v "\mp3_ost\suhogrya.mp3", d 000, n 045}</v>
      </c>
    </row>
    <row r="45" spans="2:12" x14ac:dyDescent="0.25">
      <c r="B45" s="44">
        <f t="shared" si="6"/>
        <v>45</v>
      </c>
      <c r="C45" s="44" t="s">
        <v>329</v>
      </c>
      <c r="D45" s="39" t="str">
        <f t="shared" si="16"/>
        <v>&gt;&gt;</v>
      </c>
      <c r="E45" s="44" t="s">
        <v>337</v>
      </c>
      <c r="F45" s="44" t="s">
        <v>381</v>
      </c>
      <c r="G45" s="45">
        <f t="shared" si="0"/>
        <v>46</v>
      </c>
      <c r="H45" s="40" t="str">
        <f t="shared" si="13"/>
        <v>p 033</v>
      </c>
      <c r="I45" s="45" t="str">
        <f t="shared" si="14"/>
        <v>c 900</v>
      </c>
      <c r="J45" s="46" t="str">
        <f t="shared" si="15"/>
        <v>v "\mp3_ost\rinok.mp3"</v>
      </c>
      <c r="K45" s="40" t="str">
        <f t="shared" si="4"/>
        <v>c 930</v>
      </c>
      <c r="L45" s="42" t="str">
        <f t="shared" si="5"/>
        <v>&lt;unit045&gt; "&gt;&gt;Рынок" {e, p 033, c 900, v "\mp3_ost\rinok.mp3", c 930, d 000, n 046}</v>
      </c>
    </row>
    <row r="46" spans="2:12" x14ac:dyDescent="0.25">
      <c r="B46" s="44">
        <f t="shared" si="6"/>
        <v>46</v>
      </c>
      <c r="C46" s="44" t="s">
        <v>79</v>
      </c>
      <c r="D46" s="39" t="str">
        <f t="shared" si="16"/>
        <v/>
      </c>
      <c r="E46" s="44" t="s">
        <v>337</v>
      </c>
      <c r="G46" s="45">
        <f t="shared" si="0"/>
        <v>47</v>
      </c>
      <c r="H46" s="40" t="str">
        <f t="shared" si="13"/>
        <v>p 033</v>
      </c>
      <c r="I46" s="45" t="str">
        <f t="shared" si="14"/>
        <v>c 902</v>
      </c>
      <c r="J46" s="46" t="str">
        <f t="shared" si="15"/>
        <v>v "\mp3_ost\rinok.mp3"</v>
      </c>
      <c r="K46" s="40" t="str">
        <f t="shared" si="4"/>
        <v/>
      </c>
      <c r="L46" s="42" t="str">
        <f t="shared" si="5"/>
        <v>&lt;unit046&gt; "Рынок" {e, p 033, c 902, v "\mp3_ost\rinok.mp3", d 000, n 047}</v>
      </c>
    </row>
    <row r="47" spans="2:12" x14ac:dyDescent="0.25">
      <c r="B47" s="44">
        <f t="shared" si="6"/>
        <v>47</v>
      </c>
      <c r="C47" s="44" t="s">
        <v>329</v>
      </c>
      <c r="D47" s="39" t="str">
        <f t="shared" si="16"/>
        <v>&gt;&gt;</v>
      </c>
      <c r="E47" s="44" t="s">
        <v>246</v>
      </c>
      <c r="F47" s="44" t="s">
        <v>381</v>
      </c>
      <c r="G47" s="45">
        <f t="shared" si="0"/>
        <v>48</v>
      </c>
      <c r="H47" s="40" t="str">
        <f t="shared" si="13"/>
        <v>p 035</v>
      </c>
      <c r="I47" s="45" t="str">
        <f t="shared" si="14"/>
        <v>c 900</v>
      </c>
      <c r="J47" s="46" t="str">
        <f t="shared" si="15"/>
        <v>v "\mp3_ost\svitanak.mp3"</v>
      </c>
      <c r="K47" s="40" t="str">
        <f t="shared" si="4"/>
        <v>c 930</v>
      </c>
      <c r="L47" s="42" t="str">
        <f t="shared" si="5"/>
        <v>&lt;unit047&gt; "&gt;&gt;Свитанок" {e, p 035, c 900, v "\mp3_ost\svitanak.mp3", c 930, d 000, n 048}</v>
      </c>
    </row>
    <row r="48" spans="2:12" x14ac:dyDescent="0.25">
      <c r="B48" s="44">
        <f t="shared" si="6"/>
        <v>48</v>
      </c>
      <c r="C48" s="44" t="s">
        <v>79</v>
      </c>
      <c r="D48" s="39" t="str">
        <f t="shared" si="7"/>
        <v/>
      </c>
      <c r="E48" s="44" t="s">
        <v>246</v>
      </c>
      <c r="G48" s="45">
        <f t="shared" si="0"/>
        <v>49</v>
      </c>
      <c r="H48" s="40" t="str">
        <f t="shared" si="13"/>
        <v>p 035</v>
      </c>
      <c r="I48" s="45" t="str">
        <f t="shared" si="14"/>
        <v>c 902</v>
      </c>
      <c r="J48" s="46" t="str">
        <f t="shared" si="15"/>
        <v>v "\mp3_ost\svitanak.mp3"</v>
      </c>
      <c r="K48" s="40" t="str">
        <f t="shared" si="4"/>
        <v/>
      </c>
      <c r="L48" s="42" t="str">
        <f t="shared" si="5"/>
        <v>&lt;unit048&gt; "Свитанок" {e, p 035, c 902, v "\mp3_ost\svitanak.mp3", d 000, n 049}</v>
      </c>
    </row>
    <row r="49" spans="2:12" x14ac:dyDescent="0.25">
      <c r="B49" s="44">
        <f t="shared" si="6"/>
        <v>49</v>
      </c>
      <c r="C49" s="44" t="s">
        <v>329</v>
      </c>
      <c r="D49" s="39" t="str">
        <f t="shared" si="7"/>
        <v>&gt;&gt;</v>
      </c>
      <c r="E49" s="44" t="s">
        <v>287</v>
      </c>
      <c r="F49" s="44" t="s">
        <v>381</v>
      </c>
      <c r="G49" s="45">
        <f t="shared" si="0"/>
        <v>50</v>
      </c>
      <c r="H49" s="40" t="str">
        <f t="shared" si="13"/>
        <v>p 026</v>
      </c>
      <c r="I49" s="45" t="str">
        <f t="shared" si="14"/>
        <v>c 900</v>
      </c>
      <c r="J49" s="46" t="str">
        <f t="shared" si="15"/>
        <v>v "\mp3_ost\pojarnay.mp3"</v>
      </c>
      <c r="K49" s="40" t="str">
        <f t="shared" si="4"/>
        <v>c 930</v>
      </c>
      <c r="L49" s="42" t="str">
        <f t="shared" si="5"/>
        <v>&lt;unit049&gt; "&gt;&gt;Пожарная часть" {e, p 026, c 900, v "\mp3_ost\pojarnay.mp3", c 930, d 000, n 050}</v>
      </c>
    </row>
    <row r="50" spans="2:12" x14ac:dyDescent="0.25">
      <c r="B50" s="44">
        <f t="shared" si="6"/>
        <v>50</v>
      </c>
      <c r="C50" s="44" t="s">
        <v>79</v>
      </c>
      <c r="D50" s="39" t="str">
        <f t="shared" si="7"/>
        <v/>
      </c>
      <c r="E50" s="44" t="s">
        <v>287</v>
      </c>
      <c r="F50" s="44" t="s">
        <v>331</v>
      </c>
      <c r="G50" s="45">
        <f>B52</f>
        <v>52</v>
      </c>
      <c r="H50" s="40" t="str">
        <f t="shared" si="1"/>
        <v>p 026</v>
      </c>
      <c r="I50" s="45" t="str">
        <f t="shared" si="2"/>
        <v>c 902</v>
      </c>
      <c r="J50" s="46" t="str">
        <f t="shared" si="3"/>
        <v>v "\mp3_ost\pojarnay.mp3"</v>
      </c>
      <c r="K50" s="40" t="str">
        <f t="shared" si="4"/>
        <v>c 903</v>
      </c>
      <c r="L50" s="42" t="str">
        <f t="shared" si="5"/>
        <v>&lt;unit050&gt; "Пожарная часть" {e, p 026, c 902, v "\mp3_ost\pojarnay.mp3", c 903, d 000, n 052}</v>
      </c>
    </row>
    <row r="51" spans="2:12" s="39" customFormat="1" x14ac:dyDescent="0.25">
      <c r="G51" s="40"/>
      <c r="H51" s="40"/>
      <c r="I51" s="40"/>
      <c r="J51" s="40"/>
      <c r="K51" s="40"/>
      <c r="L51" s="42"/>
    </row>
    <row r="52" spans="2:12" s="39" customFormat="1" x14ac:dyDescent="0.25">
      <c r="B52" s="39">
        <f t="shared" ref="B52:B94" si="17">ROW(B52)</f>
        <v>52</v>
      </c>
      <c r="E52" s="43" t="s">
        <v>327</v>
      </c>
      <c r="F52" s="43"/>
      <c r="G52" s="40">
        <f>B54</f>
        <v>54</v>
      </c>
      <c r="H52" s="40"/>
      <c r="I52" s="40"/>
      <c r="J52" s="40"/>
      <c r="K52" s="40"/>
      <c r="L52" s="42" t="str">
        <f>"&lt;unit"&amp;TEXT(B52,"000")&amp;"&gt; """&amp;E52&amp;""" {d 000, n "&amp;TEXT(G52,"000")&amp;"}"</f>
        <v>&lt;unit052&gt; "----- Обратный -----" {d 000, n 054}</v>
      </c>
    </row>
    <row r="53" spans="2:12" s="39" customFormat="1" x14ac:dyDescent="0.25">
      <c r="G53" s="40"/>
      <c r="H53" s="40"/>
      <c r="I53" s="40"/>
      <c r="J53" s="40"/>
      <c r="K53" s="40"/>
      <c r="L53" s="42"/>
    </row>
    <row r="54" spans="2:12" x14ac:dyDescent="0.25">
      <c r="B54" s="44">
        <f t="shared" si="17"/>
        <v>54</v>
      </c>
      <c r="C54" s="44" t="s">
        <v>79</v>
      </c>
      <c r="D54" s="39" t="str">
        <f t="shared" ref="D54:D92" si="18">IF(I54="c 900","&gt;&gt;","")</f>
        <v/>
      </c>
      <c r="E54" s="44" t="s">
        <v>287</v>
      </c>
      <c r="G54" s="45">
        <f t="shared" ref="G54:G91" si="19">B55</f>
        <v>55</v>
      </c>
      <c r="H54" s="40" t="str">
        <f t="shared" ref="H54:H92" si="20">IFERROR("p "&amp;VLOOKUP(E54,Tablo_Tab,2,FALSE),"")</f>
        <v>p 026</v>
      </c>
      <c r="I54" s="45" t="str">
        <f t="shared" ref="I54:I92" si="21">IFERROR("c "&amp;VLOOKUP(C54,Punkti,2,FALSE),"")</f>
        <v>c 902</v>
      </c>
      <c r="J54" s="46" t="str">
        <f t="shared" ref="J54:J92" si="22">IFERROR(VLOOKUP(E54,Ostanovki,7,FALSE),"")</f>
        <v>v "\mp3_ost\pojarnay.mp3"</v>
      </c>
      <c r="K54" s="40" t="str">
        <f t="shared" ref="K54:K92" si="23">IFERROR("c "&amp;VLOOKUP(F54,Punkti,2,FALSE),"")</f>
        <v/>
      </c>
      <c r="L54" s="42" t="str">
        <f t="shared" ref="L54:L92" si="24">"&lt;unit"&amp;TEXT(B54,"000")&amp;"&gt; """&amp;СцепитьМного(D54:E54,"")&amp;""" {e, "&amp;СцепитьМного(H54:K54,", ")&amp;", d 000, n "&amp;TEXT(G54,"000")&amp;"}"</f>
        <v>&lt;unit054&gt; "Пожарная часть" {e, p 026, c 902, v "\mp3_ost\pojarnay.mp3", d 000, n 055}</v>
      </c>
    </row>
    <row r="55" spans="2:12" x14ac:dyDescent="0.25">
      <c r="B55" s="44">
        <f t="shared" si="17"/>
        <v>55</v>
      </c>
      <c r="C55" s="44" t="s">
        <v>329</v>
      </c>
      <c r="D55" s="39" t="str">
        <f t="shared" si="18"/>
        <v>&gt;&gt;</v>
      </c>
      <c r="E55" s="44" t="s">
        <v>337</v>
      </c>
      <c r="F55" s="44" t="s">
        <v>381</v>
      </c>
      <c r="G55" s="45">
        <f t="shared" si="19"/>
        <v>56</v>
      </c>
      <c r="H55" s="40" t="str">
        <f t="shared" si="20"/>
        <v>p 033</v>
      </c>
      <c r="I55" s="45" t="str">
        <f t="shared" si="21"/>
        <v>c 900</v>
      </c>
      <c r="J55" s="46" t="str">
        <f t="shared" si="22"/>
        <v>v "\mp3_ost\rinok.mp3"</v>
      </c>
      <c r="K55" s="40" t="str">
        <f t="shared" si="23"/>
        <v>c 930</v>
      </c>
      <c r="L55" s="42" t="str">
        <f t="shared" si="24"/>
        <v>&lt;unit055&gt; "&gt;&gt;Рынок" {e, p 033, c 900, v "\mp3_ost\rinok.mp3", c 930, d 000, n 056}</v>
      </c>
    </row>
    <row r="56" spans="2:12" x14ac:dyDescent="0.25">
      <c r="B56" s="44">
        <f t="shared" si="17"/>
        <v>56</v>
      </c>
      <c r="C56" s="44" t="s">
        <v>79</v>
      </c>
      <c r="D56" s="39" t="str">
        <f t="shared" si="18"/>
        <v/>
      </c>
      <c r="E56" s="44" t="s">
        <v>337</v>
      </c>
      <c r="G56" s="45">
        <f t="shared" si="19"/>
        <v>57</v>
      </c>
      <c r="H56" s="40" t="str">
        <f t="shared" si="20"/>
        <v>p 033</v>
      </c>
      <c r="I56" s="45" t="str">
        <f t="shared" si="21"/>
        <v>c 902</v>
      </c>
      <c r="J56" s="46" t="str">
        <f t="shared" si="22"/>
        <v>v "\mp3_ost\rinok.mp3"</v>
      </c>
      <c r="K56" s="40" t="str">
        <f t="shared" si="23"/>
        <v/>
      </c>
      <c r="L56" s="42" t="str">
        <f t="shared" si="24"/>
        <v>&lt;unit056&gt; "Рынок" {e, p 033, c 902, v "\mp3_ost\rinok.mp3", d 000, n 057}</v>
      </c>
    </row>
    <row r="57" spans="2:12" x14ac:dyDescent="0.25">
      <c r="B57" s="44">
        <f t="shared" si="17"/>
        <v>57</v>
      </c>
      <c r="C57" s="44" t="s">
        <v>329</v>
      </c>
      <c r="D57" s="39" t="str">
        <f t="shared" si="18"/>
        <v>&gt;&gt;</v>
      </c>
      <c r="E57" s="44" t="s">
        <v>351</v>
      </c>
      <c r="F57" s="44" t="s">
        <v>381</v>
      </c>
      <c r="G57" s="45">
        <f t="shared" si="19"/>
        <v>58</v>
      </c>
      <c r="H57" s="40" t="str">
        <f t="shared" si="20"/>
        <v>p 008</v>
      </c>
      <c r="I57" s="45" t="str">
        <f t="shared" si="21"/>
        <v>c 900</v>
      </c>
      <c r="J57" s="46" t="str">
        <f t="shared" si="22"/>
        <v>v "\mp3_ost\gimn1.mp3"</v>
      </c>
      <c r="K57" s="40" t="str">
        <f t="shared" si="23"/>
        <v>c 930</v>
      </c>
      <c r="L57" s="42" t="str">
        <f t="shared" si="24"/>
        <v>&lt;unit057&gt; "&gt;&gt;Гимназия № 1" {e, p 008, c 900, v "\mp3_ost\gimn1.mp3", c 930, d 000, n 058}</v>
      </c>
    </row>
    <row r="58" spans="2:12" x14ac:dyDescent="0.25">
      <c r="B58" s="44">
        <f t="shared" si="17"/>
        <v>58</v>
      </c>
      <c r="C58" s="44" t="s">
        <v>79</v>
      </c>
      <c r="D58" s="39" t="str">
        <f t="shared" si="18"/>
        <v/>
      </c>
      <c r="E58" s="44" t="s">
        <v>351</v>
      </c>
      <c r="G58" s="45">
        <f t="shared" si="19"/>
        <v>59</v>
      </c>
      <c r="H58" s="40" t="str">
        <f t="shared" si="20"/>
        <v>p 008</v>
      </c>
      <c r="I58" s="45" t="str">
        <f t="shared" si="21"/>
        <v>c 902</v>
      </c>
      <c r="J58" s="46" t="str">
        <f t="shared" si="22"/>
        <v>v "\mp3_ost\gimn1.mp3"</v>
      </c>
      <c r="K58" s="40" t="str">
        <f t="shared" si="23"/>
        <v/>
      </c>
      <c r="L58" s="42" t="str">
        <f t="shared" si="24"/>
        <v>&lt;unit058&gt; "Гимназия № 1" {e, p 008, c 902, v "\mp3_ost\gimn1.mp3", d 000, n 059}</v>
      </c>
    </row>
    <row r="59" spans="2:12" x14ac:dyDescent="0.25">
      <c r="B59" s="44">
        <f t="shared" si="17"/>
        <v>59</v>
      </c>
      <c r="C59" s="44" t="s">
        <v>329</v>
      </c>
      <c r="D59" s="39" t="str">
        <f t="shared" si="18"/>
        <v>&gt;&gt;</v>
      </c>
      <c r="E59" s="44" t="s">
        <v>170</v>
      </c>
      <c r="F59" s="44" t="s">
        <v>381</v>
      </c>
      <c r="G59" s="45">
        <f t="shared" si="19"/>
        <v>60</v>
      </c>
      <c r="H59" s="40" t="str">
        <f t="shared" si="20"/>
        <v>p 037</v>
      </c>
      <c r="I59" s="45" t="str">
        <f t="shared" si="21"/>
        <v>c 900</v>
      </c>
      <c r="J59" s="46" t="str">
        <f t="shared" si="22"/>
        <v>v "\mp3_ost\5ssh.mp3"</v>
      </c>
      <c r="K59" s="40" t="str">
        <f t="shared" si="23"/>
        <v>c 930</v>
      </c>
      <c r="L59" s="42" t="str">
        <f t="shared" si="24"/>
        <v>&lt;unit059&gt; "&gt;&gt;СШ № 5" {e, p 037, c 900, v "\mp3_ost\5ssh.mp3", c 930, d 000, n 060}</v>
      </c>
    </row>
    <row r="60" spans="2:12" x14ac:dyDescent="0.25">
      <c r="B60" s="44">
        <f t="shared" si="17"/>
        <v>60</v>
      </c>
      <c r="C60" s="44" t="s">
        <v>79</v>
      </c>
      <c r="D60" s="39" t="str">
        <f t="shared" si="18"/>
        <v/>
      </c>
      <c r="E60" s="44" t="s">
        <v>170</v>
      </c>
      <c r="G60" s="45">
        <f t="shared" si="19"/>
        <v>61</v>
      </c>
      <c r="H60" s="40" t="str">
        <f t="shared" si="20"/>
        <v>p 037</v>
      </c>
      <c r="I60" s="45" t="str">
        <f t="shared" si="21"/>
        <v>c 902</v>
      </c>
      <c r="J60" s="46" t="str">
        <f t="shared" si="22"/>
        <v>v "\mp3_ost\5ssh.mp3"</v>
      </c>
      <c r="K60" s="40" t="str">
        <f t="shared" si="23"/>
        <v/>
      </c>
      <c r="L60" s="42" t="str">
        <f t="shared" si="24"/>
        <v>&lt;unit060&gt; "СШ № 5" {e, p 037, c 902, v "\mp3_ost\5ssh.mp3", d 000, n 061}</v>
      </c>
    </row>
    <row r="61" spans="2:12" x14ac:dyDescent="0.25">
      <c r="B61" s="44">
        <f t="shared" si="17"/>
        <v>61</v>
      </c>
      <c r="C61" s="44" t="s">
        <v>329</v>
      </c>
      <c r="D61" s="39" t="str">
        <f t="shared" si="18"/>
        <v>&gt;&gt;</v>
      </c>
      <c r="E61" s="44" t="s">
        <v>225</v>
      </c>
      <c r="F61" s="44" t="s">
        <v>381</v>
      </c>
      <c r="G61" s="45">
        <f t="shared" si="19"/>
        <v>62</v>
      </c>
      <c r="H61" s="40" t="str">
        <f t="shared" si="20"/>
        <v>p 027</v>
      </c>
      <c r="I61" s="45" t="str">
        <f t="shared" si="21"/>
        <v>c 900</v>
      </c>
      <c r="J61" s="46" t="str">
        <f t="shared" si="22"/>
        <v>v "\mp3_ost\paliklin.mp3"</v>
      </c>
      <c r="K61" s="40" t="str">
        <f t="shared" si="23"/>
        <v>c 930</v>
      </c>
      <c r="L61" s="42" t="str">
        <f t="shared" si="24"/>
        <v>&lt;unit061&gt; "&gt;&gt;Поликлиника" {e, p 027, c 900, v "\mp3_ost\paliklin.mp3", c 930, d 000, n 062}</v>
      </c>
    </row>
    <row r="62" spans="2:12" x14ac:dyDescent="0.25">
      <c r="B62" s="44">
        <f t="shared" si="17"/>
        <v>62</v>
      </c>
      <c r="C62" s="44" t="s">
        <v>79</v>
      </c>
      <c r="D62" s="39" t="str">
        <f t="shared" si="18"/>
        <v/>
      </c>
      <c r="E62" s="44" t="s">
        <v>225</v>
      </c>
      <c r="G62" s="45">
        <f t="shared" si="19"/>
        <v>63</v>
      </c>
      <c r="H62" s="40" t="str">
        <f t="shared" si="20"/>
        <v>p 027</v>
      </c>
      <c r="I62" s="45" t="str">
        <f t="shared" si="21"/>
        <v>c 902</v>
      </c>
      <c r="J62" s="46" t="str">
        <f t="shared" si="22"/>
        <v>v "\mp3_ost\paliklin.mp3"</v>
      </c>
      <c r="K62" s="40" t="str">
        <f t="shared" si="23"/>
        <v/>
      </c>
      <c r="L62" s="42" t="str">
        <f t="shared" si="24"/>
        <v>&lt;unit062&gt; "Поликлиника" {e, p 027, c 902, v "\mp3_ost\paliklin.mp3", d 000, n 063}</v>
      </c>
    </row>
    <row r="63" spans="2:12" x14ac:dyDescent="0.25">
      <c r="B63" s="44">
        <f t="shared" si="17"/>
        <v>63</v>
      </c>
      <c r="C63" s="44" t="s">
        <v>329</v>
      </c>
      <c r="D63" s="39" t="str">
        <f t="shared" si="18"/>
        <v>&gt;&gt;</v>
      </c>
      <c r="E63" s="44" t="s">
        <v>349</v>
      </c>
      <c r="F63" s="44" t="s">
        <v>381</v>
      </c>
      <c r="G63" s="45">
        <f t="shared" si="19"/>
        <v>64</v>
      </c>
      <c r="H63" s="40" t="str">
        <f t="shared" si="20"/>
        <v>p 022</v>
      </c>
      <c r="I63" s="45" t="str">
        <f t="shared" si="21"/>
        <v>c 900</v>
      </c>
      <c r="J63" s="46" t="str">
        <f t="shared" si="22"/>
        <v>v "\mp3_ost\park.mp3"</v>
      </c>
      <c r="K63" s="40" t="str">
        <f t="shared" si="23"/>
        <v>c 930</v>
      </c>
      <c r="L63" s="42" t="str">
        <f t="shared" si="24"/>
        <v>&lt;unit063&gt; "&gt;&gt;Парк культуры" {e, p 022, c 900, v "\mp3_ost\park.mp3", c 930, d 000, n 064}</v>
      </c>
    </row>
    <row r="64" spans="2:12" x14ac:dyDescent="0.25">
      <c r="B64" s="44">
        <f t="shared" si="17"/>
        <v>64</v>
      </c>
      <c r="C64" s="44" t="s">
        <v>79</v>
      </c>
      <c r="D64" s="39" t="str">
        <f t="shared" si="18"/>
        <v/>
      </c>
      <c r="E64" s="44" t="s">
        <v>349</v>
      </c>
      <c r="G64" s="45">
        <f t="shared" si="19"/>
        <v>65</v>
      </c>
      <c r="H64" s="40" t="str">
        <f t="shared" si="20"/>
        <v>p 022</v>
      </c>
      <c r="I64" s="45" t="str">
        <f t="shared" si="21"/>
        <v>c 902</v>
      </c>
      <c r="J64" s="46" t="str">
        <f t="shared" si="22"/>
        <v>v "\mp3_ost\park.mp3"</v>
      </c>
      <c r="K64" s="40" t="str">
        <f t="shared" si="23"/>
        <v/>
      </c>
      <c r="L64" s="42" t="str">
        <f t="shared" si="24"/>
        <v>&lt;unit064&gt; "Парк культуры" {e, p 022, c 902, v "\mp3_ost\park.mp3", d 000, n 065}</v>
      </c>
    </row>
    <row r="65" spans="2:12" x14ac:dyDescent="0.25">
      <c r="B65" s="44">
        <f t="shared" si="17"/>
        <v>65</v>
      </c>
      <c r="C65" s="44" t="s">
        <v>329</v>
      </c>
      <c r="D65" s="39" t="str">
        <f t="shared" si="18"/>
        <v>&gt;&gt;</v>
      </c>
      <c r="E65" s="44" t="s">
        <v>233</v>
      </c>
      <c r="F65" s="44" t="s">
        <v>381</v>
      </c>
      <c r="G65" s="45">
        <f t="shared" si="19"/>
        <v>66</v>
      </c>
      <c r="H65" s="40" t="str">
        <f t="shared" si="20"/>
        <v>p 028</v>
      </c>
      <c r="I65" s="45" t="str">
        <f t="shared" si="21"/>
        <v>c 900</v>
      </c>
      <c r="J65" s="46" t="str">
        <f t="shared" si="22"/>
        <v>v "\mp3_ost\pochta.mp3"</v>
      </c>
      <c r="K65" s="40" t="str">
        <f t="shared" si="23"/>
        <v>c 930</v>
      </c>
      <c r="L65" s="42" t="str">
        <f t="shared" si="24"/>
        <v>&lt;unit065&gt; "&gt;&gt;Почта" {e, p 028, c 900, v "\mp3_ost\pochta.mp3", c 930, d 000, n 066}</v>
      </c>
    </row>
    <row r="66" spans="2:12" x14ac:dyDescent="0.25">
      <c r="B66" s="44">
        <f t="shared" si="17"/>
        <v>66</v>
      </c>
      <c r="C66" s="44" t="s">
        <v>79</v>
      </c>
      <c r="D66" s="39" t="str">
        <f t="shared" si="18"/>
        <v/>
      </c>
      <c r="E66" s="44" t="s">
        <v>233</v>
      </c>
      <c r="G66" s="45">
        <f t="shared" si="19"/>
        <v>67</v>
      </c>
      <c r="H66" s="40" t="str">
        <f t="shared" si="20"/>
        <v>p 028</v>
      </c>
      <c r="I66" s="45" t="str">
        <f t="shared" si="21"/>
        <v>c 902</v>
      </c>
      <c r="J66" s="46" t="str">
        <f t="shared" si="22"/>
        <v>v "\mp3_ost\pochta.mp3"</v>
      </c>
      <c r="K66" s="40" t="str">
        <f t="shared" si="23"/>
        <v/>
      </c>
      <c r="L66" s="42" t="str">
        <f t="shared" si="24"/>
        <v>&lt;unit066&gt; "Почта" {e, p 028, c 902, v "\mp3_ost\pochta.mp3", d 000, n 067}</v>
      </c>
    </row>
    <row r="67" spans="2:12" x14ac:dyDescent="0.25">
      <c r="B67" s="44">
        <f t="shared" si="17"/>
        <v>67</v>
      </c>
      <c r="C67" s="44" t="s">
        <v>329</v>
      </c>
      <c r="D67" s="39" t="str">
        <f t="shared" si="18"/>
        <v>&gt;&gt;</v>
      </c>
      <c r="E67" s="44" t="s">
        <v>167</v>
      </c>
      <c r="F67" s="44" t="s">
        <v>381</v>
      </c>
      <c r="G67" s="45">
        <f t="shared" si="19"/>
        <v>68</v>
      </c>
      <c r="H67" s="40" t="str">
        <f t="shared" si="20"/>
        <v>p 077</v>
      </c>
      <c r="I67" s="45" t="str">
        <f t="shared" si="21"/>
        <v>c 900</v>
      </c>
      <c r="J67" s="46" t="str">
        <f t="shared" si="22"/>
        <v>c 928, v "\mp3_ost\swrokvas.mp3"</v>
      </c>
      <c r="K67" s="40" t="str">
        <f t="shared" si="23"/>
        <v>c 930</v>
      </c>
      <c r="L67" s="42" t="str">
        <f t="shared" si="24"/>
        <v>&lt;unit067&gt; "&gt;&gt;ул.Сырокваша" {e, p 077, c 900, c 928, v "\mp3_ost\swrokvas.mp3", c 930, d 000, n 068}</v>
      </c>
    </row>
    <row r="68" spans="2:12" x14ac:dyDescent="0.25">
      <c r="B68" s="44">
        <f t="shared" si="17"/>
        <v>68</v>
      </c>
      <c r="C68" s="44" t="s">
        <v>79</v>
      </c>
      <c r="D68" s="39" t="str">
        <f t="shared" si="18"/>
        <v/>
      </c>
      <c r="E68" s="44" t="s">
        <v>167</v>
      </c>
      <c r="G68" s="45">
        <f t="shared" si="19"/>
        <v>69</v>
      </c>
      <c r="H68" s="40" t="str">
        <f t="shared" si="20"/>
        <v>p 077</v>
      </c>
      <c r="I68" s="45" t="str">
        <f t="shared" si="21"/>
        <v>c 902</v>
      </c>
      <c r="J68" s="46" t="str">
        <f t="shared" si="22"/>
        <v>c 928, v "\mp3_ost\swrokvas.mp3"</v>
      </c>
      <c r="K68" s="40" t="str">
        <f t="shared" si="23"/>
        <v/>
      </c>
      <c r="L68" s="42" t="str">
        <f t="shared" si="24"/>
        <v>&lt;unit068&gt; "ул.Сырокваша" {e, p 077, c 902, c 928, v "\mp3_ost\swrokvas.mp3", d 000, n 069}</v>
      </c>
    </row>
    <row r="69" spans="2:12" x14ac:dyDescent="0.25">
      <c r="B69" s="44">
        <f t="shared" si="17"/>
        <v>69</v>
      </c>
      <c r="C69" s="44" t="s">
        <v>329</v>
      </c>
      <c r="D69" s="39" t="str">
        <f t="shared" si="18"/>
        <v>&gt;&gt;</v>
      </c>
      <c r="E69" s="44" t="s">
        <v>165</v>
      </c>
      <c r="F69" s="44" t="s">
        <v>381</v>
      </c>
      <c r="G69" s="45">
        <f t="shared" si="19"/>
        <v>70</v>
      </c>
      <c r="H69" s="40" t="str">
        <f t="shared" si="20"/>
        <v>p 064</v>
      </c>
      <c r="I69" s="45" t="str">
        <f t="shared" si="21"/>
        <v>c 900</v>
      </c>
      <c r="J69" s="46" t="str">
        <f t="shared" si="22"/>
        <v>c 928, v "\mp3_ost\moskovsk.mp3"</v>
      </c>
      <c r="K69" s="40" t="str">
        <f t="shared" si="23"/>
        <v>c 930</v>
      </c>
      <c r="L69" s="42" t="str">
        <f t="shared" si="24"/>
        <v>&lt;unit069&gt; "&gt;&gt;ул.Московская" {e, p 064, c 900, c 928, v "\mp3_ost\moskovsk.mp3", c 930, d 000, n 070}</v>
      </c>
    </row>
    <row r="70" spans="2:12" x14ac:dyDescent="0.25">
      <c r="B70" s="44">
        <f t="shared" si="17"/>
        <v>70</v>
      </c>
      <c r="C70" s="44" t="s">
        <v>79</v>
      </c>
      <c r="D70" s="39" t="str">
        <f t="shared" si="18"/>
        <v/>
      </c>
      <c r="E70" s="44" t="s">
        <v>165</v>
      </c>
      <c r="G70" s="45">
        <f t="shared" si="19"/>
        <v>71</v>
      </c>
      <c r="H70" s="40" t="str">
        <f t="shared" si="20"/>
        <v>p 064</v>
      </c>
      <c r="I70" s="45" t="str">
        <f t="shared" si="21"/>
        <v>c 902</v>
      </c>
      <c r="J70" s="46" t="str">
        <f t="shared" si="22"/>
        <v>c 928, v "\mp3_ost\moskovsk.mp3"</v>
      </c>
      <c r="K70" s="40" t="str">
        <f t="shared" si="23"/>
        <v/>
      </c>
      <c r="L70" s="42" t="str">
        <f t="shared" si="24"/>
        <v>&lt;unit070&gt; "ул.Московская" {e, p 064, c 902, c 928, v "\mp3_ost\moskovsk.mp3", d 000, n 071}</v>
      </c>
    </row>
    <row r="71" spans="2:12" x14ac:dyDescent="0.25">
      <c r="B71" s="44">
        <f t="shared" si="17"/>
        <v>71</v>
      </c>
      <c r="C71" s="44" t="s">
        <v>329</v>
      </c>
      <c r="D71" s="39" t="str">
        <f t="shared" si="18"/>
        <v>&gt;&gt;</v>
      </c>
      <c r="E71" s="44" t="s">
        <v>166</v>
      </c>
      <c r="F71" s="44" t="s">
        <v>381</v>
      </c>
      <c r="G71" s="45">
        <f t="shared" si="19"/>
        <v>72</v>
      </c>
      <c r="H71" s="40" t="str">
        <f t="shared" si="20"/>
        <v>p 068</v>
      </c>
      <c r="I71" s="45" t="str">
        <f t="shared" si="21"/>
        <v>c 900</v>
      </c>
      <c r="J71" s="46" t="str">
        <f t="shared" si="22"/>
        <v>c 928, v "\mp3_ost\partizan.mp3"</v>
      </c>
      <c r="K71" s="40" t="str">
        <f t="shared" si="23"/>
        <v>c 930</v>
      </c>
      <c r="L71" s="42" t="str">
        <f t="shared" si="24"/>
        <v>&lt;unit071&gt; "&gt;&gt;ул.Партизанская" {e, p 068, c 900, c 928, v "\mp3_ost\partizan.mp3", c 930, d 000, n 072}</v>
      </c>
    </row>
    <row r="72" spans="2:12" x14ac:dyDescent="0.25">
      <c r="B72" s="44">
        <f t="shared" si="17"/>
        <v>72</v>
      </c>
      <c r="C72" s="44" t="s">
        <v>79</v>
      </c>
      <c r="D72" s="39" t="str">
        <f t="shared" si="18"/>
        <v/>
      </c>
      <c r="E72" s="44" t="s">
        <v>166</v>
      </c>
      <c r="G72" s="45">
        <f t="shared" si="19"/>
        <v>73</v>
      </c>
      <c r="H72" s="40" t="str">
        <f t="shared" si="20"/>
        <v>p 068</v>
      </c>
      <c r="I72" s="45" t="str">
        <f t="shared" si="21"/>
        <v>c 902</v>
      </c>
      <c r="J72" s="46" t="str">
        <f t="shared" si="22"/>
        <v>c 928, v "\mp3_ost\partizan.mp3"</v>
      </c>
      <c r="K72" s="40" t="str">
        <f t="shared" si="23"/>
        <v/>
      </c>
      <c r="L72" s="42" t="str">
        <f t="shared" si="24"/>
        <v>&lt;unit072&gt; "ул.Партизанская" {e, p 068, c 902, c 928, v "\mp3_ost\partizan.mp3", d 000, n 073}</v>
      </c>
    </row>
    <row r="73" spans="2:12" x14ac:dyDescent="0.25">
      <c r="B73" s="44">
        <f t="shared" si="17"/>
        <v>73</v>
      </c>
      <c r="C73" s="44" t="s">
        <v>329</v>
      </c>
      <c r="D73" s="39" t="str">
        <f t="shared" si="18"/>
        <v>&gt;&gt;</v>
      </c>
      <c r="E73" s="44" t="s">
        <v>163</v>
      </c>
      <c r="F73" s="44" t="s">
        <v>381</v>
      </c>
      <c r="G73" s="45">
        <f t="shared" si="19"/>
        <v>74</v>
      </c>
      <c r="H73" s="40" t="str">
        <f t="shared" si="20"/>
        <v>p 010</v>
      </c>
      <c r="I73" s="45" t="str">
        <f t="shared" si="21"/>
        <v>c 900</v>
      </c>
      <c r="J73" s="46" t="str">
        <f t="shared" si="22"/>
        <v>v "\mp3_ost\jd.mp3"</v>
      </c>
      <c r="K73" s="40" t="str">
        <f t="shared" si="23"/>
        <v>c 930</v>
      </c>
      <c r="L73" s="42" t="str">
        <f t="shared" si="24"/>
        <v>&lt;unit073&gt; "&gt;&gt;ЖД Вокзал" {e, p 010, c 900, v "\mp3_ost\jd.mp3", c 930, d 000, n 074}</v>
      </c>
    </row>
    <row r="74" spans="2:12" x14ac:dyDescent="0.25">
      <c r="B74" s="44">
        <f t="shared" si="17"/>
        <v>74</v>
      </c>
      <c r="C74" s="44" t="s">
        <v>79</v>
      </c>
      <c r="D74" s="39" t="str">
        <f t="shared" si="18"/>
        <v/>
      </c>
      <c r="E74" s="44" t="s">
        <v>163</v>
      </c>
      <c r="G74" s="45">
        <f t="shared" si="19"/>
        <v>75</v>
      </c>
      <c r="H74" s="40" t="str">
        <f t="shared" si="20"/>
        <v>p 010</v>
      </c>
      <c r="I74" s="45" t="str">
        <f t="shared" si="21"/>
        <v>c 902</v>
      </c>
      <c r="J74" s="46" t="str">
        <f t="shared" si="22"/>
        <v>v "\mp3_ost\jd.mp3"</v>
      </c>
      <c r="K74" s="40" t="str">
        <f t="shared" si="23"/>
        <v/>
      </c>
      <c r="L74" s="42" t="str">
        <f t="shared" si="24"/>
        <v>&lt;unit074&gt; "ЖД Вокзал" {e, p 010, c 902, v "\mp3_ost\jd.mp3", d 000, n 075}</v>
      </c>
    </row>
    <row r="75" spans="2:12" x14ac:dyDescent="0.25">
      <c r="B75" s="44">
        <f t="shared" si="17"/>
        <v>75</v>
      </c>
      <c r="C75" s="44" t="s">
        <v>329</v>
      </c>
      <c r="D75" s="39" t="str">
        <f t="shared" si="18"/>
        <v>&gt;&gt;</v>
      </c>
      <c r="E75" s="44" t="s">
        <v>346</v>
      </c>
      <c r="F75" s="44" t="s">
        <v>381</v>
      </c>
      <c r="G75" s="45">
        <f t="shared" si="19"/>
        <v>76</v>
      </c>
      <c r="H75" s="40" t="str">
        <f t="shared" si="20"/>
        <v>p 054</v>
      </c>
      <c r="I75" s="45" t="str">
        <f t="shared" si="21"/>
        <v>c 900</v>
      </c>
      <c r="J75" s="46" t="str">
        <f t="shared" si="22"/>
        <v>c 928, v "\mp3_ost\zhodinsk.mp3"</v>
      </c>
      <c r="K75" s="40" t="str">
        <f t="shared" si="23"/>
        <v>c 930</v>
      </c>
      <c r="L75" s="42" t="str">
        <f t="shared" si="24"/>
        <v>&lt;unit075&gt; "&gt;&gt;ул.Жодинская" {e, p 054, c 900, c 928, v "\mp3_ost\zhodinsk.mp3", c 930, d 000, n 076}</v>
      </c>
    </row>
    <row r="76" spans="2:12" x14ac:dyDescent="0.25">
      <c r="B76" s="44">
        <f t="shared" si="17"/>
        <v>76</v>
      </c>
      <c r="C76" s="44" t="s">
        <v>79</v>
      </c>
      <c r="D76" s="39" t="str">
        <f t="shared" si="18"/>
        <v/>
      </c>
      <c r="E76" s="44" t="s">
        <v>346</v>
      </c>
      <c r="G76" s="45">
        <f t="shared" si="19"/>
        <v>77</v>
      </c>
      <c r="H76" s="40" t="str">
        <f t="shared" si="20"/>
        <v>p 054</v>
      </c>
      <c r="I76" s="45" t="str">
        <f t="shared" si="21"/>
        <v>c 902</v>
      </c>
      <c r="J76" s="46" t="str">
        <f t="shared" si="22"/>
        <v>c 928, v "\mp3_ost\zhodinsk.mp3"</v>
      </c>
      <c r="K76" s="40" t="str">
        <f t="shared" si="23"/>
        <v/>
      </c>
      <c r="L76" s="42" t="str">
        <f t="shared" si="24"/>
        <v>&lt;unit076&gt; "ул.Жодинская" {e, p 054, c 902, c 928, v "\mp3_ost\zhodinsk.mp3", d 000, n 077}</v>
      </c>
    </row>
    <row r="77" spans="2:12" x14ac:dyDescent="0.25">
      <c r="B77" s="44">
        <f t="shared" si="17"/>
        <v>77</v>
      </c>
      <c r="C77" s="44" t="s">
        <v>329</v>
      </c>
      <c r="D77" s="39" t="str">
        <f t="shared" si="18"/>
        <v>&gt;&gt;</v>
      </c>
      <c r="E77" s="44" t="s">
        <v>253</v>
      </c>
      <c r="F77" s="44" t="s">
        <v>381</v>
      </c>
      <c r="G77" s="45">
        <f t="shared" si="19"/>
        <v>78</v>
      </c>
      <c r="H77" s="40" t="str">
        <f t="shared" si="20"/>
        <v>p 042</v>
      </c>
      <c r="I77" s="45" t="str">
        <f t="shared" si="21"/>
        <v>c 900</v>
      </c>
      <c r="J77" s="46" t="str">
        <f t="shared" si="22"/>
        <v>v "\mp3_ost\tec.mp3"</v>
      </c>
      <c r="K77" s="40" t="str">
        <f t="shared" si="23"/>
        <v>c 930</v>
      </c>
      <c r="L77" s="42" t="str">
        <f t="shared" si="24"/>
        <v>&lt;unit077&gt; "&gt;&gt;ТЭЦ" {e, p 042, c 900, v "\mp3_ost\tec.mp3", c 930, d 000, n 078}</v>
      </c>
    </row>
    <row r="78" spans="2:12" x14ac:dyDescent="0.25">
      <c r="B78" s="44">
        <f t="shared" si="17"/>
        <v>78</v>
      </c>
      <c r="C78" s="44" t="s">
        <v>79</v>
      </c>
      <c r="D78" s="39" t="str">
        <f t="shared" si="18"/>
        <v/>
      </c>
      <c r="E78" s="44" t="s">
        <v>253</v>
      </c>
      <c r="G78" s="45">
        <f t="shared" si="19"/>
        <v>79</v>
      </c>
      <c r="H78" s="40" t="str">
        <f t="shared" si="20"/>
        <v>p 042</v>
      </c>
      <c r="I78" s="45" t="str">
        <f t="shared" si="21"/>
        <v>c 902</v>
      </c>
      <c r="J78" s="46" t="str">
        <f t="shared" si="22"/>
        <v>v "\mp3_ost\tec.mp3"</v>
      </c>
      <c r="K78" s="40" t="str">
        <f t="shared" si="23"/>
        <v/>
      </c>
      <c r="L78" s="42" t="str">
        <f t="shared" si="24"/>
        <v>&lt;unit078&gt; "ТЭЦ" {e, p 042, c 902, v "\mp3_ost\tec.mp3", d 000, n 079}</v>
      </c>
    </row>
    <row r="79" spans="2:12" x14ac:dyDescent="0.25">
      <c r="B79" s="44">
        <f t="shared" si="17"/>
        <v>79</v>
      </c>
      <c r="C79" s="44" t="s">
        <v>329</v>
      </c>
      <c r="D79" s="39" t="str">
        <f t="shared" si="18"/>
        <v>&gt;&gt;</v>
      </c>
      <c r="E79" s="44" t="s">
        <v>271</v>
      </c>
      <c r="F79" s="44" t="s">
        <v>381</v>
      </c>
      <c r="G79" s="45">
        <f t="shared" si="19"/>
        <v>80</v>
      </c>
      <c r="H79" s="40" t="str">
        <f t="shared" ref="H79:H90" si="25">IFERROR("p "&amp;VLOOKUP(E79,Tablo_Tab,2,FALSE),"")</f>
        <v>p 056</v>
      </c>
      <c r="I79" s="45" t="str">
        <f t="shared" ref="I79:I90" si="26">IFERROR("c "&amp;VLOOKUP(C79,Punkti,2,FALSE),"")</f>
        <v>c 900</v>
      </c>
      <c r="J79" s="46" t="str">
        <f t="shared" ref="J79:J90" si="27">IFERROR(VLOOKUP(E79,Ostanovki,7,FALSE),"")</f>
        <v>c 928, v "\mp3_ost\kupriyan.mp3"</v>
      </c>
      <c r="K79" s="40" t="str">
        <f t="shared" ref="K79:K90" si="28">IFERROR("c "&amp;VLOOKUP(F79,Punkti,2,FALSE),"")</f>
        <v>c 930</v>
      </c>
      <c r="L79" s="42" t="str">
        <f t="shared" si="24"/>
        <v>&lt;unit079&gt; "&gt;&gt;ул.Куприянова" {e, p 056, c 900, c 928, v "\mp3_ost\kupriyan.mp3", c 930, d 000, n 080}</v>
      </c>
    </row>
    <row r="80" spans="2:12" x14ac:dyDescent="0.25">
      <c r="B80" s="44">
        <f t="shared" si="17"/>
        <v>80</v>
      </c>
      <c r="C80" s="44" t="s">
        <v>79</v>
      </c>
      <c r="D80" s="39" t="str">
        <f t="shared" si="18"/>
        <v/>
      </c>
      <c r="E80" s="44" t="s">
        <v>271</v>
      </c>
      <c r="G80" s="45">
        <f t="shared" si="19"/>
        <v>81</v>
      </c>
      <c r="H80" s="40" t="str">
        <f t="shared" si="25"/>
        <v>p 056</v>
      </c>
      <c r="I80" s="45" t="str">
        <f t="shared" si="26"/>
        <v>c 902</v>
      </c>
      <c r="J80" s="46" t="str">
        <f t="shared" si="27"/>
        <v>c 928, v "\mp3_ost\kupriyan.mp3"</v>
      </c>
      <c r="K80" s="40" t="str">
        <f t="shared" si="28"/>
        <v/>
      </c>
      <c r="L80" s="42" t="str">
        <f t="shared" si="24"/>
        <v>&lt;unit080&gt; "ул.Куприянова" {e, p 056, c 902, c 928, v "\mp3_ost\kupriyan.mp3", d 000, n 081}</v>
      </c>
    </row>
    <row r="81" spans="2:12" x14ac:dyDescent="0.25">
      <c r="B81" s="44">
        <f t="shared" si="17"/>
        <v>81</v>
      </c>
      <c r="C81" s="44" t="s">
        <v>329</v>
      </c>
      <c r="D81" s="39" t="str">
        <f t="shared" si="18"/>
        <v>&gt;&gt;</v>
      </c>
      <c r="E81" s="44" t="s">
        <v>268</v>
      </c>
      <c r="F81" s="44" t="s">
        <v>381</v>
      </c>
      <c r="G81" s="45">
        <f t="shared" si="19"/>
        <v>82</v>
      </c>
      <c r="H81" s="40" t="str">
        <f t="shared" si="25"/>
        <v>p 047</v>
      </c>
      <c r="I81" s="45" t="str">
        <f t="shared" si="26"/>
        <v>c 900</v>
      </c>
      <c r="J81" s="46" t="str">
        <f t="shared" si="27"/>
        <v>c 928, v "\mp3_ost\avtomobi.mp3"</v>
      </c>
      <c r="K81" s="40" t="str">
        <f t="shared" si="28"/>
        <v>c 930</v>
      </c>
      <c r="L81" s="42" t="str">
        <f t="shared" si="24"/>
        <v>&lt;unit081&gt; "&gt;&gt;ул.Автомобилист." {e, p 047, c 900, c 928, v "\mp3_ost\avtomobi.mp3", c 930, d 000, n 082}</v>
      </c>
    </row>
    <row r="82" spans="2:12" x14ac:dyDescent="0.25">
      <c r="B82" s="44">
        <f t="shared" si="17"/>
        <v>82</v>
      </c>
      <c r="C82" s="44" t="s">
        <v>79</v>
      </c>
      <c r="D82" s="39" t="str">
        <f t="shared" si="18"/>
        <v/>
      </c>
      <c r="E82" s="44" t="s">
        <v>268</v>
      </c>
      <c r="G82" s="45">
        <f t="shared" si="19"/>
        <v>83</v>
      </c>
      <c r="H82" s="40" t="str">
        <f t="shared" si="25"/>
        <v>p 047</v>
      </c>
      <c r="I82" s="45" t="str">
        <f t="shared" si="26"/>
        <v>c 902</v>
      </c>
      <c r="J82" s="46" t="str">
        <f t="shared" si="27"/>
        <v>c 928, v "\mp3_ost\avtomobi.mp3"</v>
      </c>
      <c r="K82" s="40" t="str">
        <f t="shared" si="28"/>
        <v/>
      </c>
      <c r="L82" s="42" t="str">
        <f t="shared" si="24"/>
        <v>&lt;unit082&gt; "ул.Автомобилист." {e, p 047, c 902, c 928, v "\mp3_ost\avtomobi.mp3", d 000, n 083}</v>
      </c>
    </row>
    <row r="83" spans="2:12" x14ac:dyDescent="0.25">
      <c r="B83" s="44">
        <f t="shared" si="17"/>
        <v>83</v>
      </c>
      <c r="C83" s="44" t="s">
        <v>329</v>
      </c>
      <c r="D83" s="39" t="str">
        <f t="shared" si="18"/>
        <v>&gt;&gt;</v>
      </c>
      <c r="E83" s="44" t="s">
        <v>270</v>
      </c>
      <c r="F83" s="44" t="s">
        <v>381</v>
      </c>
      <c r="G83" s="45">
        <f t="shared" si="19"/>
        <v>84</v>
      </c>
      <c r="H83" s="40" t="str">
        <f t="shared" si="25"/>
        <v>p 053</v>
      </c>
      <c r="I83" s="45" t="str">
        <f t="shared" si="26"/>
        <v>c 900</v>
      </c>
      <c r="J83" s="46" t="str">
        <f t="shared" si="27"/>
        <v>c 928, v "\mp3_ost\darojnay.mp3"</v>
      </c>
      <c r="K83" s="40" t="str">
        <f t="shared" si="28"/>
        <v>c 930</v>
      </c>
      <c r="L83" s="42" t="str">
        <f t="shared" si="24"/>
        <v>&lt;unit083&gt; "&gt;&gt;ул.Дорожная" {e, p 053, c 900, c 928, v "\mp3_ost\darojnay.mp3", c 930, d 000, n 084}</v>
      </c>
    </row>
    <row r="84" spans="2:12" x14ac:dyDescent="0.25">
      <c r="B84" s="44">
        <f t="shared" si="17"/>
        <v>84</v>
      </c>
      <c r="C84" s="44" t="s">
        <v>79</v>
      </c>
      <c r="D84" s="39" t="str">
        <f t="shared" si="18"/>
        <v/>
      </c>
      <c r="E84" s="44" t="s">
        <v>270</v>
      </c>
      <c r="G84" s="45">
        <f t="shared" si="19"/>
        <v>85</v>
      </c>
      <c r="H84" s="40" t="str">
        <f t="shared" si="25"/>
        <v>p 053</v>
      </c>
      <c r="I84" s="45" t="str">
        <f t="shared" si="26"/>
        <v>c 902</v>
      </c>
      <c r="J84" s="46" t="str">
        <f t="shared" si="27"/>
        <v>c 928, v "\mp3_ost\darojnay.mp3"</v>
      </c>
      <c r="K84" s="40" t="str">
        <f t="shared" si="28"/>
        <v/>
      </c>
      <c r="L84" s="42" t="str">
        <f t="shared" si="24"/>
        <v>&lt;unit084&gt; "ул.Дорожная" {e, p 053, c 902, c 928, v "\mp3_ost\darojnay.mp3", d 000, n 085}</v>
      </c>
    </row>
    <row r="85" spans="2:12" x14ac:dyDescent="0.25">
      <c r="B85" s="44">
        <f t="shared" si="17"/>
        <v>85</v>
      </c>
      <c r="C85" s="44" t="s">
        <v>329</v>
      </c>
      <c r="D85" s="39" t="str">
        <f t="shared" si="18"/>
        <v>&gt;&gt;</v>
      </c>
      <c r="E85" s="44" t="s">
        <v>277</v>
      </c>
      <c r="F85" s="44" t="s">
        <v>381</v>
      </c>
      <c r="G85" s="45">
        <f t="shared" si="19"/>
        <v>86</v>
      </c>
      <c r="H85" s="40" t="str">
        <f t="shared" si="25"/>
        <v>p 069</v>
      </c>
      <c r="I85" s="45" t="str">
        <f t="shared" si="26"/>
        <v>c 900</v>
      </c>
      <c r="J85" s="46" t="str">
        <f t="shared" si="27"/>
        <v>c 928, v "\mp3_ost\pyaschan.mp3"</v>
      </c>
      <c r="K85" s="40" t="str">
        <f t="shared" si="28"/>
        <v>c 930</v>
      </c>
      <c r="L85" s="42" t="str">
        <f t="shared" si="24"/>
        <v>&lt;unit085&gt; "&gt;&gt;ул.Песчаная" {e, p 069, c 900, c 928, v "\mp3_ost\pyaschan.mp3", c 930, d 000, n 086}</v>
      </c>
    </row>
    <row r="86" spans="2:12" x14ac:dyDescent="0.25">
      <c r="B86" s="44">
        <f t="shared" si="17"/>
        <v>86</v>
      </c>
      <c r="C86" s="44" t="s">
        <v>79</v>
      </c>
      <c r="D86" s="39" t="str">
        <f t="shared" si="18"/>
        <v/>
      </c>
      <c r="E86" s="44" t="s">
        <v>277</v>
      </c>
      <c r="G86" s="45">
        <f t="shared" si="19"/>
        <v>87</v>
      </c>
      <c r="H86" s="40" t="str">
        <f t="shared" si="25"/>
        <v>p 069</v>
      </c>
      <c r="I86" s="45" t="str">
        <f t="shared" si="26"/>
        <v>c 902</v>
      </c>
      <c r="J86" s="46" t="str">
        <f t="shared" si="27"/>
        <v>c 928, v "\mp3_ost\pyaschan.mp3"</v>
      </c>
      <c r="K86" s="40" t="str">
        <f t="shared" si="28"/>
        <v/>
      </c>
      <c r="L86" s="42" t="str">
        <f t="shared" si="24"/>
        <v>&lt;unit086&gt; "ул.Песчаная" {e, p 069, c 902, c 928, v "\mp3_ost\pyaschan.mp3", d 000, n 087}</v>
      </c>
    </row>
    <row r="87" spans="2:12" x14ac:dyDescent="0.25">
      <c r="B87" s="44">
        <f t="shared" si="17"/>
        <v>87</v>
      </c>
      <c r="C87" s="44" t="s">
        <v>329</v>
      </c>
      <c r="D87" s="39" t="str">
        <f t="shared" si="18"/>
        <v>&gt;&gt;</v>
      </c>
      <c r="E87" s="44" t="s">
        <v>350</v>
      </c>
      <c r="F87" s="44" t="s">
        <v>381</v>
      </c>
      <c r="G87" s="45">
        <f t="shared" si="19"/>
        <v>88</v>
      </c>
      <c r="H87" s="40" t="str">
        <f t="shared" si="25"/>
        <v>p 079</v>
      </c>
      <c r="I87" s="45" t="str">
        <f t="shared" si="26"/>
        <v>c 900</v>
      </c>
      <c r="J87" s="46" t="str">
        <f t="shared" si="27"/>
        <v>c 928, v "\mp3_ost\ubiley.mp3"</v>
      </c>
      <c r="K87" s="40" t="str">
        <f t="shared" si="28"/>
        <v>c 930</v>
      </c>
      <c r="L87" s="42" t="str">
        <f t="shared" si="24"/>
        <v>&lt;unit087&gt; "&gt;&gt;ул.Юбилейная" {e, p 079, c 900, c 928, v "\mp3_ost\ubiley.mp3", c 930, d 000, n 088}</v>
      </c>
    </row>
    <row r="88" spans="2:12" x14ac:dyDescent="0.25">
      <c r="B88" s="44">
        <f t="shared" si="17"/>
        <v>88</v>
      </c>
      <c r="C88" s="44" t="s">
        <v>79</v>
      </c>
      <c r="D88" s="39" t="str">
        <f t="shared" ref="D88:D89" si="29">IF(I88="c 900","&gt;&gt;","")</f>
        <v/>
      </c>
      <c r="E88" s="44" t="s">
        <v>350</v>
      </c>
      <c r="G88" s="45">
        <f t="shared" si="19"/>
        <v>89</v>
      </c>
      <c r="H88" s="40" t="str">
        <f t="shared" si="25"/>
        <v>p 079</v>
      </c>
      <c r="I88" s="45" t="str">
        <f t="shared" si="26"/>
        <v>c 902</v>
      </c>
      <c r="J88" s="46" t="str">
        <f t="shared" si="27"/>
        <v>c 928, v "\mp3_ost\ubiley.mp3"</v>
      </c>
      <c r="K88" s="40" t="str">
        <f t="shared" si="28"/>
        <v/>
      </c>
      <c r="L88" s="42" t="str">
        <f t="shared" si="24"/>
        <v>&lt;unit088&gt; "ул.Юбилейная" {e, p 079, c 902, c 928, v "\mp3_ost\ubiley.mp3", d 000, n 089}</v>
      </c>
    </row>
    <row r="89" spans="2:12" x14ac:dyDescent="0.25">
      <c r="B89" s="44">
        <f t="shared" si="17"/>
        <v>89</v>
      </c>
      <c r="C89" s="44" t="s">
        <v>329</v>
      </c>
      <c r="D89" s="39" t="str">
        <f t="shared" si="29"/>
        <v>&gt;&gt;</v>
      </c>
      <c r="E89" s="44" t="s">
        <v>276</v>
      </c>
      <c r="F89" s="44" t="s">
        <v>381</v>
      </c>
      <c r="G89" s="45">
        <f t="shared" si="19"/>
        <v>90</v>
      </c>
      <c r="H89" s="40" t="str">
        <f t="shared" si="25"/>
        <v>p 065</v>
      </c>
      <c r="I89" s="45" t="str">
        <f t="shared" si="26"/>
        <v>c 900</v>
      </c>
      <c r="J89" s="46" t="str">
        <f t="shared" si="27"/>
        <v>c 928, v "\mp3_ost\nagornay.mp3"</v>
      </c>
      <c r="K89" s="40" t="str">
        <f t="shared" si="28"/>
        <v>c 930</v>
      </c>
      <c r="L89" s="42" t="str">
        <f t="shared" si="24"/>
        <v>&lt;unit089&gt; "&gt;&gt;ул.Нагорная" {e, p 065, c 900, c 928, v "\mp3_ost\nagornay.mp3", c 930, d 000, n 090}</v>
      </c>
    </row>
    <row r="90" spans="2:12" x14ac:dyDescent="0.25">
      <c r="B90" s="44">
        <f t="shared" si="17"/>
        <v>90</v>
      </c>
      <c r="C90" s="44" t="s">
        <v>79</v>
      </c>
      <c r="D90" s="39" t="str">
        <f t="shared" ref="D90" si="30">IF(I90="c 900","&gt;&gt;","")</f>
        <v/>
      </c>
      <c r="E90" s="44" t="s">
        <v>276</v>
      </c>
      <c r="G90" s="45">
        <f t="shared" si="19"/>
        <v>91</v>
      </c>
      <c r="H90" s="40" t="str">
        <f t="shared" si="25"/>
        <v>p 065</v>
      </c>
      <c r="I90" s="45" t="str">
        <f t="shared" si="26"/>
        <v>c 902</v>
      </c>
      <c r="J90" s="46" t="str">
        <f t="shared" si="27"/>
        <v>c 928, v "\mp3_ost\nagornay.mp3"</v>
      </c>
      <c r="K90" s="40" t="str">
        <f t="shared" si="28"/>
        <v/>
      </c>
      <c r="L90" s="42" t="str">
        <f t="shared" si="24"/>
        <v>&lt;unit090&gt; "ул.Нагорная" {e, p 065, c 902, c 928, v "\mp3_ost\nagornay.mp3", d 000, n 091}</v>
      </c>
    </row>
    <row r="91" spans="2:12" x14ac:dyDescent="0.25">
      <c r="B91" s="44">
        <f t="shared" si="17"/>
        <v>91</v>
      </c>
      <c r="C91" s="44" t="s">
        <v>329</v>
      </c>
      <c r="D91" s="39" t="str">
        <f t="shared" si="18"/>
        <v>&gt;&gt;</v>
      </c>
      <c r="E91" s="44" t="s">
        <v>172</v>
      </c>
      <c r="F91" s="44" t="s">
        <v>381</v>
      </c>
      <c r="G91" s="45">
        <f t="shared" si="19"/>
        <v>92</v>
      </c>
      <c r="H91" s="40" t="str">
        <f t="shared" ref="H91" si="31">IFERROR("p "&amp;VLOOKUP(E91,Tablo_Tab,2,FALSE),"")</f>
        <v>p 048</v>
      </c>
      <c r="I91" s="45" t="str">
        <f t="shared" ref="I91" si="32">IFERROR("c "&amp;VLOOKUP(C91,Punkti,2,FALSE),"")</f>
        <v>c 900</v>
      </c>
      <c r="J91" s="46" t="str">
        <f t="shared" ref="J91" si="33">IFERROR(VLOOKUP(E91,Ostanovki,7,FALSE),"")</f>
        <v>c 928, v "\mp3_ost\bajora.mp3"</v>
      </c>
      <c r="K91" s="40" t="str">
        <f t="shared" ref="K91" si="34">IFERROR("c "&amp;VLOOKUP(F91,Punkti,2,FALSE),"")</f>
        <v>c 930</v>
      </c>
      <c r="L91" s="42" t="str">
        <f t="shared" si="24"/>
        <v>&lt;unit091&gt; "&gt;&gt;ул.Бажора" {e, p 048, c 900, c 928, v "\mp3_ost\bajora.mp3", c 930, d 000, n 092}</v>
      </c>
    </row>
    <row r="92" spans="2:12" x14ac:dyDescent="0.25">
      <c r="B92" s="44">
        <f t="shared" si="17"/>
        <v>92</v>
      </c>
      <c r="C92" s="44" t="s">
        <v>79</v>
      </c>
      <c r="D92" s="39" t="str">
        <f t="shared" si="18"/>
        <v/>
      </c>
      <c r="E92" s="44" t="s">
        <v>172</v>
      </c>
      <c r="F92" s="44" t="s">
        <v>331</v>
      </c>
      <c r="G92" s="45">
        <f>B94</f>
        <v>94</v>
      </c>
      <c r="H92" s="40" t="str">
        <f t="shared" si="20"/>
        <v>p 048</v>
      </c>
      <c r="I92" s="45" t="str">
        <f t="shared" si="21"/>
        <v>c 902</v>
      </c>
      <c r="J92" s="46" t="str">
        <f t="shared" si="22"/>
        <v>c 928, v "\mp3_ost\bajora.mp3"</v>
      </c>
      <c r="K92" s="40" t="str">
        <f t="shared" si="23"/>
        <v>c 903</v>
      </c>
      <c r="L92" s="42" t="str">
        <f t="shared" si="24"/>
        <v>&lt;unit092&gt; "ул.Бажора" {e, p 048, c 902, c 928, v "\mp3_ost\bajora.mp3", c 903, d 000, n 094}</v>
      </c>
    </row>
    <row r="93" spans="2:12" s="39" customFormat="1" x14ac:dyDescent="0.25">
      <c r="G93" s="40"/>
      <c r="H93" s="40"/>
      <c r="I93" s="40"/>
      <c r="J93" s="40"/>
      <c r="K93" s="40"/>
      <c r="L93" s="42"/>
    </row>
    <row r="94" spans="2:12" s="39" customFormat="1" x14ac:dyDescent="0.25">
      <c r="B94" s="39">
        <f t="shared" si="17"/>
        <v>94</v>
      </c>
      <c r="E94" s="43" t="s">
        <v>328</v>
      </c>
      <c r="F94" s="43"/>
      <c r="G94" s="40">
        <f>B3</f>
        <v>3</v>
      </c>
      <c r="H94" s="40"/>
      <c r="I94" s="40"/>
      <c r="J94" s="40"/>
      <c r="K94" s="40"/>
      <c r="L94" s="42" t="str">
        <f>"&lt;unit"&amp;TEXT(B94,"000")&amp;"&gt; """&amp;E94&amp;""" {d 000, n "&amp;TEXT(G94,"000")&amp;"}"</f>
        <v>&lt;unit094&gt; "----- Конец -----" {d 000, n 003}</v>
      </c>
    </row>
    <row r="95" spans="2:12" s="39" customFormat="1" x14ac:dyDescent="0.25">
      <c r="G95" s="40"/>
      <c r="H95" s="40"/>
      <c r="I95" s="40"/>
      <c r="J95" s="40"/>
      <c r="K95" s="40"/>
      <c r="L95" s="42"/>
    </row>
    <row r="96" spans="2:12" s="39" customFormat="1" x14ac:dyDescent="0.25">
      <c r="G96" s="40"/>
      <c r="H96" s="40"/>
      <c r="I96" s="40"/>
      <c r="J96" s="40"/>
      <c r="K96" s="40"/>
      <c r="L96" s="42" t="str">
        <f>Константы!D2</f>
        <v>&lt;unit921&gt; "Автовокзал" {v "\mp3_knst\av.mp3"}</v>
      </c>
    </row>
    <row r="97" spans="7:12" s="39" customFormat="1" x14ac:dyDescent="0.25">
      <c r="G97" s="40"/>
      <c r="H97" s="40"/>
      <c r="I97" s="40"/>
      <c r="J97" s="40"/>
      <c r="K97" s="40"/>
      <c r="L97" s="42" t="str">
        <f>Константы!D3</f>
        <v>&lt;unit923&gt; "Гостиница" {v "\mp3_knst\gos.mp3"}</v>
      </c>
    </row>
    <row r="98" spans="7:12" s="39" customFormat="1" x14ac:dyDescent="0.25">
      <c r="G98" s="40"/>
      <c r="H98" s="40"/>
      <c r="I98" s="40"/>
      <c r="J98" s="40"/>
      <c r="K98" s="40"/>
      <c r="L98" s="42" t="str">
        <f>Константы!D4</f>
        <v>&lt;unit922&gt; "Дисп. станция" {v "\mp3_knst\ds.mp3"}</v>
      </c>
    </row>
    <row r="99" spans="7:12" s="39" customFormat="1" x14ac:dyDescent="0.25">
      <c r="G99" s="40"/>
      <c r="H99" s="40"/>
      <c r="I99" s="40"/>
      <c r="J99" s="40"/>
      <c r="K99" s="40"/>
      <c r="L99" s="42" t="str">
        <f>Константы!D5</f>
        <v>&lt;unit903&gt; "Канцавая" {v "\mp3_knst\kanc.mp3"}</v>
      </c>
    </row>
    <row r="100" spans="7:12" s="39" customFormat="1" x14ac:dyDescent="0.25">
      <c r="G100" s="40"/>
      <c r="H100" s="40"/>
      <c r="I100" s="40"/>
      <c r="J100" s="40"/>
      <c r="K100" s="40"/>
      <c r="L100" s="42" t="str">
        <f>Константы!D6</f>
        <v>&lt;unit924&gt; "Конечная" {v "\mp3_knst\ko.mp3"}</v>
      </c>
    </row>
    <row r="101" spans="7:12" s="39" customFormat="1" x14ac:dyDescent="0.25">
      <c r="G101" s="40"/>
      <c r="H101" s="40"/>
      <c r="I101" s="40"/>
      <c r="J101" s="40"/>
      <c r="K101" s="40"/>
      <c r="L101" s="42" t="str">
        <f>Константы!D7</f>
        <v>&lt;unit902&gt; "Остановка" {v "\mp3_knst\ost.mp3"}</v>
      </c>
    </row>
    <row r="102" spans="7:12" s="39" customFormat="1" x14ac:dyDescent="0.25">
      <c r="G102" s="40"/>
      <c r="H102" s="40"/>
      <c r="I102" s="40"/>
      <c r="J102" s="40"/>
      <c r="K102" s="40"/>
      <c r="L102" s="42" t="str">
        <f>Константы!D8</f>
        <v>&lt;unit900&gt; "Дв. закр. След. ост." {v "\mp3_knst\ostor.mp3"}</v>
      </c>
    </row>
    <row r="103" spans="7:12" s="39" customFormat="1" x14ac:dyDescent="0.25">
      <c r="G103" s="40"/>
      <c r="H103" s="40"/>
      <c r="I103" s="40"/>
      <c r="J103" s="40"/>
      <c r="K103" s="40"/>
      <c r="L103" s="42" t="str">
        <f>Константы!D9</f>
        <v>&lt;unit925&gt; "Площадь" {v "\mp3_knst\pl.mp3"}</v>
      </c>
    </row>
    <row r="104" spans="7:12" s="39" customFormat="1" x14ac:dyDescent="0.25">
      <c r="G104" s="40"/>
      <c r="H104" s="40"/>
      <c r="I104" s="40"/>
      <c r="J104" s="40"/>
      <c r="K104" s="40"/>
      <c r="L104" s="42" t="str">
        <f>Константы!D10</f>
        <v>&lt;unit926&gt; "Проспект" {v "\mp3_knst\pr.mp3"}</v>
      </c>
    </row>
    <row r="105" spans="7:12" s="39" customFormat="1" x14ac:dyDescent="0.25">
      <c r="G105" s="40"/>
      <c r="H105" s="40"/>
      <c r="I105" s="40"/>
      <c r="J105" s="40"/>
      <c r="K105" s="40"/>
      <c r="L105" s="42" t="str">
        <f>Константы!D11</f>
        <v>&lt;unit927&gt; "Станция метро" {v "\mp3_knst\sm.mp3"}</v>
      </c>
    </row>
    <row r="106" spans="7:12" s="39" customFormat="1" x14ac:dyDescent="0.25">
      <c r="G106" s="40"/>
      <c r="H106" s="40"/>
      <c r="I106" s="40"/>
      <c r="J106" s="40"/>
      <c r="K106" s="40"/>
      <c r="L106" s="42" t="str">
        <f>Константы!D12</f>
        <v>&lt;unit928&gt; "Улица" {v "\mp3_knst\ul.mp3"}</v>
      </c>
    </row>
    <row r="108" spans="7:12" x14ac:dyDescent="0.25">
      <c r="L108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E54:E92 E8:E50">
      <formula1>Zag_Ost</formula1>
    </dataValidation>
    <dataValidation type="list" allowBlank="1" showInputMessage="1" showErrorMessage="1" sqref="C54:C92 F54:F92 C8:C50 F8:F50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2"/>
  <dimension ref="A1:L68"/>
  <sheetViews>
    <sheetView workbookViewId="0">
      <pane ySplit="2" topLeftCell="A42" activePane="bottomLeft" state="frozen"/>
      <selection activeCell="B1" sqref="B1"/>
      <selection pane="bottomLeft" activeCell="G31" sqref="G31:G51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5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3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"3 Автостанция-Новогрядск." {i 0, t 002, l 003 003, d 000}</v>
      </c>
    </row>
    <row r="3" spans="1:12" s="39" customFormat="1" x14ac:dyDescent="0.25">
      <c r="A3" s="39" t="str">
        <f ca="1">INDIRECT(ADDRESS($B$1,2,4,1,"route"))</f>
        <v>3 Автостанция-Новогрядск.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003</v>
      </c>
      <c r="B4" s="39">
        <f>ROW(B4)</f>
        <v>4</v>
      </c>
      <c r="E4" s="39" t="s">
        <v>323</v>
      </c>
      <c r="G4" s="40">
        <f>B30</f>
        <v>30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030}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177</v>
      </c>
      <c r="G8" s="45">
        <f t="shared" ref="G8:G25" si="0">B9</f>
        <v>9</v>
      </c>
      <c r="H8" s="40" t="str">
        <f t="shared" ref="H8:H26" si="1">IFERROR("p "&amp;VLOOKUP(E8,Tablo_Tab,2,FALSE),"")</f>
        <v>p 002</v>
      </c>
      <c r="I8" s="45" t="str">
        <f t="shared" ref="I8:I26" si="2">IFERROR("c "&amp;VLOOKUP(C8,Punkti,2,FALSE),"")</f>
        <v>c 902</v>
      </c>
      <c r="J8" s="46" t="str">
        <f t="shared" ref="J8:J26" si="3">IFERROR(VLOOKUP(E8,Ostanovki,7,FALSE),"")</f>
        <v>v "\mp3_ost\avtostan.mp3"</v>
      </c>
      <c r="K8" s="40" t="str">
        <f t="shared" ref="K8:K26" si="4">IFERROR("c "&amp;VLOOKUP(F8,Punkti,2,FALSE),"")</f>
        <v/>
      </c>
      <c r="L8" s="42" t="str">
        <f t="shared" ref="L8:L26" si="5">"&lt;unit"&amp;TEXT(B8,"000")&amp;"&gt; """&amp;СцепитьМного(D8:E8,"")&amp;""" {e, "&amp;СцепитьМного(H8:K8,", ")&amp;", d 000, n "&amp;TEXT(G8,"000")&amp;"}"</f>
        <v>&lt;unit008&gt; "Автостанция" {e, p 002, c 902, v "\mp3_ost\avtostan.mp3", d 000, n 009}</v>
      </c>
    </row>
    <row r="9" spans="1:12" x14ac:dyDescent="0.25">
      <c r="B9" s="44">
        <f t="shared" ref="B9:B26" si="6">ROW(B9)</f>
        <v>9</v>
      </c>
      <c r="C9" s="44" t="s">
        <v>329</v>
      </c>
      <c r="D9" s="39" t="str">
        <f>IF(I9="c 900","&gt;&gt;","")</f>
        <v>&gt;&gt;</v>
      </c>
      <c r="E9" s="44" t="s">
        <v>240</v>
      </c>
      <c r="F9" s="44" t="s">
        <v>381</v>
      </c>
      <c r="G9" s="45">
        <f t="shared" si="0"/>
        <v>10</v>
      </c>
      <c r="H9" s="40" t="str">
        <f t="shared" si="1"/>
        <v>p 034</v>
      </c>
      <c r="I9" s="45" t="str">
        <f t="shared" si="2"/>
        <v>c 900</v>
      </c>
      <c r="J9" s="46" t="str">
        <f t="shared" si="3"/>
        <v>v "\mp3_ost\sberbank.mp3"</v>
      </c>
      <c r="K9" s="40" t="str">
        <f t="shared" si="4"/>
        <v>c 930</v>
      </c>
      <c r="L9" s="42" t="str">
        <f t="shared" si="5"/>
        <v>&lt;unit009&gt; "&gt;&gt;Сбербанк" {e, p 034, c 900, v "\mp3_ost\sberbank.mp3", c 930, d 000, n 010}</v>
      </c>
    </row>
    <row r="10" spans="1:12" x14ac:dyDescent="0.25">
      <c r="B10" s="44">
        <f t="shared" si="6"/>
        <v>10</v>
      </c>
      <c r="C10" s="44" t="s">
        <v>79</v>
      </c>
      <c r="D10" s="39" t="str">
        <f t="shared" ref="D10:D12" si="7">IF(I10="c 900","&gt;&gt;","")</f>
        <v/>
      </c>
      <c r="E10" s="44" t="s">
        <v>240</v>
      </c>
      <c r="G10" s="45">
        <f t="shared" si="0"/>
        <v>11</v>
      </c>
      <c r="H10" s="40" t="str">
        <f t="shared" si="1"/>
        <v>p 034</v>
      </c>
      <c r="I10" s="45" t="str">
        <f t="shared" si="2"/>
        <v>c 902</v>
      </c>
      <c r="J10" s="46" t="str">
        <f t="shared" si="3"/>
        <v>v "\mp3_ost\sberbank.mp3"</v>
      </c>
      <c r="K10" s="40" t="str">
        <f t="shared" si="4"/>
        <v/>
      </c>
      <c r="L10" s="42" t="str">
        <f t="shared" si="5"/>
        <v>&lt;unit010&gt; "Сбербанк" {e, p 034, c 902, v "\mp3_ost\sberbank.mp3", d 000, n 011}</v>
      </c>
    </row>
    <row r="11" spans="1:12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E11" s="44" t="s">
        <v>251</v>
      </c>
      <c r="F11" s="44" t="s">
        <v>381</v>
      </c>
      <c r="G11" s="45">
        <f t="shared" si="0"/>
        <v>12</v>
      </c>
      <c r="H11" s="40" t="str">
        <f t="shared" ref="H11:H13" si="8">IFERROR("p "&amp;VLOOKUP(E11,Tablo_Tab,2,FALSE),"")</f>
        <v>p 040</v>
      </c>
      <c r="I11" s="45" t="str">
        <f t="shared" ref="I11:I13" si="9">IFERROR("c "&amp;VLOOKUP(C11,Punkti,2,FALSE),"")</f>
        <v>c 900</v>
      </c>
      <c r="J11" s="46" t="str">
        <f t="shared" ref="J11:J13" si="10">IFERROR(VLOOKUP(E11,Ostanovki,7,FALSE),"")</f>
        <v>v "\mp3_ost\tc.mp3"</v>
      </c>
      <c r="K11" s="40" t="str">
        <f t="shared" ref="K11:K13" si="11">IFERROR("c "&amp;VLOOKUP(F11,Punkti,2,FALSE),"")</f>
        <v>c 930</v>
      </c>
      <c r="L11" s="42" t="str">
        <f t="shared" ref="L11:L13" si="12">"&lt;unit"&amp;TEXT(B11,"000")&amp;"&gt; """&amp;СцепитьМного(D11:E11,"")&amp;""" {e, "&amp;СцепитьМного(H11:K11,", ")&amp;", d 000, n "&amp;TEXT(G11,"000")&amp;"}"</f>
        <v>&lt;unit011&gt; "&gt;&gt;Торг.центр" {e, p 040, c 900, v "\mp3_ost\tc.mp3", c 930, d 000, n 012}</v>
      </c>
    </row>
    <row r="12" spans="1:12" x14ac:dyDescent="0.25">
      <c r="B12" s="44">
        <f t="shared" si="6"/>
        <v>12</v>
      </c>
      <c r="C12" s="44" t="s">
        <v>79</v>
      </c>
      <c r="D12" s="39" t="str">
        <f t="shared" si="7"/>
        <v/>
      </c>
      <c r="E12" s="44" t="s">
        <v>251</v>
      </c>
      <c r="G12" s="45">
        <f t="shared" si="0"/>
        <v>13</v>
      </c>
      <c r="H12" s="40" t="str">
        <f t="shared" si="8"/>
        <v>p 040</v>
      </c>
      <c r="I12" s="45" t="str">
        <f t="shared" si="9"/>
        <v>c 902</v>
      </c>
      <c r="J12" s="46" t="str">
        <f t="shared" si="10"/>
        <v>v "\mp3_ost\tc.mp3"</v>
      </c>
      <c r="K12" s="40" t="str">
        <f t="shared" si="11"/>
        <v/>
      </c>
      <c r="L12" s="42" t="str">
        <f t="shared" si="12"/>
        <v>&lt;unit012&gt; "Торг.центр" {e, p 040, c 902, v "\mp3_ost\tc.mp3", d 000, n 013}</v>
      </c>
    </row>
    <row r="13" spans="1:12" x14ac:dyDescent="0.25">
      <c r="B13" s="44">
        <f t="shared" si="6"/>
        <v>13</v>
      </c>
      <c r="C13" s="44" t="s">
        <v>329</v>
      </c>
      <c r="D13" s="39" t="str">
        <f t="shared" ref="D13:D26" si="13">IF(I13="c 900","&gt;&gt;","")</f>
        <v>&gt;&gt;</v>
      </c>
      <c r="E13" s="44" t="s">
        <v>169</v>
      </c>
      <c r="F13" s="44" t="s">
        <v>381</v>
      </c>
      <c r="G13" s="45">
        <f t="shared" si="0"/>
        <v>14</v>
      </c>
      <c r="H13" s="40" t="str">
        <f t="shared" si="8"/>
        <v>p 052</v>
      </c>
      <c r="I13" s="45" t="str">
        <f t="shared" si="9"/>
        <v>c 900</v>
      </c>
      <c r="J13" s="46" t="str">
        <f t="shared" si="10"/>
        <v>c 928, v "\mp3_ost\gagarina.mp3"</v>
      </c>
      <c r="K13" s="40" t="str">
        <f t="shared" si="11"/>
        <v>c 930</v>
      </c>
      <c r="L13" s="42" t="str">
        <f t="shared" si="12"/>
        <v>&lt;unit013&gt; "&gt;&gt;ул.Гагарина" {e, p 052, c 900, c 928, v "\mp3_ost\gagarina.mp3", c 930, d 000, n 014}</v>
      </c>
    </row>
    <row r="14" spans="1:12" x14ac:dyDescent="0.25">
      <c r="B14" s="44">
        <f t="shared" si="6"/>
        <v>14</v>
      </c>
      <c r="C14" s="44" t="s">
        <v>79</v>
      </c>
      <c r="D14" s="39" t="str">
        <f t="shared" si="13"/>
        <v/>
      </c>
      <c r="E14" s="44" t="s">
        <v>169</v>
      </c>
      <c r="G14" s="45">
        <f t="shared" si="0"/>
        <v>15</v>
      </c>
      <c r="H14" s="40" t="str">
        <f t="shared" si="1"/>
        <v>p 052</v>
      </c>
      <c r="I14" s="45" t="str">
        <f t="shared" si="2"/>
        <v>c 902</v>
      </c>
      <c r="J14" s="46" t="str">
        <f t="shared" si="3"/>
        <v>c 928, v "\mp3_ost\gagarina.mp3"</v>
      </c>
      <c r="K14" s="40" t="str">
        <f t="shared" si="4"/>
        <v/>
      </c>
      <c r="L14" s="42" t="str">
        <f t="shared" si="5"/>
        <v>&lt;unit014&gt; "ул.Гагарина" {e, p 052, c 902, c 928, v "\mp3_ost\gagarina.mp3", d 000, n 015}</v>
      </c>
    </row>
    <row r="15" spans="1:12" x14ac:dyDescent="0.25">
      <c r="B15" s="44">
        <f>ROW(B15)</f>
        <v>15</v>
      </c>
      <c r="C15" s="44" t="s">
        <v>329</v>
      </c>
      <c r="D15" s="39" t="str">
        <f t="shared" si="13"/>
        <v>&gt;&gt;</v>
      </c>
      <c r="E15" s="44" t="s">
        <v>170</v>
      </c>
      <c r="F15" s="44" t="s">
        <v>381</v>
      </c>
      <c r="G15" s="45">
        <f t="shared" si="0"/>
        <v>16</v>
      </c>
      <c r="H15" s="40" t="str">
        <f t="shared" si="1"/>
        <v>p 037</v>
      </c>
      <c r="I15" s="45" t="str">
        <f t="shared" si="2"/>
        <v>c 900</v>
      </c>
      <c r="J15" s="46" t="str">
        <f t="shared" si="3"/>
        <v>v "\mp3_ost\5ssh.mp3"</v>
      </c>
      <c r="K15" s="40" t="str">
        <f t="shared" si="4"/>
        <v>c 930</v>
      </c>
      <c r="L15" s="42" t="str">
        <f t="shared" si="5"/>
        <v>&lt;unit015&gt; "&gt;&gt;СШ № 5" {e, p 037, c 900, v "\mp3_ost\5ssh.mp3", c 930, d 000, n 016}</v>
      </c>
    </row>
    <row r="16" spans="1:12" x14ac:dyDescent="0.25">
      <c r="B16" s="44">
        <f t="shared" si="6"/>
        <v>16</v>
      </c>
      <c r="C16" s="44" t="s">
        <v>79</v>
      </c>
      <c r="D16" s="39" t="str">
        <f t="shared" si="13"/>
        <v/>
      </c>
      <c r="E16" s="44" t="s">
        <v>170</v>
      </c>
      <c r="G16" s="45">
        <f t="shared" si="0"/>
        <v>17</v>
      </c>
      <c r="H16" s="40" t="str">
        <f t="shared" si="1"/>
        <v>p 037</v>
      </c>
      <c r="I16" s="45" t="str">
        <f t="shared" si="2"/>
        <v>c 902</v>
      </c>
      <c r="J16" s="46" t="str">
        <f t="shared" si="3"/>
        <v>v "\mp3_ost\5ssh.mp3"</v>
      </c>
      <c r="K16" s="40" t="str">
        <f t="shared" si="4"/>
        <v/>
      </c>
      <c r="L16" s="42" t="str">
        <f t="shared" si="5"/>
        <v>&lt;unit016&gt; "СШ № 5" {e, p 037, c 902, v "\mp3_ost\5ssh.mp3", d 000, n 017}</v>
      </c>
    </row>
    <row r="17" spans="2:12" x14ac:dyDescent="0.25">
      <c r="B17" s="44">
        <f t="shared" si="6"/>
        <v>17</v>
      </c>
      <c r="C17" s="44" t="s">
        <v>329</v>
      </c>
      <c r="D17" s="39" t="str">
        <f t="shared" si="13"/>
        <v>&gt;&gt;</v>
      </c>
      <c r="E17" s="44" t="s">
        <v>351</v>
      </c>
      <c r="F17" s="44" t="s">
        <v>381</v>
      </c>
      <c r="G17" s="45">
        <f t="shared" si="0"/>
        <v>18</v>
      </c>
      <c r="H17" s="40" t="str">
        <f t="shared" si="1"/>
        <v>p 008</v>
      </c>
      <c r="I17" s="45" t="str">
        <f t="shared" si="2"/>
        <v>c 900</v>
      </c>
      <c r="J17" s="46" t="str">
        <f t="shared" si="3"/>
        <v>v "\mp3_ost\gimn1.mp3"</v>
      </c>
      <c r="K17" s="40" t="str">
        <f t="shared" si="4"/>
        <v>c 930</v>
      </c>
      <c r="L17" s="42" t="str">
        <f t="shared" si="5"/>
        <v>&lt;unit017&gt; "&gt;&gt;Гимназия № 1" {e, p 008, c 900, v "\mp3_ost\gimn1.mp3", c 930, d 000, n 018}</v>
      </c>
    </row>
    <row r="18" spans="2:12" x14ac:dyDescent="0.25">
      <c r="B18" s="44">
        <f t="shared" si="6"/>
        <v>18</v>
      </c>
      <c r="C18" s="44" t="s">
        <v>79</v>
      </c>
      <c r="D18" s="39" t="str">
        <f t="shared" si="13"/>
        <v/>
      </c>
      <c r="E18" s="44" t="s">
        <v>351</v>
      </c>
      <c r="G18" s="45">
        <f t="shared" si="0"/>
        <v>19</v>
      </c>
      <c r="H18" s="40" t="str">
        <f t="shared" si="1"/>
        <v>p 008</v>
      </c>
      <c r="I18" s="45" t="str">
        <f t="shared" si="2"/>
        <v>c 902</v>
      </c>
      <c r="J18" s="46" t="str">
        <f t="shared" si="3"/>
        <v>v "\mp3_ost\gimn1.mp3"</v>
      </c>
      <c r="K18" s="40" t="str">
        <f t="shared" si="4"/>
        <v/>
      </c>
      <c r="L18" s="42" t="str">
        <f t="shared" si="5"/>
        <v>&lt;unit018&gt; "Гимназия № 1" {e, p 008, c 902, v "\mp3_ost\gimn1.mp3", d 000, n 019}</v>
      </c>
    </row>
    <row r="19" spans="2:12" x14ac:dyDescent="0.25">
      <c r="B19" s="44">
        <f t="shared" si="6"/>
        <v>19</v>
      </c>
      <c r="C19" s="44" t="s">
        <v>329</v>
      </c>
      <c r="D19" s="39" t="str">
        <f t="shared" si="13"/>
        <v>&gt;&gt;</v>
      </c>
      <c r="E19" s="44" t="s">
        <v>214</v>
      </c>
      <c r="F19" s="44" t="s">
        <v>381</v>
      </c>
      <c r="G19" s="45">
        <f t="shared" si="0"/>
        <v>20</v>
      </c>
      <c r="H19" s="40" t="str">
        <f t="shared" si="1"/>
        <v>p 030</v>
      </c>
      <c r="I19" s="45" t="str">
        <f t="shared" si="2"/>
        <v>c 900</v>
      </c>
      <c r="J19" s="46" t="str">
        <f t="shared" si="3"/>
        <v>v "\mp3_ost\lenina.mp3"</v>
      </c>
      <c r="K19" s="40" t="str">
        <f t="shared" si="4"/>
        <v>c 930</v>
      </c>
      <c r="L19" s="42" t="str">
        <f t="shared" si="5"/>
        <v>&lt;unit019&gt; "&gt;&gt;пр-т Ленина" {e, p 030, c 900, v "\mp3_ost\lenina.mp3", c 930, d 000, n 020}</v>
      </c>
    </row>
    <row r="20" spans="2:12" x14ac:dyDescent="0.25">
      <c r="B20" s="44">
        <f t="shared" si="6"/>
        <v>20</v>
      </c>
      <c r="C20" s="44" t="s">
        <v>79</v>
      </c>
      <c r="D20" s="39" t="str">
        <f t="shared" si="13"/>
        <v/>
      </c>
      <c r="E20" s="44" t="s">
        <v>214</v>
      </c>
      <c r="G20" s="45">
        <f t="shared" si="0"/>
        <v>21</v>
      </c>
      <c r="H20" s="40" t="str">
        <f t="shared" si="1"/>
        <v>p 030</v>
      </c>
      <c r="I20" s="45" t="str">
        <f t="shared" si="2"/>
        <v>c 902</v>
      </c>
      <c r="J20" s="46" t="str">
        <f t="shared" si="3"/>
        <v>v "\mp3_ost\lenina.mp3"</v>
      </c>
      <c r="K20" s="40" t="str">
        <f t="shared" si="4"/>
        <v/>
      </c>
      <c r="L20" s="42" t="str">
        <f t="shared" si="5"/>
        <v>&lt;unit020&gt; "пр-т Ленина" {e, p 030, c 902, v "\mp3_ost\lenina.mp3", d 000, n 021}</v>
      </c>
    </row>
    <row r="21" spans="2:12" x14ac:dyDescent="0.25">
      <c r="B21" s="44">
        <f t="shared" si="6"/>
        <v>21</v>
      </c>
      <c r="C21" s="44" t="s">
        <v>329</v>
      </c>
      <c r="D21" s="39" t="str">
        <f t="shared" si="13"/>
        <v>&gt;&gt;</v>
      </c>
      <c r="E21" s="44" t="s">
        <v>173</v>
      </c>
      <c r="F21" s="44" t="s">
        <v>381</v>
      </c>
      <c r="G21" s="45">
        <f t="shared" si="0"/>
        <v>22</v>
      </c>
      <c r="H21" s="40" t="str">
        <f t="shared" si="1"/>
        <v>p 001</v>
      </c>
      <c r="I21" s="45" t="str">
        <f t="shared" si="2"/>
        <v>c 900</v>
      </c>
      <c r="J21" s="46" t="str">
        <f t="shared" si="3"/>
        <v>v "\mp3_ost\8mikra.mp3"</v>
      </c>
      <c r="K21" s="40" t="str">
        <f t="shared" si="4"/>
        <v>c 930</v>
      </c>
      <c r="L21" s="42" t="str">
        <f t="shared" si="5"/>
        <v>&lt;unit021&gt; "&gt;&gt;8 микрорайон" {e, p 001, c 900, v "\mp3_ost\8mikra.mp3", c 930, d 000, n 022}</v>
      </c>
    </row>
    <row r="22" spans="2:12" x14ac:dyDescent="0.25">
      <c r="B22" s="44">
        <f t="shared" si="6"/>
        <v>22</v>
      </c>
      <c r="C22" s="44" t="s">
        <v>79</v>
      </c>
      <c r="D22" s="39" t="str">
        <f t="shared" si="13"/>
        <v/>
      </c>
      <c r="E22" s="44" t="s">
        <v>173</v>
      </c>
      <c r="G22" s="45">
        <f t="shared" si="0"/>
        <v>23</v>
      </c>
      <c r="H22" s="40" t="str">
        <f t="shared" si="1"/>
        <v>p 001</v>
      </c>
      <c r="I22" s="45" t="str">
        <f t="shared" si="2"/>
        <v>c 902</v>
      </c>
      <c r="J22" s="46" t="str">
        <f t="shared" si="3"/>
        <v>v "\mp3_ost\8mikra.mp3"</v>
      </c>
      <c r="K22" s="40" t="str">
        <f t="shared" si="4"/>
        <v/>
      </c>
      <c r="L22" s="42" t="str">
        <f t="shared" si="5"/>
        <v>&lt;unit022&gt; "8 микрорайон" {e, p 001, c 902, v "\mp3_ost\8mikra.mp3", d 000, n 023}</v>
      </c>
    </row>
    <row r="23" spans="2:12" x14ac:dyDescent="0.25">
      <c r="B23" s="44">
        <f t="shared" si="6"/>
        <v>23</v>
      </c>
      <c r="C23" s="44" t="s">
        <v>329</v>
      </c>
      <c r="D23" s="39" t="str">
        <f t="shared" si="13"/>
        <v>&gt;&gt;</v>
      </c>
      <c r="E23" s="44" t="s">
        <v>353</v>
      </c>
      <c r="F23" s="44" t="s">
        <v>381</v>
      </c>
      <c r="G23" s="45">
        <f t="shared" si="0"/>
        <v>24</v>
      </c>
      <c r="H23" s="40" t="str">
        <f t="shared" si="1"/>
        <v>p 025</v>
      </c>
      <c r="I23" s="45" t="str">
        <f t="shared" si="2"/>
        <v>c 900</v>
      </c>
      <c r="J23" s="46" t="str">
        <f t="shared" si="3"/>
        <v>v "\mp3_ost\zara.mp3"</v>
      </c>
      <c r="K23" s="40" t="str">
        <f t="shared" si="4"/>
        <v>c 930</v>
      </c>
      <c r="L23" s="42" t="str">
        <f t="shared" si="5"/>
        <v>&lt;unit023&gt; "&gt;&gt;пов. с/т Заря" {e, p 025, c 900, v "\mp3_ost\zara.mp3", c 930, d 000, n 024}</v>
      </c>
    </row>
    <row r="24" spans="2:12" x14ac:dyDescent="0.25">
      <c r="B24" s="44">
        <f t="shared" si="6"/>
        <v>24</v>
      </c>
      <c r="C24" s="44" t="s">
        <v>79</v>
      </c>
      <c r="D24" s="39" t="str">
        <f t="shared" si="13"/>
        <v/>
      </c>
      <c r="E24" s="44" t="s">
        <v>353</v>
      </c>
      <c r="G24" s="45">
        <f t="shared" si="0"/>
        <v>25</v>
      </c>
      <c r="H24" s="40" t="str">
        <f t="shared" si="1"/>
        <v>p 025</v>
      </c>
      <c r="I24" s="45" t="str">
        <f t="shared" si="2"/>
        <v>c 902</v>
      </c>
      <c r="J24" s="46" t="str">
        <f t="shared" si="3"/>
        <v>v "\mp3_ost\zara.mp3"</v>
      </c>
      <c r="K24" s="40" t="str">
        <f t="shared" si="4"/>
        <v/>
      </c>
      <c r="L24" s="42" t="str">
        <f t="shared" si="5"/>
        <v>&lt;unit024&gt; "пов. с/т Заря" {e, p 025, c 902, v "\mp3_ost\zara.mp3", d 000, n 025}</v>
      </c>
    </row>
    <row r="25" spans="2:12" x14ac:dyDescent="0.25">
      <c r="B25" s="44">
        <f t="shared" si="6"/>
        <v>25</v>
      </c>
      <c r="C25" s="44" t="s">
        <v>329</v>
      </c>
      <c r="D25" s="39" t="str">
        <f t="shared" si="13"/>
        <v>&gt;&gt;</v>
      </c>
      <c r="E25" s="44" t="s">
        <v>352</v>
      </c>
      <c r="F25" s="44" t="s">
        <v>381</v>
      </c>
      <c r="G25" s="45">
        <f t="shared" si="0"/>
        <v>26</v>
      </c>
      <c r="H25" s="40" t="str">
        <f t="shared" si="1"/>
        <v>p 066</v>
      </c>
      <c r="I25" s="45" t="str">
        <f t="shared" si="2"/>
        <v>c 900</v>
      </c>
      <c r="J25" s="46" t="str">
        <f t="shared" si="3"/>
        <v>c 928, v "\mp3_ost\novogr.mp3"</v>
      </c>
      <c r="K25" s="40" t="str">
        <f t="shared" si="4"/>
        <v>c 930</v>
      </c>
      <c r="L25" s="42" t="str">
        <f t="shared" si="5"/>
        <v>&lt;unit025&gt; "&gt;&gt;ул.Новогрядская" {e, p 066, c 900, c 928, v "\mp3_ost\novogr.mp3", c 930, d 000, n 026}</v>
      </c>
    </row>
    <row r="26" spans="2:12" x14ac:dyDescent="0.25">
      <c r="B26" s="44">
        <f t="shared" si="6"/>
        <v>26</v>
      </c>
      <c r="C26" s="44" t="s">
        <v>79</v>
      </c>
      <c r="D26" s="39" t="str">
        <f t="shared" si="13"/>
        <v/>
      </c>
      <c r="E26" s="44" t="s">
        <v>352</v>
      </c>
      <c r="F26" s="44" t="s">
        <v>331</v>
      </c>
      <c r="G26" s="45">
        <f>B28</f>
        <v>28</v>
      </c>
      <c r="H26" s="40" t="str">
        <f t="shared" si="1"/>
        <v>p 066</v>
      </c>
      <c r="I26" s="45" t="str">
        <f t="shared" si="2"/>
        <v>c 902</v>
      </c>
      <c r="J26" s="46" t="str">
        <f t="shared" si="3"/>
        <v>c 928, v "\mp3_ost\novogr.mp3"</v>
      </c>
      <c r="K26" s="40" t="str">
        <f t="shared" si="4"/>
        <v>c 903</v>
      </c>
      <c r="L26" s="42" t="str">
        <f t="shared" si="5"/>
        <v>&lt;unit026&gt; "ул.Новогрядская" {e, p 066, c 902, c 928, v "\mp3_ost\novogr.mp3", c 903, d 000, n 028}</v>
      </c>
    </row>
    <row r="27" spans="2:12" s="39" customFormat="1" x14ac:dyDescent="0.25">
      <c r="G27" s="40"/>
      <c r="H27" s="40"/>
      <c r="I27" s="40"/>
      <c r="J27" s="40"/>
      <c r="K27" s="40"/>
      <c r="L27" s="42"/>
    </row>
    <row r="28" spans="2:12" s="39" customFormat="1" x14ac:dyDescent="0.25">
      <c r="B28" s="39">
        <f t="shared" ref="B28:B54" si="14">ROW(B28)</f>
        <v>28</v>
      </c>
      <c r="E28" s="43" t="s">
        <v>327</v>
      </c>
      <c r="F28" s="43"/>
      <c r="G28" s="40">
        <f>B30</f>
        <v>30</v>
      </c>
      <c r="H28" s="40"/>
      <c r="I28" s="40"/>
      <c r="J28" s="40"/>
      <c r="K28" s="40"/>
      <c r="L28" s="42" t="str">
        <f>"&lt;unit"&amp;TEXT(B28,"000")&amp;"&gt; """&amp;E28&amp;""" {d 000, n "&amp;TEXT(G28,"000")&amp;"}"</f>
        <v>&lt;unit028&gt; "----- Обратный -----" {d 000, n 030}</v>
      </c>
    </row>
    <row r="29" spans="2:12" s="39" customFormat="1" x14ac:dyDescent="0.25">
      <c r="G29" s="40"/>
      <c r="H29" s="40"/>
      <c r="I29" s="40"/>
      <c r="J29" s="40"/>
      <c r="K29" s="40"/>
      <c r="L29" s="42"/>
    </row>
    <row r="30" spans="2:12" x14ac:dyDescent="0.25">
      <c r="B30" s="44">
        <f t="shared" si="14"/>
        <v>30</v>
      </c>
      <c r="C30" s="44" t="s">
        <v>79</v>
      </c>
      <c r="D30" s="39" t="str">
        <f t="shared" ref="D30:D52" si="15">IF(I30="c 900","&gt;&gt;","")</f>
        <v/>
      </c>
      <c r="E30" s="44" t="s">
        <v>352</v>
      </c>
      <c r="G30" s="45">
        <f t="shared" ref="G30:G51" si="16">B31</f>
        <v>31</v>
      </c>
      <c r="H30" s="40" t="str">
        <f t="shared" ref="H30:H52" si="17">IFERROR("p "&amp;VLOOKUP(E30,Tablo_Tab,2,FALSE),"")</f>
        <v>p 066</v>
      </c>
      <c r="I30" s="45" t="str">
        <f t="shared" ref="I30:I52" si="18">IFERROR("c "&amp;VLOOKUP(C30,Punkti,2,FALSE),"")</f>
        <v>c 902</v>
      </c>
      <c r="J30" s="46" t="str">
        <f t="shared" ref="J30:J52" si="19">IFERROR(VLOOKUP(E30,Ostanovki,7,FALSE),"")</f>
        <v>c 928, v "\mp3_ost\novogr.mp3"</v>
      </c>
      <c r="K30" s="40" t="str">
        <f t="shared" ref="K30:K52" si="20">IFERROR("c "&amp;VLOOKUP(F30,Punkti,2,FALSE),"")</f>
        <v/>
      </c>
      <c r="L30" s="42" t="str">
        <f t="shared" ref="L30:L52" si="21">"&lt;unit"&amp;TEXT(B30,"000")&amp;"&gt; """&amp;СцепитьМного(D30:E30,"")&amp;""" {"&amp;СцепитьМного(H30:K30,", ")&amp;", d 000, n "&amp;TEXT(G30,"000")&amp;"}"</f>
        <v>&lt;unit030&gt; "ул.Новогрядская" {p 066, c 902, c 928, v "\mp3_ost\novogr.mp3", d 000, n 031}</v>
      </c>
    </row>
    <row r="31" spans="2:12" x14ac:dyDescent="0.25">
      <c r="B31" s="44">
        <f t="shared" si="14"/>
        <v>31</v>
      </c>
      <c r="C31" s="44" t="s">
        <v>329</v>
      </c>
      <c r="D31" s="39" t="str">
        <f t="shared" si="15"/>
        <v>&gt;&gt;</v>
      </c>
      <c r="E31" s="44" t="s">
        <v>357</v>
      </c>
      <c r="F31" s="44" t="s">
        <v>381</v>
      </c>
      <c r="G31" s="45">
        <f t="shared" si="16"/>
        <v>32</v>
      </c>
      <c r="H31" s="40" t="str">
        <f t="shared" si="17"/>
        <v>p 075</v>
      </c>
      <c r="I31" s="45" t="str">
        <f t="shared" si="18"/>
        <v>c 900</v>
      </c>
      <c r="J31" s="46" t="str">
        <f t="shared" si="19"/>
        <v>c 928, v "\mp3_ost\sosnov.mp3"</v>
      </c>
      <c r="K31" s="40" t="str">
        <f t="shared" si="20"/>
        <v>c 930</v>
      </c>
      <c r="L31" s="42" t="str">
        <f t="shared" si="21"/>
        <v>&lt;unit031&gt; "&gt;&gt;ул.Сосновая" {p 075, c 900, c 928, v "\mp3_ost\sosnov.mp3", c 930, d 000, n 032}</v>
      </c>
    </row>
    <row r="32" spans="2:12" x14ac:dyDescent="0.25">
      <c r="B32" s="44">
        <f t="shared" si="14"/>
        <v>32</v>
      </c>
      <c r="C32" s="44" t="s">
        <v>79</v>
      </c>
      <c r="D32" s="39" t="str">
        <f t="shared" si="15"/>
        <v/>
      </c>
      <c r="E32" s="44" t="s">
        <v>357</v>
      </c>
      <c r="G32" s="45">
        <f t="shared" si="16"/>
        <v>33</v>
      </c>
      <c r="H32" s="40" t="str">
        <f t="shared" si="17"/>
        <v>p 075</v>
      </c>
      <c r="I32" s="45" t="str">
        <f t="shared" si="18"/>
        <v>c 902</v>
      </c>
      <c r="J32" s="46" t="str">
        <f t="shared" si="19"/>
        <v>c 928, v "\mp3_ost\sosnov.mp3"</v>
      </c>
      <c r="K32" s="40" t="str">
        <f t="shared" si="20"/>
        <v/>
      </c>
      <c r="L32" s="42" t="str">
        <f t="shared" si="21"/>
        <v>&lt;unit032&gt; "ул.Сосновая" {p 075, c 902, c 928, v "\mp3_ost\sosnov.mp3", d 000, n 033}</v>
      </c>
    </row>
    <row r="33" spans="2:12" x14ac:dyDescent="0.25">
      <c r="B33" s="44">
        <f t="shared" si="14"/>
        <v>33</v>
      </c>
      <c r="C33" s="44" t="s">
        <v>329</v>
      </c>
      <c r="D33" s="39" t="str">
        <f t="shared" si="15"/>
        <v>&gt;&gt;</v>
      </c>
      <c r="E33" s="44" t="s">
        <v>358</v>
      </c>
      <c r="F33" s="44" t="s">
        <v>381</v>
      </c>
      <c r="G33" s="45">
        <f t="shared" si="16"/>
        <v>34</v>
      </c>
      <c r="H33" s="40" t="str">
        <f t="shared" si="17"/>
        <v>p 024</v>
      </c>
      <c r="I33" s="45" t="str">
        <f t="shared" si="18"/>
        <v>c 900</v>
      </c>
      <c r="J33" s="46" t="str">
        <f t="shared" si="19"/>
        <v>v "\mp3_ost\nov-gr.mp3"</v>
      </c>
      <c r="K33" s="40" t="str">
        <f t="shared" si="20"/>
        <v>c 930</v>
      </c>
      <c r="L33" s="42" t="str">
        <f t="shared" si="21"/>
        <v>&lt;unit033&gt; "&gt;&gt;пов. Нов. Грядки" {p 024, c 900, v "\mp3_ost\nov-gr.mp3", c 930, d 000, n 034}</v>
      </c>
    </row>
    <row r="34" spans="2:12" x14ac:dyDescent="0.25">
      <c r="B34" s="44">
        <f t="shared" si="14"/>
        <v>34</v>
      </c>
      <c r="C34" s="44" t="s">
        <v>79</v>
      </c>
      <c r="D34" s="39" t="str">
        <f t="shared" si="15"/>
        <v/>
      </c>
      <c r="E34" s="44" t="s">
        <v>358</v>
      </c>
      <c r="G34" s="45">
        <f t="shared" si="16"/>
        <v>35</v>
      </c>
      <c r="H34" s="40" t="str">
        <f t="shared" si="17"/>
        <v>p 024</v>
      </c>
      <c r="I34" s="45" t="str">
        <f t="shared" si="18"/>
        <v>c 902</v>
      </c>
      <c r="J34" s="46" t="str">
        <f t="shared" si="19"/>
        <v>v "\mp3_ost\nov-gr.mp3"</v>
      </c>
      <c r="K34" s="40" t="str">
        <f t="shared" si="20"/>
        <v/>
      </c>
      <c r="L34" s="42" t="str">
        <f t="shared" si="21"/>
        <v>&lt;unit034&gt; "пов. Нов. Грядки" {p 024, c 902, v "\mp3_ost\nov-gr.mp3", d 000, n 035}</v>
      </c>
    </row>
    <row r="35" spans="2:12" x14ac:dyDescent="0.25">
      <c r="B35" s="44">
        <f t="shared" si="14"/>
        <v>35</v>
      </c>
      <c r="C35" s="44" t="s">
        <v>329</v>
      </c>
      <c r="D35" s="39" t="str">
        <f t="shared" si="15"/>
        <v>&gt;&gt;</v>
      </c>
      <c r="E35" s="44" t="s">
        <v>353</v>
      </c>
      <c r="F35" s="44" t="s">
        <v>381</v>
      </c>
      <c r="G35" s="45">
        <f t="shared" si="16"/>
        <v>36</v>
      </c>
      <c r="H35" s="40" t="str">
        <f t="shared" si="17"/>
        <v>p 025</v>
      </c>
      <c r="I35" s="45" t="str">
        <f t="shared" si="18"/>
        <v>c 900</v>
      </c>
      <c r="J35" s="46" t="str">
        <f t="shared" si="19"/>
        <v>v "\mp3_ost\zara.mp3"</v>
      </c>
      <c r="K35" s="40" t="str">
        <f t="shared" si="20"/>
        <v>c 930</v>
      </c>
      <c r="L35" s="42" t="str">
        <f t="shared" si="21"/>
        <v>&lt;unit035&gt; "&gt;&gt;пов. с/т Заря" {p 025, c 900, v "\mp3_ost\zara.mp3", c 930, d 000, n 036}</v>
      </c>
    </row>
    <row r="36" spans="2:12" x14ac:dyDescent="0.25">
      <c r="B36" s="44">
        <f t="shared" si="14"/>
        <v>36</v>
      </c>
      <c r="C36" s="44" t="s">
        <v>79</v>
      </c>
      <c r="D36" s="39" t="str">
        <f t="shared" si="15"/>
        <v/>
      </c>
      <c r="E36" s="44" t="s">
        <v>353</v>
      </c>
      <c r="G36" s="45">
        <f t="shared" si="16"/>
        <v>37</v>
      </c>
      <c r="H36" s="40" t="str">
        <f t="shared" si="17"/>
        <v>p 025</v>
      </c>
      <c r="I36" s="45" t="str">
        <f t="shared" si="18"/>
        <v>c 902</v>
      </c>
      <c r="J36" s="46" t="str">
        <f t="shared" si="19"/>
        <v>v "\mp3_ost\zara.mp3"</v>
      </c>
      <c r="K36" s="40" t="str">
        <f t="shared" si="20"/>
        <v/>
      </c>
      <c r="L36" s="42" t="str">
        <f t="shared" si="21"/>
        <v>&lt;unit036&gt; "пов. с/т Заря" {p 025, c 902, v "\mp3_ost\zara.mp3", d 000, n 037}</v>
      </c>
    </row>
    <row r="37" spans="2:12" x14ac:dyDescent="0.25">
      <c r="B37" s="44">
        <f t="shared" si="14"/>
        <v>37</v>
      </c>
      <c r="C37" s="44" t="s">
        <v>329</v>
      </c>
      <c r="D37" s="39" t="str">
        <f t="shared" si="15"/>
        <v>&gt;&gt;</v>
      </c>
      <c r="E37" s="44" t="s">
        <v>345</v>
      </c>
      <c r="F37" s="44" t="s">
        <v>381</v>
      </c>
      <c r="G37" s="45">
        <f t="shared" si="16"/>
        <v>38</v>
      </c>
      <c r="H37" s="40" t="str">
        <f t="shared" si="17"/>
        <v>p 062</v>
      </c>
      <c r="I37" s="45" t="str">
        <f t="shared" si="18"/>
        <v>c 900</v>
      </c>
      <c r="J37" s="46" t="str">
        <f t="shared" si="19"/>
        <v>c 928, v "\mp3_ost\log23.mp3"</v>
      </c>
      <c r="K37" s="40" t="str">
        <f t="shared" si="20"/>
        <v>c 930</v>
      </c>
      <c r="L37" s="42" t="str">
        <f t="shared" si="21"/>
        <v>&lt;unit037&gt; "&gt;&gt;ул.Логойская,23" {p 062, c 900, c 928, v "\mp3_ost\log23.mp3", c 930, d 000, n 038}</v>
      </c>
    </row>
    <row r="38" spans="2:12" x14ac:dyDescent="0.25">
      <c r="B38" s="44">
        <f t="shared" si="14"/>
        <v>38</v>
      </c>
      <c r="C38" s="44" t="s">
        <v>79</v>
      </c>
      <c r="D38" s="39" t="str">
        <f t="shared" si="15"/>
        <v/>
      </c>
      <c r="E38" s="44" t="s">
        <v>345</v>
      </c>
      <c r="G38" s="45">
        <f t="shared" si="16"/>
        <v>39</v>
      </c>
      <c r="H38" s="40" t="str">
        <f t="shared" si="17"/>
        <v>p 062</v>
      </c>
      <c r="I38" s="45" t="str">
        <f t="shared" si="18"/>
        <v>c 902</v>
      </c>
      <c r="J38" s="46" t="str">
        <f t="shared" si="19"/>
        <v>c 928, v "\mp3_ost\log23.mp3"</v>
      </c>
      <c r="K38" s="40" t="str">
        <f t="shared" si="20"/>
        <v/>
      </c>
      <c r="L38" s="42" t="str">
        <f t="shared" si="21"/>
        <v>&lt;unit038&gt; "ул.Логойская,23" {p 062, c 902, c 928, v "\mp3_ost\log23.mp3", d 000, n 039}</v>
      </c>
    </row>
    <row r="39" spans="2:12" x14ac:dyDescent="0.25">
      <c r="B39" s="44">
        <f t="shared" si="14"/>
        <v>39</v>
      </c>
      <c r="C39" s="44" t="s">
        <v>329</v>
      </c>
      <c r="D39" s="39" t="str">
        <f t="shared" si="15"/>
        <v>&gt;&gt;</v>
      </c>
      <c r="E39" s="44" t="s">
        <v>173</v>
      </c>
      <c r="F39" s="44" t="s">
        <v>381</v>
      </c>
      <c r="G39" s="45">
        <f t="shared" si="16"/>
        <v>40</v>
      </c>
      <c r="H39" s="40" t="str">
        <f t="shared" si="17"/>
        <v>p 001</v>
      </c>
      <c r="I39" s="45" t="str">
        <f t="shared" si="18"/>
        <v>c 900</v>
      </c>
      <c r="J39" s="46" t="str">
        <f t="shared" si="19"/>
        <v>v "\mp3_ost\8mikra.mp3"</v>
      </c>
      <c r="K39" s="40" t="str">
        <f t="shared" si="20"/>
        <v>c 930</v>
      </c>
      <c r="L39" s="42" t="str">
        <f t="shared" si="21"/>
        <v>&lt;unit039&gt; "&gt;&gt;8 микрорайон" {p 001, c 900, v "\mp3_ost\8mikra.mp3", c 930, d 000, n 040}</v>
      </c>
    </row>
    <row r="40" spans="2:12" x14ac:dyDescent="0.25">
      <c r="B40" s="44">
        <f t="shared" si="14"/>
        <v>40</v>
      </c>
      <c r="C40" s="44" t="s">
        <v>79</v>
      </c>
      <c r="D40" s="39" t="str">
        <f t="shared" si="15"/>
        <v/>
      </c>
      <c r="E40" s="44" t="s">
        <v>173</v>
      </c>
      <c r="G40" s="45">
        <f t="shared" si="16"/>
        <v>41</v>
      </c>
      <c r="H40" s="40" t="str">
        <f t="shared" si="17"/>
        <v>p 001</v>
      </c>
      <c r="I40" s="45" t="str">
        <f t="shared" si="18"/>
        <v>c 902</v>
      </c>
      <c r="J40" s="46" t="str">
        <f t="shared" si="19"/>
        <v>v "\mp3_ost\8mikra.mp3"</v>
      </c>
      <c r="K40" s="40" t="str">
        <f t="shared" si="20"/>
        <v/>
      </c>
      <c r="L40" s="42" t="str">
        <f t="shared" si="21"/>
        <v>&lt;unit040&gt; "8 микрорайон" {p 001, c 902, v "\mp3_ost\8mikra.mp3", d 000, n 041}</v>
      </c>
    </row>
    <row r="41" spans="2:12" x14ac:dyDescent="0.25">
      <c r="B41" s="44">
        <f t="shared" si="14"/>
        <v>41</v>
      </c>
      <c r="C41" s="44" t="s">
        <v>329</v>
      </c>
      <c r="D41" s="39" t="str">
        <f t="shared" si="15"/>
        <v>&gt;&gt;</v>
      </c>
      <c r="E41" s="44" t="s">
        <v>214</v>
      </c>
      <c r="F41" s="44" t="s">
        <v>381</v>
      </c>
      <c r="G41" s="45">
        <f t="shared" si="16"/>
        <v>42</v>
      </c>
      <c r="H41" s="40" t="str">
        <f t="shared" si="17"/>
        <v>p 030</v>
      </c>
      <c r="I41" s="45" t="str">
        <f t="shared" si="18"/>
        <v>c 900</v>
      </c>
      <c r="J41" s="46" t="str">
        <f t="shared" si="19"/>
        <v>v "\mp3_ost\lenina.mp3"</v>
      </c>
      <c r="K41" s="40" t="str">
        <f t="shared" si="20"/>
        <v>c 930</v>
      </c>
      <c r="L41" s="42" t="str">
        <f t="shared" si="21"/>
        <v>&lt;unit041&gt; "&gt;&gt;пр-т Ленина" {p 030, c 900, v "\mp3_ost\lenina.mp3", c 930, d 000, n 042}</v>
      </c>
    </row>
    <row r="42" spans="2:12" x14ac:dyDescent="0.25">
      <c r="B42" s="44">
        <f t="shared" si="14"/>
        <v>42</v>
      </c>
      <c r="C42" s="44" t="s">
        <v>79</v>
      </c>
      <c r="D42" s="39" t="str">
        <f t="shared" si="15"/>
        <v/>
      </c>
      <c r="E42" s="44" t="s">
        <v>214</v>
      </c>
      <c r="G42" s="45">
        <f t="shared" si="16"/>
        <v>43</v>
      </c>
      <c r="H42" s="40" t="str">
        <f t="shared" si="17"/>
        <v>p 030</v>
      </c>
      <c r="I42" s="45" t="str">
        <f t="shared" si="18"/>
        <v>c 902</v>
      </c>
      <c r="J42" s="46" t="str">
        <f t="shared" si="19"/>
        <v>v "\mp3_ost\lenina.mp3"</v>
      </c>
      <c r="K42" s="40" t="str">
        <f t="shared" si="20"/>
        <v/>
      </c>
      <c r="L42" s="42" t="str">
        <f t="shared" si="21"/>
        <v>&lt;unit042&gt; "пр-т Ленина" {p 030, c 902, v "\mp3_ost\lenina.mp3", d 000, n 043}</v>
      </c>
    </row>
    <row r="43" spans="2:12" x14ac:dyDescent="0.25">
      <c r="B43" s="44">
        <f t="shared" si="14"/>
        <v>43</v>
      </c>
      <c r="C43" s="44" t="s">
        <v>329</v>
      </c>
      <c r="D43" s="39" t="str">
        <f t="shared" si="15"/>
        <v>&gt;&gt;</v>
      </c>
      <c r="E43" s="44" t="s">
        <v>351</v>
      </c>
      <c r="F43" s="44" t="s">
        <v>381</v>
      </c>
      <c r="G43" s="45">
        <f t="shared" si="16"/>
        <v>44</v>
      </c>
      <c r="H43" s="40" t="str">
        <f t="shared" si="17"/>
        <v>p 008</v>
      </c>
      <c r="I43" s="45" t="str">
        <f t="shared" si="18"/>
        <v>c 900</v>
      </c>
      <c r="J43" s="46" t="str">
        <f t="shared" si="19"/>
        <v>v "\mp3_ost\gimn1.mp3"</v>
      </c>
      <c r="K43" s="40" t="str">
        <f t="shared" si="20"/>
        <v>c 930</v>
      </c>
      <c r="L43" s="42" t="str">
        <f t="shared" si="21"/>
        <v>&lt;unit043&gt; "&gt;&gt;Гимназия № 1" {p 008, c 900, v "\mp3_ost\gimn1.mp3", c 930, d 000, n 044}</v>
      </c>
    </row>
    <row r="44" spans="2:12" x14ac:dyDescent="0.25">
      <c r="B44" s="44">
        <f t="shared" si="14"/>
        <v>44</v>
      </c>
      <c r="C44" s="44" t="s">
        <v>79</v>
      </c>
      <c r="D44" s="39" t="str">
        <f t="shared" si="15"/>
        <v/>
      </c>
      <c r="E44" s="44" t="s">
        <v>351</v>
      </c>
      <c r="G44" s="45">
        <f t="shared" si="16"/>
        <v>45</v>
      </c>
      <c r="H44" s="40" t="str">
        <f t="shared" si="17"/>
        <v>p 008</v>
      </c>
      <c r="I44" s="45" t="str">
        <f t="shared" si="18"/>
        <v>c 902</v>
      </c>
      <c r="J44" s="46" t="str">
        <f t="shared" si="19"/>
        <v>v "\mp3_ost\gimn1.mp3"</v>
      </c>
      <c r="K44" s="40" t="str">
        <f t="shared" si="20"/>
        <v/>
      </c>
      <c r="L44" s="42" t="str">
        <f t="shared" si="21"/>
        <v>&lt;unit044&gt; "Гимназия № 1" {p 008, c 902, v "\mp3_ost\gimn1.mp3", d 000, n 045}</v>
      </c>
    </row>
    <row r="45" spans="2:12" x14ac:dyDescent="0.25">
      <c r="B45" s="44">
        <f t="shared" si="14"/>
        <v>45</v>
      </c>
      <c r="C45" s="44" t="s">
        <v>329</v>
      </c>
      <c r="D45" s="39" t="str">
        <f t="shared" si="15"/>
        <v>&gt;&gt;</v>
      </c>
      <c r="E45" s="44" t="s">
        <v>170</v>
      </c>
      <c r="F45" s="44" t="s">
        <v>381</v>
      </c>
      <c r="G45" s="45">
        <f t="shared" si="16"/>
        <v>46</v>
      </c>
      <c r="H45" s="40" t="str">
        <f t="shared" si="17"/>
        <v>p 037</v>
      </c>
      <c r="I45" s="45" t="str">
        <f t="shared" si="18"/>
        <v>c 900</v>
      </c>
      <c r="J45" s="46" t="str">
        <f t="shared" si="19"/>
        <v>v "\mp3_ost\5ssh.mp3"</v>
      </c>
      <c r="K45" s="40" t="str">
        <f t="shared" si="20"/>
        <v>c 930</v>
      </c>
      <c r="L45" s="42" t="str">
        <f t="shared" si="21"/>
        <v>&lt;unit045&gt; "&gt;&gt;СШ № 5" {p 037, c 900, v "\mp3_ost\5ssh.mp3", c 930, d 000, n 046}</v>
      </c>
    </row>
    <row r="46" spans="2:12" x14ac:dyDescent="0.25">
      <c r="B46" s="44">
        <f t="shared" si="14"/>
        <v>46</v>
      </c>
      <c r="C46" s="44" t="s">
        <v>79</v>
      </c>
      <c r="D46" s="39" t="str">
        <f t="shared" si="15"/>
        <v/>
      </c>
      <c r="E46" s="44" t="s">
        <v>170</v>
      </c>
      <c r="G46" s="45">
        <f t="shared" si="16"/>
        <v>47</v>
      </c>
      <c r="H46" s="40" t="str">
        <f t="shared" si="17"/>
        <v>p 037</v>
      </c>
      <c r="I46" s="45" t="str">
        <f t="shared" si="18"/>
        <v>c 902</v>
      </c>
      <c r="J46" s="46" t="str">
        <f t="shared" si="19"/>
        <v>v "\mp3_ost\5ssh.mp3"</v>
      </c>
      <c r="K46" s="40" t="str">
        <f t="shared" si="20"/>
        <v/>
      </c>
      <c r="L46" s="42" t="str">
        <f t="shared" si="21"/>
        <v>&lt;unit046&gt; "СШ № 5" {p 037, c 902, v "\mp3_ost\5ssh.mp3", d 000, n 047}</v>
      </c>
    </row>
    <row r="47" spans="2:12" x14ac:dyDescent="0.25">
      <c r="B47" s="44">
        <f t="shared" si="14"/>
        <v>47</v>
      </c>
      <c r="C47" s="44" t="s">
        <v>329</v>
      </c>
      <c r="D47" s="39" t="str">
        <f t="shared" si="15"/>
        <v>&gt;&gt;</v>
      </c>
      <c r="E47" s="44" t="s">
        <v>251</v>
      </c>
      <c r="F47" s="44" t="s">
        <v>381</v>
      </c>
      <c r="G47" s="45">
        <f t="shared" si="16"/>
        <v>48</v>
      </c>
      <c r="H47" s="40" t="str">
        <f t="shared" si="17"/>
        <v>p 040</v>
      </c>
      <c r="I47" s="45" t="str">
        <f t="shared" si="18"/>
        <v>c 900</v>
      </c>
      <c r="J47" s="46" t="str">
        <f t="shared" si="19"/>
        <v>v "\mp3_ost\tc.mp3"</v>
      </c>
      <c r="K47" s="40" t="str">
        <f t="shared" si="20"/>
        <v>c 930</v>
      </c>
      <c r="L47" s="42" t="str">
        <f t="shared" si="21"/>
        <v>&lt;unit047&gt; "&gt;&gt;Торг.центр" {p 040, c 900, v "\mp3_ost\tc.mp3", c 930, d 000, n 048}</v>
      </c>
    </row>
    <row r="48" spans="2:12" x14ac:dyDescent="0.25">
      <c r="B48" s="44">
        <f t="shared" si="14"/>
        <v>48</v>
      </c>
      <c r="C48" s="44" t="s">
        <v>79</v>
      </c>
      <c r="D48" s="39" t="str">
        <f t="shared" si="15"/>
        <v/>
      </c>
      <c r="E48" s="44" t="s">
        <v>251</v>
      </c>
      <c r="G48" s="45">
        <f t="shared" si="16"/>
        <v>49</v>
      </c>
      <c r="H48" s="40" t="str">
        <f t="shared" si="17"/>
        <v>p 040</v>
      </c>
      <c r="I48" s="45" t="str">
        <f t="shared" si="18"/>
        <v>c 902</v>
      </c>
      <c r="J48" s="46" t="str">
        <f t="shared" si="19"/>
        <v>v "\mp3_ost\tc.mp3"</v>
      </c>
      <c r="K48" s="40" t="str">
        <f t="shared" si="20"/>
        <v/>
      </c>
      <c r="L48" s="42" t="str">
        <f t="shared" si="21"/>
        <v>&lt;unit048&gt; "Торг.центр" {p 040, c 902, v "\mp3_ost\tc.mp3", d 000, n 049}</v>
      </c>
    </row>
    <row r="49" spans="2:12" x14ac:dyDescent="0.25">
      <c r="B49" s="44">
        <f t="shared" si="14"/>
        <v>49</v>
      </c>
      <c r="C49" s="44" t="s">
        <v>329</v>
      </c>
      <c r="D49" s="39" t="str">
        <f t="shared" si="15"/>
        <v>&gt;&gt;</v>
      </c>
      <c r="E49" s="44" t="s">
        <v>361</v>
      </c>
      <c r="F49" s="44" t="s">
        <v>381</v>
      </c>
      <c r="G49" s="45">
        <f t="shared" si="16"/>
        <v>50</v>
      </c>
      <c r="H49" s="40" t="str">
        <f t="shared" si="17"/>
        <v>p 081</v>
      </c>
      <c r="I49" s="45" t="str">
        <f t="shared" si="18"/>
        <v>c 900</v>
      </c>
      <c r="J49" s="46" t="str">
        <f t="shared" si="19"/>
        <v>v "\mp3_ost\univmag.mp3"</v>
      </c>
      <c r="K49" s="40" t="str">
        <f t="shared" si="20"/>
        <v>c 930</v>
      </c>
      <c r="L49" s="42" t="str">
        <f t="shared" si="21"/>
        <v>&lt;unit049&gt; "&gt;&gt;Универмаг" {p 081, c 900, v "\mp3_ost\univmag.mp3", c 930, d 000, n 050}</v>
      </c>
    </row>
    <row r="50" spans="2:12" x14ac:dyDescent="0.25">
      <c r="B50" s="44">
        <f t="shared" si="14"/>
        <v>50</v>
      </c>
      <c r="C50" s="44" t="s">
        <v>79</v>
      </c>
      <c r="D50" s="39" t="str">
        <f t="shared" si="15"/>
        <v/>
      </c>
      <c r="E50" s="44" t="s">
        <v>361</v>
      </c>
      <c r="G50" s="45">
        <f t="shared" si="16"/>
        <v>51</v>
      </c>
      <c r="H50" s="40" t="str">
        <f t="shared" si="17"/>
        <v>p 081</v>
      </c>
      <c r="I50" s="45" t="str">
        <f t="shared" si="18"/>
        <v>c 902</v>
      </c>
      <c r="J50" s="46" t="str">
        <f t="shared" si="19"/>
        <v>v "\mp3_ost\univmag.mp3"</v>
      </c>
      <c r="K50" s="40" t="str">
        <f t="shared" si="20"/>
        <v/>
      </c>
      <c r="L50" s="42" t="str">
        <f t="shared" si="21"/>
        <v>&lt;unit050&gt; "Универмаг" {p 081, c 902, v "\mp3_ost\univmag.mp3", d 000, n 051}</v>
      </c>
    </row>
    <row r="51" spans="2:12" x14ac:dyDescent="0.25">
      <c r="B51" s="44">
        <f t="shared" si="14"/>
        <v>51</v>
      </c>
      <c r="C51" s="44" t="s">
        <v>329</v>
      </c>
      <c r="D51" s="39" t="str">
        <f t="shared" si="15"/>
        <v>&gt;&gt;</v>
      </c>
      <c r="E51" s="44" t="s">
        <v>177</v>
      </c>
      <c r="F51" s="44" t="s">
        <v>381</v>
      </c>
      <c r="G51" s="45">
        <f t="shared" si="16"/>
        <v>52</v>
      </c>
      <c r="H51" s="40" t="str">
        <f t="shared" si="17"/>
        <v>p 002</v>
      </c>
      <c r="I51" s="45" t="str">
        <f t="shared" si="18"/>
        <v>c 900</v>
      </c>
      <c r="J51" s="46" t="str">
        <f t="shared" si="19"/>
        <v>v "\mp3_ost\avtostan.mp3"</v>
      </c>
      <c r="K51" s="40" t="str">
        <f t="shared" si="20"/>
        <v>c 930</v>
      </c>
      <c r="L51" s="42" t="str">
        <f t="shared" si="21"/>
        <v>&lt;unit051&gt; "&gt;&gt;Автостанция" {p 002, c 900, v "\mp3_ost\avtostan.mp3", c 930, d 000, n 052}</v>
      </c>
    </row>
    <row r="52" spans="2:12" x14ac:dyDescent="0.25">
      <c r="B52" s="44">
        <f t="shared" si="14"/>
        <v>52</v>
      </c>
      <c r="C52" s="44" t="s">
        <v>79</v>
      </c>
      <c r="D52" s="39" t="str">
        <f t="shared" si="15"/>
        <v/>
      </c>
      <c r="E52" s="44" t="s">
        <v>177</v>
      </c>
      <c r="F52" s="44" t="s">
        <v>331</v>
      </c>
      <c r="G52" s="45">
        <f>B54</f>
        <v>54</v>
      </c>
      <c r="H52" s="40" t="str">
        <f t="shared" si="17"/>
        <v>p 002</v>
      </c>
      <c r="I52" s="45" t="str">
        <f t="shared" si="18"/>
        <v>c 902</v>
      </c>
      <c r="J52" s="46" t="str">
        <f t="shared" si="19"/>
        <v>v "\mp3_ost\avtostan.mp3"</v>
      </c>
      <c r="K52" s="40" t="str">
        <f t="shared" si="20"/>
        <v>c 903</v>
      </c>
      <c r="L52" s="42" t="str">
        <f t="shared" si="21"/>
        <v>&lt;unit052&gt; "Автостанция" {p 002, c 902, v "\mp3_ost\avtostan.mp3", c 903, d 000, n 054}</v>
      </c>
    </row>
    <row r="53" spans="2:12" s="39" customFormat="1" x14ac:dyDescent="0.25">
      <c r="G53" s="40"/>
      <c r="H53" s="40"/>
      <c r="I53" s="40"/>
      <c r="J53" s="40"/>
      <c r="K53" s="40"/>
      <c r="L53" s="42"/>
    </row>
    <row r="54" spans="2:12" s="39" customFormat="1" x14ac:dyDescent="0.25">
      <c r="B54" s="39">
        <f t="shared" si="14"/>
        <v>54</v>
      </c>
      <c r="E54" s="43" t="s">
        <v>328</v>
      </c>
      <c r="F54" s="43"/>
      <c r="G54" s="40">
        <f>B3</f>
        <v>3</v>
      </c>
      <c r="H54" s="40"/>
      <c r="I54" s="40"/>
      <c r="J54" s="40"/>
      <c r="K54" s="40"/>
      <c r="L54" s="42" t="str">
        <f>"&lt;unit"&amp;TEXT(B54,"000")&amp;"&gt; """&amp;E54&amp;""" {d 000, n "&amp;TEXT(G54,"000")&amp;"}"</f>
        <v>&lt;unit054&gt; "----- Конец -----" {d 000, n 003}</v>
      </c>
    </row>
    <row r="55" spans="2:12" s="39" customFormat="1" x14ac:dyDescent="0.25">
      <c r="G55" s="40"/>
      <c r="H55" s="40"/>
      <c r="I55" s="40"/>
      <c r="J55" s="40"/>
      <c r="K55" s="40"/>
      <c r="L55" s="42"/>
    </row>
    <row r="56" spans="2:12" s="39" customFormat="1" x14ac:dyDescent="0.25">
      <c r="G56" s="40"/>
      <c r="H56" s="40"/>
      <c r="I56" s="40"/>
      <c r="J56" s="40"/>
      <c r="K56" s="40"/>
      <c r="L56" s="42" t="str">
        <f>Константы!D2</f>
        <v>&lt;unit921&gt; "Автовокзал" {v "\mp3_knst\av.mp3"}</v>
      </c>
    </row>
    <row r="57" spans="2:12" s="39" customFormat="1" x14ac:dyDescent="0.25">
      <c r="G57" s="40"/>
      <c r="H57" s="40"/>
      <c r="I57" s="40"/>
      <c r="J57" s="40"/>
      <c r="K57" s="40"/>
      <c r="L57" s="42" t="str">
        <f>Константы!D3</f>
        <v>&lt;unit923&gt; "Гостиница" {v "\mp3_knst\gos.mp3"}</v>
      </c>
    </row>
    <row r="58" spans="2:12" s="39" customFormat="1" x14ac:dyDescent="0.25">
      <c r="G58" s="40"/>
      <c r="H58" s="40"/>
      <c r="I58" s="40"/>
      <c r="J58" s="40"/>
      <c r="K58" s="40"/>
      <c r="L58" s="42" t="str">
        <f>Константы!D4</f>
        <v>&lt;unit922&gt; "Дисп. станция" {v "\mp3_knst\ds.mp3"}</v>
      </c>
    </row>
    <row r="59" spans="2:12" s="39" customFormat="1" x14ac:dyDescent="0.25">
      <c r="G59" s="40"/>
      <c r="H59" s="40"/>
      <c r="I59" s="40"/>
      <c r="J59" s="40"/>
      <c r="K59" s="40"/>
      <c r="L59" s="42" t="str">
        <f>Константы!D5</f>
        <v>&lt;unit903&gt; "Канцавая" {v "\mp3_knst\kanc.mp3"}</v>
      </c>
    </row>
    <row r="60" spans="2:12" s="39" customFormat="1" x14ac:dyDescent="0.25">
      <c r="G60" s="40"/>
      <c r="H60" s="40"/>
      <c r="I60" s="40"/>
      <c r="J60" s="40"/>
      <c r="K60" s="40"/>
      <c r="L60" s="42" t="str">
        <f>Константы!D6</f>
        <v>&lt;unit924&gt; "Конечная" {v "\mp3_knst\ko.mp3"}</v>
      </c>
    </row>
    <row r="61" spans="2:12" s="39" customFormat="1" x14ac:dyDescent="0.25">
      <c r="G61" s="40"/>
      <c r="H61" s="40"/>
      <c r="I61" s="40"/>
      <c r="J61" s="40"/>
      <c r="K61" s="40"/>
      <c r="L61" s="42" t="str">
        <f>Константы!D7</f>
        <v>&lt;unit902&gt; "Остановка" {v "\mp3_knst\ost.mp3"}</v>
      </c>
    </row>
    <row r="62" spans="2:12" s="39" customFormat="1" x14ac:dyDescent="0.25">
      <c r="G62" s="40"/>
      <c r="H62" s="40"/>
      <c r="I62" s="40"/>
      <c r="J62" s="40"/>
      <c r="K62" s="40"/>
      <c r="L62" s="42" t="str">
        <f>Константы!D8</f>
        <v>&lt;unit900&gt; "Дв. закр. След. ост." {v "\mp3_knst\ostor.mp3"}</v>
      </c>
    </row>
    <row r="63" spans="2:12" s="39" customFormat="1" x14ac:dyDescent="0.25">
      <c r="G63" s="40"/>
      <c r="H63" s="40"/>
      <c r="I63" s="40"/>
      <c r="J63" s="40"/>
      <c r="K63" s="40"/>
      <c r="L63" s="42" t="str">
        <f>Константы!D9</f>
        <v>&lt;unit925&gt; "Площадь" {v "\mp3_knst\pl.mp3"}</v>
      </c>
    </row>
    <row r="64" spans="2:12" s="39" customFormat="1" x14ac:dyDescent="0.25">
      <c r="G64" s="40"/>
      <c r="H64" s="40"/>
      <c r="I64" s="40"/>
      <c r="J64" s="40"/>
      <c r="K64" s="40"/>
      <c r="L64" s="42" t="str">
        <f>Константы!D10</f>
        <v>&lt;unit926&gt; "Проспект" {v "\mp3_knst\pr.mp3"}</v>
      </c>
    </row>
    <row r="65" spans="7:12" s="39" customFormat="1" x14ac:dyDescent="0.25">
      <c r="G65" s="40"/>
      <c r="H65" s="40"/>
      <c r="I65" s="40"/>
      <c r="J65" s="40"/>
      <c r="K65" s="40"/>
      <c r="L65" s="42" t="str">
        <f>Константы!D11</f>
        <v>&lt;unit927&gt; "Станция метро" {v "\mp3_knst\sm.mp3"}</v>
      </c>
    </row>
    <row r="66" spans="7:12" s="39" customFormat="1" x14ac:dyDescent="0.25">
      <c r="G66" s="40"/>
      <c r="H66" s="40"/>
      <c r="I66" s="40"/>
      <c r="J66" s="40"/>
      <c r="K66" s="40"/>
      <c r="L66" s="42" t="str">
        <f>Константы!D12</f>
        <v>&lt;unit928&gt; "Улица" {v "\mp3_knst\ul.mp3"}</v>
      </c>
    </row>
    <row r="68" spans="7:12" x14ac:dyDescent="0.25">
      <c r="L68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E30:E52 E8:E26">
      <formula1>Zag_Ost</formula1>
    </dataValidation>
    <dataValidation type="list" allowBlank="1" showInputMessage="1" showErrorMessage="1" sqref="C30:C52 F30:F52 C8:C26 F8:F26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3"/>
  <dimension ref="A1:L130"/>
  <sheetViews>
    <sheetView topLeftCell="B1" workbookViewId="0">
      <pane ySplit="2" topLeftCell="A105" activePane="bottomLeft" state="frozen"/>
      <selection activeCell="B1" sqref="B1"/>
      <selection pane="bottomLeft" activeCell="G65" sqref="G65:G113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6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4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"4 Советская-Косьё" {i 0, t 002, l 004 004, d 000}</v>
      </c>
    </row>
    <row r="3" spans="1:12" s="39" customFormat="1" x14ac:dyDescent="0.25">
      <c r="A3" s="39" t="str">
        <f ca="1">INDIRECT(ADDRESS($B$1,2,4,1,"route"))</f>
        <v>4 Советская-Косьё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004</v>
      </c>
      <c r="B4" s="39">
        <f>ROW(B4)</f>
        <v>4</v>
      </c>
      <c r="E4" s="39" t="s">
        <v>323</v>
      </c>
      <c r="G4" s="40">
        <f>B64</f>
        <v>64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064}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359</v>
      </c>
      <c r="G8" s="45">
        <f t="shared" ref="G8:G59" si="0">B9</f>
        <v>9</v>
      </c>
      <c r="H8" s="40" t="str">
        <f t="shared" ref="H8:H60" si="1">IFERROR("p "&amp;VLOOKUP(E8,Tablo_Tab,2,FALSE),"")</f>
        <v>p 073</v>
      </c>
      <c r="I8" s="45" t="str">
        <f t="shared" ref="I8:I60" si="2">IFERROR("c "&amp;VLOOKUP(C8,Punkti,2,FALSE),"")</f>
        <v>c 902</v>
      </c>
      <c r="J8" s="46" t="str">
        <f t="shared" ref="J8:J60" si="3">IFERROR(VLOOKUP(E8,Ostanovki,7,FALSE),"")</f>
        <v>c 928, v "\mp3_ost\sovetsk.mp3"</v>
      </c>
      <c r="K8" s="40" t="str">
        <f t="shared" ref="K8:K60" si="4">IFERROR("c "&amp;VLOOKUP(F8,Punkti,2,FALSE),"")</f>
        <v/>
      </c>
      <c r="L8" s="42" t="str">
        <f t="shared" ref="L8:L41" si="5">"&lt;unit"&amp;TEXT(B8,"000")&amp;"&gt; """&amp;СцепитьМного(D8:E8,"")&amp;""" {e, "&amp;СцепитьМного(H8:K8,", ")&amp;", d 000, n "&amp;TEXT(G8,"000")&amp;"}"</f>
        <v>&lt;unit008&gt; "ул.Советская" {e, p 073, c 902, c 928, v "\mp3_ost\sovetsk.mp3", d 000, n 009}</v>
      </c>
    </row>
    <row r="9" spans="1:12" x14ac:dyDescent="0.25">
      <c r="B9" s="44">
        <f t="shared" ref="B9:B60" si="6">ROW(B9)</f>
        <v>9</v>
      </c>
      <c r="C9" s="44" t="s">
        <v>329</v>
      </c>
      <c r="D9" s="39" t="str">
        <f>IF(I9="c 900","&gt;&gt;","")</f>
        <v>&gt;&gt;</v>
      </c>
      <c r="E9" s="44" t="s">
        <v>360</v>
      </c>
      <c r="F9" s="44" t="s">
        <v>381</v>
      </c>
      <c r="G9" s="45">
        <f t="shared" si="0"/>
        <v>10</v>
      </c>
      <c r="H9" s="40" t="str">
        <f t="shared" si="1"/>
        <v>p 057</v>
      </c>
      <c r="I9" s="45" t="str">
        <f t="shared" si="2"/>
        <v>c 900</v>
      </c>
      <c r="J9" s="46" t="str">
        <f t="shared" si="3"/>
        <v>c 928, v "\mp3_ost\leningra.mp3"</v>
      </c>
      <c r="K9" s="40" t="str">
        <f t="shared" si="4"/>
        <v>c 930</v>
      </c>
      <c r="L9" s="42" t="str">
        <f t="shared" si="5"/>
        <v>&lt;unit009&gt; "&gt;&gt;ул.Ленинградская" {e, p 057, c 900, c 928, v "\mp3_ost\leningra.mp3", c 930, d 000, n 010}</v>
      </c>
    </row>
    <row r="10" spans="1:12" x14ac:dyDescent="0.25">
      <c r="B10" s="44">
        <f t="shared" si="6"/>
        <v>10</v>
      </c>
      <c r="C10" s="44" t="s">
        <v>79</v>
      </c>
      <c r="D10" s="39" t="str">
        <f t="shared" ref="D10:D60" si="7">IF(I10="c 900","&gt;&gt;","")</f>
        <v/>
      </c>
      <c r="E10" s="44" t="s">
        <v>360</v>
      </c>
      <c r="G10" s="45">
        <f t="shared" si="0"/>
        <v>11</v>
      </c>
      <c r="H10" s="40" t="str">
        <f t="shared" si="1"/>
        <v>p 057</v>
      </c>
      <c r="I10" s="45" t="str">
        <f t="shared" si="2"/>
        <v>c 902</v>
      </c>
      <c r="J10" s="46" t="str">
        <f t="shared" si="3"/>
        <v>c 928, v "\mp3_ost\leningra.mp3"</v>
      </c>
      <c r="K10" s="40" t="str">
        <f t="shared" si="4"/>
        <v/>
      </c>
      <c r="L10" s="42" t="str">
        <f t="shared" si="5"/>
        <v>&lt;unit010&gt; "ул.Ленинградская" {e, p 057, c 902, c 928, v "\mp3_ost\leningra.mp3", d 000, n 011}</v>
      </c>
    </row>
    <row r="11" spans="1:12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E11" s="44" t="s">
        <v>162</v>
      </c>
      <c r="F11" s="44" t="s">
        <v>381</v>
      </c>
      <c r="G11" s="45">
        <f t="shared" si="0"/>
        <v>12</v>
      </c>
      <c r="H11" s="40" t="str">
        <f t="shared" si="1"/>
        <v>p 011</v>
      </c>
      <c r="I11" s="45" t="str">
        <f t="shared" si="2"/>
        <v>c 900</v>
      </c>
      <c r="J11" s="46" t="str">
        <f t="shared" si="3"/>
        <v>v "\mp3_ost\jen-gimn.mp3"</v>
      </c>
      <c r="K11" s="40" t="str">
        <f t="shared" si="4"/>
        <v>c 930</v>
      </c>
      <c r="L11" s="42" t="str">
        <f t="shared" si="5"/>
        <v>&lt;unit011&gt; "&gt;&gt;Женская гимназия" {e, p 011, c 900, v "\mp3_ost\jen-gimn.mp3", c 930, d 000, n 012}</v>
      </c>
    </row>
    <row r="12" spans="1:12" x14ac:dyDescent="0.25">
      <c r="B12" s="44">
        <f t="shared" si="6"/>
        <v>12</v>
      </c>
      <c r="C12" s="44" t="s">
        <v>79</v>
      </c>
      <c r="D12" s="39" t="str">
        <f t="shared" si="7"/>
        <v/>
      </c>
      <c r="E12" s="44" t="s">
        <v>162</v>
      </c>
      <c r="G12" s="45">
        <f t="shared" si="0"/>
        <v>13</v>
      </c>
      <c r="H12" s="40" t="str">
        <f t="shared" si="1"/>
        <v>p 011</v>
      </c>
      <c r="I12" s="45" t="str">
        <f t="shared" si="2"/>
        <v>c 902</v>
      </c>
      <c r="J12" s="46" t="str">
        <f t="shared" si="3"/>
        <v>v "\mp3_ost\jen-gimn.mp3"</v>
      </c>
      <c r="K12" s="40" t="str">
        <f t="shared" si="4"/>
        <v/>
      </c>
      <c r="L12" s="42" t="str">
        <f t="shared" si="5"/>
        <v>&lt;unit012&gt; "Женская гимназия" {e, p 011, c 902, v "\mp3_ost\jen-gimn.mp3", d 000, n 013}</v>
      </c>
    </row>
    <row r="13" spans="1:12" x14ac:dyDescent="0.25">
      <c r="B13" s="44">
        <f t="shared" si="6"/>
        <v>13</v>
      </c>
      <c r="C13" s="44" t="s">
        <v>329</v>
      </c>
      <c r="D13" s="39" t="str">
        <f t="shared" si="7"/>
        <v>&gt;&gt;</v>
      </c>
      <c r="E13" s="44" t="s">
        <v>338</v>
      </c>
      <c r="F13" s="44" t="s">
        <v>381</v>
      </c>
      <c r="G13" s="45">
        <f t="shared" si="0"/>
        <v>14</v>
      </c>
      <c r="H13" s="40" t="str">
        <f t="shared" si="1"/>
        <v>p 004</v>
      </c>
      <c r="I13" s="45" t="str">
        <f t="shared" si="2"/>
        <v>c 900</v>
      </c>
      <c r="J13" s="46" t="str">
        <f t="shared" si="3"/>
        <v>v "\mp3_ost\inst-zve.mp3"</v>
      </c>
      <c r="K13" s="40" t="str">
        <f t="shared" si="4"/>
        <v>c 930</v>
      </c>
      <c r="L13" s="42" t="str">
        <f t="shared" si="5"/>
        <v>&lt;unit013&gt; "&gt;&gt;БелНИИЖ" {e, p 004, c 900, v "\mp3_ost\inst-zve.mp3", c 930, d 000, n 014}</v>
      </c>
    </row>
    <row r="14" spans="1:12" x14ac:dyDescent="0.25">
      <c r="B14" s="44">
        <f t="shared" si="6"/>
        <v>14</v>
      </c>
      <c r="C14" s="44" t="s">
        <v>79</v>
      </c>
      <c r="D14" s="39" t="str">
        <f t="shared" si="7"/>
        <v/>
      </c>
      <c r="E14" s="44" t="s">
        <v>338</v>
      </c>
      <c r="G14" s="45">
        <f t="shared" si="0"/>
        <v>15</v>
      </c>
      <c r="H14" s="40" t="str">
        <f t="shared" si="1"/>
        <v>p 004</v>
      </c>
      <c r="I14" s="45" t="str">
        <f t="shared" si="2"/>
        <v>c 902</v>
      </c>
      <c r="J14" s="46" t="str">
        <f t="shared" si="3"/>
        <v>v "\mp3_ost\inst-zve.mp3"</v>
      </c>
      <c r="K14" s="40" t="str">
        <f t="shared" si="4"/>
        <v/>
      </c>
      <c r="L14" s="42" t="str">
        <f t="shared" si="5"/>
        <v>&lt;unit014&gt; "БелНИИЖ" {e, p 004, c 902, v "\mp3_ost\inst-zve.mp3", d 000, n 015}</v>
      </c>
    </row>
    <row r="15" spans="1:12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E15" s="44" t="s">
        <v>262</v>
      </c>
      <c r="F15" s="44" t="s">
        <v>381</v>
      </c>
      <c r="G15" s="45">
        <f t="shared" si="0"/>
        <v>16</v>
      </c>
      <c r="H15" s="40" t="str">
        <f t="shared" si="1"/>
        <v>p 013</v>
      </c>
      <c r="I15" s="45" t="str">
        <f t="shared" si="2"/>
        <v>c 900</v>
      </c>
      <c r="J15" s="46" t="str">
        <f t="shared" si="3"/>
        <v>v "\mp3_ost\yunost`.mp3"</v>
      </c>
      <c r="K15" s="40" t="str">
        <f t="shared" si="4"/>
        <v>c 930</v>
      </c>
      <c r="L15" s="42" t="str">
        <f t="shared" si="5"/>
        <v>&lt;unit015&gt; "&gt;&gt;к/т Юность" {e, p 013, c 900, v "\mp3_ost\yunost`.mp3", c 930, d 000, n 016}</v>
      </c>
    </row>
    <row r="16" spans="1:12" x14ac:dyDescent="0.25">
      <c r="B16" s="44">
        <f t="shared" si="6"/>
        <v>16</v>
      </c>
      <c r="C16" s="44" t="s">
        <v>79</v>
      </c>
      <c r="D16" s="39" t="str">
        <f t="shared" si="7"/>
        <v/>
      </c>
      <c r="E16" s="44" t="s">
        <v>262</v>
      </c>
      <c r="G16" s="45">
        <f t="shared" si="0"/>
        <v>17</v>
      </c>
      <c r="H16" s="40" t="str">
        <f t="shared" si="1"/>
        <v>p 013</v>
      </c>
      <c r="I16" s="45" t="str">
        <f t="shared" si="2"/>
        <v>c 902</v>
      </c>
      <c r="J16" s="46" t="str">
        <f t="shared" si="3"/>
        <v>v "\mp3_ost\yunost`.mp3"</v>
      </c>
      <c r="K16" s="40" t="str">
        <f t="shared" si="4"/>
        <v/>
      </c>
      <c r="L16" s="42" t="str">
        <f t="shared" si="5"/>
        <v>&lt;unit016&gt; "к/т Юность" {e, p 013, c 902, v "\mp3_ost\yunost`.mp3", d 000, n 017}</v>
      </c>
    </row>
    <row r="17" spans="2:12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E17" s="44" t="s">
        <v>163</v>
      </c>
      <c r="F17" s="44" t="s">
        <v>381</v>
      </c>
      <c r="G17" s="45">
        <f t="shared" si="0"/>
        <v>18</v>
      </c>
      <c r="H17" s="40" t="str">
        <f t="shared" si="1"/>
        <v>p 010</v>
      </c>
      <c r="I17" s="45" t="str">
        <f t="shared" si="2"/>
        <v>c 900</v>
      </c>
      <c r="J17" s="46" t="str">
        <f t="shared" si="3"/>
        <v>v "\mp3_ost\jd.mp3"</v>
      </c>
      <c r="K17" s="40" t="str">
        <f t="shared" si="4"/>
        <v>c 930</v>
      </c>
      <c r="L17" s="42" t="str">
        <f t="shared" si="5"/>
        <v>&lt;unit017&gt; "&gt;&gt;ЖД Вокзал" {e, p 010, c 900, v "\mp3_ost\jd.mp3", c 930, d 000, n 018}</v>
      </c>
    </row>
    <row r="18" spans="2:12" x14ac:dyDescent="0.25">
      <c r="B18" s="44">
        <f t="shared" si="6"/>
        <v>18</v>
      </c>
      <c r="C18" s="44" t="s">
        <v>79</v>
      </c>
      <c r="D18" s="39" t="str">
        <f t="shared" si="7"/>
        <v/>
      </c>
      <c r="E18" s="44" t="s">
        <v>163</v>
      </c>
      <c r="G18" s="45">
        <f t="shared" si="0"/>
        <v>19</v>
      </c>
      <c r="H18" s="40" t="str">
        <f t="shared" si="1"/>
        <v>p 010</v>
      </c>
      <c r="I18" s="45" t="str">
        <f t="shared" si="2"/>
        <v>c 902</v>
      </c>
      <c r="J18" s="46" t="str">
        <f t="shared" si="3"/>
        <v>v "\mp3_ost\jd.mp3"</v>
      </c>
      <c r="K18" s="40" t="str">
        <f t="shared" si="4"/>
        <v/>
      </c>
      <c r="L18" s="42" t="str">
        <f t="shared" si="5"/>
        <v>&lt;unit018&gt; "ЖД Вокзал" {e, p 010, c 902, v "\mp3_ost\jd.mp3", d 000, n 019}</v>
      </c>
    </row>
    <row r="19" spans="2:12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E19" s="44" t="s">
        <v>166</v>
      </c>
      <c r="F19" s="44" t="s">
        <v>381</v>
      </c>
      <c r="G19" s="45">
        <f t="shared" si="0"/>
        <v>20</v>
      </c>
      <c r="H19" s="40" t="str">
        <f t="shared" si="1"/>
        <v>p 068</v>
      </c>
      <c r="I19" s="45" t="str">
        <f t="shared" si="2"/>
        <v>c 900</v>
      </c>
      <c r="J19" s="46" t="str">
        <f t="shared" si="3"/>
        <v>c 928, v "\mp3_ost\partizan.mp3"</v>
      </c>
      <c r="K19" s="40" t="str">
        <f t="shared" si="4"/>
        <v>c 930</v>
      </c>
      <c r="L19" s="42" t="str">
        <f t="shared" si="5"/>
        <v>&lt;unit019&gt; "&gt;&gt;ул.Партизанская" {e, p 068, c 900, c 928, v "\mp3_ost\partizan.mp3", c 930, d 000, n 020}</v>
      </c>
    </row>
    <row r="20" spans="2:12" x14ac:dyDescent="0.25">
      <c r="B20" s="44">
        <f t="shared" si="6"/>
        <v>20</v>
      </c>
      <c r="C20" s="44" t="s">
        <v>79</v>
      </c>
      <c r="D20" s="39" t="str">
        <f t="shared" si="7"/>
        <v/>
      </c>
      <c r="E20" s="44" t="s">
        <v>166</v>
      </c>
      <c r="G20" s="45">
        <f t="shared" si="0"/>
        <v>21</v>
      </c>
      <c r="H20" s="40" t="str">
        <f t="shared" si="1"/>
        <v>p 068</v>
      </c>
      <c r="I20" s="45" t="str">
        <f t="shared" si="2"/>
        <v>c 902</v>
      </c>
      <c r="J20" s="46" t="str">
        <f t="shared" si="3"/>
        <v>c 928, v "\mp3_ost\partizan.mp3"</v>
      </c>
      <c r="K20" s="40" t="str">
        <f t="shared" si="4"/>
        <v/>
      </c>
      <c r="L20" s="42" t="str">
        <f t="shared" si="5"/>
        <v>&lt;unit020&gt; "ул.Партизанская" {e, p 068, c 902, c 928, v "\mp3_ost\partizan.mp3", d 000, n 021}</v>
      </c>
    </row>
    <row r="21" spans="2:12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E21" s="44" t="s">
        <v>165</v>
      </c>
      <c r="F21" s="44" t="s">
        <v>381</v>
      </c>
      <c r="G21" s="45">
        <f t="shared" si="0"/>
        <v>22</v>
      </c>
      <c r="H21" s="40" t="str">
        <f t="shared" si="1"/>
        <v>p 064</v>
      </c>
      <c r="I21" s="45" t="str">
        <f t="shared" si="2"/>
        <v>c 900</v>
      </c>
      <c r="J21" s="46" t="str">
        <f t="shared" si="3"/>
        <v>c 928, v "\mp3_ost\moskovsk.mp3"</v>
      </c>
      <c r="K21" s="40" t="str">
        <f t="shared" si="4"/>
        <v>c 930</v>
      </c>
      <c r="L21" s="42" t="str">
        <f t="shared" si="5"/>
        <v>&lt;unit021&gt; "&gt;&gt;ул.Московская" {e, p 064, c 900, c 928, v "\mp3_ost\moskovsk.mp3", c 930, d 000, n 022}</v>
      </c>
    </row>
    <row r="22" spans="2:12" x14ac:dyDescent="0.25">
      <c r="B22" s="44">
        <f t="shared" si="6"/>
        <v>22</v>
      </c>
      <c r="C22" s="44" t="s">
        <v>79</v>
      </c>
      <c r="D22" s="39" t="str">
        <f t="shared" si="7"/>
        <v/>
      </c>
      <c r="E22" s="44" t="s">
        <v>165</v>
      </c>
      <c r="G22" s="45">
        <f t="shared" si="0"/>
        <v>23</v>
      </c>
      <c r="H22" s="40" t="str">
        <f t="shared" si="1"/>
        <v>p 064</v>
      </c>
      <c r="I22" s="45" t="str">
        <f t="shared" si="2"/>
        <v>c 902</v>
      </c>
      <c r="J22" s="46" t="str">
        <f t="shared" si="3"/>
        <v>c 928, v "\mp3_ost\moskovsk.mp3"</v>
      </c>
      <c r="K22" s="40" t="str">
        <f t="shared" si="4"/>
        <v/>
      </c>
      <c r="L22" s="42" t="str">
        <f t="shared" si="5"/>
        <v>&lt;unit022&gt; "ул.Московская" {e, p 064, c 902, c 928, v "\mp3_ost\moskovsk.mp3", d 000, n 023}</v>
      </c>
    </row>
    <row r="23" spans="2:12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E23" s="44" t="s">
        <v>167</v>
      </c>
      <c r="F23" s="44" t="s">
        <v>381</v>
      </c>
      <c r="G23" s="45">
        <f t="shared" si="0"/>
        <v>24</v>
      </c>
      <c r="H23" s="40" t="str">
        <f t="shared" si="1"/>
        <v>p 077</v>
      </c>
      <c r="I23" s="45" t="str">
        <f t="shared" si="2"/>
        <v>c 900</v>
      </c>
      <c r="J23" s="46" t="str">
        <f t="shared" si="3"/>
        <v>c 928, v "\mp3_ost\swrokvas.mp3"</v>
      </c>
      <c r="K23" s="40" t="str">
        <f t="shared" si="4"/>
        <v>c 930</v>
      </c>
      <c r="L23" s="42" t="str">
        <f t="shared" si="5"/>
        <v>&lt;unit023&gt; "&gt;&gt;ул.Сырокваша" {e, p 077, c 900, c 928, v "\mp3_ost\swrokvas.mp3", c 930, d 000, n 024}</v>
      </c>
    </row>
    <row r="24" spans="2:12" x14ac:dyDescent="0.25">
      <c r="B24" s="44">
        <f t="shared" si="6"/>
        <v>24</v>
      </c>
      <c r="C24" s="44" t="s">
        <v>79</v>
      </c>
      <c r="D24" s="39" t="str">
        <f t="shared" si="7"/>
        <v/>
      </c>
      <c r="E24" s="44" t="s">
        <v>167</v>
      </c>
      <c r="G24" s="45">
        <f t="shared" si="0"/>
        <v>25</v>
      </c>
      <c r="H24" s="40" t="str">
        <f t="shared" si="1"/>
        <v>p 077</v>
      </c>
      <c r="I24" s="45" t="str">
        <f t="shared" si="2"/>
        <v>c 902</v>
      </c>
      <c r="J24" s="46" t="str">
        <f t="shared" si="3"/>
        <v>c 928, v "\mp3_ost\swrokvas.mp3"</v>
      </c>
      <c r="K24" s="40" t="str">
        <f t="shared" si="4"/>
        <v/>
      </c>
      <c r="L24" s="42" t="str">
        <f t="shared" si="5"/>
        <v>&lt;unit024&gt; "ул.Сырокваша" {e, p 077, c 902, c 928, v "\mp3_ost\swrokvas.mp3", d 000, n 025}</v>
      </c>
    </row>
    <row r="25" spans="2:12" x14ac:dyDescent="0.25">
      <c r="B25" s="44">
        <f t="shared" si="6"/>
        <v>25</v>
      </c>
      <c r="C25" s="44" t="s">
        <v>329</v>
      </c>
      <c r="D25" s="39" t="str">
        <f t="shared" si="7"/>
        <v>&gt;&gt;</v>
      </c>
      <c r="E25" s="44" t="s">
        <v>168</v>
      </c>
      <c r="F25" s="44" t="s">
        <v>381</v>
      </c>
      <c r="G25" s="45">
        <f t="shared" si="0"/>
        <v>26</v>
      </c>
      <c r="H25" s="40" t="str">
        <f t="shared" si="1"/>
        <v>p 031</v>
      </c>
      <c r="I25" s="45" t="str">
        <f t="shared" si="2"/>
        <v>c 900</v>
      </c>
      <c r="J25" s="46" t="str">
        <f t="shared" si="3"/>
        <v>v "\mp3_ost\mira.mp3"</v>
      </c>
      <c r="K25" s="40" t="str">
        <f t="shared" si="4"/>
        <v>c 930</v>
      </c>
      <c r="L25" s="42" t="str">
        <f t="shared" si="5"/>
        <v>&lt;unit025&gt; "&gt;&gt;пр-т Мира" {e, p 031, c 900, v "\mp3_ost\mira.mp3", c 930, d 000, n 026}</v>
      </c>
    </row>
    <row r="26" spans="2:12" x14ac:dyDescent="0.25">
      <c r="B26" s="44">
        <f t="shared" si="6"/>
        <v>26</v>
      </c>
      <c r="C26" s="44" t="s">
        <v>79</v>
      </c>
      <c r="D26" s="39" t="str">
        <f t="shared" si="7"/>
        <v/>
      </c>
      <c r="E26" s="44" t="s">
        <v>168</v>
      </c>
      <c r="G26" s="45">
        <f t="shared" si="0"/>
        <v>27</v>
      </c>
      <c r="H26" s="40" t="str">
        <f t="shared" si="1"/>
        <v>p 031</v>
      </c>
      <c r="I26" s="45" t="str">
        <f t="shared" si="2"/>
        <v>c 902</v>
      </c>
      <c r="J26" s="46" t="str">
        <f t="shared" si="3"/>
        <v>v "\mp3_ost\mira.mp3"</v>
      </c>
      <c r="K26" s="40" t="str">
        <f t="shared" si="4"/>
        <v/>
      </c>
      <c r="L26" s="42" t="str">
        <f t="shared" si="5"/>
        <v>&lt;unit026&gt; "пр-т Мира" {e, p 031, c 902, v "\mp3_ost\mira.mp3", d 000, n 027}</v>
      </c>
    </row>
    <row r="27" spans="2:12" x14ac:dyDescent="0.25">
      <c r="B27" s="44">
        <f t="shared" si="6"/>
        <v>27</v>
      </c>
      <c r="C27" s="44" t="s">
        <v>329</v>
      </c>
      <c r="D27" s="39" t="str">
        <f t="shared" si="7"/>
        <v>&gt;&gt;</v>
      </c>
      <c r="E27" s="44" t="s">
        <v>266</v>
      </c>
      <c r="F27" s="44" t="s">
        <v>381</v>
      </c>
      <c r="G27" s="45">
        <f t="shared" si="0"/>
        <v>28</v>
      </c>
      <c r="H27" s="40" t="str">
        <f t="shared" si="1"/>
        <v>p 045</v>
      </c>
      <c r="I27" s="45" t="str">
        <f t="shared" si="2"/>
        <v>c 900</v>
      </c>
      <c r="J27" s="46" t="str">
        <f t="shared" si="3"/>
        <v>c 928, v "\mp3_ost\50letokt.mp3"</v>
      </c>
      <c r="K27" s="40" t="str">
        <f t="shared" si="4"/>
        <v>c 930</v>
      </c>
      <c r="L27" s="42" t="str">
        <f t="shared" si="5"/>
        <v>&lt;unit027&gt; "&gt;&gt;ул.50 лет Октяб." {e, p 045, c 900, c 928, v "\mp3_ost\50letokt.mp3", c 930, d 000, n 028}</v>
      </c>
    </row>
    <row r="28" spans="2:12" x14ac:dyDescent="0.25">
      <c r="B28" s="44">
        <f t="shared" si="6"/>
        <v>28</v>
      </c>
      <c r="C28" s="44" t="s">
        <v>79</v>
      </c>
      <c r="D28" s="39" t="str">
        <f t="shared" si="7"/>
        <v/>
      </c>
      <c r="E28" s="44" t="s">
        <v>266</v>
      </c>
      <c r="G28" s="45">
        <f t="shared" si="0"/>
        <v>29</v>
      </c>
      <c r="H28" s="40" t="str">
        <f t="shared" si="1"/>
        <v>p 045</v>
      </c>
      <c r="I28" s="45" t="str">
        <f t="shared" si="2"/>
        <v>c 902</v>
      </c>
      <c r="J28" s="46" t="str">
        <f t="shared" si="3"/>
        <v>c 928, v "\mp3_ost\50letokt.mp3"</v>
      </c>
      <c r="K28" s="40" t="str">
        <f t="shared" si="4"/>
        <v/>
      </c>
      <c r="L28" s="42" t="str">
        <f t="shared" si="5"/>
        <v>&lt;unit028&gt; "ул.50 лет Октяб." {e, p 045, c 902, c 928, v "\mp3_ost\50letokt.mp3", d 000, n 029}</v>
      </c>
    </row>
    <row r="29" spans="2:12" x14ac:dyDescent="0.25">
      <c r="B29" s="44">
        <f t="shared" si="6"/>
        <v>29</v>
      </c>
      <c r="C29" s="44" t="s">
        <v>329</v>
      </c>
      <c r="E29" s="44" t="s">
        <v>251</v>
      </c>
      <c r="F29" s="44" t="s">
        <v>381</v>
      </c>
      <c r="G29" s="45">
        <f t="shared" si="0"/>
        <v>30</v>
      </c>
      <c r="H29" s="40" t="str">
        <f t="shared" ref="H29:H31" si="8">IFERROR("p "&amp;VLOOKUP(E29,Tablo_Tab,2,FALSE),"")</f>
        <v>p 040</v>
      </c>
      <c r="I29" s="45" t="str">
        <f t="shared" ref="I29:I31" si="9">IFERROR("c "&amp;VLOOKUP(C29,Punkti,2,FALSE),"")</f>
        <v>c 900</v>
      </c>
      <c r="J29" s="46" t="str">
        <f t="shared" ref="J29:J31" si="10">IFERROR(VLOOKUP(E29,Ostanovki,7,FALSE),"")</f>
        <v>v "\mp3_ost\tc.mp3"</v>
      </c>
      <c r="K29" s="40" t="str">
        <f t="shared" ref="K29:K31" si="11">IFERROR("c "&amp;VLOOKUP(F29,Punkti,2,FALSE),"")</f>
        <v>c 930</v>
      </c>
      <c r="L29" s="42" t="str">
        <f t="shared" ref="L29:L31" si="12">"&lt;unit"&amp;TEXT(B29,"000")&amp;"&gt; """&amp;СцепитьМного(D29:E29,"")&amp;""" {e, "&amp;СцепитьМного(H29:K29,", ")&amp;", d 000, n "&amp;TEXT(G29,"000")&amp;"}"</f>
        <v>&lt;unit029&gt; "Торг.центр" {e, p 040, c 900, v "\mp3_ost\tc.mp3", c 930, d 000, n 030}</v>
      </c>
    </row>
    <row r="30" spans="2:12" x14ac:dyDescent="0.25">
      <c r="B30" s="44">
        <f t="shared" si="6"/>
        <v>30</v>
      </c>
      <c r="C30" s="44" t="s">
        <v>79</v>
      </c>
      <c r="E30" s="44" t="s">
        <v>251</v>
      </c>
      <c r="G30" s="45">
        <f t="shared" si="0"/>
        <v>31</v>
      </c>
      <c r="H30" s="40" t="str">
        <f t="shared" si="8"/>
        <v>p 040</v>
      </c>
      <c r="I30" s="45" t="str">
        <f t="shared" si="9"/>
        <v>c 902</v>
      </c>
      <c r="J30" s="46" t="str">
        <f t="shared" si="10"/>
        <v>v "\mp3_ost\tc.mp3"</v>
      </c>
      <c r="K30" s="40" t="str">
        <f t="shared" si="11"/>
        <v/>
      </c>
      <c r="L30" s="42" t="str">
        <f t="shared" si="12"/>
        <v>&lt;unit030&gt; "Торг.центр" {e, p 040, c 902, v "\mp3_ost\tc.mp3", d 000, n 031}</v>
      </c>
    </row>
    <row r="31" spans="2:12" x14ac:dyDescent="0.25">
      <c r="B31" s="44">
        <f t="shared" si="6"/>
        <v>31</v>
      </c>
      <c r="C31" s="44" t="s">
        <v>329</v>
      </c>
      <c r="D31" s="39" t="str">
        <f t="shared" si="7"/>
        <v>&gt;&gt;</v>
      </c>
      <c r="E31" s="44" t="s">
        <v>169</v>
      </c>
      <c r="F31" s="44" t="s">
        <v>381</v>
      </c>
      <c r="G31" s="45">
        <f t="shared" si="0"/>
        <v>32</v>
      </c>
      <c r="H31" s="40" t="str">
        <f t="shared" si="8"/>
        <v>p 052</v>
      </c>
      <c r="I31" s="45" t="str">
        <f t="shared" si="9"/>
        <v>c 900</v>
      </c>
      <c r="J31" s="46" t="str">
        <f t="shared" si="10"/>
        <v>c 928, v "\mp3_ost\gagarina.mp3"</v>
      </c>
      <c r="K31" s="40" t="str">
        <f t="shared" si="11"/>
        <v>c 930</v>
      </c>
      <c r="L31" s="42" t="str">
        <f t="shared" si="12"/>
        <v>&lt;unit031&gt; "&gt;&gt;ул.Гагарина" {e, p 052, c 900, c 928, v "\mp3_ost\gagarina.mp3", c 930, d 000, n 032}</v>
      </c>
    </row>
    <row r="32" spans="2:12" x14ac:dyDescent="0.25">
      <c r="B32" s="44">
        <f t="shared" si="6"/>
        <v>32</v>
      </c>
      <c r="C32" s="44" t="s">
        <v>79</v>
      </c>
      <c r="D32" s="39" t="str">
        <f t="shared" si="7"/>
        <v/>
      </c>
      <c r="E32" s="44" t="s">
        <v>169</v>
      </c>
      <c r="G32" s="45">
        <f t="shared" si="0"/>
        <v>33</v>
      </c>
      <c r="H32" s="40" t="str">
        <f t="shared" si="1"/>
        <v>p 052</v>
      </c>
      <c r="I32" s="45" t="str">
        <f t="shared" si="2"/>
        <v>c 902</v>
      </c>
      <c r="J32" s="46" t="str">
        <f t="shared" si="3"/>
        <v>c 928, v "\mp3_ost\gagarina.mp3"</v>
      </c>
      <c r="K32" s="40" t="str">
        <f t="shared" si="4"/>
        <v/>
      </c>
      <c r="L32" s="42" t="str">
        <f t="shared" si="5"/>
        <v>&lt;unit032&gt; "ул.Гагарина" {e, p 052, c 902, c 928, v "\mp3_ost\gagarina.mp3", d 000, n 033}</v>
      </c>
    </row>
    <row r="33" spans="2:12" x14ac:dyDescent="0.25">
      <c r="B33" s="44">
        <f t="shared" si="6"/>
        <v>33</v>
      </c>
      <c r="C33" s="44" t="s">
        <v>329</v>
      </c>
      <c r="D33" s="39" t="str">
        <f t="shared" si="7"/>
        <v>&gt;&gt;</v>
      </c>
      <c r="E33" s="44" t="s">
        <v>170</v>
      </c>
      <c r="F33" s="44" t="s">
        <v>381</v>
      </c>
      <c r="G33" s="45">
        <f t="shared" si="0"/>
        <v>34</v>
      </c>
      <c r="H33" s="40" t="str">
        <f t="shared" si="1"/>
        <v>p 037</v>
      </c>
      <c r="I33" s="45" t="str">
        <f t="shared" si="2"/>
        <v>c 900</v>
      </c>
      <c r="J33" s="46" t="str">
        <f t="shared" si="3"/>
        <v>v "\mp3_ost\5ssh.mp3"</v>
      </c>
      <c r="K33" s="40" t="str">
        <f t="shared" si="4"/>
        <v>c 930</v>
      </c>
      <c r="L33" s="42" t="str">
        <f t="shared" si="5"/>
        <v>&lt;unit033&gt; "&gt;&gt;СШ № 5" {e, p 037, c 900, v "\mp3_ost\5ssh.mp3", c 930, d 000, n 034}</v>
      </c>
    </row>
    <row r="34" spans="2:12" x14ac:dyDescent="0.25">
      <c r="B34" s="44">
        <f t="shared" si="6"/>
        <v>34</v>
      </c>
      <c r="C34" s="44" t="s">
        <v>79</v>
      </c>
      <c r="D34" s="39" t="str">
        <f t="shared" si="7"/>
        <v/>
      </c>
      <c r="E34" s="44" t="s">
        <v>170</v>
      </c>
      <c r="G34" s="45">
        <f t="shared" si="0"/>
        <v>35</v>
      </c>
      <c r="H34" s="40" t="str">
        <f t="shared" si="1"/>
        <v>p 037</v>
      </c>
      <c r="I34" s="45" t="str">
        <f t="shared" si="2"/>
        <v>c 902</v>
      </c>
      <c r="J34" s="46" t="str">
        <f t="shared" si="3"/>
        <v>v "\mp3_ost\5ssh.mp3"</v>
      </c>
      <c r="K34" s="40" t="str">
        <f t="shared" si="4"/>
        <v/>
      </c>
      <c r="L34" s="42" t="str">
        <f t="shared" si="5"/>
        <v>&lt;unit034&gt; "СШ № 5" {e, p 037, c 902, v "\mp3_ost\5ssh.mp3", d 000, n 035}</v>
      </c>
    </row>
    <row r="35" spans="2:12" x14ac:dyDescent="0.25">
      <c r="B35" s="44">
        <f>ROW(B35)</f>
        <v>35</v>
      </c>
      <c r="C35" s="44" t="s">
        <v>329</v>
      </c>
      <c r="D35" s="39" t="str">
        <f t="shared" si="7"/>
        <v>&gt;&gt;</v>
      </c>
      <c r="E35" s="44" t="s">
        <v>351</v>
      </c>
      <c r="F35" s="44" t="s">
        <v>381</v>
      </c>
      <c r="G35" s="45">
        <f t="shared" si="0"/>
        <v>36</v>
      </c>
      <c r="H35" s="40" t="str">
        <f t="shared" si="1"/>
        <v>p 008</v>
      </c>
      <c r="I35" s="45" t="str">
        <f t="shared" si="2"/>
        <v>c 900</v>
      </c>
      <c r="J35" s="46" t="str">
        <f t="shared" si="3"/>
        <v>v "\mp3_ost\gimn1.mp3"</v>
      </c>
      <c r="K35" s="40" t="str">
        <f t="shared" si="4"/>
        <v>c 930</v>
      </c>
      <c r="L35" s="42" t="str">
        <f t="shared" si="5"/>
        <v>&lt;unit035&gt; "&gt;&gt;Гимназия № 1" {e, p 008, c 900, v "\mp3_ost\gimn1.mp3", c 930, d 000, n 036}</v>
      </c>
    </row>
    <row r="36" spans="2:12" x14ac:dyDescent="0.25">
      <c r="B36" s="44">
        <f t="shared" si="6"/>
        <v>36</v>
      </c>
      <c r="C36" s="44" t="s">
        <v>79</v>
      </c>
      <c r="D36" s="39" t="str">
        <f t="shared" si="7"/>
        <v/>
      </c>
      <c r="E36" s="44" t="s">
        <v>351</v>
      </c>
      <c r="G36" s="45">
        <f t="shared" si="0"/>
        <v>37</v>
      </c>
      <c r="H36" s="40" t="str">
        <f t="shared" si="1"/>
        <v>p 008</v>
      </c>
      <c r="I36" s="45" t="str">
        <f t="shared" si="2"/>
        <v>c 902</v>
      </c>
      <c r="J36" s="46" t="str">
        <f t="shared" si="3"/>
        <v>v "\mp3_ost\gimn1.mp3"</v>
      </c>
      <c r="K36" s="40" t="str">
        <f t="shared" si="4"/>
        <v/>
      </c>
      <c r="L36" s="42" t="str">
        <f t="shared" si="5"/>
        <v>&lt;unit036&gt; "Гимназия № 1" {e, p 008, c 902, v "\mp3_ost\gimn1.mp3", d 000, n 037}</v>
      </c>
    </row>
    <row r="37" spans="2:12" x14ac:dyDescent="0.25">
      <c r="B37" s="44">
        <f t="shared" si="6"/>
        <v>37</v>
      </c>
      <c r="C37" s="44" t="s">
        <v>329</v>
      </c>
      <c r="D37" s="39" t="str">
        <f t="shared" si="7"/>
        <v>&gt;&gt;</v>
      </c>
      <c r="E37" s="44" t="s">
        <v>214</v>
      </c>
      <c r="F37" s="44" t="s">
        <v>381</v>
      </c>
      <c r="G37" s="45">
        <f t="shared" si="0"/>
        <v>38</v>
      </c>
      <c r="H37" s="40" t="str">
        <f t="shared" si="1"/>
        <v>p 030</v>
      </c>
      <c r="I37" s="45" t="str">
        <f t="shared" si="2"/>
        <v>c 900</v>
      </c>
      <c r="J37" s="46" t="str">
        <f t="shared" si="3"/>
        <v>v "\mp3_ost\lenina.mp3"</v>
      </c>
      <c r="K37" s="40" t="str">
        <f t="shared" si="4"/>
        <v>c 930</v>
      </c>
      <c r="L37" s="42" t="str">
        <f t="shared" si="5"/>
        <v>&lt;unit037&gt; "&gt;&gt;пр-т Ленина" {e, p 030, c 900, v "\mp3_ost\lenina.mp3", c 930, d 000, n 038}</v>
      </c>
    </row>
    <row r="38" spans="2:12" x14ac:dyDescent="0.25">
      <c r="B38" s="44">
        <f t="shared" si="6"/>
        <v>38</v>
      </c>
      <c r="C38" s="44" t="s">
        <v>79</v>
      </c>
      <c r="D38" s="39" t="str">
        <f t="shared" si="7"/>
        <v/>
      </c>
      <c r="E38" s="44" t="s">
        <v>214</v>
      </c>
      <c r="G38" s="45">
        <f t="shared" si="0"/>
        <v>39</v>
      </c>
      <c r="H38" s="40" t="str">
        <f t="shared" si="1"/>
        <v>p 030</v>
      </c>
      <c r="I38" s="45" t="str">
        <f t="shared" si="2"/>
        <v>c 902</v>
      </c>
      <c r="J38" s="46" t="str">
        <f t="shared" si="3"/>
        <v>v "\mp3_ost\lenina.mp3"</v>
      </c>
      <c r="K38" s="40" t="str">
        <f t="shared" si="4"/>
        <v/>
      </c>
      <c r="L38" s="42" t="str">
        <f t="shared" si="5"/>
        <v>&lt;unit038&gt; "пр-т Ленина" {e, p 030, c 902, v "\mp3_ost\lenina.mp3", d 000, n 039}</v>
      </c>
    </row>
    <row r="39" spans="2:12" x14ac:dyDescent="0.25">
      <c r="B39" s="44">
        <f t="shared" si="6"/>
        <v>39</v>
      </c>
      <c r="C39" s="44" t="s">
        <v>329</v>
      </c>
      <c r="D39" s="39" t="str">
        <f t="shared" si="7"/>
        <v>&gt;&gt;</v>
      </c>
      <c r="E39" s="44" t="s">
        <v>173</v>
      </c>
      <c r="F39" s="44" t="s">
        <v>381</v>
      </c>
      <c r="G39" s="45">
        <f t="shared" si="0"/>
        <v>40</v>
      </c>
      <c r="H39" s="40" t="str">
        <f t="shared" si="1"/>
        <v>p 001</v>
      </c>
      <c r="I39" s="45" t="str">
        <f t="shared" si="2"/>
        <v>c 900</v>
      </c>
      <c r="J39" s="46" t="str">
        <f t="shared" si="3"/>
        <v>v "\mp3_ost\8mikra.mp3"</v>
      </c>
      <c r="K39" s="40" t="str">
        <f t="shared" si="4"/>
        <v>c 930</v>
      </c>
      <c r="L39" s="42" t="str">
        <f t="shared" si="5"/>
        <v>&lt;unit039&gt; "&gt;&gt;8 микрорайон" {e, p 001, c 900, v "\mp3_ost\8mikra.mp3", c 930, d 000, n 040}</v>
      </c>
    </row>
    <row r="40" spans="2:12" x14ac:dyDescent="0.25">
      <c r="B40" s="44">
        <f t="shared" si="6"/>
        <v>40</v>
      </c>
      <c r="C40" s="44" t="s">
        <v>79</v>
      </c>
      <c r="D40" s="39" t="str">
        <f t="shared" si="7"/>
        <v/>
      </c>
      <c r="E40" s="44" t="s">
        <v>173</v>
      </c>
      <c r="G40" s="45">
        <f t="shared" si="0"/>
        <v>41</v>
      </c>
      <c r="H40" s="40" t="str">
        <f t="shared" si="1"/>
        <v>p 001</v>
      </c>
      <c r="I40" s="45" t="str">
        <f t="shared" si="2"/>
        <v>c 902</v>
      </c>
      <c r="J40" s="46" t="str">
        <f t="shared" si="3"/>
        <v>v "\mp3_ost\8mikra.mp3"</v>
      </c>
      <c r="K40" s="40" t="str">
        <f t="shared" si="4"/>
        <v/>
      </c>
      <c r="L40" s="42" t="str">
        <f t="shared" si="5"/>
        <v>&lt;unit040&gt; "8 микрорайон" {e, p 001, c 902, v "\mp3_ost\8mikra.mp3", d 000, n 041}</v>
      </c>
    </row>
    <row r="41" spans="2:12" x14ac:dyDescent="0.25">
      <c r="B41" s="44">
        <f t="shared" si="6"/>
        <v>41</v>
      </c>
      <c r="C41" s="44" t="s">
        <v>329</v>
      </c>
      <c r="D41" s="39" t="str">
        <f t="shared" si="7"/>
        <v>&gt;&gt;</v>
      </c>
      <c r="E41" s="44" t="s">
        <v>345</v>
      </c>
      <c r="F41" s="44" t="s">
        <v>381</v>
      </c>
      <c r="G41" s="45">
        <f t="shared" si="0"/>
        <v>42</v>
      </c>
      <c r="H41" s="40" t="str">
        <f t="shared" si="1"/>
        <v>p 062</v>
      </c>
      <c r="I41" s="45" t="str">
        <f t="shared" si="2"/>
        <v>c 900</v>
      </c>
      <c r="J41" s="46" t="str">
        <f t="shared" si="3"/>
        <v>c 928, v "\mp3_ost\log23.mp3"</v>
      </c>
      <c r="K41" s="40" t="str">
        <f t="shared" si="4"/>
        <v>c 930</v>
      </c>
      <c r="L41" s="42" t="str">
        <f t="shared" si="5"/>
        <v>&lt;unit041&gt; "&gt;&gt;ул.Логойская,23" {e, p 062, c 900, c 928, v "\mp3_ost\log23.mp3", c 930, d 000, n 042}</v>
      </c>
    </row>
    <row r="42" spans="2:12" x14ac:dyDescent="0.25">
      <c r="B42" s="44">
        <f t="shared" si="6"/>
        <v>42</v>
      </c>
      <c r="C42" s="44" t="s">
        <v>79</v>
      </c>
      <c r="D42" s="39" t="str">
        <f t="shared" si="7"/>
        <v/>
      </c>
      <c r="E42" s="44" t="s">
        <v>345</v>
      </c>
      <c r="G42" s="45">
        <f t="shared" si="0"/>
        <v>43</v>
      </c>
      <c r="H42" s="40" t="str">
        <f t="shared" si="1"/>
        <v>p 062</v>
      </c>
      <c r="I42" s="45" t="str">
        <f t="shared" si="2"/>
        <v>c 902</v>
      </c>
      <c r="J42" s="46" t="str">
        <f t="shared" si="3"/>
        <v>c 928, v "\mp3_ost\log23.mp3"</v>
      </c>
      <c r="K42" s="40" t="str">
        <f t="shared" si="4"/>
        <v/>
      </c>
      <c r="L42" s="42" t="str">
        <f t="shared" ref="L42:L60" si="13">"&lt;unit"&amp;TEXT(B42,"000")&amp;"&gt; """&amp;СцепитьМного(D42:E42,"")&amp;""" {e, "&amp;СцепитьМного(H42:K42,", ")&amp;", d 000, n "&amp;TEXT(G42,"000")&amp;"}"</f>
        <v>&lt;unit042&gt; "ул.Логойская,23" {e, p 062, c 902, c 928, v "\mp3_ost\log23.mp3", d 000, n 043}</v>
      </c>
    </row>
    <row r="43" spans="2:12" x14ac:dyDescent="0.25">
      <c r="B43" s="44">
        <f t="shared" si="6"/>
        <v>43</v>
      </c>
      <c r="C43" s="44" t="s">
        <v>329</v>
      </c>
      <c r="D43" s="39" t="str">
        <f t="shared" si="7"/>
        <v>&gt;&gt;</v>
      </c>
      <c r="E43" s="44" t="s">
        <v>344</v>
      </c>
      <c r="F43" s="44" t="s">
        <v>381</v>
      </c>
      <c r="G43" s="45">
        <f t="shared" si="0"/>
        <v>44</v>
      </c>
      <c r="H43" s="40" t="str">
        <f t="shared" si="1"/>
        <v>p 061</v>
      </c>
      <c r="I43" s="45" t="str">
        <f t="shared" si="2"/>
        <v>c 900</v>
      </c>
      <c r="J43" s="46" t="str">
        <f t="shared" si="3"/>
        <v>c 928, v "\mp3_ost\log21.mp3"</v>
      </c>
      <c r="K43" s="40" t="str">
        <f t="shared" si="4"/>
        <v>c 930</v>
      </c>
      <c r="L43" s="42" t="str">
        <f t="shared" si="13"/>
        <v>&lt;unit043&gt; "&gt;&gt;ул.Логойская,21" {e, p 061, c 900, c 928, v "\mp3_ost\log21.mp3", c 930, d 000, n 044}</v>
      </c>
    </row>
    <row r="44" spans="2:12" x14ac:dyDescent="0.25">
      <c r="B44" s="44">
        <f t="shared" si="6"/>
        <v>44</v>
      </c>
      <c r="C44" s="44" t="s">
        <v>79</v>
      </c>
      <c r="D44" s="39" t="str">
        <f t="shared" si="7"/>
        <v/>
      </c>
      <c r="E44" s="44" t="s">
        <v>344</v>
      </c>
      <c r="G44" s="45">
        <f t="shared" si="0"/>
        <v>45</v>
      </c>
      <c r="H44" s="40" t="str">
        <f t="shared" si="1"/>
        <v>p 061</v>
      </c>
      <c r="I44" s="45" t="str">
        <f t="shared" si="2"/>
        <v>c 902</v>
      </c>
      <c r="J44" s="46" t="str">
        <f t="shared" si="3"/>
        <v>c 928, v "\mp3_ost\log21.mp3"</v>
      </c>
      <c r="K44" s="40" t="str">
        <f t="shared" si="4"/>
        <v/>
      </c>
      <c r="L44" s="42" t="str">
        <f t="shared" si="13"/>
        <v>&lt;unit044&gt; "ул.Логойская,21" {e, p 061, c 902, c 928, v "\mp3_ost\log21.mp3", d 000, n 045}</v>
      </c>
    </row>
    <row r="45" spans="2:12" x14ac:dyDescent="0.25">
      <c r="B45" s="44">
        <f t="shared" si="6"/>
        <v>45</v>
      </c>
      <c r="C45" s="44" t="s">
        <v>329</v>
      </c>
      <c r="D45" s="39" t="str">
        <f t="shared" si="7"/>
        <v>&gt;&gt;</v>
      </c>
      <c r="E45" s="44" t="s">
        <v>274</v>
      </c>
      <c r="F45" s="44" t="s">
        <v>381</v>
      </c>
      <c r="G45" s="45">
        <f t="shared" si="0"/>
        <v>46</v>
      </c>
      <c r="H45" s="40" t="str">
        <f t="shared" si="1"/>
        <v>p 060</v>
      </c>
      <c r="I45" s="45" t="str">
        <f t="shared" si="2"/>
        <v>c 900</v>
      </c>
      <c r="J45" s="46" t="str">
        <f t="shared" si="3"/>
        <v>c 928, v "\mp3_ost\lag.mp3"</v>
      </c>
      <c r="K45" s="40" t="str">
        <f t="shared" si="4"/>
        <v>c 930</v>
      </c>
      <c r="L45" s="42" t="str">
        <f t="shared" si="13"/>
        <v>&lt;unit045&gt; "&gt;&gt;ул.Логойская" {e, p 060, c 900, c 928, v "\mp3_ost\lag.mp3", c 930, d 000, n 046}</v>
      </c>
    </row>
    <row r="46" spans="2:12" x14ac:dyDescent="0.25">
      <c r="B46" s="44">
        <f t="shared" si="6"/>
        <v>46</v>
      </c>
      <c r="C46" s="44" t="s">
        <v>79</v>
      </c>
      <c r="D46" s="39" t="str">
        <f t="shared" si="7"/>
        <v/>
      </c>
      <c r="E46" s="44" t="s">
        <v>274</v>
      </c>
      <c r="G46" s="45">
        <f t="shared" si="0"/>
        <v>47</v>
      </c>
      <c r="H46" s="40" t="str">
        <f t="shared" si="1"/>
        <v>p 060</v>
      </c>
      <c r="I46" s="45" t="str">
        <f t="shared" si="2"/>
        <v>c 902</v>
      </c>
      <c r="J46" s="46" t="str">
        <f t="shared" si="3"/>
        <v>c 928, v "\mp3_ost\lag.mp3"</v>
      </c>
      <c r="K46" s="40" t="str">
        <f t="shared" si="4"/>
        <v/>
      </c>
      <c r="L46" s="42" t="str">
        <f t="shared" si="13"/>
        <v>&lt;unit046&gt; "ул.Логойская" {e, p 060, c 902, c 928, v "\mp3_ost\lag.mp3", d 000, n 047}</v>
      </c>
    </row>
    <row r="47" spans="2:12" x14ac:dyDescent="0.25">
      <c r="B47" s="44">
        <f t="shared" si="6"/>
        <v>47</v>
      </c>
      <c r="C47" s="44" t="s">
        <v>329</v>
      </c>
      <c r="D47" s="39" t="str">
        <f t="shared" si="7"/>
        <v>&gt;&gt;</v>
      </c>
      <c r="E47" s="44" t="s">
        <v>361</v>
      </c>
      <c r="F47" s="44" t="s">
        <v>381</v>
      </c>
      <c r="G47" s="45">
        <f t="shared" si="0"/>
        <v>48</v>
      </c>
      <c r="H47" s="40" t="str">
        <f t="shared" si="1"/>
        <v>p 081</v>
      </c>
      <c r="I47" s="45" t="str">
        <f t="shared" si="2"/>
        <v>c 900</v>
      </c>
      <c r="J47" s="46" t="str">
        <f t="shared" si="3"/>
        <v>v "\mp3_ost\univmag.mp3"</v>
      </c>
      <c r="K47" s="40" t="str">
        <f t="shared" si="4"/>
        <v>c 930</v>
      </c>
      <c r="L47" s="42" t="str">
        <f t="shared" si="13"/>
        <v>&lt;unit047&gt; "&gt;&gt;Универмаг" {e, p 081, c 900, v "\mp3_ost\univmag.mp3", c 930, d 000, n 048}</v>
      </c>
    </row>
    <row r="48" spans="2:12" x14ac:dyDescent="0.25">
      <c r="B48" s="44">
        <f t="shared" si="6"/>
        <v>48</v>
      </c>
      <c r="C48" s="44" t="s">
        <v>79</v>
      </c>
      <c r="D48" s="39" t="str">
        <f t="shared" si="7"/>
        <v/>
      </c>
      <c r="E48" s="44" t="s">
        <v>361</v>
      </c>
      <c r="G48" s="45">
        <f t="shared" si="0"/>
        <v>49</v>
      </c>
      <c r="H48" s="40" t="str">
        <f t="shared" si="1"/>
        <v>p 081</v>
      </c>
      <c r="I48" s="45" t="str">
        <f t="shared" si="2"/>
        <v>c 902</v>
      </c>
      <c r="J48" s="46" t="str">
        <f t="shared" si="3"/>
        <v>v "\mp3_ost\univmag.mp3"</v>
      </c>
      <c r="K48" s="40" t="str">
        <f t="shared" si="4"/>
        <v/>
      </c>
      <c r="L48" s="42" t="str">
        <f t="shared" si="13"/>
        <v>&lt;unit048&gt; "Универмаг" {e, p 081, c 902, v "\mp3_ost\univmag.mp3", d 000, n 049}</v>
      </c>
    </row>
    <row r="49" spans="2:12" x14ac:dyDescent="0.25">
      <c r="B49" s="44">
        <f t="shared" si="6"/>
        <v>49</v>
      </c>
      <c r="C49" s="44" t="s">
        <v>329</v>
      </c>
      <c r="D49" s="39" t="str">
        <f t="shared" si="7"/>
        <v>&gt;&gt;</v>
      </c>
      <c r="E49" s="44" t="s">
        <v>260</v>
      </c>
      <c r="F49" s="44" t="s">
        <v>381</v>
      </c>
      <c r="G49" s="45">
        <f t="shared" si="0"/>
        <v>50</v>
      </c>
      <c r="H49" s="40" t="str">
        <f t="shared" si="1"/>
        <v>p 029</v>
      </c>
      <c r="I49" s="45" t="str">
        <f t="shared" si="2"/>
        <v>c 900</v>
      </c>
      <c r="J49" s="46" t="str">
        <f t="shared" si="3"/>
        <v>v "\mp3_ost\venis`e.mp3"</v>
      </c>
      <c r="K49" s="40" t="str">
        <f t="shared" si="4"/>
        <v>c 930</v>
      </c>
      <c r="L49" s="42" t="str">
        <f t="shared" si="13"/>
        <v>&lt;unit049&gt; "&gt;&gt;пр-т Венисье" {e, p 029, c 900, v "\mp3_ost\venis`e.mp3", c 930, d 000, n 050}</v>
      </c>
    </row>
    <row r="50" spans="2:12" x14ac:dyDescent="0.25">
      <c r="B50" s="44">
        <f t="shared" si="6"/>
        <v>50</v>
      </c>
      <c r="C50" s="44" t="s">
        <v>79</v>
      </c>
      <c r="D50" s="39" t="str">
        <f t="shared" si="7"/>
        <v/>
      </c>
      <c r="E50" s="44" t="s">
        <v>260</v>
      </c>
      <c r="G50" s="45">
        <f t="shared" si="0"/>
        <v>51</v>
      </c>
      <c r="H50" s="40" t="str">
        <f t="shared" si="1"/>
        <v>p 029</v>
      </c>
      <c r="I50" s="45" t="str">
        <f t="shared" si="2"/>
        <v>c 902</v>
      </c>
      <c r="J50" s="46" t="str">
        <f t="shared" si="3"/>
        <v>v "\mp3_ost\venis`e.mp3"</v>
      </c>
      <c r="K50" s="40" t="str">
        <f t="shared" si="4"/>
        <v/>
      </c>
      <c r="L50" s="42" t="str">
        <f t="shared" si="13"/>
        <v>&lt;unit050&gt; "пр-т Венисье" {e, p 029, c 902, v "\mp3_ost\venis`e.mp3", d 000, n 051}</v>
      </c>
    </row>
    <row r="51" spans="2:12" x14ac:dyDescent="0.25">
      <c r="B51" s="44">
        <f t="shared" si="6"/>
        <v>51</v>
      </c>
      <c r="C51" s="44" t="s">
        <v>329</v>
      </c>
      <c r="D51" s="39" t="str">
        <f t="shared" si="7"/>
        <v>&gt;&gt;</v>
      </c>
      <c r="E51" s="44" t="s">
        <v>347</v>
      </c>
      <c r="F51" s="44" t="s">
        <v>381</v>
      </c>
      <c r="G51" s="45">
        <f t="shared" si="0"/>
        <v>52</v>
      </c>
      <c r="H51" s="40" t="str">
        <f t="shared" si="1"/>
        <v>p 050</v>
      </c>
      <c r="I51" s="45" t="str">
        <f t="shared" si="2"/>
        <v>c 900</v>
      </c>
      <c r="J51" s="46" t="str">
        <f t="shared" si="3"/>
        <v>c 928, v "\mp3_ost\borovaja.mp3"</v>
      </c>
      <c r="K51" s="40" t="str">
        <f t="shared" si="4"/>
        <v>c 930</v>
      </c>
      <c r="L51" s="42" t="str">
        <f t="shared" si="13"/>
        <v>&lt;unit051&gt; "&gt;&gt;ул.Боровая" {e, p 050, c 900, c 928, v "\mp3_ost\borovaja.mp3", c 930, d 000, n 052}</v>
      </c>
    </row>
    <row r="52" spans="2:12" x14ac:dyDescent="0.25">
      <c r="B52" s="44">
        <f t="shared" si="6"/>
        <v>52</v>
      </c>
      <c r="C52" s="44" t="s">
        <v>79</v>
      </c>
      <c r="D52" s="39" t="str">
        <f t="shared" si="7"/>
        <v/>
      </c>
      <c r="E52" s="44" t="s">
        <v>347</v>
      </c>
      <c r="G52" s="45">
        <f t="shared" si="0"/>
        <v>53</v>
      </c>
      <c r="H52" s="40" t="str">
        <f t="shared" si="1"/>
        <v>p 050</v>
      </c>
      <c r="I52" s="45" t="str">
        <f t="shared" si="2"/>
        <v>c 902</v>
      </c>
      <c r="J52" s="46" t="str">
        <f t="shared" si="3"/>
        <v>c 928, v "\mp3_ost\borovaja.mp3"</v>
      </c>
      <c r="K52" s="40" t="str">
        <f t="shared" si="4"/>
        <v/>
      </c>
      <c r="L52" s="42" t="str">
        <f t="shared" si="13"/>
        <v>&lt;unit052&gt; "ул.Боровая" {e, p 050, c 902, c 928, v "\mp3_ost\borovaja.mp3", d 000, n 053}</v>
      </c>
    </row>
    <row r="53" spans="2:12" x14ac:dyDescent="0.25">
      <c r="B53" s="44">
        <f t="shared" si="6"/>
        <v>53</v>
      </c>
      <c r="C53" s="44" t="s">
        <v>329</v>
      </c>
      <c r="D53" s="39" t="str">
        <f t="shared" ref="D53:D54" si="14">IF(I53="c 900","&gt;&gt;","")</f>
        <v>&gt;&gt;</v>
      </c>
      <c r="E53" s="44" t="s">
        <v>180</v>
      </c>
      <c r="F53" s="44" t="s">
        <v>381</v>
      </c>
      <c r="G53" s="45">
        <f t="shared" si="0"/>
        <v>54</v>
      </c>
      <c r="H53" s="40" t="str">
        <f t="shared" ref="H53:H54" si="15">IFERROR("p "&amp;VLOOKUP(E53,Tablo_Tab,2,FALSE),"")</f>
        <v>p 006</v>
      </c>
      <c r="I53" s="45" t="str">
        <f t="shared" ref="I53:I54" si="16">IFERROR("c "&amp;VLOOKUP(C53,Punkti,2,FALSE),"")</f>
        <v>c 900</v>
      </c>
      <c r="J53" s="46" t="str">
        <f t="shared" ref="J53:J54" si="17">IFERROR(VLOOKUP(E53,Ostanovki,7,FALSE),"")</f>
        <v>v "\mp3_ost\bolnica.mp3"</v>
      </c>
      <c r="K53" s="40" t="str">
        <f t="shared" ref="K53:K54" si="18">IFERROR("c "&amp;VLOOKUP(F53,Punkti,2,FALSE),"")</f>
        <v>c 930</v>
      </c>
      <c r="L53" s="42" t="str">
        <f t="shared" si="13"/>
        <v>&lt;unit053&gt; "&gt;&gt;Больница" {e, p 006, c 900, v "\mp3_ost\bolnica.mp3", c 930, d 000, n 054}</v>
      </c>
    </row>
    <row r="54" spans="2:12" x14ac:dyDescent="0.25">
      <c r="B54" s="44">
        <f t="shared" si="6"/>
        <v>54</v>
      </c>
      <c r="C54" s="44" t="s">
        <v>79</v>
      </c>
      <c r="D54" s="39" t="str">
        <f t="shared" si="14"/>
        <v/>
      </c>
      <c r="E54" s="44" t="s">
        <v>180</v>
      </c>
      <c r="G54" s="45">
        <f t="shared" si="0"/>
        <v>55</v>
      </c>
      <c r="H54" s="40" t="str">
        <f t="shared" si="15"/>
        <v>p 006</v>
      </c>
      <c r="I54" s="45" t="str">
        <f t="shared" si="16"/>
        <v>c 902</v>
      </c>
      <c r="J54" s="46" t="str">
        <f t="shared" si="17"/>
        <v>v "\mp3_ost\bolnica.mp3"</v>
      </c>
      <c r="K54" s="40" t="str">
        <f t="shared" si="18"/>
        <v/>
      </c>
      <c r="L54" s="42" t="str">
        <f t="shared" si="13"/>
        <v>&lt;unit054&gt; "Больница" {e, p 006, c 902, v "\mp3_ost\bolnica.mp3", d 000, n 055}</v>
      </c>
    </row>
    <row r="55" spans="2:12" x14ac:dyDescent="0.25">
      <c r="B55" s="44">
        <f t="shared" si="6"/>
        <v>55</v>
      </c>
      <c r="C55" s="44" t="s">
        <v>329</v>
      </c>
      <c r="D55" s="39" t="str">
        <f t="shared" ref="D55:D56" si="19">IF(I55="c 900","&gt;&gt;","")</f>
        <v>&gt;&gt;</v>
      </c>
      <c r="E55" s="44" t="s">
        <v>174</v>
      </c>
      <c r="F55" s="44" t="s">
        <v>381</v>
      </c>
      <c r="G55" s="45">
        <f t="shared" si="0"/>
        <v>56</v>
      </c>
      <c r="H55" s="40" t="str">
        <f t="shared" ref="H55:H56" si="20">IFERROR("p "&amp;VLOOKUP(E55,Tablo_Tab,2,FALSE),"")</f>
        <v>p 038</v>
      </c>
      <c r="I55" s="45" t="str">
        <f t="shared" ref="I55:I56" si="21">IFERROR("c "&amp;VLOOKUP(C55,Punkti,2,FALSE),"")</f>
        <v>c 900</v>
      </c>
      <c r="J55" s="46" t="str">
        <f t="shared" ref="J55:J56" si="22">IFERROR(VLOOKUP(E55,Ostanovki,7,FALSE),"")</f>
        <v>v "\mp3_ost\8ssh.mp3"</v>
      </c>
      <c r="K55" s="40" t="str">
        <f t="shared" ref="K55:K56" si="23">IFERROR("c "&amp;VLOOKUP(F55,Punkti,2,FALSE),"")</f>
        <v>c 930</v>
      </c>
      <c r="L55" s="42" t="str">
        <f t="shared" si="13"/>
        <v>&lt;unit055&gt; "&gt;&gt;СШ № 8" {e, p 038, c 900, v "\mp3_ost\8ssh.mp3", c 930, d 000, n 056}</v>
      </c>
    </row>
    <row r="56" spans="2:12" x14ac:dyDescent="0.25">
      <c r="B56" s="44">
        <f t="shared" si="6"/>
        <v>56</v>
      </c>
      <c r="C56" s="44" t="s">
        <v>79</v>
      </c>
      <c r="D56" s="39" t="str">
        <f t="shared" si="19"/>
        <v/>
      </c>
      <c r="E56" s="44" t="s">
        <v>174</v>
      </c>
      <c r="G56" s="45">
        <f t="shared" si="0"/>
        <v>57</v>
      </c>
      <c r="H56" s="40" t="str">
        <f t="shared" si="20"/>
        <v>p 038</v>
      </c>
      <c r="I56" s="45" t="str">
        <f t="shared" si="21"/>
        <v>c 902</v>
      </c>
      <c r="J56" s="46" t="str">
        <f t="shared" si="22"/>
        <v>v "\mp3_ost\8ssh.mp3"</v>
      </c>
      <c r="K56" s="40" t="str">
        <f t="shared" si="23"/>
        <v/>
      </c>
      <c r="L56" s="42" t="str">
        <f t="shared" si="13"/>
        <v>&lt;unit056&gt; "СШ № 8" {e, p 038, c 902, v "\mp3_ost\8ssh.mp3", d 000, n 057}</v>
      </c>
    </row>
    <row r="57" spans="2:12" x14ac:dyDescent="0.25">
      <c r="B57" s="44">
        <f t="shared" si="6"/>
        <v>57</v>
      </c>
      <c r="C57" s="44" t="s">
        <v>329</v>
      </c>
      <c r="D57" s="39" t="str">
        <f t="shared" si="7"/>
        <v>&gt;&gt;</v>
      </c>
      <c r="E57" s="44" t="s">
        <v>273</v>
      </c>
      <c r="F57" s="44" t="s">
        <v>381</v>
      </c>
      <c r="G57" s="45">
        <f t="shared" si="0"/>
        <v>58</v>
      </c>
      <c r="H57" s="40" t="str">
        <f t="shared" si="1"/>
        <v>p 059</v>
      </c>
      <c r="I57" s="45" t="str">
        <f t="shared" si="2"/>
        <v>c 900</v>
      </c>
      <c r="J57" s="46" t="str">
        <f t="shared" si="3"/>
        <v>c 928, v "\mp3_ost\lesnaya.mp3"</v>
      </c>
      <c r="K57" s="40" t="str">
        <f t="shared" si="4"/>
        <v>c 930</v>
      </c>
      <c r="L57" s="42" t="str">
        <f t="shared" si="13"/>
        <v>&lt;unit057&gt; "&gt;&gt;ул.Лесная" {e, p 059, c 900, c 928, v "\mp3_ost\lesnaya.mp3", c 930, d 000, n 058}</v>
      </c>
    </row>
    <row r="58" spans="2:12" x14ac:dyDescent="0.25">
      <c r="B58" s="44">
        <f t="shared" si="6"/>
        <v>58</v>
      </c>
      <c r="C58" s="44" t="s">
        <v>79</v>
      </c>
      <c r="D58" s="39" t="str">
        <f t="shared" si="7"/>
        <v/>
      </c>
      <c r="E58" s="44" t="s">
        <v>273</v>
      </c>
      <c r="G58" s="45">
        <f t="shared" si="0"/>
        <v>59</v>
      </c>
      <c r="H58" s="40" t="str">
        <f t="shared" si="1"/>
        <v>p 059</v>
      </c>
      <c r="I58" s="45" t="str">
        <f t="shared" si="2"/>
        <v>c 902</v>
      </c>
      <c r="J58" s="46" t="str">
        <f t="shared" si="3"/>
        <v>c 928, v "\mp3_ost\lesnaya.mp3"</v>
      </c>
      <c r="K58" s="40" t="str">
        <f t="shared" si="4"/>
        <v/>
      </c>
      <c r="L58" s="42" t="str">
        <f t="shared" si="13"/>
        <v>&lt;unit058&gt; "ул.Лесная" {e, p 059, c 902, c 928, v "\mp3_ost\lesnaya.mp3", d 000, n 059}</v>
      </c>
    </row>
    <row r="59" spans="2:12" x14ac:dyDescent="0.25">
      <c r="B59" s="44">
        <f t="shared" si="6"/>
        <v>59</v>
      </c>
      <c r="C59" s="44" t="s">
        <v>329</v>
      </c>
      <c r="D59" s="39" t="str">
        <f t="shared" si="7"/>
        <v>&gt;&gt;</v>
      </c>
      <c r="E59" s="44" t="s">
        <v>275</v>
      </c>
      <c r="F59" s="44" t="s">
        <v>381</v>
      </c>
      <c r="G59" s="45">
        <f t="shared" si="0"/>
        <v>60</v>
      </c>
      <c r="H59" s="40" t="str">
        <f t="shared" si="1"/>
        <v>p 063</v>
      </c>
      <c r="I59" s="45" t="str">
        <f t="shared" si="2"/>
        <v>c 900</v>
      </c>
      <c r="J59" s="46" t="str">
        <f t="shared" si="3"/>
        <v>c 928, v "\mp3_ost\magistra.mp3"</v>
      </c>
      <c r="K59" s="40" t="str">
        <f t="shared" si="4"/>
        <v>c 930</v>
      </c>
      <c r="L59" s="42" t="str">
        <f t="shared" si="13"/>
        <v>&lt;unit059&gt; "&gt;&gt;ул.Магистральная" {e, p 063, c 900, c 928, v "\mp3_ost\magistra.mp3", c 930, d 000, n 060}</v>
      </c>
    </row>
    <row r="60" spans="2:12" x14ac:dyDescent="0.25">
      <c r="B60" s="44">
        <f t="shared" si="6"/>
        <v>60</v>
      </c>
      <c r="C60" s="44" t="s">
        <v>79</v>
      </c>
      <c r="D60" s="39" t="str">
        <f t="shared" si="7"/>
        <v/>
      </c>
      <c r="E60" s="44" t="s">
        <v>275</v>
      </c>
      <c r="F60" s="44" t="s">
        <v>331</v>
      </c>
      <c r="G60" s="45">
        <f>B62</f>
        <v>62</v>
      </c>
      <c r="H60" s="40" t="str">
        <f t="shared" si="1"/>
        <v>p 063</v>
      </c>
      <c r="I60" s="45" t="str">
        <f t="shared" si="2"/>
        <v>c 902</v>
      </c>
      <c r="J60" s="46" t="str">
        <f t="shared" si="3"/>
        <v>c 928, v "\mp3_ost\magistra.mp3"</v>
      </c>
      <c r="K60" s="40" t="str">
        <f t="shared" si="4"/>
        <v>c 903</v>
      </c>
      <c r="L60" s="42" t="str">
        <f t="shared" si="13"/>
        <v>&lt;unit060&gt; "ул.Магистральная" {e, p 063, c 902, c 928, v "\mp3_ost\magistra.mp3", c 903, d 000, n 062}</v>
      </c>
    </row>
    <row r="61" spans="2:12" s="39" customFormat="1" x14ac:dyDescent="0.25">
      <c r="G61" s="40"/>
      <c r="H61" s="40"/>
      <c r="I61" s="40"/>
      <c r="J61" s="40"/>
      <c r="K61" s="40"/>
      <c r="L61" s="42"/>
    </row>
    <row r="62" spans="2:12" s="39" customFormat="1" x14ac:dyDescent="0.25">
      <c r="B62" s="39">
        <f t="shared" ref="B62:B116" si="24">ROW(B62)</f>
        <v>62</v>
      </c>
      <c r="E62" s="43" t="s">
        <v>327</v>
      </c>
      <c r="F62" s="43"/>
      <c r="G62" s="40">
        <f>B64</f>
        <v>64</v>
      </c>
      <c r="H62" s="40"/>
      <c r="I62" s="40"/>
      <c r="J62" s="40"/>
      <c r="K62" s="40"/>
      <c r="L62" s="42" t="str">
        <f>"&lt;unit"&amp;TEXT(B62,"000")&amp;"&gt; """&amp;E62&amp;""" {d 000, n "&amp;TEXT(G62,"000")&amp;"}"</f>
        <v>&lt;unit062&gt; "----- Обратный -----" {d 000, n 064}</v>
      </c>
    </row>
    <row r="63" spans="2:12" s="39" customFormat="1" x14ac:dyDescent="0.25">
      <c r="G63" s="40"/>
      <c r="H63" s="40"/>
      <c r="I63" s="40"/>
      <c r="J63" s="40"/>
      <c r="K63" s="40"/>
      <c r="L63" s="42"/>
    </row>
    <row r="64" spans="2:12" x14ac:dyDescent="0.25">
      <c r="B64" s="44">
        <f t="shared" si="24"/>
        <v>64</v>
      </c>
      <c r="C64" s="44" t="s">
        <v>79</v>
      </c>
      <c r="D64" s="39" t="str">
        <f t="shared" ref="D64:D114" si="25">IF(I64="c 900","&gt;&gt;","")</f>
        <v/>
      </c>
      <c r="E64" s="44" t="s">
        <v>275</v>
      </c>
      <c r="G64" s="45">
        <f>B65</f>
        <v>65</v>
      </c>
      <c r="H64" s="40" t="str">
        <f t="shared" ref="H64:H114" si="26">IFERROR("p "&amp;VLOOKUP(E64,Tablo_Tab,2,FALSE),"")</f>
        <v>p 063</v>
      </c>
      <c r="I64" s="45" t="str">
        <f t="shared" ref="I64:I114" si="27">IFERROR("c "&amp;VLOOKUP(C64,Punkti,2,FALSE),"")</f>
        <v>c 902</v>
      </c>
      <c r="J64" s="46" t="str">
        <f t="shared" ref="J64:J114" si="28">IFERROR(VLOOKUP(E64,Ostanovki,7,FALSE),"")</f>
        <v>c 928, v "\mp3_ost\magistra.mp3"</v>
      </c>
      <c r="K64" s="40" t="str">
        <f t="shared" ref="K64:K114" si="29">IFERROR("c "&amp;VLOOKUP(F64,Punkti,2,FALSE),"")</f>
        <v/>
      </c>
      <c r="L64" s="42" t="str">
        <f t="shared" ref="L64:L95" si="30">"&lt;unit"&amp;TEXT(B64,"000")&amp;"&gt; """&amp;СцепитьМного(D64:E64,"")&amp;""" {e, "&amp;СцепитьМного(H64:K64,", ")&amp;", d 000, n "&amp;TEXT(G64,"000")&amp;"}"</f>
        <v>&lt;unit064&gt; "ул.Магистральная" {e, p 063, c 902, c 928, v "\mp3_ost\magistra.mp3", d 000, n 065}</v>
      </c>
    </row>
    <row r="65" spans="2:12" x14ac:dyDescent="0.25">
      <c r="B65" s="44">
        <f t="shared" si="24"/>
        <v>65</v>
      </c>
      <c r="C65" s="44" t="s">
        <v>329</v>
      </c>
      <c r="D65" s="39" t="str">
        <f t="shared" si="25"/>
        <v>&gt;&gt;</v>
      </c>
      <c r="E65" s="44" t="s">
        <v>273</v>
      </c>
      <c r="F65" s="44" t="s">
        <v>381</v>
      </c>
      <c r="G65" s="45">
        <f t="shared" ref="G65:G113" si="31">B66</f>
        <v>66</v>
      </c>
      <c r="H65" s="40" t="str">
        <f t="shared" si="26"/>
        <v>p 059</v>
      </c>
      <c r="I65" s="45" t="str">
        <f t="shared" si="27"/>
        <v>c 900</v>
      </c>
      <c r="J65" s="46" t="str">
        <f t="shared" si="28"/>
        <v>c 928, v "\mp3_ost\lesnaya.mp3"</v>
      </c>
      <c r="K65" s="40" t="str">
        <f t="shared" si="29"/>
        <v>c 930</v>
      </c>
      <c r="L65" s="42" t="str">
        <f t="shared" si="30"/>
        <v>&lt;unit065&gt; "&gt;&gt;ул.Лесная" {e, p 059, c 900, c 928, v "\mp3_ost\lesnaya.mp3", c 930, d 000, n 066}</v>
      </c>
    </row>
    <row r="66" spans="2:12" x14ac:dyDescent="0.25">
      <c r="B66" s="44">
        <f t="shared" si="24"/>
        <v>66</v>
      </c>
      <c r="C66" s="44" t="s">
        <v>79</v>
      </c>
      <c r="D66" s="39" t="str">
        <f t="shared" si="25"/>
        <v/>
      </c>
      <c r="E66" s="44" t="s">
        <v>273</v>
      </c>
      <c r="G66" s="45">
        <f t="shared" si="31"/>
        <v>67</v>
      </c>
      <c r="H66" s="40" t="str">
        <f t="shared" si="26"/>
        <v>p 059</v>
      </c>
      <c r="I66" s="45" t="str">
        <f t="shared" si="27"/>
        <v>c 902</v>
      </c>
      <c r="J66" s="46" t="str">
        <f t="shared" si="28"/>
        <v>c 928, v "\mp3_ost\lesnaya.mp3"</v>
      </c>
      <c r="K66" s="40" t="str">
        <f t="shared" si="29"/>
        <v/>
      </c>
      <c r="L66" s="42" t="str">
        <f t="shared" si="30"/>
        <v>&lt;unit066&gt; "ул.Лесная" {e, p 059, c 902, c 928, v "\mp3_ost\lesnaya.mp3", d 000, n 067}</v>
      </c>
    </row>
    <row r="67" spans="2:12" x14ac:dyDescent="0.25">
      <c r="B67" s="44">
        <f t="shared" si="24"/>
        <v>67</v>
      </c>
      <c r="C67" s="44" t="s">
        <v>329</v>
      </c>
      <c r="D67" s="39" t="str">
        <f t="shared" si="25"/>
        <v>&gt;&gt;</v>
      </c>
      <c r="E67" s="44" t="s">
        <v>174</v>
      </c>
      <c r="F67" s="44" t="s">
        <v>381</v>
      </c>
      <c r="G67" s="45">
        <f t="shared" si="31"/>
        <v>68</v>
      </c>
      <c r="H67" s="40" t="str">
        <f t="shared" si="26"/>
        <v>p 038</v>
      </c>
      <c r="I67" s="45" t="str">
        <f t="shared" si="27"/>
        <v>c 900</v>
      </c>
      <c r="J67" s="46" t="str">
        <f t="shared" si="28"/>
        <v>v "\mp3_ost\8ssh.mp3"</v>
      </c>
      <c r="K67" s="40" t="str">
        <f t="shared" si="29"/>
        <v>c 930</v>
      </c>
      <c r="L67" s="42" t="str">
        <f t="shared" si="30"/>
        <v>&lt;unit067&gt; "&gt;&gt;СШ № 8" {e, p 038, c 900, v "\mp3_ost\8ssh.mp3", c 930, d 000, n 068}</v>
      </c>
    </row>
    <row r="68" spans="2:12" x14ac:dyDescent="0.25">
      <c r="B68" s="44">
        <f t="shared" si="24"/>
        <v>68</v>
      </c>
      <c r="C68" s="44" t="s">
        <v>79</v>
      </c>
      <c r="D68" s="39" t="str">
        <f t="shared" si="25"/>
        <v/>
      </c>
      <c r="E68" s="44" t="s">
        <v>174</v>
      </c>
      <c r="G68" s="45">
        <f t="shared" si="31"/>
        <v>69</v>
      </c>
      <c r="H68" s="40" t="str">
        <f t="shared" si="26"/>
        <v>p 038</v>
      </c>
      <c r="I68" s="45" t="str">
        <f t="shared" si="27"/>
        <v>c 902</v>
      </c>
      <c r="J68" s="46" t="str">
        <f t="shared" si="28"/>
        <v>v "\mp3_ost\8ssh.mp3"</v>
      </c>
      <c r="K68" s="40" t="str">
        <f t="shared" si="29"/>
        <v/>
      </c>
      <c r="L68" s="42" t="str">
        <f t="shared" si="30"/>
        <v>&lt;unit068&gt; "СШ № 8" {e, p 038, c 902, v "\mp3_ost\8ssh.mp3", d 000, n 069}</v>
      </c>
    </row>
    <row r="69" spans="2:12" x14ac:dyDescent="0.25">
      <c r="B69" s="44">
        <f t="shared" si="24"/>
        <v>69</v>
      </c>
      <c r="C69" s="44" t="s">
        <v>329</v>
      </c>
      <c r="D69" s="39" t="str">
        <f t="shared" si="25"/>
        <v>&gt;&gt;</v>
      </c>
      <c r="E69" s="44" t="s">
        <v>180</v>
      </c>
      <c r="F69" s="44" t="s">
        <v>381</v>
      </c>
      <c r="G69" s="45">
        <f t="shared" si="31"/>
        <v>70</v>
      </c>
      <c r="H69" s="40" t="str">
        <f t="shared" si="26"/>
        <v>p 006</v>
      </c>
      <c r="I69" s="45" t="str">
        <f t="shared" si="27"/>
        <v>c 900</v>
      </c>
      <c r="J69" s="46" t="str">
        <f t="shared" si="28"/>
        <v>v "\mp3_ost\bolnica.mp3"</v>
      </c>
      <c r="K69" s="40" t="str">
        <f t="shared" si="29"/>
        <v>c 930</v>
      </c>
      <c r="L69" s="42" t="str">
        <f t="shared" si="30"/>
        <v>&lt;unit069&gt; "&gt;&gt;Больница" {e, p 006, c 900, v "\mp3_ost\bolnica.mp3", c 930, d 000, n 070}</v>
      </c>
    </row>
    <row r="70" spans="2:12" x14ac:dyDescent="0.25">
      <c r="B70" s="44">
        <f t="shared" si="24"/>
        <v>70</v>
      </c>
      <c r="C70" s="44" t="s">
        <v>79</v>
      </c>
      <c r="D70" s="39" t="str">
        <f t="shared" si="25"/>
        <v/>
      </c>
      <c r="E70" s="44" t="s">
        <v>180</v>
      </c>
      <c r="G70" s="45">
        <f t="shared" si="31"/>
        <v>71</v>
      </c>
      <c r="H70" s="40" t="str">
        <f t="shared" si="26"/>
        <v>p 006</v>
      </c>
      <c r="I70" s="45" t="str">
        <f t="shared" si="27"/>
        <v>c 902</v>
      </c>
      <c r="J70" s="46" t="str">
        <f t="shared" si="28"/>
        <v>v "\mp3_ost\bolnica.mp3"</v>
      </c>
      <c r="K70" s="40" t="str">
        <f t="shared" si="29"/>
        <v/>
      </c>
      <c r="L70" s="42" t="str">
        <f t="shared" si="30"/>
        <v>&lt;unit070&gt; "Больница" {e, p 006, c 902, v "\mp3_ost\bolnica.mp3", d 000, n 071}</v>
      </c>
    </row>
    <row r="71" spans="2:12" x14ac:dyDescent="0.25">
      <c r="B71" s="44">
        <f t="shared" si="24"/>
        <v>71</v>
      </c>
      <c r="C71" s="44" t="s">
        <v>329</v>
      </c>
      <c r="D71" s="39" t="str">
        <f t="shared" si="25"/>
        <v>&gt;&gt;</v>
      </c>
      <c r="E71" s="44" t="s">
        <v>347</v>
      </c>
      <c r="F71" s="44" t="s">
        <v>381</v>
      </c>
      <c r="G71" s="45">
        <f t="shared" si="31"/>
        <v>72</v>
      </c>
      <c r="H71" s="40" t="str">
        <f t="shared" si="26"/>
        <v>p 050</v>
      </c>
      <c r="I71" s="45" t="str">
        <f t="shared" si="27"/>
        <v>c 900</v>
      </c>
      <c r="J71" s="46" t="str">
        <f t="shared" si="28"/>
        <v>c 928, v "\mp3_ost\borovaja.mp3"</v>
      </c>
      <c r="K71" s="40" t="str">
        <f t="shared" si="29"/>
        <v>c 930</v>
      </c>
      <c r="L71" s="42" t="str">
        <f t="shared" si="30"/>
        <v>&lt;unit071&gt; "&gt;&gt;ул.Боровая" {e, p 050, c 900, c 928, v "\mp3_ost\borovaja.mp3", c 930, d 000, n 072}</v>
      </c>
    </row>
    <row r="72" spans="2:12" x14ac:dyDescent="0.25">
      <c r="B72" s="44">
        <f t="shared" si="24"/>
        <v>72</v>
      </c>
      <c r="C72" s="44" t="s">
        <v>79</v>
      </c>
      <c r="D72" s="39" t="str">
        <f t="shared" si="25"/>
        <v/>
      </c>
      <c r="E72" s="44" t="s">
        <v>347</v>
      </c>
      <c r="G72" s="45">
        <f t="shared" si="31"/>
        <v>73</v>
      </c>
      <c r="H72" s="40" t="str">
        <f t="shared" si="26"/>
        <v>p 050</v>
      </c>
      <c r="I72" s="45" t="str">
        <f t="shared" si="27"/>
        <v>c 902</v>
      </c>
      <c r="J72" s="46" t="str">
        <f t="shared" si="28"/>
        <v>c 928, v "\mp3_ost\borovaja.mp3"</v>
      </c>
      <c r="K72" s="40" t="str">
        <f t="shared" si="29"/>
        <v/>
      </c>
      <c r="L72" s="42" t="str">
        <f t="shared" si="30"/>
        <v>&lt;unit072&gt; "ул.Боровая" {e, p 050, c 902, c 928, v "\mp3_ost\borovaja.mp3", d 000, n 073}</v>
      </c>
    </row>
    <row r="73" spans="2:12" x14ac:dyDescent="0.25">
      <c r="B73" s="44">
        <f t="shared" si="24"/>
        <v>73</v>
      </c>
      <c r="C73" s="44" t="s">
        <v>329</v>
      </c>
      <c r="D73" s="39" t="str">
        <f t="shared" si="25"/>
        <v>&gt;&gt;</v>
      </c>
      <c r="E73" s="44" t="s">
        <v>260</v>
      </c>
      <c r="F73" s="44" t="s">
        <v>381</v>
      </c>
      <c r="G73" s="45">
        <f t="shared" si="31"/>
        <v>74</v>
      </c>
      <c r="H73" s="40" t="str">
        <f t="shared" si="26"/>
        <v>p 029</v>
      </c>
      <c r="I73" s="45" t="str">
        <f t="shared" si="27"/>
        <v>c 900</v>
      </c>
      <c r="J73" s="46" t="str">
        <f t="shared" si="28"/>
        <v>v "\mp3_ost\venis`e.mp3"</v>
      </c>
      <c r="K73" s="40" t="str">
        <f t="shared" si="29"/>
        <v>c 930</v>
      </c>
      <c r="L73" s="42" t="str">
        <f t="shared" si="30"/>
        <v>&lt;unit073&gt; "&gt;&gt;пр-т Венисье" {e, p 029, c 900, v "\mp3_ost\venis`e.mp3", c 930, d 000, n 074}</v>
      </c>
    </row>
    <row r="74" spans="2:12" x14ac:dyDescent="0.25">
      <c r="B74" s="44">
        <f t="shared" si="24"/>
        <v>74</v>
      </c>
      <c r="C74" s="44" t="s">
        <v>79</v>
      </c>
      <c r="D74" s="39" t="str">
        <f t="shared" si="25"/>
        <v/>
      </c>
      <c r="E74" s="44" t="s">
        <v>260</v>
      </c>
      <c r="G74" s="45">
        <f t="shared" si="31"/>
        <v>75</v>
      </c>
      <c r="H74" s="40" t="str">
        <f t="shared" si="26"/>
        <v>p 029</v>
      </c>
      <c r="I74" s="45" t="str">
        <f t="shared" si="27"/>
        <v>c 902</v>
      </c>
      <c r="J74" s="46" t="str">
        <f t="shared" si="28"/>
        <v>v "\mp3_ost\venis`e.mp3"</v>
      </c>
      <c r="K74" s="40" t="str">
        <f t="shared" si="29"/>
        <v/>
      </c>
      <c r="L74" s="42" t="str">
        <f t="shared" si="30"/>
        <v>&lt;unit074&gt; "пр-т Венисье" {e, p 029, c 902, v "\mp3_ost\venis`e.mp3", d 000, n 075}</v>
      </c>
    </row>
    <row r="75" spans="2:12" x14ac:dyDescent="0.25">
      <c r="B75" s="44">
        <f t="shared" si="24"/>
        <v>75</v>
      </c>
      <c r="C75" s="44" t="s">
        <v>329</v>
      </c>
      <c r="D75" s="39" t="str">
        <f t="shared" si="25"/>
        <v>&gt;&gt;</v>
      </c>
      <c r="E75" s="44" t="s">
        <v>241</v>
      </c>
      <c r="F75" s="44" t="s">
        <v>381</v>
      </c>
      <c r="G75" s="45">
        <f t="shared" si="31"/>
        <v>76</v>
      </c>
      <c r="H75" s="40" t="str">
        <f t="shared" si="26"/>
        <v>p 032</v>
      </c>
      <c r="I75" s="45" t="str">
        <f t="shared" si="27"/>
        <v>c 900</v>
      </c>
      <c r="J75" s="46" t="str">
        <f t="shared" si="28"/>
        <v>v "\mp3_ost\skarwnw.mp3"</v>
      </c>
      <c r="K75" s="40" t="str">
        <f t="shared" si="29"/>
        <v>c 930</v>
      </c>
      <c r="L75" s="42" t="str">
        <f t="shared" si="30"/>
        <v>&lt;unit075&gt; "&gt;&gt;пр-т Скорины" {e, p 032, c 900, v "\mp3_ost\skarwnw.mp3", c 930, d 000, n 076}</v>
      </c>
    </row>
    <row r="76" spans="2:12" x14ac:dyDescent="0.25">
      <c r="B76" s="44">
        <f t="shared" si="24"/>
        <v>76</v>
      </c>
      <c r="C76" s="44" t="s">
        <v>79</v>
      </c>
      <c r="D76" s="39" t="str">
        <f t="shared" si="25"/>
        <v/>
      </c>
      <c r="E76" s="44" t="s">
        <v>241</v>
      </c>
      <c r="G76" s="45">
        <f t="shared" si="31"/>
        <v>77</v>
      </c>
      <c r="H76" s="40" t="str">
        <f t="shared" si="26"/>
        <v>p 032</v>
      </c>
      <c r="I76" s="45" t="str">
        <f t="shared" si="27"/>
        <v>c 902</v>
      </c>
      <c r="J76" s="46" t="str">
        <f t="shared" si="28"/>
        <v>v "\mp3_ost\skarwnw.mp3"</v>
      </c>
      <c r="K76" s="40" t="str">
        <f t="shared" si="29"/>
        <v/>
      </c>
      <c r="L76" s="42" t="str">
        <f t="shared" si="30"/>
        <v>&lt;unit076&gt; "пр-т Скорины" {e, p 032, c 902, v "\mp3_ost\skarwnw.mp3", d 000, n 077}</v>
      </c>
    </row>
    <row r="77" spans="2:12" x14ac:dyDescent="0.25">
      <c r="B77" s="44">
        <f t="shared" si="24"/>
        <v>77</v>
      </c>
      <c r="C77" s="44" t="s">
        <v>329</v>
      </c>
      <c r="D77" s="39" t="str">
        <f t="shared" si="25"/>
        <v>&gt;&gt;</v>
      </c>
      <c r="E77" s="44" t="s">
        <v>274</v>
      </c>
      <c r="F77" s="44" t="s">
        <v>381</v>
      </c>
      <c r="G77" s="45">
        <f t="shared" si="31"/>
        <v>78</v>
      </c>
      <c r="H77" s="40" t="str">
        <f t="shared" si="26"/>
        <v>p 060</v>
      </c>
      <c r="I77" s="45" t="str">
        <f t="shared" si="27"/>
        <v>c 900</v>
      </c>
      <c r="J77" s="46" t="str">
        <f t="shared" si="28"/>
        <v>c 928, v "\mp3_ost\lag.mp3"</v>
      </c>
      <c r="K77" s="40" t="str">
        <f t="shared" si="29"/>
        <v>c 930</v>
      </c>
      <c r="L77" s="42" t="str">
        <f t="shared" si="30"/>
        <v>&lt;unit077&gt; "&gt;&gt;ул.Логойская" {e, p 060, c 900, c 928, v "\mp3_ost\lag.mp3", c 930, d 000, n 078}</v>
      </c>
    </row>
    <row r="78" spans="2:12" x14ac:dyDescent="0.25">
      <c r="B78" s="44">
        <f t="shared" si="24"/>
        <v>78</v>
      </c>
      <c r="C78" s="44" t="s">
        <v>79</v>
      </c>
      <c r="D78" s="39" t="str">
        <f t="shared" si="25"/>
        <v/>
      </c>
      <c r="E78" s="44" t="s">
        <v>274</v>
      </c>
      <c r="G78" s="45">
        <f t="shared" si="31"/>
        <v>79</v>
      </c>
      <c r="H78" s="40" t="str">
        <f t="shared" si="26"/>
        <v>p 060</v>
      </c>
      <c r="I78" s="45" t="str">
        <f t="shared" si="27"/>
        <v>c 902</v>
      </c>
      <c r="J78" s="46" t="str">
        <f t="shared" si="28"/>
        <v>c 928, v "\mp3_ost\lag.mp3"</v>
      </c>
      <c r="K78" s="40" t="str">
        <f t="shared" si="29"/>
        <v/>
      </c>
      <c r="L78" s="42" t="str">
        <f t="shared" si="30"/>
        <v>&lt;unit078&gt; "ул.Логойская" {e, p 060, c 902, c 928, v "\mp3_ost\lag.mp3", d 000, n 079}</v>
      </c>
    </row>
    <row r="79" spans="2:12" x14ac:dyDescent="0.25">
      <c r="B79" s="44">
        <f t="shared" si="24"/>
        <v>79</v>
      </c>
      <c r="C79" s="44" t="s">
        <v>329</v>
      </c>
      <c r="D79" s="39" t="str">
        <f t="shared" si="25"/>
        <v>&gt;&gt;</v>
      </c>
      <c r="E79" s="44" t="s">
        <v>344</v>
      </c>
      <c r="F79" s="44" t="s">
        <v>381</v>
      </c>
      <c r="G79" s="45">
        <f t="shared" si="31"/>
        <v>80</v>
      </c>
      <c r="H79" s="40" t="str">
        <f t="shared" si="26"/>
        <v>p 061</v>
      </c>
      <c r="I79" s="45" t="str">
        <f t="shared" si="27"/>
        <v>c 900</v>
      </c>
      <c r="J79" s="46" t="str">
        <f t="shared" si="28"/>
        <v>c 928, v "\mp3_ost\log21.mp3"</v>
      </c>
      <c r="K79" s="40" t="str">
        <f t="shared" si="29"/>
        <v>c 930</v>
      </c>
      <c r="L79" s="42" t="str">
        <f t="shared" si="30"/>
        <v>&lt;unit079&gt; "&gt;&gt;ул.Логойская,21" {e, p 061, c 900, c 928, v "\mp3_ost\log21.mp3", c 930, d 000, n 080}</v>
      </c>
    </row>
    <row r="80" spans="2:12" x14ac:dyDescent="0.25">
      <c r="B80" s="44">
        <f t="shared" si="24"/>
        <v>80</v>
      </c>
      <c r="C80" s="44" t="s">
        <v>79</v>
      </c>
      <c r="D80" s="39" t="str">
        <f t="shared" si="25"/>
        <v/>
      </c>
      <c r="E80" s="44" t="s">
        <v>344</v>
      </c>
      <c r="G80" s="45">
        <f t="shared" si="31"/>
        <v>81</v>
      </c>
      <c r="H80" s="40" t="str">
        <f t="shared" si="26"/>
        <v>p 061</v>
      </c>
      <c r="I80" s="45" t="str">
        <f t="shared" si="27"/>
        <v>c 902</v>
      </c>
      <c r="J80" s="46" t="str">
        <f t="shared" si="28"/>
        <v>c 928, v "\mp3_ost\log21.mp3"</v>
      </c>
      <c r="K80" s="40" t="str">
        <f t="shared" si="29"/>
        <v/>
      </c>
      <c r="L80" s="42" t="str">
        <f t="shared" si="30"/>
        <v>&lt;unit080&gt; "ул.Логойская,21" {e, p 061, c 902, c 928, v "\mp3_ost\log21.mp3", d 000, n 081}</v>
      </c>
    </row>
    <row r="81" spans="2:12" x14ac:dyDescent="0.25">
      <c r="B81" s="44">
        <f t="shared" si="24"/>
        <v>81</v>
      </c>
      <c r="C81" s="44" t="s">
        <v>329</v>
      </c>
      <c r="D81" s="39" t="str">
        <f t="shared" si="25"/>
        <v>&gt;&gt;</v>
      </c>
      <c r="E81" s="44" t="s">
        <v>345</v>
      </c>
      <c r="F81" s="44" t="s">
        <v>381</v>
      </c>
      <c r="G81" s="45">
        <f t="shared" si="31"/>
        <v>82</v>
      </c>
      <c r="H81" s="40" t="str">
        <f t="shared" si="26"/>
        <v>p 062</v>
      </c>
      <c r="I81" s="45" t="str">
        <f t="shared" si="27"/>
        <v>c 900</v>
      </c>
      <c r="J81" s="46" t="str">
        <f t="shared" si="28"/>
        <v>c 928, v "\mp3_ost\log23.mp3"</v>
      </c>
      <c r="K81" s="40" t="str">
        <f t="shared" si="29"/>
        <v>c 930</v>
      </c>
      <c r="L81" s="42" t="str">
        <f t="shared" si="30"/>
        <v>&lt;unit081&gt; "&gt;&gt;ул.Логойская,23" {e, p 062, c 900, c 928, v "\mp3_ost\log23.mp3", c 930, d 000, n 082}</v>
      </c>
    </row>
    <row r="82" spans="2:12" x14ac:dyDescent="0.25">
      <c r="B82" s="44">
        <f t="shared" si="24"/>
        <v>82</v>
      </c>
      <c r="C82" s="44" t="s">
        <v>79</v>
      </c>
      <c r="D82" s="39" t="str">
        <f t="shared" si="25"/>
        <v/>
      </c>
      <c r="E82" s="44" t="s">
        <v>345</v>
      </c>
      <c r="G82" s="45">
        <f t="shared" si="31"/>
        <v>83</v>
      </c>
      <c r="H82" s="40" t="str">
        <f t="shared" si="26"/>
        <v>p 062</v>
      </c>
      <c r="I82" s="45" t="str">
        <f t="shared" si="27"/>
        <v>c 902</v>
      </c>
      <c r="J82" s="46" t="str">
        <f t="shared" si="28"/>
        <v>c 928, v "\mp3_ost\log23.mp3"</v>
      </c>
      <c r="K82" s="40" t="str">
        <f t="shared" si="29"/>
        <v/>
      </c>
      <c r="L82" s="42" t="str">
        <f t="shared" si="30"/>
        <v>&lt;unit082&gt; "ул.Логойская,23" {e, p 062, c 902, c 928, v "\mp3_ost\log23.mp3", d 000, n 083}</v>
      </c>
    </row>
    <row r="83" spans="2:12" x14ac:dyDescent="0.25">
      <c r="B83" s="44">
        <f t="shared" si="24"/>
        <v>83</v>
      </c>
      <c r="C83" s="44" t="s">
        <v>329</v>
      </c>
      <c r="D83" s="39" t="str">
        <f t="shared" si="25"/>
        <v>&gt;&gt;</v>
      </c>
      <c r="E83" s="44" t="s">
        <v>173</v>
      </c>
      <c r="F83" s="44" t="s">
        <v>381</v>
      </c>
      <c r="G83" s="45">
        <f t="shared" si="31"/>
        <v>84</v>
      </c>
      <c r="H83" s="40" t="str">
        <f t="shared" si="26"/>
        <v>p 001</v>
      </c>
      <c r="I83" s="45" t="str">
        <f t="shared" si="27"/>
        <v>c 900</v>
      </c>
      <c r="J83" s="46" t="str">
        <f t="shared" si="28"/>
        <v>v "\mp3_ost\8mikra.mp3"</v>
      </c>
      <c r="K83" s="40" t="str">
        <f t="shared" si="29"/>
        <v>c 930</v>
      </c>
      <c r="L83" s="42" t="str">
        <f t="shared" si="30"/>
        <v>&lt;unit083&gt; "&gt;&gt;8 микрорайон" {e, p 001, c 900, v "\mp3_ost\8mikra.mp3", c 930, d 000, n 084}</v>
      </c>
    </row>
    <row r="84" spans="2:12" x14ac:dyDescent="0.25">
      <c r="B84" s="44">
        <f t="shared" si="24"/>
        <v>84</v>
      </c>
      <c r="C84" s="44" t="s">
        <v>79</v>
      </c>
      <c r="D84" s="39" t="str">
        <f t="shared" si="25"/>
        <v/>
      </c>
      <c r="E84" s="44" t="s">
        <v>173</v>
      </c>
      <c r="G84" s="45">
        <f t="shared" si="31"/>
        <v>85</v>
      </c>
      <c r="H84" s="40" t="str">
        <f t="shared" si="26"/>
        <v>p 001</v>
      </c>
      <c r="I84" s="45" t="str">
        <f t="shared" si="27"/>
        <v>c 902</v>
      </c>
      <c r="J84" s="46" t="str">
        <f t="shared" si="28"/>
        <v>v "\mp3_ost\8mikra.mp3"</v>
      </c>
      <c r="K84" s="40" t="str">
        <f t="shared" si="29"/>
        <v/>
      </c>
      <c r="L84" s="42" t="str">
        <f t="shared" si="30"/>
        <v>&lt;unit084&gt; "8 микрорайон" {e, p 001, c 902, v "\mp3_ost\8mikra.mp3", d 000, n 085}</v>
      </c>
    </row>
    <row r="85" spans="2:12" x14ac:dyDescent="0.25">
      <c r="B85" s="44">
        <f t="shared" si="24"/>
        <v>85</v>
      </c>
      <c r="C85" s="44" t="s">
        <v>329</v>
      </c>
      <c r="D85" s="39" t="str">
        <f t="shared" si="25"/>
        <v>&gt;&gt;</v>
      </c>
      <c r="E85" s="44" t="s">
        <v>214</v>
      </c>
      <c r="F85" s="44" t="s">
        <v>381</v>
      </c>
      <c r="G85" s="45">
        <f t="shared" si="31"/>
        <v>86</v>
      </c>
      <c r="H85" s="40" t="str">
        <f t="shared" si="26"/>
        <v>p 030</v>
      </c>
      <c r="I85" s="45" t="str">
        <f t="shared" si="27"/>
        <v>c 900</v>
      </c>
      <c r="J85" s="46" t="str">
        <f t="shared" si="28"/>
        <v>v "\mp3_ost\lenina.mp3"</v>
      </c>
      <c r="K85" s="40" t="str">
        <f t="shared" si="29"/>
        <v>c 930</v>
      </c>
      <c r="L85" s="42" t="str">
        <f t="shared" si="30"/>
        <v>&lt;unit085&gt; "&gt;&gt;пр-т Ленина" {e, p 030, c 900, v "\mp3_ost\lenina.mp3", c 930, d 000, n 086}</v>
      </c>
    </row>
    <row r="86" spans="2:12" x14ac:dyDescent="0.25">
      <c r="B86" s="44">
        <f t="shared" si="24"/>
        <v>86</v>
      </c>
      <c r="C86" s="44" t="s">
        <v>79</v>
      </c>
      <c r="D86" s="39" t="str">
        <f t="shared" si="25"/>
        <v/>
      </c>
      <c r="E86" s="44" t="s">
        <v>214</v>
      </c>
      <c r="G86" s="45">
        <f t="shared" si="31"/>
        <v>87</v>
      </c>
      <c r="H86" s="40" t="str">
        <f t="shared" si="26"/>
        <v>p 030</v>
      </c>
      <c r="I86" s="45" t="str">
        <f t="shared" si="27"/>
        <v>c 902</v>
      </c>
      <c r="J86" s="46" t="str">
        <f t="shared" si="28"/>
        <v>v "\mp3_ost\lenina.mp3"</v>
      </c>
      <c r="K86" s="40" t="str">
        <f t="shared" si="29"/>
        <v/>
      </c>
      <c r="L86" s="42" t="str">
        <f t="shared" si="30"/>
        <v>&lt;unit086&gt; "пр-т Ленина" {e, p 030, c 902, v "\mp3_ost\lenina.mp3", d 000, n 087}</v>
      </c>
    </row>
    <row r="87" spans="2:12" x14ac:dyDescent="0.25">
      <c r="B87" s="44">
        <f t="shared" si="24"/>
        <v>87</v>
      </c>
      <c r="C87" s="44" t="s">
        <v>329</v>
      </c>
      <c r="D87" s="39" t="str">
        <f t="shared" si="25"/>
        <v>&gt;&gt;</v>
      </c>
      <c r="E87" s="44" t="s">
        <v>351</v>
      </c>
      <c r="F87" s="44" t="s">
        <v>381</v>
      </c>
      <c r="G87" s="45">
        <f t="shared" si="31"/>
        <v>88</v>
      </c>
      <c r="H87" s="40" t="str">
        <f t="shared" si="26"/>
        <v>p 008</v>
      </c>
      <c r="I87" s="45" t="str">
        <f t="shared" si="27"/>
        <v>c 900</v>
      </c>
      <c r="J87" s="46" t="str">
        <f t="shared" si="28"/>
        <v>v "\mp3_ost\gimn1.mp3"</v>
      </c>
      <c r="K87" s="40" t="str">
        <f t="shared" si="29"/>
        <v>c 930</v>
      </c>
      <c r="L87" s="42" t="str">
        <f t="shared" si="30"/>
        <v>&lt;unit087&gt; "&gt;&gt;Гимназия № 1" {e, p 008, c 900, v "\mp3_ost\gimn1.mp3", c 930, d 000, n 088}</v>
      </c>
    </row>
    <row r="88" spans="2:12" x14ac:dyDescent="0.25">
      <c r="B88" s="44">
        <f t="shared" si="24"/>
        <v>88</v>
      </c>
      <c r="C88" s="44" t="s">
        <v>79</v>
      </c>
      <c r="D88" s="39" t="str">
        <f t="shared" si="25"/>
        <v/>
      </c>
      <c r="E88" s="44" t="s">
        <v>351</v>
      </c>
      <c r="G88" s="45">
        <f t="shared" si="31"/>
        <v>89</v>
      </c>
      <c r="H88" s="40" t="str">
        <f t="shared" si="26"/>
        <v>p 008</v>
      </c>
      <c r="I88" s="45" t="str">
        <f t="shared" si="27"/>
        <v>c 902</v>
      </c>
      <c r="J88" s="46" t="str">
        <f t="shared" si="28"/>
        <v>v "\mp3_ost\gimn1.mp3"</v>
      </c>
      <c r="K88" s="40" t="str">
        <f t="shared" si="29"/>
        <v/>
      </c>
      <c r="L88" s="42" t="str">
        <f t="shared" si="30"/>
        <v>&lt;unit088&gt; "Гимназия № 1" {e, p 008, c 902, v "\mp3_ost\gimn1.mp3", d 000, n 089}</v>
      </c>
    </row>
    <row r="89" spans="2:12" x14ac:dyDescent="0.25">
      <c r="B89" s="44">
        <f t="shared" si="24"/>
        <v>89</v>
      </c>
      <c r="C89" s="44" t="s">
        <v>329</v>
      </c>
      <c r="D89" s="39" t="str">
        <f t="shared" si="25"/>
        <v>&gt;&gt;</v>
      </c>
      <c r="E89" s="44" t="s">
        <v>170</v>
      </c>
      <c r="F89" s="44" t="s">
        <v>381</v>
      </c>
      <c r="G89" s="45">
        <f t="shared" si="31"/>
        <v>90</v>
      </c>
      <c r="H89" s="40" t="str">
        <f t="shared" si="26"/>
        <v>p 037</v>
      </c>
      <c r="I89" s="45" t="str">
        <f t="shared" si="27"/>
        <v>c 900</v>
      </c>
      <c r="J89" s="46" t="str">
        <f t="shared" si="28"/>
        <v>v "\mp3_ost\5ssh.mp3"</v>
      </c>
      <c r="K89" s="40" t="str">
        <f t="shared" si="29"/>
        <v>c 930</v>
      </c>
      <c r="L89" s="42" t="str">
        <f t="shared" si="30"/>
        <v>&lt;unit089&gt; "&gt;&gt;СШ № 5" {e, p 037, c 900, v "\mp3_ost\5ssh.mp3", c 930, d 000, n 090}</v>
      </c>
    </row>
    <row r="90" spans="2:12" x14ac:dyDescent="0.25">
      <c r="B90" s="44">
        <f t="shared" si="24"/>
        <v>90</v>
      </c>
      <c r="C90" s="44" t="s">
        <v>79</v>
      </c>
      <c r="D90" s="39" t="str">
        <f t="shared" si="25"/>
        <v/>
      </c>
      <c r="E90" s="44" t="s">
        <v>170</v>
      </c>
      <c r="G90" s="45">
        <f t="shared" si="31"/>
        <v>91</v>
      </c>
      <c r="H90" s="40" t="str">
        <f t="shared" si="26"/>
        <v>p 037</v>
      </c>
      <c r="I90" s="45" t="str">
        <f t="shared" si="27"/>
        <v>c 902</v>
      </c>
      <c r="J90" s="46" t="str">
        <f t="shared" si="28"/>
        <v>v "\mp3_ost\5ssh.mp3"</v>
      </c>
      <c r="K90" s="40" t="str">
        <f t="shared" si="29"/>
        <v/>
      </c>
      <c r="L90" s="42" t="str">
        <f t="shared" si="30"/>
        <v>&lt;unit090&gt; "СШ № 5" {e, p 037, c 902, v "\mp3_ost\5ssh.mp3", d 000, n 091}</v>
      </c>
    </row>
    <row r="91" spans="2:12" x14ac:dyDescent="0.25">
      <c r="B91" s="44">
        <f t="shared" si="24"/>
        <v>91</v>
      </c>
      <c r="C91" s="44" t="s">
        <v>329</v>
      </c>
      <c r="D91" s="39" t="str">
        <f t="shared" si="25"/>
        <v>&gt;&gt;</v>
      </c>
      <c r="E91" s="44" t="s">
        <v>225</v>
      </c>
      <c r="F91" s="44" t="s">
        <v>381</v>
      </c>
      <c r="G91" s="45">
        <f t="shared" si="31"/>
        <v>92</v>
      </c>
      <c r="H91" s="40" t="str">
        <f t="shared" si="26"/>
        <v>p 027</v>
      </c>
      <c r="I91" s="45" t="str">
        <f t="shared" si="27"/>
        <v>c 900</v>
      </c>
      <c r="J91" s="46" t="str">
        <f t="shared" si="28"/>
        <v>v "\mp3_ost\paliklin.mp3"</v>
      </c>
      <c r="K91" s="40" t="str">
        <f t="shared" si="29"/>
        <v>c 930</v>
      </c>
      <c r="L91" s="42" t="str">
        <f t="shared" si="30"/>
        <v>&lt;unit091&gt; "&gt;&gt;Поликлиника" {e, p 027, c 900, v "\mp3_ost\paliklin.mp3", c 930, d 000, n 092}</v>
      </c>
    </row>
    <row r="92" spans="2:12" x14ac:dyDescent="0.25">
      <c r="B92" s="44">
        <f t="shared" si="24"/>
        <v>92</v>
      </c>
      <c r="C92" s="44" t="s">
        <v>79</v>
      </c>
      <c r="D92" s="39" t="str">
        <f t="shared" si="25"/>
        <v/>
      </c>
      <c r="E92" s="44" t="s">
        <v>225</v>
      </c>
      <c r="G92" s="45">
        <f t="shared" si="31"/>
        <v>93</v>
      </c>
      <c r="H92" s="40" t="str">
        <f t="shared" si="26"/>
        <v>p 027</v>
      </c>
      <c r="I92" s="45" t="str">
        <f t="shared" si="27"/>
        <v>c 902</v>
      </c>
      <c r="J92" s="46" t="str">
        <f t="shared" si="28"/>
        <v>v "\mp3_ost\paliklin.mp3"</v>
      </c>
      <c r="K92" s="40" t="str">
        <f t="shared" si="29"/>
        <v/>
      </c>
      <c r="L92" s="42" t="str">
        <f t="shared" si="30"/>
        <v>&lt;unit092&gt; "Поликлиника" {e, p 027, c 902, v "\mp3_ost\paliklin.mp3", d 000, n 093}</v>
      </c>
    </row>
    <row r="93" spans="2:12" x14ac:dyDescent="0.25">
      <c r="B93" s="44">
        <f t="shared" si="24"/>
        <v>93</v>
      </c>
      <c r="C93" s="44" t="s">
        <v>329</v>
      </c>
      <c r="D93" s="39" t="str">
        <f t="shared" si="25"/>
        <v>&gt;&gt;</v>
      </c>
      <c r="E93" s="44" t="s">
        <v>349</v>
      </c>
      <c r="F93" s="44" t="s">
        <v>381</v>
      </c>
      <c r="G93" s="45">
        <f t="shared" si="31"/>
        <v>94</v>
      </c>
      <c r="H93" s="40" t="str">
        <f t="shared" si="26"/>
        <v>p 022</v>
      </c>
      <c r="I93" s="45" t="str">
        <f t="shared" si="27"/>
        <v>c 900</v>
      </c>
      <c r="J93" s="46" t="str">
        <f t="shared" si="28"/>
        <v>v "\mp3_ost\park.mp3"</v>
      </c>
      <c r="K93" s="40" t="str">
        <f t="shared" si="29"/>
        <v>c 930</v>
      </c>
      <c r="L93" s="42" t="str">
        <f t="shared" si="30"/>
        <v>&lt;unit093&gt; "&gt;&gt;Парк культуры" {e, p 022, c 900, v "\mp3_ost\park.mp3", c 930, d 000, n 094}</v>
      </c>
    </row>
    <row r="94" spans="2:12" x14ac:dyDescent="0.25">
      <c r="B94" s="44">
        <f t="shared" si="24"/>
        <v>94</v>
      </c>
      <c r="C94" s="44" t="s">
        <v>79</v>
      </c>
      <c r="D94" s="39" t="str">
        <f t="shared" si="25"/>
        <v/>
      </c>
      <c r="E94" s="44" t="s">
        <v>349</v>
      </c>
      <c r="G94" s="45">
        <f t="shared" si="31"/>
        <v>95</v>
      </c>
      <c r="H94" s="40" t="str">
        <f t="shared" si="26"/>
        <v>p 022</v>
      </c>
      <c r="I94" s="45" t="str">
        <f t="shared" si="27"/>
        <v>c 902</v>
      </c>
      <c r="J94" s="46" t="str">
        <f t="shared" si="28"/>
        <v>v "\mp3_ost\park.mp3"</v>
      </c>
      <c r="K94" s="40" t="str">
        <f t="shared" si="29"/>
        <v/>
      </c>
      <c r="L94" s="42" t="str">
        <f t="shared" si="30"/>
        <v>&lt;unit094&gt; "Парк культуры" {e, p 022, c 902, v "\mp3_ost\park.mp3", d 000, n 095}</v>
      </c>
    </row>
    <row r="95" spans="2:12" x14ac:dyDescent="0.25">
      <c r="B95" s="44">
        <f t="shared" si="24"/>
        <v>95</v>
      </c>
      <c r="C95" s="44" t="s">
        <v>329</v>
      </c>
      <c r="D95" s="39" t="str">
        <f t="shared" si="25"/>
        <v>&gt;&gt;</v>
      </c>
      <c r="E95" s="44" t="s">
        <v>233</v>
      </c>
      <c r="F95" s="44" t="s">
        <v>381</v>
      </c>
      <c r="G95" s="45">
        <f t="shared" si="31"/>
        <v>96</v>
      </c>
      <c r="H95" s="40" t="str">
        <f t="shared" si="26"/>
        <v>p 028</v>
      </c>
      <c r="I95" s="45" t="str">
        <f t="shared" si="27"/>
        <v>c 900</v>
      </c>
      <c r="J95" s="46" t="str">
        <f t="shared" si="28"/>
        <v>v "\mp3_ost\pochta.mp3"</v>
      </c>
      <c r="K95" s="40" t="str">
        <f t="shared" si="29"/>
        <v>c 930</v>
      </c>
      <c r="L95" s="42" t="str">
        <f t="shared" si="30"/>
        <v>&lt;unit095&gt; "&gt;&gt;Почта" {e, p 028, c 900, v "\mp3_ost\pochta.mp3", c 930, d 000, n 096}</v>
      </c>
    </row>
    <row r="96" spans="2:12" x14ac:dyDescent="0.25">
      <c r="B96" s="44">
        <f t="shared" si="24"/>
        <v>96</v>
      </c>
      <c r="C96" s="44" t="s">
        <v>79</v>
      </c>
      <c r="D96" s="39" t="str">
        <f t="shared" si="25"/>
        <v/>
      </c>
      <c r="E96" s="44" t="s">
        <v>233</v>
      </c>
      <c r="G96" s="45">
        <f t="shared" si="31"/>
        <v>97</v>
      </c>
      <c r="H96" s="40" t="str">
        <f t="shared" si="26"/>
        <v>p 028</v>
      </c>
      <c r="I96" s="45" t="str">
        <f t="shared" si="27"/>
        <v>c 902</v>
      </c>
      <c r="J96" s="46" t="str">
        <f t="shared" si="28"/>
        <v>v "\mp3_ost\pochta.mp3"</v>
      </c>
      <c r="K96" s="40" t="str">
        <f t="shared" si="29"/>
        <v/>
      </c>
      <c r="L96" s="42" t="str">
        <f t="shared" ref="L96:L114" si="32">"&lt;unit"&amp;TEXT(B96,"000")&amp;"&gt; """&amp;СцепитьМного(D96:E96,"")&amp;""" {e, "&amp;СцепитьМного(H96:K96,", ")&amp;", d 000, n "&amp;TEXT(G96,"000")&amp;"}"</f>
        <v>&lt;unit096&gt; "Почта" {e, p 028, c 902, v "\mp3_ost\pochta.mp3", d 000, n 097}</v>
      </c>
    </row>
    <row r="97" spans="2:12" x14ac:dyDescent="0.25">
      <c r="B97" s="44">
        <f t="shared" si="24"/>
        <v>97</v>
      </c>
      <c r="C97" s="44" t="s">
        <v>329</v>
      </c>
      <c r="D97" s="39" t="str">
        <f t="shared" si="25"/>
        <v>&gt;&gt;</v>
      </c>
      <c r="E97" s="44" t="s">
        <v>167</v>
      </c>
      <c r="F97" s="44" t="s">
        <v>381</v>
      </c>
      <c r="G97" s="45">
        <f t="shared" si="31"/>
        <v>98</v>
      </c>
      <c r="H97" s="40" t="str">
        <f t="shared" si="26"/>
        <v>p 077</v>
      </c>
      <c r="I97" s="45" t="str">
        <f t="shared" si="27"/>
        <v>c 900</v>
      </c>
      <c r="J97" s="46" t="str">
        <f t="shared" si="28"/>
        <v>c 928, v "\mp3_ost\swrokvas.mp3"</v>
      </c>
      <c r="K97" s="40" t="str">
        <f t="shared" si="29"/>
        <v>c 930</v>
      </c>
      <c r="L97" s="42" t="str">
        <f t="shared" si="32"/>
        <v>&lt;unit097&gt; "&gt;&gt;ул.Сырокваша" {e, p 077, c 900, c 928, v "\mp3_ost\swrokvas.mp3", c 930, d 000, n 098}</v>
      </c>
    </row>
    <row r="98" spans="2:12" x14ac:dyDescent="0.25">
      <c r="B98" s="44">
        <f t="shared" si="24"/>
        <v>98</v>
      </c>
      <c r="C98" s="44" t="s">
        <v>79</v>
      </c>
      <c r="D98" s="39" t="str">
        <f t="shared" si="25"/>
        <v/>
      </c>
      <c r="E98" s="44" t="s">
        <v>167</v>
      </c>
      <c r="G98" s="45">
        <f t="shared" si="31"/>
        <v>99</v>
      </c>
      <c r="H98" s="40" t="str">
        <f t="shared" si="26"/>
        <v>p 077</v>
      </c>
      <c r="I98" s="45" t="str">
        <f t="shared" si="27"/>
        <v>c 902</v>
      </c>
      <c r="J98" s="46" t="str">
        <f t="shared" si="28"/>
        <v>c 928, v "\mp3_ost\swrokvas.mp3"</v>
      </c>
      <c r="K98" s="40" t="str">
        <f t="shared" si="29"/>
        <v/>
      </c>
      <c r="L98" s="42" t="str">
        <f t="shared" si="32"/>
        <v>&lt;unit098&gt; "ул.Сырокваша" {e, p 077, c 902, c 928, v "\mp3_ost\swrokvas.mp3", d 000, n 099}</v>
      </c>
    </row>
    <row r="99" spans="2:12" x14ac:dyDescent="0.25">
      <c r="B99" s="44">
        <f t="shared" si="24"/>
        <v>99</v>
      </c>
      <c r="C99" s="44" t="s">
        <v>329</v>
      </c>
      <c r="D99" s="39" t="str">
        <f t="shared" si="25"/>
        <v>&gt;&gt;</v>
      </c>
      <c r="E99" s="44" t="s">
        <v>165</v>
      </c>
      <c r="F99" s="44" t="s">
        <v>381</v>
      </c>
      <c r="G99" s="45">
        <f t="shared" si="31"/>
        <v>100</v>
      </c>
      <c r="H99" s="40" t="str">
        <f t="shared" si="26"/>
        <v>p 064</v>
      </c>
      <c r="I99" s="45" t="str">
        <f t="shared" si="27"/>
        <v>c 900</v>
      </c>
      <c r="J99" s="46" t="str">
        <f t="shared" si="28"/>
        <v>c 928, v "\mp3_ost\moskovsk.mp3"</v>
      </c>
      <c r="K99" s="40" t="str">
        <f t="shared" si="29"/>
        <v>c 930</v>
      </c>
      <c r="L99" s="42" t="str">
        <f t="shared" si="32"/>
        <v>&lt;unit099&gt; "&gt;&gt;ул.Московская" {e, p 064, c 900, c 928, v "\mp3_ost\moskovsk.mp3", c 930, d 000, n 100}</v>
      </c>
    </row>
    <row r="100" spans="2:12" x14ac:dyDescent="0.25">
      <c r="B100" s="44">
        <f t="shared" si="24"/>
        <v>100</v>
      </c>
      <c r="C100" s="44" t="s">
        <v>79</v>
      </c>
      <c r="D100" s="39" t="str">
        <f t="shared" si="25"/>
        <v/>
      </c>
      <c r="E100" s="44" t="s">
        <v>165</v>
      </c>
      <c r="G100" s="45">
        <f t="shared" si="31"/>
        <v>101</v>
      </c>
      <c r="H100" s="40" t="str">
        <f t="shared" si="26"/>
        <v>p 064</v>
      </c>
      <c r="I100" s="45" t="str">
        <f t="shared" si="27"/>
        <v>c 902</v>
      </c>
      <c r="J100" s="46" t="str">
        <f t="shared" si="28"/>
        <v>c 928, v "\mp3_ost\moskovsk.mp3"</v>
      </c>
      <c r="K100" s="40" t="str">
        <f t="shared" si="29"/>
        <v/>
      </c>
      <c r="L100" s="42" t="str">
        <f t="shared" si="32"/>
        <v>&lt;unit100&gt; "ул.Московская" {e, p 064, c 902, c 928, v "\mp3_ost\moskovsk.mp3", d 000, n 101}</v>
      </c>
    </row>
    <row r="101" spans="2:12" x14ac:dyDescent="0.25">
      <c r="B101" s="44">
        <f t="shared" si="24"/>
        <v>101</v>
      </c>
      <c r="C101" s="44" t="s">
        <v>329</v>
      </c>
      <c r="D101" s="39" t="str">
        <f t="shared" si="25"/>
        <v>&gt;&gt;</v>
      </c>
      <c r="E101" s="44" t="s">
        <v>166</v>
      </c>
      <c r="F101" s="44" t="s">
        <v>381</v>
      </c>
      <c r="G101" s="45">
        <f t="shared" si="31"/>
        <v>102</v>
      </c>
      <c r="H101" s="40" t="str">
        <f t="shared" si="26"/>
        <v>p 068</v>
      </c>
      <c r="I101" s="45" t="str">
        <f t="shared" si="27"/>
        <v>c 900</v>
      </c>
      <c r="J101" s="46" t="str">
        <f t="shared" si="28"/>
        <v>c 928, v "\mp3_ost\partizan.mp3"</v>
      </c>
      <c r="K101" s="40" t="str">
        <f t="shared" si="29"/>
        <v>c 930</v>
      </c>
      <c r="L101" s="42" t="str">
        <f t="shared" si="32"/>
        <v>&lt;unit101&gt; "&gt;&gt;ул.Партизанская" {e, p 068, c 900, c 928, v "\mp3_ost\partizan.mp3", c 930, d 000, n 102}</v>
      </c>
    </row>
    <row r="102" spans="2:12" x14ac:dyDescent="0.25">
      <c r="B102" s="44">
        <f t="shared" si="24"/>
        <v>102</v>
      </c>
      <c r="C102" s="44" t="s">
        <v>79</v>
      </c>
      <c r="D102" s="39" t="str">
        <f t="shared" si="25"/>
        <v/>
      </c>
      <c r="E102" s="44" t="s">
        <v>166</v>
      </c>
      <c r="G102" s="45">
        <f t="shared" si="31"/>
        <v>103</v>
      </c>
      <c r="H102" s="40" t="str">
        <f t="shared" si="26"/>
        <v>p 068</v>
      </c>
      <c r="I102" s="45" t="str">
        <f t="shared" si="27"/>
        <v>c 902</v>
      </c>
      <c r="J102" s="46" t="str">
        <f t="shared" si="28"/>
        <v>c 928, v "\mp3_ost\partizan.mp3"</v>
      </c>
      <c r="K102" s="40" t="str">
        <f t="shared" si="29"/>
        <v/>
      </c>
      <c r="L102" s="42" t="str">
        <f t="shared" si="32"/>
        <v>&lt;unit102&gt; "ул.Партизанская" {e, p 068, c 902, c 928, v "\mp3_ost\partizan.mp3", d 000, n 103}</v>
      </c>
    </row>
    <row r="103" spans="2:12" x14ac:dyDescent="0.25">
      <c r="B103" s="44">
        <f t="shared" si="24"/>
        <v>103</v>
      </c>
      <c r="C103" s="44" t="s">
        <v>329</v>
      </c>
      <c r="D103" s="39" t="str">
        <f t="shared" si="25"/>
        <v>&gt;&gt;</v>
      </c>
      <c r="E103" s="44" t="s">
        <v>163</v>
      </c>
      <c r="F103" s="44" t="s">
        <v>381</v>
      </c>
      <c r="G103" s="45">
        <f t="shared" si="31"/>
        <v>104</v>
      </c>
      <c r="H103" s="40" t="str">
        <f t="shared" si="26"/>
        <v>p 010</v>
      </c>
      <c r="I103" s="45" t="str">
        <f t="shared" si="27"/>
        <v>c 900</v>
      </c>
      <c r="J103" s="46" t="str">
        <f t="shared" si="28"/>
        <v>v "\mp3_ost\jd.mp3"</v>
      </c>
      <c r="K103" s="40" t="str">
        <f t="shared" si="29"/>
        <v>c 930</v>
      </c>
      <c r="L103" s="42" t="str">
        <f t="shared" si="32"/>
        <v>&lt;unit103&gt; "&gt;&gt;ЖД Вокзал" {e, p 010, c 900, v "\mp3_ost\jd.mp3", c 930, d 000, n 104}</v>
      </c>
    </row>
    <row r="104" spans="2:12" x14ac:dyDescent="0.25">
      <c r="B104" s="44">
        <f t="shared" si="24"/>
        <v>104</v>
      </c>
      <c r="C104" s="44" t="s">
        <v>79</v>
      </c>
      <c r="D104" s="39" t="str">
        <f t="shared" si="25"/>
        <v/>
      </c>
      <c r="E104" s="44" t="s">
        <v>163</v>
      </c>
      <c r="G104" s="45">
        <f t="shared" si="31"/>
        <v>105</v>
      </c>
      <c r="H104" s="40" t="str">
        <f t="shared" si="26"/>
        <v>p 010</v>
      </c>
      <c r="I104" s="45" t="str">
        <f t="shared" si="27"/>
        <v>c 902</v>
      </c>
      <c r="J104" s="46" t="str">
        <f t="shared" si="28"/>
        <v>v "\mp3_ost\jd.mp3"</v>
      </c>
      <c r="K104" s="40" t="str">
        <f t="shared" si="29"/>
        <v/>
      </c>
      <c r="L104" s="42" t="str">
        <f t="shared" si="32"/>
        <v>&lt;unit104&gt; "ЖД Вокзал" {e, p 010, c 902, v "\mp3_ost\jd.mp3", d 000, n 105}</v>
      </c>
    </row>
    <row r="105" spans="2:12" x14ac:dyDescent="0.25">
      <c r="B105" s="44">
        <f t="shared" si="24"/>
        <v>105</v>
      </c>
      <c r="C105" s="44" t="s">
        <v>329</v>
      </c>
      <c r="D105" s="39" t="str">
        <f t="shared" si="25"/>
        <v>&gt;&gt;</v>
      </c>
      <c r="E105" s="44" t="s">
        <v>346</v>
      </c>
      <c r="F105" s="44" t="s">
        <v>381</v>
      </c>
      <c r="G105" s="45">
        <f t="shared" si="31"/>
        <v>106</v>
      </c>
      <c r="H105" s="40" t="str">
        <f t="shared" si="26"/>
        <v>p 054</v>
      </c>
      <c r="I105" s="45" t="str">
        <f t="shared" si="27"/>
        <v>c 900</v>
      </c>
      <c r="J105" s="46" t="str">
        <f t="shared" si="28"/>
        <v>c 928, v "\mp3_ost\zhodinsk.mp3"</v>
      </c>
      <c r="K105" s="40" t="str">
        <f t="shared" si="29"/>
        <v>c 930</v>
      </c>
      <c r="L105" s="42" t="str">
        <f t="shared" si="32"/>
        <v>&lt;unit105&gt; "&gt;&gt;ул.Жодинская" {e, p 054, c 900, c 928, v "\mp3_ost\zhodinsk.mp3", c 930, d 000, n 106}</v>
      </c>
    </row>
    <row r="106" spans="2:12" x14ac:dyDescent="0.25">
      <c r="B106" s="44">
        <f t="shared" si="24"/>
        <v>106</v>
      </c>
      <c r="C106" s="44" t="s">
        <v>79</v>
      </c>
      <c r="D106" s="39" t="str">
        <f t="shared" si="25"/>
        <v/>
      </c>
      <c r="E106" s="44" t="s">
        <v>346</v>
      </c>
      <c r="G106" s="45">
        <f t="shared" si="31"/>
        <v>107</v>
      </c>
      <c r="H106" s="40" t="str">
        <f t="shared" si="26"/>
        <v>p 054</v>
      </c>
      <c r="I106" s="45" t="str">
        <f t="shared" si="27"/>
        <v>c 902</v>
      </c>
      <c r="J106" s="46" t="str">
        <f t="shared" si="28"/>
        <v>c 928, v "\mp3_ost\zhodinsk.mp3"</v>
      </c>
      <c r="K106" s="40" t="str">
        <f t="shared" si="29"/>
        <v/>
      </c>
      <c r="L106" s="42" t="str">
        <f t="shared" si="32"/>
        <v>&lt;unit106&gt; "ул.Жодинская" {e, p 054, c 902, c 928, v "\mp3_ost\zhodinsk.mp3", d 000, n 107}</v>
      </c>
    </row>
    <row r="107" spans="2:12" x14ac:dyDescent="0.25">
      <c r="B107" s="44">
        <f t="shared" si="24"/>
        <v>107</v>
      </c>
      <c r="C107" s="44" t="s">
        <v>329</v>
      </c>
      <c r="D107" s="39" t="str">
        <f t="shared" ref="D107:D108" si="33">IF(I107="c 900","&gt;&gt;","")</f>
        <v>&gt;&gt;</v>
      </c>
      <c r="E107" s="44" t="s">
        <v>338</v>
      </c>
      <c r="F107" s="44" t="s">
        <v>381</v>
      </c>
      <c r="G107" s="45">
        <f t="shared" si="31"/>
        <v>108</v>
      </c>
      <c r="H107" s="40" t="str">
        <f t="shared" ref="H107:H108" si="34">IFERROR("p "&amp;VLOOKUP(E107,Tablo_Tab,2,FALSE),"")</f>
        <v>p 004</v>
      </c>
      <c r="I107" s="45" t="str">
        <f t="shared" ref="I107:I108" si="35">IFERROR("c "&amp;VLOOKUP(C107,Punkti,2,FALSE),"")</f>
        <v>c 900</v>
      </c>
      <c r="J107" s="46" t="str">
        <f t="shared" ref="J107:J108" si="36">IFERROR(VLOOKUP(E107,Ostanovki,7,FALSE),"")</f>
        <v>v "\mp3_ost\inst-zve.mp3"</v>
      </c>
      <c r="K107" s="40" t="str">
        <f t="shared" ref="K107:K108" si="37">IFERROR("c "&amp;VLOOKUP(F107,Punkti,2,FALSE),"")</f>
        <v>c 930</v>
      </c>
      <c r="L107" s="42" t="str">
        <f t="shared" si="32"/>
        <v>&lt;unit107&gt; "&gt;&gt;БелНИИЖ" {e, p 004, c 900, v "\mp3_ost\inst-zve.mp3", c 930, d 000, n 108}</v>
      </c>
    </row>
    <row r="108" spans="2:12" x14ac:dyDescent="0.25">
      <c r="B108" s="44">
        <f t="shared" si="24"/>
        <v>108</v>
      </c>
      <c r="C108" s="44" t="s">
        <v>79</v>
      </c>
      <c r="D108" s="39" t="str">
        <f t="shared" si="33"/>
        <v/>
      </c>
      <c r="E108" s="44" t="s">
        <v>338</v>
      </c>
      <c r="G108" s="45">
        <f t="shared" si="31"/>
        <v>109</v>
      </c>
      <c r="H108" s="40" t="str">
        <f t="shared" si="34"/>
        <v>p 004</v>
      </c>
      <c r="I108" s="45" t="str">
        <f t="shared" si="35"/>
        <v>c 902</v>
      </c>
      <c r="J108" s="46" t="str">
        <f t="shared" si="36"/>
        <v>v "\mp3_ost\inst-zve.mp3"</v>
      </c>
      <c r="K108" s="40" t="str">
        <f t="shared" si="37"/>
        <v/>
      </c>
      <c r="L108" s="42" t="str">
        <f t="shared" si="32"/>
        <v>&lt;unit108&gt; "БелНИИЖ" {e, p 004, c 902, v "\mp3_ost\inst-zve.mp3", d 000, n 109}</v>
      </c>
    </row>
    <row r="109" spans="2:12" x14ac:dyDescent="0.25">
      <c r="B109" s="44">
        <f t="shared" si="24"/>
        <v>109</v>
      </c>
      <c r="C109" s="44" t="s">
        <v>329</v>
      </c>
      <c r="D109" s="39" t="str">
        <f t="shared" ref="D109:D110" si="38">IF(I109="c 900","&gt;&gt;","")</f>
        <v>&gt;&gt;</v>
      </c>
      <c r="E109" s="44" t="s">
        <v>162</v>
      </c>
      <c r="F109" s="44" t="s">
        <v>381</v>
      </c>
      <c r="G109" s="45">
        <f t="shared" si="31"/>
        <v>110</v>
      </c>
      <c r="H109" s="40" t="str">
        <f t="shared" ref="H109:H110" si="39">IFERROR("p "&amp;VLOOKUP(E109,Tablo_Tab,2,FALSE),"")</f>
        <v>p 011</v>
      </c>
      <c r="I109" s="45" t="str">
        <f t="shared" ref="I109:I110" si="40">IFERROR("c "&amp;VLOOKUP(C109,Punkti,2,FALSE),"")</f>
        <v>c 900</v>
      </c>
      <c r="J109" s="46" t="str">
        <f t="shared" ref="J109:J110" si="41">IFERROR(VLOOKUP(E109,Ostanovki,7,FALSE),"")</f>
        <v>v "\mp3_ost\jen-gimn.mp3"</v>
      </c>
      <c r="K109" s="40" t="str">
        <f t="shared" ref="K109:K110" si="42">IFERROR("c "&amp;VLOOKUP(F109,Punkti,2,FALSE),"")</f>
        <v>c 930</v>
      </c>
      <c r="L109" s="42" t="str">
        <f t="shared" si="32"/>
        <v>&lt;unit109&gt; "&gt;&gt;Женская гимназия" {e, p 011, c 900, v "\mp3_ost\jen-gimn.mp3", c 930, d 000, n 110}</v>
      </c>
    </row>
    <row r="110" spans="2:12" x14ac:dyDescent="0.25">
      <c r="B110" s="44">
        <f t="shared" si="24"/>
        <v>110</v>
      </c>
      <c r="C110" s="44" t="s">
        <v>79</v>
      </c>
      <c r="D110" s="39" t="str">
        <f t="shared" si="38"/>
        <v/>
      </c>
      <c r="E110" s="44" t="s">
        <v>162</v>
      </c>
      <c r="G110" s="45">
        <f t="shared" si="31"/>
        <v>111</v>
      </c>
      <c r="H110" s="40" t="str">
        <f t="shared" si="39"/>
        <v>p 011</v>
      </c>
      <c r="I110" s="45" t="str">
        <f t="shared" si="40"/>
        <v>c 902</v>
      </c>
      <c r="J110" s="46" t="str">
        <f t="shared" si="41"/>
        <v>v "\mp3_ost\jen-gimn.mp3"</v>
      </c>
      <c r="K110" s="40" t="str">
        <f t="shared" si="42"/>
        <v/>
      </c>
      <c r="L110" s="42" t="str">
        <f t="shared" si="32"/>
        <v>&lt;unit110&gt; "Женская гимназия" {e, p 011, c 902, v "\mp3_ost\jen-gimn.mp3", d 000, n 111}</v>
      </c>
    </row>
    <row r="111" spans="2:12" x14ac:dyDescent="0.25">
      <c r="B111" s="44">
        <f t="shared" si="24"/>
        <v>111</v>
      </c>
      <c r="C111" s="44" t="s">
        <v>329</v>
      </c>
      <c r="D111" s="39" t="str">
        <f t="shared" si="25"/>
        <v>&gt;&gt;</v>
      </c>
      <c r="E111" s="44" t="s">
        <v>360</v>
      </c>
      <c r="F111" s="44" t="s">
        <v>381</v>
      </c>
      <c r="G111" s="45">
        <f t="shared" si="31"/>
        <v>112</v>
      </c>
      <c r="H111" s="40" t="str">
        <f t="shared" si="26"/>
        <v>p 057</v>
      </c>
      <c r="I111" s="45" t="str">
        <f t="shared" si="27"/>
        <v>c 900</v>
      </c>
      <c r="J111" s="46" t="str">
        <f t="shared" si="28"/>
        <v>c 928, v "\mp3_ost\leningra.mp3"</v>
      </c>
      <c r="K111" s="40" t="str">
        <f t="shared" si="29"/>
        <v>c 930</v>
      </c>
      <c r="L111" s="42" t="str">
        <f t="shared" si="32"/>
        <v>&lt;unit111&gt; "&gt;&gt;ул.Ленинградская" {e, p 057, c 900, c 928, v "\mp3_ost\leningra.mp3", c 930, d 000, n 112}</v>
      </c>
    </row>
    <row r="112" spans="2:12" x14ac:dyDescent="0.25">
      <c r="B112" s="44">
        <f t="shared" si="24"/>
        <v>112</v>
      </c>
      <c r="C112" s="44" t="s">
        <v>79</v>
      </c>
      <c r="D112" s="39" t="str">
        <f t="shared" si="25"/>
        <v/>
      </c>
      <c r="E112" s="44" t="s">
        <v>360</v>
      </c>
      <c r="G112" s="45">
        <f t="shared" si="31"/>
        <v>113</v>
      </c>
      <c r="H112" s="40" t="str">
        <f t="shared" si="26"/>
        <v>p 057</v>
      </c>
      <c r="I112" s="45" t="str">
        <f t="shared" si="27"/>
        <v>c 902</v>
      </c>
      <c r="J112" s="46" t="str">
        <f t="shared" si="28"/>
        <v>c 928, v "\mp3_ost\leningra.mp3"</v>
      </c>
      <c r="K112" s="40" t="str">
        <f t="shared" si="29"/>
        <v/>
      </c>
      <c r="L112" s="42" t="str">
        <f t="shared" si="32"/>
        <v>&lt;unit112&gt; "ул.Ленинградская" {e, p 057, c 902, c 928, v "\mp3_ost\leningra.mp3", d 000, n 113}</v>
      </c>
    </row>
    <row r="113" spans="2:12" x14ac:dyDescent="0.25">
      <c r="B113" s="44">
        <f t="shared" si="24"/>
        <v>113</v>
      </c>
      <c r="C113" s="44" t="s">
        <v>329</v>
      </c>
      <c r="D113" s="39" t="str">
        <f t="shared" si="25"/>
        <v>&gt;&gt;</v>
      </c>
      <c r="E113" s="44" t="s">
        <v>359</v>
      </c>
      <c r="F113" s="44" t="s">
        <v>381</v>
      </c>
      <c r="G113" s="45">
        <f t="shared" si="31"/>
        <v>114</v>
      </c>
      <c r="H113" s="40" t="str">
        <f t="shared" si="26"/>
        <v>p 073</v>
      </c>
      <c r="I113" s="45" t="str">
        <f t="shared" si="27"/>
        <v>c 900</v>
      </c>
      <c r="J113" s="46" t="str">
        <f t="shared" si="28"/>
        <v>c 928, v "\mp3_ost\sovetsk.mp3"</v>
      </c>
      <c r="K113" s="40" t="str">
        <f t="shared" si="29"/>
        <v>c 930</v>
      </c>
      <c r="L113" s="42" t="str">
        <f t="shared" si="32"/>
        <v>&lt;unit113&gt; "&gt;&gt;ул.Советская" {e, p 073, c 900, c 928, v "\mp3_ost\sovetsk.mp3", c 930, d 000, n 114}</v>
      </c>
    </row>
    <row r="114" spans="2:12" x14ac:dyDescent="0.25">
      <c r="B114" s="44">
        <f t="shared" si="24"/>
        <v>114</v>
      </c>
      <c r="C114" s="44" t="s">
        <v>79</v>
      </c>
      <c r="D114" s="39" t="str">
        <f t="shared" si="25"/>
        <v/>
      </c>
      <c r="E114" s="44" t="s">
        <v>359</v>
      </c>
      <c r="F114" s="44" t="s">
        <v>331</v>
      </c>
      <c r="G114" s="45">
        <f>B116</f>
        <v>116</v>
      </c>
      <c r="H114" s="40" t="str">
        <f t="shared" si="26"/>
        <v>p 073</v>
      </c>
      <c r="I114" s="45" t="str">
        <f t="shared" si="27"/>
        <v>c 902</v>
      </c>
      <c r="J114" s="46" t="str">
        <f t="shared" si="28"/>
        <v>c 928, v "\mp3_ost\sovetsk.mp3"</v>
      </c>
      <c r="K114" s="40" t="str">
        <f t="shared" si="29"/>
        <v>c 903</v>
      </c>
      <c r="L114" s="42" t="str">
        <f t="shared" si="32"/>
        <v>&lt;unit114&gt; "ул.Советская" {e, p 073, c 902, c 928, v "\mp3_ost\sovetsk.mp3", c 903, d 000, n 116}</v>
      </c>
    </row>
    <row r="115" spans="2:12" s="39" customFormat="1" x14ac:dyDescent="0.25">
      <c r="G115" s="40"/>
      <c r="H115" s="40"/>
      <c r="I115" s="40"/>
      <c r="J115" s="40"/>
      <c r="K115" s="40"/>
      <c r="L115" s="42"/>
    </row>
    <row r="116" spans="2:12" s="39" customFormat="1" x14ac:dyDescent="0.25">
      <c r="B116" s="39">
        <f t="shared" si="24"/>
        <v>116</v>
      </c>
      <c r="E116" s="43" t="s">
        <v>328</v>
      </c>
      <c r="F116" s="43"/>
      <c r="G116" s="40">
        <f>B3</f>
        <v>3</v>
      </c>
      <c r="H116" s="40"/>
      <c r="I116" s="40"/>
      <c r="J116" s="40"/>
      <c r="K116" s="40"/>
      <c r="L116" s="42" t="str">
        <f>"&lt;unit"&amp;TEXT(B116,"000")&amp;"&gt; """&amp;E116&amp;""" {d 000, n "&amp;TEXT(G116,"000")&amp;"}"</f>
        <v>&lt;unit116&gt; "----- Конец -----" {d 000, n 003}</v>
      </c>
    </row>
    <row r="117" spans="2:12" s="39" customFormat="1" x14ac:dyDescent="0.25">
      <c r="G117" s="40"/>
      <c r="H117" s="40"/>
      <c r="I117" s="40"/>
      <c r="J117" s="40"/>
      <c r="K117" s="40"/>
      <c r="L117" s="42"/>
    </row>
    <row r="118" spans="2:12" s="39" customFormat="1" x14ac:dyDescent="0.25">
      <c r="G118" s="40"/>
      <c r="H118" s="40"/>
      <c r="I118" s="40"/>
      <c r="J118" s="40"/>
      <c r="K118" s="40"/>
      <c r="L118" s="42" t="str">
        <f>Константы!D2</f>
        <v>&lt;unit921&gt; "Автовокзал" {v "\mp3_knst\av.mp3"}</v>
      </c>
    </row>
    <row r="119" spans="2:12" s="39" customFormat="1" x14ac:dyDescent="0.25">
      <c r="G119" s="40"/>
      <c r="H119" s="40"/>
      <c r="I119" s="40"/>
      <c r="J119" s="40"/>
      <c r="K119" s="40"/>
      <c r="L119" s="42" t="str">
        <f>Константы!D3</f>
        <v>&lt;unit923&gt; "Гостиница" {v "\mp3_knst\gos.mp3"}</v>
      </c>
    </row>
    <row r="120" spans="2:12" s="39" customFormat="1" x14ac:dyDescent="0.25">
      <c r="G120" s="40"/>
      <c r="H120" s="40"/>
      <c r="I120" s="40"/>
      <c r="J120" s="40"/>
      <c r="K120" s="40"/>
      <c r="L120" s="42" t="str">
        <f>Константы!D4</f>
        <v>&lt;unit922&gt; "Дисп. станция" {v "\mp3_knst\ds.mp3"}</v>
      </c>
    </row>
    <row r="121" spans="2:12" s="39" customFormat="1" x14ac:dyDescent="0.25">
      <c r="G121" s="40"/>
      <c r="H121" s="40"/>
      <c r="I121" s="40"/>
      <c r="J121" s="40"/>
      <c r="K121" s="40"/>
      <c r="L121" s="42" t="str">
        <f>Константы!D5</f>
        <v>&lt;unit903&gt; "Канцавая" {v "\mp3_knst\kanc.mp3"}</v>
      </c>
    </row>
    <row r="122" spans="2:12" s="39" customFormat="1" x14ac:dyDescent="0.25">
      <c r="G122" s="40"/>
      <c r="H122" s="40"/>
      <c r="I122" s="40"/>
      <c r="J122" s="40"/>
      <c r="K122" s="40"/>
      <c r="L122" s="42" t="str">
        <f>Константы!D6</f>
        <v>&lt;unit924&gt; "Конечная" {v "\mp3_knst\ko.mp3"}</v>
      </c>
    </row>
    <row r="123" spans="2:12" s="39" customFormat="1" x14ac:dyDescent="0.25">
      <c r="G123" s="40"/>
      <c r="H123" s="40"/>
      <c r="I123" s="40"/>
      <c r="J123" s="40"/>
      <c r="K123" s="40"/>
      <c r="L123" s="42" t="str">
        <f>Константы!D7</f>
        <v>&lt;unit902&gt; "Остановка" {v "\mp3_knst\ost.mp3"}</v>
      </c>
    </row>
    <row r="124" spans="2:12" s="39" customFormat="1" x14ac:dyDescent="0.25">
      <c r="G124" s="40"/>
      <c r="H124" s="40"/>
      <c r="I124" s="40"/>
      <c r="J124" s="40"/>
      <c r="K124" s="40"/>
      <c r="L124" s="42" t="str">
        <f>Константы!D8</f>
        <v>&lt;unit900&gt; "Дв. закр. След. ост." {v "\mp3_knst\ostor.mp3"}</v>
      </c>
    </row>
    <row r="125" spans="2:12" s="39" customFormat="1" x14ac:dyDescent="0.25">
      <c r="G125" s="40"/>
      <c r="H125" s="40"/>
      <c r="I125" s="40"/>
      <c r="J125" s="40"/>
      <c r="K125" s="40"/>
      <c r="L125" s="42" t="str">
        <f>Константы!D9</f>
        <v>&lt;unit925&gt; "Площадь" {v "\mp3_knst\pl.mp3"}</v>
      </c>
    </row>
    <row r="126" spans="2:12" s="39" customFormat="1" x14ac:dyDescent="0.25">
      <c r="G126" s="40"/>
      <c r="H126" s="40"/>
      <c r="I126" s="40"/>
      <c r="J126" s="40"/>
      <c r="K126" s="40"/>
      <c r="L126" s="42" t="str">
        <f>Константы!D10</f>
        <v>&lt;unit926&gt; "Проспект" {v "\mp3_knst\pr.mp3"}</v>
      </c>
    </row>
    <row r="127" spans="2:12" s="39" customFormat="1" x14ac:dyDescent="0.25">
      <c r="G127" s="40"/>
      <c r="H127" s="40"/>
      <c r="I127" s="40"/>
      <c r="J127" s="40"/>
      <c r="K127" s="40"/>
      <c r="L127" s="42" t="str">
        <f>Константы!D11</f>
        <v>&lt;unit927&gt; "Станция метро" {v "\mp3_knst\sm.mp3"}</v>
      </c>
    </row>
    <row r="128" spans="2:12" s="39" customFormat="1" x14ac:dyDescent="0.25">
      <c r="G128" s="40"/>
      <c r="H128" s="40"/>
      <c r="I128" s="40"/>
      <c r="J128" s="40"/>
      <c r="K128" s="40"/>
      <c r="L128" s="42" t="str">
        <f>Константы!D12</f>
        <v>&lt;unit928&gt; "Улица" {v "\mp3_knst\ul.mp3"}</v>
      </c>
    </row>
    <row r="130" spans="12:12" x14ac:dyDescent="0.25">
      <c r="L130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E64:E114 E8:E60">
      <formula1>Zag_Ost</formula1>
    </dataValidation>
    <dataValidation type="list" allowBlank="1" showInputMessage="1" showErrorMessage="1" sqref="C64:C114 C8:C60 F64:F114 F8:F60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9"/>
  <dimension ref="A1:L90"/>
  <sheetViews>
    <sheetView topLeftCell="B1" workbookViewId="0">
      <pane ySplit="2" topLeftCell="A60" activePane="bottomLeft" state="frozen"/>
      <selection activeCell="B1" sqref="B1"/>
      <selection pane="bottomLeft" activeCell="G43" sqref="G43:G73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7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6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"6 Советск.-Пож.часть" {i 0, t 002, l 006 006, d 000}</v>
      </c>
    </row>
    <row r="3" spans="1:12" s="39" customFormat="1" x14ac:dyDescent="0.25">
      <c r="A3" s="39" t="str">
        <f ca="1">INDIRECT(ADDRESS($B$1,2,4,1,"route"))</f>
        <v>6 Советск.-Пож.часть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006</v>
      </c>
      <c r="B4" s="39">
        <f>ROW(B4)</f>
        <v>4</v>
      </c>
      <c r="E4" s="39" t="s">
        <v>323</v>
      </c>
      <c r="G4" s="40">
        <f>B42</f>
        <v>42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042}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359</v>
      </c>
      <c r="G8" s="45">
        <f t="shared" ref="G8:G37" si="0">B9</f>
        <v>9</v>
      </c>
      <c r="H8" s="40" t="str">
        <f t="shared" ref="H8:H38" si="1">IFERROR("p "&amp;VLOOKUP(E8,Tablo_Tab,2,FALSE),"")</f>
        <v>p 073</v>
      </c>
      <c r="I8" s="45" t="str">
        <f t="shared" ref="I8:I38" si="2">IFERROR("c "&amp;VLOOKUP(C8,Punkti,2,FALSE),"")</f>
        <v>c 902</v>
      </c>
      <c r="J8" s="46" t="str">
        <f t="shared" ref="J8:J38" si="3">IFERROR(VLOOKUP(E8,Ostanovki,7,FALSE),"")</f>
        <v>c 928, v "\mp3_ost\sovetsk.mp3"</v>
      </c>
      <c r="K8" s="40" t="str">
        <f t="shared" ref="K8:K38" si="4">IFERROR("c "&amp;VLOOKUP(F8,Punkti,2,FALSE),"")</f>
        <v/>
      </c>
      <c r="L8" s="42" t="str">
        <f t="shared" ref="L8:L38" si="5">"&lt;unit"&amp;TEXT(B8,"000")&amp;"&gt; """&amp;СцепитьМного(D8:E8,"")&amp;""" {e, "&amp;СцепитьМного(H8:K8,", ")&amp;", d 000, n "&amp;TEXT(G8,"000")&amp;"}"</f>
        <v>&lt;unit008&gt; "ул.Советская" {e, p 073, c 902, c 928, v "\mp3_ost\sovetsk.mp3", d 000, n 009}</v>
      </c>
    </row>
    <row r="9" spans="1:12" x14ac:dyDescent="0.25">
      <c r="B9" s="44">
        <f t="shared" ref="B9:B38" si="6">ROW(B9)</f>
        <v>9</v>
      </c>
      <c r="C9" s="44" t="s">
        <v>329</v>
      </c>
      <c r="D9" s="39" t="str">
        <f>IF(I9="c 900","&gt;&gt;","")</f>
        <v>&gt;&gt;</v>
      </c>
      <c r="E9" s="44" t="s">
        <v>360</v>
      </c>
      <c r="F9" s="44" t="s">
        <v>381</v>
      </c>
      <c r="G9" s="45">
        <f t="shared" si="0"/>
        <v>10</v>
      </c>
      <c r="H9" s="40" t="str">
        <f t="shared" si="1"/>
        <v>p 057</v>
      </c>
      <c r="I9" s="45" t="str">
        <f t="shared" si="2"/>
        <v>c 900</v>
      </c>
      <c r="J9" s="46" t="str">
        <f t="shared" si="3"/>
        <v>c 928, v "\mp3_ost\leningra.mp3"</v>
      </c>
      <c r="K9" s="40" t="str">
        <f t="shared" si="4"/>
        <v>c 930</v>
      </c>
      <c r="L9" s="42" t="str">
        <f t="shared" si="5"/>
        <v>&lt;unit009&gt; "&gt;&gt;ул.Ленинградская" {e, p 057, c 900, c 928, v "\mp3_ost\leningra.mp3", c 930, d 000, n 010}</v>
      </c>
    </row>
    <row r="10" spans="1:12" x14ac:dyDescent="0.25">
      <c r="B10" s="44">
        <f t="shared" si="6"/>
        <v>10</v>
      </c>
      <c r="C10" s="44" t="s">
        <v>79</v>
      </c>
      <c r="D10" s="39" t="str">
        <f t="shared" ref="D10:D38" si="7">IF(I10="c 900","&gt;&gt;","")</f>
        <v/>
      </c>
      <c r="E10" s="44" t="s">
        <v>360</v>
      </c>
      <c r="G10" s="45">
        <f t="shared" si="0"/>
        <v>11</v>
      </c>
      <c r="H10" s="40" t="str">
        <f t="shared" si="1"/>
        <v>p 057</v>
      </c>
      <c r="I10" s="45" t="str">
        <f t="shared" si="2"/>
        <v>c 902</v>
      </c>
      <c r="J10" s="46" t="str">
        <f t="shared" si="3"/>
        <v>c 928, v "\mp3_ost\leningra.mp3"</v>
      </c>
      <c r="K10" s="40" t="str">
        <f t="shared" si="4"/>
        <v/>
      </c>
      <c r="L10" s="42" t="str">
        <f t="shared" si="5"/>
        <v>&lt;unit010&gt; "ул.Ленинградская" {e, p 057, c 902, c 928, v "\mp3_ost\leningra.mp3", d 000, n 011}</v>
      </c>
    </row>
    <row r="11" spans="1:12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E11" s="44" t="s">
        <v>162</v>
      </c>
      <c r="F11" s="44" t="s">
        <v>381</v>
      </c>
      <c r="G11" s="45">
        <f t="shared" si="0"/>
        <v>12</v>
      </c>
      <c r="H11" s="40" t="str">
        <f t="shared" si="1"/>
        <v>p 011</v>
      </c>
      <c r="I11" s="45" t="str">
        <f t="shared" si="2"/>
        <v>c 900</v>
      </c>
      <c r="J11" s="46" t="str">
        <f t="shared" si="3"/>
        <v>v "\mp3_ost\jen-gimn.mp3"</v>
      </c>
      <c r="K11" s="40" t="str">
        <f t="shared" si="4"/>
        <v>c 930</v>
      </c>
      <c r="L11" s="42" t="str">
        <f t="shared" si="5"/>
        <v>&lt;unit011&gt; "&gt;&gt;Женская гимназия" {e, p 011, c 900, v "\mp3_ost\jen-gimn.mp3", c 930, d 000, n 012}</v>
      </c>
    </row>
    <row r="12" spans="1:12" x14ac:dyDescent="0.25">
      <c r="B12" s="44">
        <f t="shared" si="6"/>
        <v>12</v>
      </c>
      <c r="C12" s="44" t="s">
        <v>79</v>
      </c>
      <c r="D12" s="39" t="str">
        <f t="shared" si="7"/>
        <v/>
      </c>
      <c r="E12" s="44" t="s">
        <v>162</v>
      </c>
      <c r="G12" s="45">
        <f t="shared" si="0"/>
        <v>13</v>
      </c>
      <c r="H12" s="40" t="str">
        <f t="shared" si="1"/>
        <v>p 011</v>
      </c>
      <c r="I12" s="45" t="str">
        <f t="shared" si="2"/>
        <v>c 902</v>
      </c>
      <c r="J12" s="46" t="str">
        <f t="shared" si="3"/>
        <v>v "\mp3_ost\jen-gimn.mp3"</v>
      </c>
      <c r="K12" s="40" t="str">
        <f t="shared" si="4"/>
        <v/>
      </c>
      <c r="L12" s="42" t="str">
        <f t="shared" si="5"/>
        <v>&lt;unit012&gt; "Женская гимназия" {e, p 011, c 902, v "\mp3_ost\jen-gimn.mp3", d 000, n 013}</v>
      </c>
    </row>
    <row r="13" spans="1:12" x14ac:dyDescent="0.25">
      <c r="B13" s="44">
        <f t="shared" si="6"/>
        <v>13</v>
      </c>
      <c r="C13" s="44" t="s">
        <v>329</v>
      </c>
      <c r="D13" s="39" t="str">
        <f t="shared" si="7"/>
        <v>&gt;&gt;</v>
      </c>
      <c r="E13" s="44" t="s">
        <v>338</v>
      </c>
      <c r="F13" s="44" t="s">
        <v>381</v>
      </c>
      <c r="G13" s="45">
        <f t="shared" si="0"/>
        <v>14</v>
      </c>
      <c r="H13" s="40" t="str">
        <f t="shared" si="1"/>
        <v>p 004</v>
      </c>
      <c r="I13" s="45" t="str">
        <f t="shared" si="2"/>
        <v>c 900</v>
      </c>
      <c r="J13" s="46" t="str">
        <f t="shared" si="3"/>
        <v>v "\mp3_ost\inst-zve.mp3"</v>
      </c>
      <c r="K13" s="40" t="str">
        <f t="shared" si="4"/>
        <v>c 930</v>
      </c>
      <c r="L13" s="42" t="str">
        <f t="shared" si="5"/>
        <v>&lt;unit013&gt; "&gt;&gt;БелНИИЖ" {e, p 004, c 900, v "\mp3_ost\inst-zve.mp3", c 930, d 000, n 014}</v>
      </c>
    </row>
    <row r="14" spans="1:12" x14ac:dyDescent="0.25">
      <c r="B14" s="44">
        <f t="shared" si="6"/>
        <v>14</v>
      </c>
      <c r="C14" s="44" t="s">
        <v>79</v>
      </c>
      <c r="D14" s="39" t="str">
        <f t="shared" si="7"/>
        <v/>
      </c>
      <c r="E14" s="44" t="s">
        <v>338</v>
      </c>
      <c r="G14" s="45">
        <f t="shared" si="0"/>
        <v>15</v>
      </c>
      <c r="H14" s="40" t="str">
        <f t="shared" si="1"/>
        <v>p 004</v>
      </c>
      <c r="I14" s="45" t="str">
        <f t="shared" si="2"/>
        <v>c 902</v>
      </c>
      <c r="J14" s="46" t="str">
        <f t="shared" si="3"/>
        <v>v "\mp3_ost\inst-zve.mp3"</v>
      </c>
      <c r="K14" s="40" t="str">
        <f t="shared" si="4"/>
        <v/>
      </c>
      <c r="L14" s="42" t="str">
        <f t="shared" si="5"/>
        <v>&lt;unit014&gt; "БелНИИЖ" {e, p 004, c 902, v "\mp3_ost\inst-zve.mp3", d 000, n 015}</v>
      </c>
    </row>
    <row r="15" spans="1:12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E15" s="44" t="s">
        <v>269</v>
      </c>
      <c r="F15" s="44" t="s">
        <v>381</v>
      </c>
      <c r="G15" s="45">
        <f t="shared" si="0"/>
        <v>16</v>
      </c>
      <c r="H15" s="40" t="str">
        <f t="shared" si="1"/>
        <v>p 049</v>
      </c>
      <c r="I15" s="45" t="str">
        <f t="shared" si="2"/>
        <v>c 900</v>
      </c>
      <c r="J15" s="46" t="str">
        <f t="shared" si="3"/>
        <v>c 928, v "\mp3_ost\boguslav.mp3"</v>
      </c>
      <c r="K15" s="40" t="str">
        <f t="shared" si="4"/>
        <v>c 930</v>
      </c>
      <c r="L15" s="42" t="str">
        <f t="shared" si="5"/>
        <v>&lt;unit015&gt; "&gt;&gt;ул.Богуслав Поле" {e, p 049, c 900, c 928, v "\mp3_ost\boguslav.mp3", c 930, d 000, n 016}</v>
      </c>
    </row>
    <row r="16" spans="1:12" x14ac:dyDescent="0.25">
      <c r="B16" s="44">
        <f t="shared" si="6"/>
        <v>16</v>
      </c>
      <c r="C16" s="44" t="s">
        <v>79</v>
      </c>
      <c r="D16" s="39" t="str">
        <f t="shared" si="7"/>
        <v/>
      </c>
      <c r="E16" s="44" t="s">
        <v>269</v>
      </c>
      <c r="G16" s="45">
        <f t="shared" si="0"/>
        <v>17</v>
      </c>
      <c r="H16" s="40" t="str">
        <f t="shared" si="1"/>
        <v>p 049</v>
      </c>
      <c r="I16" s="45" t="str">
        <f t="shared" si="2"/>
        <v>c 902</v>
      </c>
      <c r="J16" s="46" t="str">
        <f t="shared" si="3"/>
        <v>c 928, v "\mp3_ost\boguslav.mp3"</v>
      </c>
      <c r="K16" s="40" t="str">
        <f t="shared" si="4"/>
        <v/>
      </c>
      <c r="L16" s="42" t="str">
        <f t="shared" si="5"/>
        <v>&lt;unit016&gt; "ул.Богуслав Поле" {e, p 049, c 902, c 928, v "\mp3_ost\boguslav.mp3", d 000, n 017}</v>
      </c>
    </row>
    <row r="17" spans="2:12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E17" s="44" t="s">
        <v>336</v>
      </c>
      <c r="F17" s="44" t="s">
        <v>381</v>
      </c>
      <c r="G17" s="45">
        <f t="shared" si="0"/>
        <v>18</v>
      </c>
      <c r="H17" s="40" t="str">
        <f t="shared" si="1"/>
        <v>p 067</v>
      </c>
      <c r="I17" s="45" t="str">
        <f t="shared" si="2"/>
        <v>c 900</v>
      </c>
      <c r="J17" s="46" t="str">
        <f t="shared" si="3"/>
        <v>c 928, v "\mp3_ost\ostrovsk.mp3"</v>
      </c>
      <c r="K17" s="40" t="str">
        <f t="shared" si="4"/>
        <v>c 930</v>
      </c>
      <c r="L17" s="42" t="str">
        <f t="shared" si="5"/>
        <v>&lt;unit017&gt; "&gt;&gt;ул.Островского" {e, p 067, c 900, c 928, v "\mp3_ost\ostrovsk.mp3", c 930, d 000, n 018}</v>
      </c>
    </row>
    <row r="18" spans="2:12" x14ac:dyDescent="0.25">
      <c r="B18" s="44">
        <f t="shared" si="6"/>
        <v>18</v>
      </c>
      <c r="C18" s="44" t="s">
        <v>79</v>
      </c>
      <c r="D18" s="39" t="str">
        <f t="shared" si="7"/>
        <v/>
      </c>
      <c r="E18" s="44" t="s">
        <v>336</v>
      </c>
      <c r="G18" s="45">
        <f t="shared" si="0"/>
        <v>19</v>
      </c>
      <c r="H18" s="40" t="str">
        <f t="shared" si="1"/>
        <v>p 067</v>
      </c>
      <c r="I18" s="45" t="str">
        <f t="shared" si="2"/>
        <v>c 902</v>
      </c>
      <c r="J18" s="46" t="str">
        <f t="shared" si="3"/>
        <v>c 928, v "\mp3_ost\ostrovsk.mp3"</v>
      </c>
      <c r="K18" s="40" t="str">
        <f t="shared" si="4"/>
        <v/>
      </c>
      <c r="L18" s="42" t="str">
        <f t="shared" si="5"/>
        <v>&lt;unit018&gt; "ул.Островского" {e, p 067, c 902, c 928, v "\mp3_ost\ostrovsk.mp3", d 000, n 019}</v>
      </c>
    </row>
    <row r="19" spans="2:12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E19" s="44" t="s">
        <v>275</v>
      </c>
      <c r="F19" s="44" t="s">
        <v>381</v>
      </c>
      <c r="G19" s="45">
        <f t="shared" si="0"/>
        <v>20</v>
      </c>
      <c r="H19" s="40" t="str">
        <f t="shared" si="1"/>
        <v>p 063</v>
      </c>
      <c r="I19" s="45" t="str">
        <f t="shared" si="2"/>
        <v>c 900</v>
      </c>
      <c r="J19" s="46" t="str">
        <f t="shared" si="3"/>
        <v>c 928, v "\mp3_ost\magistra.mp3"</v>
      </c>
      <c r="K19" s="40" t="str">
        <f t="shared" si="4"/>
        <v>c 930</v>
      </c>
      <c r="L19" s="42" t="str">
        <f t="shared" si="5"/>
        <v>&lt;unit019&gt; "&gt;&gt;ул.Магистральная" {e, p 063, c 900, c 928, v "\mp3_ost\magistra.mp3", c 930, d 000, n 020}</v>
      </c>
    </row>
    <row r="20" spans="2:12" x14ac:dyDescent="0.25">
      <c r="B20" s="44">
        <f t="shared" si="6"/>
        <v>20</v>
      </c>
      <c r="C20" s="44" t="s">
        <v>79</v>
      </c>
      <c r="D20" s="39" t="str">
        <f t="shared" si="7"/>
        <v/>
      </c>
      <c r="E20" s="44" t="s">
        <v>275</v>
      </c>
      <c r="G20" s="45">
        <f t="shared" si="0"/>
        <v>21</v>
      </c>
      <c r="H20" s="40" t="str">
        <f t="shared" si="1"/>
        <v>p 063</v>
      </c>
      <c r="I20" s="45" t="str">
        <f t="shared" si="2"/>
        <v>c 902</v>
      </c>
      <c r="J20" s="46" t="str">
        <f t="shared" si="3"/>
        <v>c 928, v "\mp3_ost\magistra.mp3"</v>
      </c>
      <c r="K20" s="40" t="str">
        <f t="shared" si="4"/>
        <v/>
      </c>
      <c r="L20" s="42" t="str">
        <f t="shared" si="5"/>
        <v>&lt;unit020&gt; "ул.Магистральная" {e, p 063, c 902, c 928, v "\mp3_ost\magistra.mp3", d 000, n 021}</v>
      </c>
    </row>
    <row r="21" spans="2:12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E21" s="44" t="s">
        <v>348</v>
      </c>
      <c r="F21" s="44" t="s">
        <v>381</v>
      </c>
      <c r="G21" s="45">
        <f t="shared" si="0"/>
        <v>22</v>
      </c>
      <c r="H21" s="40" t="str">
        <f t="shared" si="1"/>
        <v>p 070</v>
      </c>
      <c r="I21" s="45" t="str">
        <f t="shared" si="2"/>
        <v>c 900</v>
      </c>
      <c r="J21" s="46" t="str">
        <f t="shared" si="3"/>
        <v>c 928, v "\mp3_ost\rodnik.mp3"</v>
      </c>
      <c r="K21" s="40" t="str">
        <f t="shared" si="4"/>
        <v>c 930</v>
      </c>
      <c r="L21" s="42" t="str">
        <f t="shared" si="5"/>
        <v>&lt;unit021&gt; "&gt;&gt;ул.Родниковая" {e, p 070, c 900, c 928, v "\mp3_ost\rodnik.mp3", c 930, d 000, n 022}</v>
      </c>
    </row>
    <row r="22" spans="2:12" x14ac:dyDescent="0.25">
      <c r="B22" s="44">
        <f t="shared" si="6"/>
        <v>22</v>
      </c>
      <c r="C22" s="44" t="s">
        <v>79</v>
      </c>
      <c r="D22" s="39" t="str">
        <f t="shared" si="7"/>
        <v/>
      </c>
      <c r="E22" s="44" t="s">
        <v>348</v>
      </c>
      <c r="G22" s="45">
        <f t="shared" si="0"/>
        <v>23</v>
      </c>
      <c r="H22" s="40" t="str">
        <f t="shared" si="1"/>
        <v>p 070</v>
      </c>
      <c r="I22" s="45" t="str">
        <f t="shared" si="2"/>
        <v>c 902</v>
      </c>
      <c r="J22" s="46" t="str">
        <f t="shared" si="3"/>
        <v>c 928, v "\mp3_ost\rodnik.mp3"</v>
      </c>
      <c r="K22" s="40" t="str">
        <f t="shared" si="4"/>
        <v/>
      </c>
      <c r="L22" s="42" t="str">
        <f t="shared" si="5"/>
        <v>&lt;unit022&gt; "ул.Родниковая" {e, p 070, c 902, c 928, v "\mp3_ost\rodnik.mp3", d 000, n 023}</v>
      </c>
    </row>
    <row r="23" spans="2:12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E23" s="44" t="s">
        <v>174</v>
      </c>
      <c r="F23" s="44" t="s">
        <v>381</v>
      </c>
      <c r="G23" s="45">
        <f t="shared" si="0"/>
        <v>24</v>
      </c>
      <c r="H23" s="40" t="str">
        <f t="shared" si="1"/>
        <v>p 038</v>
      </c>
      <c r="I23" s="45" t="str">
        <f t="shared" si="2"/>
        <v>c 900</v>
      </c>
      <c r="J23" s="46" t="str">
        <f t="shared" si="3"/>
        <v>v "\mp3_ost\8ssh.mp3"</v>
      </c>
      <c r="K23" s="40" t="str">
        <f t="shared" si="4"/>
        <v>c 930</v>
      </c>
      <c r="L23" s="42" t="str">
        <f t="shared" si="5"/>
        <v>&lt;unit023&gt; "&gt;&gt;СШ № 8" {e, p 038, c 900, v "\mp3_ost\8ssh.mp3", c 930, d 000, n 024}</v>
      </c>
    </row>
    <row r="24" spans="2:12" x14ac:dyDescent="0.25">
      <c r="B24" s="44">
        <f t="shared" si="6"/>
        <v>24</v>
      </c>
      <c r="C24" s="44" t="s">
        <v>79</v>
      </c>
      <c r="D24" s="39" t="str">
        <f t="shared" si="7"/>
        <v/>
      </c>
      <c r="E24" s="44" t="s">
        <v>174</v>
      </c>
      <c r="G24" s="45">
        <f t="shared" si="0"/>
        <v>25</v>
      </c>
      <c r="H24" s="40" t="str">
        <f t="shared" si="1"/>
        <v>p 038</v>
      </c>
      <c r="I24" s="45" t="str">
        <f t="shared" si="2"/>
        <v>c 902</v>
      </c>
      <c r="J24" s="46" t="str">
        <f t="shared" si="3"/>
        <v>v "\mp3_ost\8ssh.mp3"</v>
      </c>
      <c r="K24" s="40" t="str">
        <f t="shared" si="4"/>
        <v/>
      </c>
      <c r="L24" s="42" t="str">
        <f t="shared" si="5"/>
        <v>&lt;unit024&gt; "СШ № 8" {e, p 038, c 902, v "\mp3_ost\8ssh.mp3", d 000, n 025}</v>
      </c>
    </row>
    <row r="25" spans="2:12" x14ac:dyDescent="0.25">
      <c r="B25" s="44">
        <f t="shared" si="6"/>
        <v>25</v>
      </c>
      <c r="C25" s="44" t="s">
        <v>329</v>
      </c>
      <c r="D25" s="39" t="str">
        <f t="shared" si="7"/>
        <v>&gt;&gt;</v>
      </c>
      <c r="E25" s="44" t="s">
        <v>180</v>
      </c>
      <c r="F25" s="44" t="s">
        <v>381</v>
      </c>
      <c r="G25" s="45">
        <f t="shared" si="0"/>
        <v>26</v>
      </c>
      <c r="H25" s="40" t="str">
        <f t="shared" si="1"/>
        <v>p 006</v>
      </c>
      <c r="I25" s="45" t="str">
        <f t="shared" si="2"/>
        <v>c 900</v>
      </c>
      <c r="J25" s="46" t="str">
        <f t="shared" si="3"/>
        <v>v "\mp3_ost\bolnica.mp3"</v>
      </c>
      <c r="K25" s="40" t="str">
        <f t="shared" si="4"/>
        <v>c 930</v>
      </c>
      <c r="L25" s="42" t="str">
        <f t="shared" si="5"/>
        <v>&lt;unit025&gt; "&gt;&gt;Больница" {e, p 006, c 900, v "\mp3_ost\bolnica.mp3", c 930, d 000, n 026}</v>
      </c>
    </row>
    <row r="26" spans="2:12" x14ac:dyDescent="0.25">
      <c r="B26" s="44">
        <f t="shared" si="6"/>
        <v>26</v>
      </c>
      <c r="C26" s="44" t="s">
        <v>79</v>
      </c>
      <c r="D26" s="39" t="str">
        <f t="shared" si="7"/>
        <v/>
      </c>
      <c r="E26" s="44" t="s">
        <v>180</v>
      </c>
      <c r="G26" s="45">
        <f t="shared" si="0"/>
        <v>27</v>
      </c>
      <c r="H26" s="40" t="str">
        <f t="shared" si="1"/>
        <v>p 006</v>
      </c>
      <c r="I26" s="45" t="str">
        <f t="shared" si="2"/>
        <v>c 902</v>
      </c>
      <c r="J26" s="46" t="str">
        <f t="shared" si="3"/>
        <v>v "\mp3_ost\bolnica.mp3"</v>
      </c>
      <c r="K26" s="40" t="str">
        <f t="shared" si="4"/>
        <v/>
      </c>
      <c r="L26" s="42" t="str">
        <f t="shared" si="5"/>
        <v>&lt;unit026&gt; "Больница" {e, p 006, c 902, v "\mp3_ost\bolnica.mp3", d 000, n 027}</v>
      </c>
    </row>
    <row r="27" spans="2:12" x14ac:dyDescent="0.25">
      <c r="B27" s="44">
        <f t="shared" si="6"/>
        <v>27</v>
      </c>
      <c r="C27" s="44" t="s">
        <v>329</v>
      </c>
      <c r="D27" s="39" t="str">
        <f t="shared" si="7"/>
        <v>&gt;&gt;</v>
      </c>
      <c r="E27" s="44" t="s">
        <v>347</v>
      </c>
      <c r="F27" s="44" t="s">
        <v>381</v>
      </c>
      <c r="G27" s="45">
        <f t="shared" si="0"/>
        <v>28</v>
      </c>
      <c r="H27" s="40" t="str">
        <f t="shared" si="1"/>
        <v>p 050</v>
      </c>
      <c r="I27" s="45" t="str">
        <f t="shared" si="2"/>
        <v>c 900</v>
      </c>
      <c r="J27" s="46" t="str">
        <f t="shared" si="3"/>
        <v>c 928, v "\mp3_ost\borovaja.mp3"</v>
      </c>
      <c r="K27" s="40" t="str">
        <f t="shared" si="4"/>
        <v>c 930</v>
      </c>
      <c r="L27" s="42" t="str">
        <f t="shared" si="5"/>
        <v>&lt;unit027&gt; "&gt;&gt;ул.Боровая" {e, p 050, c 900, c 928, v "\mp3_ost\borovaja.mp3", c 930, d 000, n 028}</v>
      </c>
    </row>
    <row r="28" spans="2:12" x14ac:dyDescent="0.25">
      <c r="B28" s="44">
        <f t="shared" si="6"/>
        <v>28</v>
      </c>
      <c r="C28" s="44" t="s">
        <v>79</v>
      </c>
      <c r="D28" s="39" t="str">
        <f t="shared" si="7"/>
        <v/>
      </c>
      <c r="E28" s="44" t="s">
        <v>347</v>
      </c>
      <c r="G28" s="45">
        <f t="shared" si="0"/>
        <v>29</v>
      </c>
      <c r="H28" s="40" t="str">
        <f t="shared" si="1"/>
        <v>p 050</v>
      </c>
      <c r="I28" s="45" t="str">
        <f t="shared" si="2"/>
        <v>c 902</v>
      </c>
      <c r="J28" s="46" t="str">
        <f t="shared" si="3"/>
        <v>c 928, v "\mp3_ost\borovaja.mp3"</v>
      </c>
      <c r="K28" s="40" t="str">
        <f t="shared" si="4"/>
        <v/>
      </c>
      <c r="L28" s="42" t="str">
        <f t="shared" si="5"/>
        <v>&lt;unit028&gt; "ул.Боровая" {e, p 050, c 902, c 928, v "\mp3_ost\borovaja.mp3", d 000, n 029}</v>
      </c>
    </row>
    <row r="29" spans="2:12" x14ac:dyDescent="0.25">
      <c r="B29" s="44">
        <f t="shared" si="6"/>
        <v>29</v>
      </c>
      <c r="C29" s="44" t="s">
        <v>329</v>
      </c>
      <c r="D29" s="39" t="str">
        <f t="shared" si="7"/>
        <v>&gt;&gt;</v>
      </c>
      <c r="E29" s="44" t="s">
        <v>260</v>
      </c>
      <c r="F29" s="44" t="s">
        <v>381</v>
      </c>
      <c r="G29" s="45">
        <f t="shared" si="0"/>
        <v>30</v>
      </c>
      <c r="H29" s="40" t="str">
        <f t="shared" si="1"/>
        <v>p 029</v>
      </c>
      <c r="I29" s="45" t="str">
        <f t="shared" si="2"/>
        <v>c 900</v>
      </c>
      <c r="J29" s="46" t="str">
        <f t="shared" si="3"/>
        <v>v "\mp3_ost\venis`e.mp3"</v>
      </c>
      <c r="K29" s="40" t="str">
        <f t="shared" si="4"/>
        <v>c 930</v>
      </c>
      <c r="L29" s="42" t="str">
        <f t="shared" si="5"/>
        <v>&lt;unit029&gt; "&gt;&gt;пр-т Венисье" {e, p 029, c 900, v "\mp3_ost\venis`e.mp3", c 930, d 000, n 030}</v>
      </c>
    </row>
    <row r="30" spans="2:12" x14ac:dyDescent="0.25">
      <c r="B30" s="44">
        <f t="shared" si="6"/>
        <v>30</v>
      </c>
      <c r="C30" s="44" t="s">
        <v>79</v>
      </c>
      <c r="D30" s="39" t="str">
        <f t="shared" si="7"/>
        <v/>
      </c>
      <c r="E30" s="44" t="s">
        <v>260</v>
      </c>
      <c r="G30" s="45">
        <f t="shared" si="0"/>
        <v>31</v>
      </c>
      <c r="H30" s="40" t="str">
        <f t="shared" si="1"/>
        <v>p 029</v>
      </c>
      <c r="I30" s="45" t="str">
        <f t="shared" si="2"/>
        <v>c 902</v>
      </c>
      <c r="J30" s="46" t="str">
        <f t="shared" si="3"/>
        <v>v "\mp3_ost\venis`e.mp3"</v>
      </c>
      <c r="K30" s="40" t="str">
        <f t="shared" si="4"/>
        <v/>
      </c>
      <c r="L30" s="42" t="str">
        <f t="shared" si="5"/>
        <v>&lt;unit030&gt; "пр-т Венисье" {e, p 029, c 902, v "\mp3_ost\venis`e.mp3", d 000, n 031}</v>
      </c>
    </row>
    <row r="31" spans="2:12" x14ac:dyDescent="0.25">
      <c r="B31" s="44">
        <f t="shared" si="6"/>
        <v>31</v>
      </c>
      <c r="C31" s="44" t="s">
        <v>329</v>
      </c>
      <c r="D31" s="39" t="str">
        <f t="shared" si="7"/>
        <v>&gt;&gt;</v>
      </c>
      <c r="E31" s="44" t="s">
        <v>168</v>
      </c>
      <c r="F31" s="44" t="s">
        <v>381</v>
      </c>
      <c r="G31" s="45">
        <f t="shared" si="0"/>
        <v>32</v>
      </c>
      <c r="H31" s="40" t="str">
        <f t="shared" si="1"/>
        <v>p 031</v>
      </c>
      <c r="I31" s="45" t="str">
        <f t="shared" si="2"/>
        <v>c 900</v>
      </c>
      <c r="J31" s="46" t="str">
        <f t="shared" si="3"/>
        <v>v "\mp3_ost\mira.mp3"</v>
      </c>
      <c r="K31" s="40" t="str">
        <f t="shared" si="4"/>
        <v>c 930</v>
      </c>
      <c r="L31" s="42" t="str">
        <f t="shared" si="5"/>
        <v>&lt;unit031&gt; "&gt;&gt;пр-т Мира" {e, p 031, c 900, v "\mp3_ost\mira.mp3", c 930, d 000, n 032}</v>
      </c>
    </row>
    <row r="32" spans="2:12" x14ac:dyDescent="0.25">
      <c r="B32" s="44">
        <f t="shared" si="6"/>
        <v>32</v>
      </c>
      <c r="C32" s="44" t="s">
        <v>79</v>
      </c>
      <c r="D32" s="39" t="str">
        <f t="shared" si="7"/>
        <v/>
      </c>
      <c r="E32" s="44" t="s">
        <v>168</v>
      </c>
      <c r="G32" s="45">
        <f t="shared" si="0"/>
        <v>33</v>
      </c>
      <c r="H32" s="40" t="str">
        <f t="shared" si="1"/>
        <v>p 031</v>
      </c>
      <c r="I32" s="45" t="str">
        <f t="shared" si="2"/>
        <v>c 902</v>
      </c>
      <c r="J32" s="46" t="str">
        <f t="shared" si="3"/>
        <v>v "\mp3_ost\mira.mp3"</v>
      </c>
      <c r="K32" s="40" t="str">
        <f t="shared" si="4"/>
        <v/>
      </c>
      <c r="L32" s="42" t="str">
        <f t="shared" si="5"/>
        <v>&lt;unit032&gt; "пр-т Мира" {e, p 031, c 902, v "\mp3_ost\mira.mp3", d 000, n 033}</v>
      </c>
    </row>
    <row r="33" spans="2:12" x14ac:dyDescent="0.25">
      <c r="B33" s="44">
        <f>ROW(B33)</f>
        <v>33</v>
      </c>
      <c r="C33" s="44" t="s">
        <v>329</v>
      </c>
      <c r="D33" s="39" t="str">
        <f t="shared" si="7"/>
        <v>&gt;&gt;</v>
      </c>
      <c r="E33" s="44" t="s">
        <v>349</v>
      </c>
      <c r="F33" s="44" t="s">
        <v>381</v>
      </c>
      <c r="G33" s="45">
        <f t="shared" si="0"/>
        <v>34</v>
      </c>
      <c r="H33" s="40" t="str">
        <f t="shared" si="1"/>
        <v>p 022</v>
      </c>
      <c r="I33" s="45" t="str">
        <f t="shared" si="2"/>
        <v>c 900</v>
      </c>
      <c r="J33" s="46" t="str">
        <f t="shared" si="3"/>
        <v>v "\mp3_ost\park.mp3"</v>
      </c>
      <c r="K33" s="40" t="str">
        <f t="shared" si="4"/>
        <v>c 930</v>
      </c>
      <c r="L33" s="42" t="str">
        <f t="shared" si="5"/>
        <v>&lt;unit033&gt; "&gt;&gt;Парк культуры" {e, p 022, c 900, v "\mp3_ost\park.mp3", c 930, d 000, n 034}</v>
      </c>
    </row>
    <row r="34" spans="2:12" x14ac:dyDescent="0.25">
      <c r="B34" s="44">
        <f t="shared" si="6"/>
        <v>34</v>
      </c>
      <c r="C34" s="44" t="s">
        <v>79</v>
      </c>
      <c r="D34" s="39" t="str">
        <f t="shared" si="7"/>
        <v/>
      </c>
      <c r="E34" s="44" t="s">
        <v>349</v>
      </c>
      <c r="G34" s="45">
        <f t="shared" si="0"/>
        <v>35</v>
      </c>
      <c r="H34" s="40" t="str">
        <f t="shared" si="1"/>
        <v>p 022</v>
      </c>
      <c r="I34" s="45" t="str">
        <f t="shared" si="2"/>
        <v>c 902</v>
      </c>
      <c r="J34" s="46" t="str">
        <f t="shared" si="3"/>
        <v>v "\mp3_ost\park.mp3"</v>
      </c>
      <c r="K34" s="40" t="str">
        <f t="shared" si="4"/>
        <v/>
      </c>
      <c r="L34" s="42" t="str">
        <f t="shared" si="5"/>
        <v>&lt;unit034&gt; "Парк культуры" {e, p 022, c 902, v "\mp3_ost\park.mp3", d 000, n 035}</v>
      </c>
    </row>
    <row r="35" spans="2:12" x14ac:dyDescent="0.25">
      <c r="B35" s="44">
        <f t="shared" si="6"/>
        <v>35</v>
      </c>
      <c r="C35" s="44" t="s">
        <v>329</v>
      </c>
      <c r="D35" s="39" t="str">
        <f t="shared" si="7"/>
        <v>&gt;&gt;</v>
      </c>
      <c r="E35" s="44" t="s">
        <v>246</v>
      </c>
      <c r="F35" s="44" t="s">
        <v>381</v>
      </c>
      <c r="G35" s="45">
        <f t="shared" si="0"/>
        <v>36</v>
      </c>
      <c r="H35" s="40" t="str">
        <f t="shared" si="1"/>
        <v>p 035</v>
      </c>
      <c r="I35" s="45" t="str">
        <f t="shared" si="2"/>
        <v>c 900</v>
      </c>
      <c r="J35" s="46" t="str">
        <f t="shared" si="3"/>
        <v>v "\mp3_ost\svitanak.mp3"</v>
      </c>
      <c r="K35" s="40" t="str">
        <f t="shared" si="4"/>
        <v>c 930</v>
      </c>
      <c r="L35" s="42" t="str">
        <f t="shared" si="5"/>
        <v>&lt;unit035&gt; "&gt;&gt;Свитанок" {e, p 035, c 900, v "\mp3_ost\svitanak.mp3", c 930, d 000, n 036}</v>
      </c>
    </row>
    <row r="36" spans="2:12" x14ac:dyDescent="0.25">
      <c r="B36" s="44">
        <f t="shared" si="6"/>
        <v>36</v>
      </c>
      <c r="C36" s="44" t="s">
        <v>79</v>
      </c>
      <c r="D36" s="39" t="str">
        <f t="shared" si="7"/>
        <v/>
      </c>
      <c r="E36" s="44" t="s">
        <v>246</v>
      </c>
      <c r="G36" s="45">
        <f t="shared" si="0"/>
        <v>37</v>
      </c>
      <c r="H36" s="40" t="str">
        <f t="shared" si="1"/>
        <v>p 035</v>
      </c>
      <c r="I36" s="45" t="str">
        <f t="shared" si="2"/>
        <v>c 902</v>
      </c>
      <c r="J36" s="46" t="str">
        <f t="shared" si="3"/>
        <v>v "\mp3_ost\svitanak.mp3"</v>
      </c>
      <c r="K36" s="40" t="str">
        <f t="shared" si="4"/>
        <v/>
      </c>
      <c r="L36" s="42" t="str">
        <f t="shared" si="5"/>
        <v>&lt;unit036&gt; "Свитанок" {e, p 035, c 902, v "\mp3_ost\svitanak.mp3", d 000, n 037}</v>
      </c>
    </row>
    <row r="37" spans="2:12" x14ac:dyDescent="0.25">
      <c r="B37" s="44">
        <f t="shared" si="6"/>
        <v>37</v>
      </c>
      <c r="C37" s="44" t="s">
        <v>329</v>
      </c>
      <c r="D37" s="39" t="str">
        <f t="shared" si="7"/>
        <v>&gt;&gt;</v>
      </c>
      <c r="E37" s="44" t="s">
        <v>287</v>
      </c>
      <c r="F37" s="44" t="s">
        <v>381</v>
      </c>
      <c r="G37" s="45">
        <f t="shared" si="0"/>
        <v>38</v>
      </c>
      <c r="H37" s="40" t="str">
        <f t="shared" si="1"/>
        <v>p 026</v>
      </c>
      <c r="I37" s="45" t="str">
        <f t="shared" si="2"/>
        <v>c 900</v>
      </c>
      <c r="J37" s="46" t="str">
        <f t="shared" si="3"/>
        <v>v "\mp3_ost\pojarnay.mp3"</v>
      </c>
      <c r="K37" s="40" t="str">
        <f t="shared" si="4"/>
        <v>c 930</v>
      </c>
      <c r="L37" s="42" t="str">
        <f t="shared" si="5"/>
        <v>&lt;unit037&gt; "&gt;&gt;Пожарная часть" {e, p 026, c 900, v "\mp3_ost\pojarnay.mp3", c 930, d 000, n 038}</v>
      </c>
    </row>
    <row r="38" spans="2:12" x14ac:dyDescent="0.25">
      <c r="B38" s="44">
        <f t="shared" si="6"/>
        <v>38</v>
      </c>
      <c r="C38" s="44" t="s">
        <v>79</v>
      </c>
      <c r="D38" s="39" t="str">
        <f t="shared" si="7"/>
        <v/>
      </c>
      <c r="E38" s="44" t="s">
        <v>287</v>
      </c>
      <c r="F38" s="44" t="s">
        <v>331</v>
      </c>
      <c r="G38" s="45">
        <f>B40</f>
        <v>40</v>
      </c>
      <c r="H38" s="40" t="str">
        <f t="shared" si="1"/>
        <v>p 026</v>
      </c>
      <c r="I38" s="45" t="str">
        <f t="shared" si="2"/>
        <v>c 902</v>
      </c>
      <c r="J38" s="46" t="str">
        <f t="shared" si="3"/>
        <v>v "\mp3_ost\pojarnay.mp3"</v>
      </c>
      <c r="K38" s="40" t="str">
        <f t="shared" si="4"/>
        <v>c 903</v>
      </c>
      <c r="L38" s="42" t="str">
        <f t="shared" si="5"/>
        <v>&lt;unit038&gt; "Пожарная часть" {e, p 026, c 902, v "\mp3_ost\pojarnay.mp3", c 903, d 000, n 040}</v>
      </c>
    </row>
    <row r="39" spans="2:12" s="39" customFormat="1" x14ac:dyDescent="0.25">
      <c r="G39" s="40"/>
      <c r="H39" s="40"/>
      <c r="I39" s="40"/>
      <c r="J39" s="40"/>
      <c r="K39" s="40"/>
      <c r="L39" s="42"/>
    </row>
    <row r="40" spans="2:12" s="39" customFormat="1" x14ac:dyDescent="0.25">
      <c r="B40" s="39">
        <f t="shared" ref="B40:B76" si="8">ROW(B40)</f>
        <v>40</v>
      </c>
      <c r="E40" s="43" t="s">
        <v>327</v>
      </c>
      <c r="F40" s="43"/>
      <c r="G40" s="40">
        <f>B42</f>
        <v>42</v>
      </c>
      <c r="H40" s="40"/>
      <c r="I40" s="40"/>
      <c r="J40" s="40"/>
      <c r="K40" s="40"/>
      <c r="L40" s="42" t="str">
        <f>"&lt;unit"&amp;TEXT(B40,"000")&amp;"&gt; """&amp;E40&amp;""" {d 000, n "&amp;TEXT(G40,"000")&amp;"}"</f>
        <v>&lt;unit040&gt; "----- Обратный -----" {d 000, n 042}</v>
      </c>
    </row>
    <row r="41" spans="2:12" s="39" customFormat="1" x14ac:dyDescent="0.25">
      <c r="G41" s="40"/>
      <c r="H41" s="40"/>
      <c r="I41" s="40"/>
      <c r="J41" s="40"/>
      <c r="K41" s="40"/>
      <c r="L41" s="42"/>
    </row>
    <row r="42" spans="2:12" x14ac:dyDescent="0.25">
      <c r="B42" s="44">
        <f t="shared" si="8"/>
        <v>42</v>
      </c>
      <c r="C42" s="44" t="s">
        <v>79</v>
      </c>
      <c r="D42" s="39" t="str">
        <f t="shared" ref="D42:D74" si="9">IF(I42="c 900","&gt;&gt;","")</f>
        <v/>
      </c>
      <c r="E42" s="44" t="s">
        <v>287</v>
      </c>
      <c r="G42" s="45">
        <f>B43</f>
        <v>43</v>
      </c>
      <c r="H42" s="40" t="str">
        <f t="shared" ref="H42:H74" si="10">IFERROR("p "&amp;VLOOKUP(E42,Tablo_Tab,2,FALSE),"")</f>
        <v>p 026</v>
      </c>
      <c r="I42" s="45" t="str">
        <f t="shared" ref="I42:I74" si="11">IFERROR("c "&amp;VLOOKUP(C42,Punkti,2,FALSE),"")</f>
        <v>c 902</v>
      </c>
      <c r="J42" s="46" t="str">
        <f t="shared" ref="J42:J74" si="12">IFERROR(VLOOKUP(E42,Ostanovki,7,FALSE),"")</f>
        <v>v "\mp3_ost\pojarnay.mp3"</v>
      </c>
      <c r="K42" s="40" t="str">
        <f t="shared" ref="K42:K74" si="13">IFERROR("c "&amp;VLOOKUP(F42,Punkti,2,FALSE),"")</f>
        <v/>
      </c>
      <c r="L42" s="42" t="str">
        <f t="shared" ref="L42:L74" si="14">"&lt;unit"&amp;TEXT(B42,"000")&amp;"&gt; """&amp;СцепитьМного(D42:E42,"")&amp;""" {e, "&amp;СцепитьМного(H42:K42,", ")&amp;", d 000, n "&amp;TEXT(G42,"000")&amp;"}"</f>
        <v>&lt;unit042&gt; "Пожарная часть" {e, p 026, c 902, v "\mp3_ost\pojarnay.mp3", d 000, n 043}</v>
      </c>
    </row>
    <row r="43" spans="2:12" x14ac:dyDescent="0.25">
      <c r="B43" s="44">
        <f t="shared" si="8"/>
        <v>43</v>
      </c>
      <c r="C43" s="44" t="s">
        <v>329</v>
      </c>
      <c r="D43" s="39" t="str">
        <f t="shared" si="9"/>
        <v>&gt;&gt;</v>
      </c>
      <c r="E43" s="44" t="s">
        <v>337</v>
      </c>
      <c r="F43" s="44" t="s">
        <v>381</v>
      </c>
      <c r="G43" s="45">
        <f t="shared" ref="G43:G73" si="15">B44</f>
        <v>44</v>
      </c>
      <c r="H43" s="40" t="str">
        <f t="shared" si="10"/>
        <v>p 033</v>
      </c>
      <c r="I43" s="45" t="str">
        <f t="shared" si="11"/>
        <v>c 900</v>
      </c>
      <c r="J43" s="46" t="str">
        <f t="shared" si="12"/>
        <v>v "\mp3_ost\rinok.mp3"</v>
      </c>
      <c r="K43" s="40" t="str">
        <f t="shared" si="13"/>
        <v>c 930</v>
      </c>
      <c r="L43" s="42" t="str">
        <f t="shared" si="14"/>
        <v>&lt;unit043&gt; "&gt;&gt;Рынок" {e, p 033, c 900, v "\mp3_ost\rinok.mp3", c 930, d 000, n 044}</v>
      </c>
    </row>
    <row r="44" spans="2:12" x14ac:dyDescent="0.25">
      <c r="B44" s="44">
        <f t="shared" si="8"/>
        <v>44</v>
      </c>
      <c r="C44" s="44" t="s">
        <v>79</v>
      </c>
      <c r="D44" s="39" t="str">
        <f t="shared" si="9"/>
        <v/>
      </c>
      <c r="E44" s="44" t="s">
        <v>337</v>
      </c>
      <c r="G44" s="45">
        <f t="shared" si="15"/>
        <v>45</v>
      </c>
      <c r="H44" s="40" t="str">
        <f t="shared" si="10"/>
        <v>p 033</v>
      </c>
      <c r="I44" s="45" t="str">
        <f t="shared" si="11"/>
        <v>c 902</v>
      </c>
      <c r="J44" s="46" t="str">
        <f t="shared" si="12"/>
        <v>v "\mp3_ost\rinok.mp3"</v>
      </c>
      <c r="K44" s="40" t="str">
        <f t="shared" si="13"/>
        <v/>
      </c>
      <c r="L44" s="42" t="str">
        <f t="shared" si="14"/>
        <v>&lt;unit044&gt; "Рынок" {e, p 033, c 902, v "\mp3_ost\rinok.mp3", d 000, n 045}</v>
      </c>
    </row>
    <row r="45" spans="2:12" x14ac:dyDescent="0.25">
      <c r="B45" s="44">
        <f t="shared" si="8"/>
        <v>45</v>
      </c>
      <c r="C45" s="44" t="s">
        <v>329</v>
      </c>
      <c r="D45" s="39" t="str">
        <f t="shared" si="9"/>
        <v>&gt;&gt;</v>
      </c>
      <c r="E45" s="44" t="s">
        <v>267</v>
      </c>
      <c r="F45" s="44" t="s">
        <v>381</v>
      </c>
      <c r="G45" s="45">
        <f t="shared" si="15"/>
        <v>46</v>
      </c>
      <c r="H45" s="40" t="str">
        <f t="shared" si="10"/>
        <v>p 046</v>
      </c>
      <c r="I45" s="45" t="str">
        <f t="shared" si="11"/>
        <v>c 900</v>
      </c>
      <c r="J45" s="46" t="str">
        <f t="shared" si="12"/>
        <v>c 928, v "\mp3_ost\8marta.mp3"</v>
      </c>
      <c r="K45" s="40" t="str">
        <f t="shared" si="13"/>
        <v>c 930</v>
      </c>
      <c r="L45" s="42" t="str">
        <f t="shared" si="14"/>
        <v>&lt;unit045&gt; "&gt;&gt;ул.8 Марта" {e, p 046, c 900, c 928, v "\mp3_ost\8marta.mp3", c 930, d 000, n 046}</v>
      </c>
    </row>
    <row r="46" spans="2:12" x14ac:dyDescent="0.25">
      <c r="B46" s="44">
        <f t="shared" si="8"/>
        <v>46</v>
      </c>
      <c r="C46" s="44" t="s">
        <v>79</v>
      </c>
      <c r="D46" s="39" t="str">
        <f t="shared" si="9"/>
        <v/>
      </c>
      <c r="E46" s="44" t="s">
        <v>267</v>
      </c>
      <c r="G46" s="45">
        <f t="shared" si="15"/>
        <v>47</v>
      </c>
      <c r="H46" s="40" t="str">
        <f t="shared" si="10"/>
        <v>p 046</v>
      </c>
      <c r="I46" s="45" t="str">
        <f t="shared" si="11"/>
        <v>c 902</v>
      </c>
      <c r="J46" s="46" t="str">
        <f t="shared" si="12"/>
        <v>c 928, v "\mp3_ost\8marta.mp3"</v>
      </c>
      <c r="K46" s="40" t="str">
        <f t="shared" si="13"/>
        <v/>
      </c>
      <c r="L46" s="42" t="str">
        <f t="shared" si="14"/>
        <v>&lt;unit046&gt; "ул.8 Марта" {e, p 046, c 902, c 928, v "\mp3_ost\8marta.mp3", d 000, n 047}</v>
      </c>
    </row>
    <row r="47" spans="2:12" x14ac:dyDescent="0.25">
      <c r="B47" s="44">
        <f t="shared" si="8"/>
        <v>47</v>
      </c>
      <c r="C47" s="44" t="s">
        <v>329</v>
      </c>
      <c r="D47" s="39" t="str">
        <f t="shared" si="9"/>
        <v>&gt;&gt;</v>
      </c>
      <c r="E47" s="44" t="s">
        <v>349</v>
      </c>
      <c r="F47" s="44" t="s">
        <v>381</v>
      </c>
      <c r="G47" s="45">
        <f t="shared" si="15"/>
        <v>48</v>
      </c>
      <c r="H47" s="40" t="str">
        <f t="shared" si="10"/>
        <v>p 022</v>
      </c>
      <c r="I47" s="45" t="str">
        <f t="shared" si="11"/>
        <v>c 900</v>
      </c>
      <c r="J47" s="46" t="str">
        <f t="shared" si="12"/>
        <v>v "\mp3_ost\park.mp3"</v>
      </c>
      <c r="K47" s="40" t="str">
        <f t="shared" si="13"/>
        <v>c 930</v>
      </c>
      <c r="L47" s="42" t="str">
        <f t="shared" si="14"/>
        <v>&lt;unit047&gt; "&gt;&gt;Парк культуры" {e, p 022, c 900, v "\mp3_ost\park.mp3", c 930, d 000, n 048}</v>
      </c>
    </row>
    <row r="48" spans="2:12" x14ac:dyDescent="0.25">
      <c r="B48" s="44">
        <f t="shared" si="8"/>
        <v>48</v>
      </c>
      <c r="C48" s="44" t="s">
        <v>79</v>
      </c>
      <c r="D48" s="39" t="str">
        <f t="shared" si="9"/>
        <v/>
      </c>
      <c r="E48" s="44" t="s">
        <v>349</v>
      </c>
      <c r="G48" s="45">
        <f t="shared" si="15"/>
        <v>49</v>
      </c>
      <c r="H48" s="40" t="str">
        <f t="shared" si="10"/>
        <v>p 022</v>
      </c>
      <c r="I48" s="45" t="str">
        <f t="shared" si="11"/>
        <v>c 902</v>
      </c>
      <c r="J48" s="46" t="str">
        <f t="shared" si="12"/>
        <v>v "\mp3_ost\park.mp3"</v>
      </c>
      <c r="K48" s="40" t="str">
        <f t="shared" si="13"/>
        <v/>
      </c>
      <c r="L48" s="42" t="str">
        <f t="shared" si="14"/>
        <v>&lt;unit048&gt; "Парк культуры" {e, p 022, c 902, v "\mp3_ost\park.mp3", d 000, n 049}</v>
      </c>
    </row>
    <row r="49" spans="2:12" x14ac:dyDescent="0.25">
      <c r="B49" s="44">
        <f t="shared" si="8"/>
        <v>49</v>
      </c>
      <c r="C49" s="44" t="s">
        <v>329</v>
      </c>
      <c r="D49" s="39" t="str">
        <f t="shared" si="9"/>
        <v>&gt;&gt;</v>
      </c>
      <c r="E49" s="44" t="s">
        <v>233</v>
      </c>
      <c r="F49" s="44" t="s">
        <v>381</v>
      </c>
      <c r="G49" s="45">
        <f t="shared" si="15"/>
        <v>50</v>
      </c>
      <c r="H49" s="40" t="str">
        <f t="shared" si="10"/>
        <v>p 028</v>
      </c>
      <c r="I49" s="45" t="str">
        <f t="shared" si="11"/>
        <v>c 900</v>
      </c>
      <c r="J49" s="46" t="str">
        <f t="shared" si="12"/>
        <v>v "\mp3_ost\pochta.mp3"</v>
      </c>
      <c r="K49" s="40" t="str">
        <f t="shared" si="13"/>
        <v>c 930</v>
      </c>
      <c r="L49" s="42" t="str">
        <f t="shared" si="14"/>
        <v>&lt;unit049&gt; "&gt;&gt;Почта" {e, p 028, c 900, v "\mp3_ost\pochta.mp3", c 930, d 000, n 050}</v>
      </c>
    </row>
    <row r="50" spans="2:12" x14ac:dyDescent="0.25">
      <c r="B50" s="44">
        <f t="shared" si="8"/>
        <v>50</v>
      </c>
      <c r="C50" s="44" t="s">
        <v>79</v>
      </c>
      <c r="D50" s="39" t="str">
        <f t="shared" si="9"/>
        <v/>
      </c>
      <c r="E50" s="44" t="s">
        <v>233</v>
      </c>
      <c r="G50" s="45">
        <f t="shared" si="15"/>
        <v>51</v>
      </c>
      <c r="H50" s="40" t="str">
        <f t="shared" si="10"/>
        <v>p 028</v>
      </c>
      <c r="I50" s="45" t="str">
        <f t="shared" si="11"/>
        <v>c 902</v>
      </c>
      <c r="J50" s="46" t="str">
        <f t="shared" si="12"/>
        <v>v "\mp3_ost\pochta.mp3"</v>
      </c>
      <c r="K50" s="40" t="str">
        <f t="shared" si="13"/>
        <v/>
      </c>
      <c r="L50" s="42" t="str">
        <f t="shared" si="14"/>
        <v>&lt;unit050&gt; "Почта" {e, p 028, c 902, v "\mp3_ost\pochta.mp3", d 000, n 051}</v>
      </c>
    </row>
    <row r="51" spans="2:12" x14ac:dyDescent="0.25">
      <c r="B51" s="44">
        <f t="shared" si="8"/>
        <v>51</v>
      </c>
      <c r="C51" s="44" t="s">
        <v>329</v>
      </c>
      <c r="D51" s="39" t="str">
        <f t="shared" si="9"/>
        <v>&gt;&gt;</v>
      </c>
      <c r="E51" s="44" t="s">
        <v>260</v>
      </c>
      <c r="F51" s="44" t="s">
        <v>381</v>
      </c>
      <c r="G51" s="45">
        <f t="shared" si="15"/>
        <v>52</v>
      </c>
      <c r="H51" s="40" t="str">
        <f t="shared" si="10"/>
        <v>p 029</v>
      </c>
      <c r="I51" s="45" t="str">
        <f t="shared" si="11"/>
        <v>c 900</v>
      </c>
      <c r="J51" s="46" t="str">
        <f t="shared" si="12"/>
        <v>v "\mp3_ost\venis`e.mp3"</v>
      </c>
      <c r="K51" s="40" t="str">
        <f t="shared" si="13"/>
        <v>c 930</v>
      </c>
      <c r="L51" s="42" t="str">
        <f t="shared" si="14"/>
        <v>&lt;unit051&gt; "&gt;&gt;пр-т Венисье" {e, p 029, c 900, v "\mp3_ost\venis`e.mp3", c 930, d 000, n 052}</v>
      </c>
    </row>
    <row r="52" spans="2:12" x14ac:dyDescent="0.25">
      <c r="B52" s="44">
        <f t="shared" si="8"/>
        <v>52</v>
      </c>
      <c r="C52" s="44" t="s">
        <v>79</v>
      </c>
      <c r="D52" s="39" t="str">
        <f t="shared" si="9"/>
        <v/>
      </c>
      <c r="E52" s="44" t="s">
        <v>260</v>
      </c>
      <c r="G52" s="45">
        <f t="shared" si="15"/>
        <v>53</v>
      </c>
      <c r="H52" s="40" t="str">
        <f t="shared" si="10"/>
        <v>p 029</v>
      </c>
      <c r="I52" s="45" t="str">
        <f t="shared" si="11"/>
        <v>c 902</v>
      </c>
      <c r="J52" s="46" t="str">
        <f t="shared" si="12"/>
        <v>v "\mp3_ost\venis`e.mp3"</v>
      </c>
      <c r="K52" s="40" t="str">
        <f t="shared" si="13"/>
        <v/>
      </c>
      <c r="L52" s="42" t="str">
        <f t="shared" si="14"/>
        <v>&lt;unit052&gt; "пр-т Венисье" {e, p 029, c 902, v "\mp3_ost\venis`e.mp3", d 000, n 053}</v>
      </c>
    </row>
    <row r="53" spans="2:12" x14ac:dyDescent="0.25">
      <c r="B53" s="44">
        <f t="shared" si="8"/>
        <v>53</v>
      </c>
      <c r="C53" s="44" t="s">
        <v>329</v>
      </c>
      <c r="D53" s="39" t="str">
        <f t="shared" si="9"/>
        <v>&gt;&gt;</v>
      </c>
      <c r="E53" s="44" t="s">
        <v>347</v>
      </c>
      <c r="F53" s="44" t="s">
        <v>381</v>
      </c>
      <c r="G53" s="45">
        <f t="shared" si="15"/>
        <v>54</v>
      </c>
      <c r="H53" s="40" t="str">
        <f t="shared" si="10"/>
        <v>p 050</v>
      </c>
      <c r="I53" s="45" t="str">
        <f t="shared" si="11"/>
        <v>c 900</v>
      </c>
      <c r="J53" s="46" t="str">
        <f t="shared" si="12"/>
        <v>c 928, v "\mp3_ost\borovaja.mp3"</v>
      </c>
      <c r="K53" s="40" t="str">
        <f t="shared" si="13"/>
        <v>c 930</v>
      </c>
      <c r="L53" s="42" t="str">
        <f t="shared" si="14"/>
        <v>&lt;unit053&gt; "&gt;&gt;ул.Боровая" {e, p 050, c 900, c 928, v "\mp3_ost\borovaja.mp3", c 930, d 000, n 054}</v>
      </c>
    </row>
    <row r="54" spans="2:12" x14ac:dyDescent="0.25">
      <c r="B54" s="44">
        <f t="shared" si="8"/>
        <v>54</v>
      </c>
      <c r="C54" s="44" t="s">
        <v>79</v>
      </c>
      <c r="D54" s="39" t="str">
        <f t="shared" si="9"/>
        <v/>
      </c>
      <c r="E54" s="44" t="s">
        <v>347</v>
      </c>
      <c r="G54" s="45">
        <f t="shared" si="15"/>
        <v>55</v>
      </c>
      <c r="H54" s="40" t="str">
        <f t="shared" si="10"/>
        <v>p 050</v>
      </c>
      <c r="I54" s="45" t="str">
        <f t="shared" si="11"/>
        <v>c 902</v>
      </c>
      <c r="J54" s="46" t="str">
        <f t="shared" si="12"/>
        <v>c 928, v "\mp3_ost\borovaja.mp3"</v>
      </c>
      <c r="K54" s="40" t="str">
        <f t="shared" si="13"/>
        <v/>
      </c>
      <c r="L54" s="42" t="str">
        <f t="shared" si="14"/>
        <v>&lt;unit054&gt; "ул.Боровая" {e, p 050, c 902, c 928, v "\mp3_ost\borovaja.mp3", d 000, n 055}</v>
      </c>
    </row>
    <row r="55" spans="2:12" x14ac:dyDescent="0.25">
      <c r="B55" s="44">
        <f t="shared" si="8"/>
        <v>55</v>
      </c>
      <c r="C55" s="44" t="s">
        <v>329</v>
      </c>
      <c r="D55" s="39" t="str">
        <f t="shared" si="9"/>
        <v>&gt;&gt;</v>
      </c>
      <c r="E55" s="44" t="s">
        <v>180</v>
      </c>
      <c r="F55" s="44" t="s">
        <v>381</v>
      </c>
      <c r="G55" s="45">
        <f t="shared" si="15"/>
        <v>56</v>
      </c>
      <c r="H55" s="40" t="str">
        <f t="shared" si="10"/>
        <v>p 006</v>
      </c>
      <c r="I55" s="45" t="str">
        <f t="shared" si="11"/>
        <v>c 900</v>
      </c>
      <c r="J55" s="46" t="str">
        <f t="shared" si="12"/>
        <v>v "\mp3_ost\bolnica.mp3"</v>
      </c>
      <c r="K55" s="40" t="str">
        <f t="shared" si="13"/>
        <v>c 930</v>
      </c>
      <c r="L55" s="42" t="str">
        <f t="shared" si="14"/>
        <v>&lt;unit055&gt; "&gt;&gt;Больница" {e, p 006, c 900, v "\mp3_ost\bolnica.mp3", c 930, d 000, n 056}</v>
      </c>
    </row>
    <row r="56" spans="2:12" x14ac:dyDescent="0.25">
      <c r="B56" s="44">
        <f t="shared" si="8"/>
        <v>56</v>
      </c>
      <c r="C56" s="44" t="s">
        <v>79</v>
      </c>
      <c r="D56" s="39" t="str">
        <f t="shared" si="9"/>
        <v/>
      </c>
      <c r="E56" s="44" t="s">
        <v>180</v>
      </c>
      <c r="G56" s="45">
        <f t="shared" si="15"/>
        <v>57</v>
      </c>
      <c r="H56" s="40" t="str">
        <f t="shared" si="10"/>
        <v>p 006</v>
      </c>
      <c r="I56" s="45" t="str">
        <f t="shared" si="11"/>
        <v>c 902</v>
      </c>
      <c r="J56" s="46" t="str">
        <f t="shared" si="12"/>
        <v>v "\mp3_ost\bolnica.mp3"</v>
      </c>
      <c r="K56" s="40" t="str">
        <f t="shared" si="13"/>
        <v/>
      </c>
      <c r="L56" s="42" t="str">
        <f t="shared" si="14"/>
        <v>&lt;unit056&gt; "Больница" {e, p 006, c 902, v "\mp3_ost\bolnica.mp3", d 000, n 057}</v>
      </c>
    </row>
    <row r="57" spans="2:12" x14ac:dyDescent="0.25">
      <c r="B57" s="44">
        <f t="shared" si="8"/>
        <v>57</v>
      </c>
      <c r="C57" s="44" t="s">
        <v>329</v>
      </c>
      <c r="D57" s="39" t="str">
        <f t="shared" si="9"/>
        <v>&gt;&gt;</v>
      </c>
      <c r="E57" s="44" t="s">
        <v>174</v>
      </c>
      <c r="F57" s="44" t="s">
        <v>381</v>
      </c>
      <c r="G57" s="45">
        <f t="shared" si="15"/>
        <v>58</v>
      </c>
      <c r="H57" s="40" t="str">
        <f t="shared" si="10"/>
        <v>p 038</v>
      </c>
      <c r="I57" s="45" t="str">
        <f t="shared" si="11"/>
        <v>c 900</v>
      </c>
      <c r="J57" s="46" t="str">
        <f t="shared" si="12"/>
        <v>v "\mp3_ost\8ssh.mp3"</v>
      </c>
      <c r="K57" s="40" t="str">
        <f t="shared" si="13"/>
        <v>c 930</v>
      </c>
      <c r="L57" s="42" t="str">
        <f t="shared" si="14"/>
        <v>&lt;unit057&gt; "&gt;&gt;СШ № 8" {e, p 038, c 900, v "\mp3_ost\8ssh.mp3", c 930, d 000, n 058}</v>
      </c>
    </row>
    <row r="58" spans="2:12" x14ac:dyDescent="0.25">
      <c r="B58" s="44">
        <f t="shared" si="8"/>
        <v>58</v>
      </c>
      <c r="C58" s="44" t="s">
        <v>79</v>
      </c>
      <c r="D58" s="39" t="str">
        <f t="shared" si="9"/>
        <v/>
      </c>
      <c r="E58" s="44" t="s">
        <v>174</v>
      </c>
      <c r="G58" s="45">
        <f t="shared" si="15"/>
        <v>59</v>
      </c>
      <c r="H58" s="40" t="str">
        <f t="shared" si="10"/>
        <v>p 038</v>
      </c>
      <c r="I58" s="45" t="str">
        <f t="shared" si="11"/>
        <v>c 902</v>
      </c>
      <c r="J58" s="46" t="str">
        <f t="shared" si="12"/>
        <v>v "\mp3_ost\8ssh.mp3"</v>
      </c>
      <c r="K58" s="40" t="str">
        <f t="shared" si="13"/>
        <v/>
      </c>
      <c r="L58" s="42" t="str">
        <f t="shared" si="14"/>
        <v>&lt;unit058&gt; "СШ № 8" {e, p 038, c 902, v "\mp3_ost\8ssh.mp3", d 000, n 059}</v>
      </c>
    </row>
    <row r="59" spans="2:12" x14ac:dyDescent="0.25">
      <c r="B59" s="44">
        <f t="shared" si="8"/>
        <v>59</v>
      </c>
      <c r="C59" s="44" t="s">
        <v>329</v>
      </c>
      <c r="D59" s="39" t="str">
        <f t="shared" si="9"/>
        <v>&gt;&gt;</v>
      </c>
      <c r="E59" s="44" t="s">
        <v>275</v>
      </c>
      <c r="F59" s="44" t="s">
        <v>381</v>
      </c>
      <c r="G59" s="45">
        <f t="shared" si="15"/>
        <v>60</v>
      </c>
      <c r="H59" s="40" t="str">
        <f t="shared" si="10"/>
        <v>p 063</v>
      </c>
      <c r="I59" s="45" t="str">
        <f t="shared" si="11"/>
        <v>c 900</v>
      </c>
      <c r="J59" s="46" t="str">
        <f t="shared" si="12"/>
        <v>c 928, v "\mp3_ost\magistra.mp3"</v>
      </c>
      <c r="K59" s="40" t="str">
        <f t="shared" si="13"/>
        <v>c 930</v>
      </c>
      <c r="L59" s="42" t="str">
        <f t="shared" si="14"/>
        <v>&lt;unit059&gt; "&gt;&gt;ул.Магистральная" {e, p 063, c 900, c 928, v "\mp3_ost\magistra.mp3", c 930, d 000, n 060}</v>
      </c>
    </row>
    <row r="60" spans="2:12" x14ac:dyDescent="0.25">
      <c r="B60" s="44">
        <f t="shared" si="8"/>
        <v>60</v>
      </c>
      <c r="C60" s="44" t="s">
        <v>79</v>
      </c>
      <c r="D60" s="39" t="str">
        <f t="shared" si="9"/>
        <v/>
      </c>
      <c r="E60" s="44" t="s">
        <v>275</v>
      </c>
      <c r="G60" s="45">
        <f t="shared" si="15"/>
        <v>61</v>
      </c>
      <c r="H60" s="40" t="str">
        <f t="shared" si="10"/>
        <v>p 063</v>
      </c>
      <c r="I60" s="45" t="str">
        <f t="shared" si="11"/>
        <v>c 902</v>
      </c>
      <c r="J60" s="46" t="str">
        <f t="shared" si="12"/>
        <v>c 928, v "\mp3_ost\magistra.mp3"</v>
      </c>
      <c r="K60" s="40" t="str">
        <f t="shared" si="13"/>
        <v/>
      </c>
      <c r="L60" s="42" t="str">
        <f t="shared" si="14"/>
        <v>&lt;unit060&gt; "ул.Магистральная" {e, p 063, c 902, c 928, v "\mp3_ost\magistra.mp3", d 000, n 061}</v>
      </c>
    </row>
    <row r="61" spans="2:12" x14ac:dyDescent="0.25">
      <c r="B61" s="44">
        <f t="shared" si="8"/>
        <v>61</v>
      </c>
      <c r="C61" s="44" t="s">
        <v>329</v>
      </c>
      <c r="D61" s="39" t="str">
        <f t="shared" si="9"/>
        <v>&gt;&gt;</v>
      </c>
      <c r="E61" s="44" t="s">
        <v>336</v>
      </c>
      <c r="F61" s="44" t="s">
        <v>381</v>
      </c>
      <c r="G61" s="45">
        <f t="shared" si="15"/>
        <v>62</v>
      </c>
      <c r="H61" s="40" t="str">
        <f t="shared" si="10"/>
        <v>p 067</v>
      </c>
      <c r="I61" s="45" t="str">
        <f t="shared" si="11"/>
        <v>c 900</v>
      </c>
      <c r="J61" s="46" t="str">
        <f t="shared" si="12"/>
        <v>c 928, v "\mp3_ost\ostrovsk.mp3"</v>
      </c>
      <c r="K61" s="40" t="str">
        <f t="shared" si="13"/>
        <v>c 930</v>
      </c>
      <c r="L61" s="42" t="str">
        <f t="shared" si="14"/>
        <v>&lt;unit061&gt; "&gt;&gt;ул.Островского" {e, p 067, c 900, c 928, v "\mp3_ost\ostrovsk.mp3", c 930, d 000, n 062}</v>
      </c>
    </row>
    <row r="62" spans="2:12" x14ac:dyDescent="0.25">
      <c r="B62" s="44">
        <f t="shared" si="8"/>
        <v>62</v>
      </c>
      <c r="C62" s="44" t="s">
        <v>79</v>
      </c>
      <c r="D62" s="39" t="str">
        <f t="shared" si="9"/>
        <v/>
      </c>
      <c r="E62" s="44" t="s">
        <v>336</v>
      </c>
      <c r="G62" s="45">
        <f t="shared" si="15"/>
        <v>63</v>
      </c>
      <c r="H62" s="40" t="str">
        <f t="shared" si="10"/>
        <v>p 067</v>
      </c>
      <c r="I62" s="45" t="str">
        <f t="shared" si="11"/>
        <v>c 902</v>
      </c>
      <c r="J62" s="46" t="str">
        <f t="shared" si="12"/>
        <v>c 928, v "\mp3_ost\ostrovsk.mp3"</v>
      </c>
      <c r="K62" s="40" t="str">
        <f t="shared" si="13"/>
        <v/>
      </c>
      <c r="L62" s="42" t="str">
        <f t="shared" si="14"/>
        <v>&lt;unit062&gt; "ул.Островского" {e, p 067, c 902, c 928, v "\mp3_ost\ostrovsk.mp3", d 000, n 063}</v>
      </c>
    </row>
    <row r="63" spans="2:12" x14ac:dyDescent="0.25">
      <c r="B63" s="44">
        <f t="shared" si="8"/>
        <v>63</v>
      </c>
      <c r="C63" s="44" t="s">
        <v>329</v>
      </c>
      <c r="D63" s="39" t="str">
        <f t="shared" si="9"/>
        <v>&gt;&gt;</v>
      </c>
      <c r="E63" s="44" t="s">
        <v>343</v>
      </c>
      <c r="F63" s="44" t="s">
        <v>381</v>
      </c>
      <c r="G63" s="45">
        <f t="shared" si="15"/>
        <v>64</v>
      </c>
      <c r="H63" s="40" t="str">
        <f t="shared" si="10"/>
        <v>p 041</v>
      </c>
      <c r="I63" s="45" t="str">
        <f t="shared" si="11"/>
        <v>c 900</v>
      </c>
      <c r="J63" s="46" t="str">
        <f t="shared" si="12"/>
        <v>v "\mp3_ost\belaz.mp3"</v>
      </c>
      <c r="K63" s="40" t="str">
        <f t="shared" si="13"/>
        <v>c 930</v>
      </c>
      <c r="L63" s="42" t="str">
        <f t="shared" si="14"/>
        <v>&lt;unit063&gt; "&gt;&gt;Транс.прох.БелАЗ" {e, p 041, c 900, v "\mp3_ost\belaz.mp3", c 930, d 000, n 064}</v>
      </c>
    </row>
    <row r="64" spans="2:12" x14ac:dyDescent="0.25">
      <c r="B64" s="44">
        <f t="shared" si="8"/>
        <v>64</v>
      </c>
      <c r="C64" s="44" t="s">
        <v>79</v>
      </c>
      <c r="D64" s="39" t="str">
        <f t="shared" si="9"/>
        <v/>
      </c>
      <c r="E64" s="44" t="s">
        <v>343</v>
      </c>
      <c r="G64" s="45">
        <f t="shared" si="15"/>
        <v>65</v>
      </c>
      <c r="H64" s="40" t="str">
        <f t="shared" si="10"/>
        <v>p 041</v>
      </c>
      <c r="I64" s="45" t="str">
        <f t="shared" si="11"/>
        <v>c 902</v>
      </c>
      <c r="J64" s="46" t="str">
        <f t="shared" si="12"/>
        <v>v "\mp3_ost\belaz.mp3"</v>
      </c>
      <c r="K64" s="40" t="str">
        <f t="shared" si="13"/>
        <v/>
      </c>
      <c r="L64" s="42" t="str">
        <f t="shared" si="14"/>
        <v>&lt;unit064&gt; "Транс.прох.БелАЗ" {e, p 041, c 902, v "\mp3_ost\belaz.mp3", d 000, n 065}</v>
      </c>
    </row>
    <row r="65" spans="2:12" x14ac:dyDescent="0.25">
      <c r="B65" s="44">
        <f t="shared" si="8"/>
        <v>65</v>
      </c>
      <c r="C65" s="44" t="s">
        <v>329</v>
      </c>
      <c r="D65" s="39" t="str">
        <f t="shared" si="9"/>
        <v>&gt;&gt;</v>
      </c>
      <c r="E65" s="44" t="s">
        <v>269</v>
      </c>
      <c r="F65" s="44" t="s">
        <v>381</v>
      </c>
      <c r="G65" s="45">
        <f t="shared" si="15"/>
        <v>66</v>
      </c>
      <c r="H65" s="40" t="str">
        <f t="shared" si="10"/>
        <v>p 049</v>
      </c>
      <c r="I65" s="45" t="str">
        <f t="shared" si="11"/>
        <v>c 900</v>
      </c>
      <c r="J65" s="46" t="str">
        <f t="shared" si="12"/>
        <v>c 928, v "\mp3_ost\boguslav.mp3"</v>
      </c>
      <c r="K65" s="40" t="str">
        <f t="shared" si="13"/>
        <v>c 930</v>
      </c>
      <c r="L65" s="42" t="str">
        <f t="shared" si="14"/>
        <v>&lt;unit065&gt; "&gt;&gt;ул.Богуслав Поле" {e, p 049, c 900, c 928, v "\mp3_ost\boguslav.mp3", c 930, d 000, n 066}</v>
      </c>
    </row>
    <row r="66" spans="2:12" x14ac:dyDescent="0.25">
      <c r="B66" s="44">
        <f t="shared" si="8"/>
        <v>66</v>
      </c>
      <c r="C66" s="44" t="s">
        <v>79</v>
      </c>
      <c r="D66" s="39" t="str">
        <f t="shared" si="9"/>
        <v/>
      </c>
      <c r="E66" s="44" t="s">
        <v>269</v>
      </c>
      <c r="G66" s="45">
        <f t="shared" si="15"/>
        <v>67</v>
      </c>
      <c r="H66" s="40" t="str">
        <f t="shared" si="10"/>
        <v>p 049</v>
      </c>
      <c r="I66" s="45" t="str">
        <f t="shared" si="11"/>
        <v>c 902</v>
      </c>
      <c r="J66" s="46" t="str">
        <f t="shared" si="12"/>
        <v>c 928, v "\mp3_ost\boguslav.mp3"</v>
      </c>
      <c r="K66" s="40" t="str">
        <f t="shared" si="13"/>
        <v/>
      </c>
      <c r="L66" s="42" t="str">
        <f t="shared" si="14"/>
        <v>&lt;unit066&gt; "ул.Богуслав Поле" {e, p 049, c 902, c 928, v "\mp3_ost\boguslav.mp3", d 000, n 067}</v>
      </c>
    </row>
    <row r="67" spans="2:12" x14ac:dyDescent="0.25">
      <c r="B67" s="44">
        <f t="shared" si="8"/>
        <v>67</v>
      </c>
      <c r="C67" s="44" t="s">
        <v>329</v>
      </c>
      <c r="D67" s="39" t="str">
        <f t="shared" si="9"/>
        <v>&gt;&gt;</v>
      </c>
      <c r="E67" s="44" t="s">
        <v>338</v>
      </c>
      <c r="F67" s="44" t="s">
        <v>381</v>
      </c>
      <c r="G67" s="45">
        <f t="shared" si="15"/>
        <v>68</v>
      </c>
      <c r="H67" s="40" t="str">
        <f t="shared" si="10"/>
        <v>p 004</v>
      </c>
      <c r="I67" s="45" t="str">
        <f t="shared" si="11"/>
        <v>c 900</v>
      </c>
      <c r="J67" s="46" t="str">
        <f t="shared" si="12"/>
        <v>v "\mp3_ost\inst-zve.mp3"</v>
      </c>
      <c r="K67" s="40" t="str">
        <f t="shared" si="13"/>
        <v>c 930</v>
      </c>
      <c r="L67" s="42" t="str">
        <f t="shared" si="14"/>
        <v>&lt;unit067&gt; "&gt;&gt;БелНИИЖ" {e, p 004, c 900, v "\mp3_ost\inst-zve.mp3", c 930, d 000, n 068}</v>
      </c>
    </row>
    <row r="68" spans="2:12" x14ac:dyDescent="0.25">
      <c r="B68" s="44">
        <f t="shared" si="8"/>
        <v>68</v>
      </c>
      <c r="C68" s="44" t="s">
        <v>79</v>
      </c>
      <c r="D68" s="39" t="str">
        <f t="shared" si="9"/>
        <v/>
      </c>
      <c r="E68" s="44" t="s">
        <v>338</v>
      </c>
      <c r="G68" s="45">
        <f t="shared" si="15"/>
        <v>69</v>
      </c>
      <c r="H68" s="40" t="str">
        <f t="shared" si="10"/>
        <v>p 004</v>
      </c>
      <c r="I68" s="45" t="str">
        <f t="shared" si="11"/>
        <v>c 902</v>
      </c>
      <c r="J68" s="46" t="str">
        <f t="shared" si="12"/>
        <v>v "\mp3_ost\inst-zve.mp3"</v>
      </c>
      <c r="K68" s="40" t="str">
        <f t="shared" si="13"/>
        <v/>
      </c>
      <c r="L68" s="42" t="str">
        <f t="shared" si="14"/>
        <v>&lt;unit068&gt; "БелНИИЖ" {e, p 004, c 902, v "\mp3_ost\inst-zve.mp3", d 000, n 069}</v>
      </c>
    </row>
    <row r="69" spans="2:12" x14ac:dyDescent="0.25">
      <c r="B69" s="44">
        <f t="shared" si="8"/>
        <v>69</v>
      </c>
      <c r="C69" s="44" t="s">
        <v>329</v>
      </c>
      <c r="D69" s="39" t="str">
        <f t="shared" si="9"/>
        <v>&gt;&gt;</v>
      </c>
      <c r="E69" s="44" t="s">
        <v>162</v>
      </c>
      <c r="F69" s="44" t="s">
        <v>381</v>
      </c>
      <c r="G69" s="45">
        <f t="shared" si="15"/>
        <v>70</v>
      </c>
      <c r="H69" s="40" t="str">
        <f t="shared" si="10"/>
        <v>p 011</v>
      </c>
      <c r="I69" s="45" t="str">
        <f t="shared" si="11"/>
        <v>c 900</v>
      </c>
      <c r="J69" s="46" t="str">
        <f t="shared" si="12"/>
        <v>v "\mp3_ost\jen-gimn.mp3"</v>
      </c>
      <c r="K69" s="40" t="str">
        <f t="shared" si="13"/>
        <v>c 930</v>
      </c>
      <c r="L69" s="42" t="str">
        <f t="shared" si="14"/>
        <v>&lt;unit069&gt; "&gt;&gt;Женская гимназия" {e, p 011, c 900, v "\mp3_ost\jen-gimn.mp3", c 930, d 000, n 070}</v>
      </c>
    </row>
    <row r="70" spans="2:12" x14ac:dyDescent="0.25">
      <c r="B70" s="44">
        <f t="shared" si="8"/>
        <v>70</v>
      </c>
      <c r="C70" s="44" t="s">
        <v>79</v>
      </c>
      <c r="D70" s="39" t="str">
        <f t="shared" si="9"/>
        <v/>
      </c>
      <c r="E70" s="44" t="s">
        <v>162</v>
      </c>
      <c r="G70" s="45">
        <f t="shared" si="15"/>
        <v>71</v>
      </c>
      <c r="H70" s="40" t="str">
        <f t="shared" si="10"/>
        <v>p 011</v>
      </c>
      <c r="I70" s="45" t="str">
        <f t="shared" si="11"/>
        <v>c 902</v>
      </c>
      <c r="J70" s="46" t="str">
        <f t="shared" si="12"/>
        <v>v "\mp3_ost\jen-gimn.mp3"</v>
      </c>
      <c r="K70" s="40" t="str">
        <f t="shared" si="13"/>
        <v/>
      </c>
      <c r="L70" s="42" t="str">
        <f t="shared" si="14"/>
        <v>&lt;unit070&gt; "Женская гимназия" {e, p 011, c 902, v "\mp3_ost\jen-gimn.mp3", d 000, n 071}</v>
      </c>
    </row>
    <row r="71" spans="2:12" x14ac:dyDescent="0.25">
      <c r="B71" s="44">
        <f t="shared" si="8"/>
        <v>71</v>
      </c>
      <c r="C71" s="44" t="s">
        <v>329</v>
      </c>
      <c r="D71" s="39" t="str">
        <f t="shared" si="9"/>
        <v>&gt;&gt;</v>
      </c>
      <c r="E71" s="44" t="s">
        <v>360</v>
      </c>
      <c r="F71" s="44" t="s">
        <v>381</v>
      </c>
      <c r="G71" s="45">
        <f t="shared" si="15"/>
        <v>72</v>
      </c>
      <c r="H71" s="40" t="str">
        <f t="shared" si="10"/>
        <v>p 057</v>
      </c>
      <c r="I71" s="45" t="str">
        <f t="shared" si="11"/>
        <v>c 900</v>
      </c>
      <c r="J71" s="46" t="str">
        <f t="shared" si="12"/>
        <v>c 928, v "\mp3_ost\leningra.mp3"</v>
      </c>
      <c r="K71" s="40" t="str">
        <f t="shared" si="13"/>
        <v>c 930</v>
      </c>
      <c r="L71" s="42" t="str">
        <f t="shared" si="14"/>
        <v>&lt;unit071&gt; "&gt;&gt;ул.Ленинградская" {e, p 057, c 900, c 928, v "\mp3_ost\leningra.mp3", c 930, d 000, n 072}</v>
      </c>
    </row>
    <row r="72" spans="2:12" x14ac:dyDescent="0.25">
      <c r="B72" s="44">
        <f t="shared" si="8"/>
        <v>72</v>
      </c>
      <c r="C72" s="44" t="s">
        <v>79</v>
      </c>
      <c r="D72" s="39" t="str">
        <f t="shared" si="9"/>
        <v/>
      </c>
      <c r="E72" s="44" t="s">
        <v>360</v>
      </c>
      <c r="G72" s="45">
        <f t="shared" si="15"/>
        <v>73</v>
      </c>
      <c r="H72" s="40" t="str">
        <f t="shared" si="10"/>
        <v>p 057</v>
      </c>
      <c r="I72" s="45" t="str">
        <f t="shared" si="11"/>
        <v>c 902</v>
      </c>
      <c r="J72" s="46" t="str">
        <f t="shared" si="12"/>
        <v>c 928, v "\mp3_ost\leningra.mp3"</v>
      </c>
      <c r="K72" s="40" t="str">
        <f t="shared" si="13"/>
        <v/>
      </c>
      <c r="L72" s="42" t="str">
        <f t="shared" si="14"/>
        <v>&lt;unit072&gt; "ул.Ленинградская" {e, p 057, c 902, c 928, v "\mp3_ost\leningra.mp3", d 000, n 073}</v>
      </c>
    </row>
    <row r="73" spans="2:12" x14ac:dyDescent="0.25">
      <c r="B73" s="44">
        <f t="shared" si="8"/>
        <v>73</v>
      </c>
      <c r="C73" s="44" t="s">
        <v>329</v>
      </c>
      <c r="D73" s="39" t="str">
        <f t="shared" si="9"/>
        <v>&gt;&gt;</v>
      </c>
      <c r="E73" s="44" t="s">
        <v>359</v>
      </c>
      <c r="F73" s="44" t="s">
        <v>381</v>
      </c>
      <c r="G73" s="45">
        <f t="shared" si="15"/>
        <v>74</v>
      </c>
      <c r="H73" s="40" t="str">
        <f t="shared" si="10"/>
        <v>p 073</v>
      </c>
      <c r="I73" s="45" t="str">
        <f t="shared" si="11"/>
        <v>c 900</v>
      </c>
      <c r="J73" s="46" t="str">
        <f t="shared" si="12"/>
        <v>c 928, v "\mp3_ost\sovetsk.mp3"</v>
      </c>
      <c r="K73" s="40" t="str">
        <f t="shared" si="13"/>
        <v>c 930</v>
      </c>
      <c r="L73" s="42" t="str">
        <f t="shared" si="14"/>
        <v>&lt;unit073&gt; "&gt;&gt;ул.Советская" {e, p 073, c 900, c 928, v "\mp3_ost\sovetsk.mp3", c 930, d 000, n 074}</v>
      </c>
    </row>
    <row r="74" spans="2:12" x14ac:dyDescent="0.25">
      <c r="B74" s="44">
        <f t="shared" si="8"/>
        <v>74</v>
      </c>
      <c r="C74" s="44" t="s">
        <v>79</v>
      </c>
      <c r="D74" s="39" t="str">
        <f t="shared" si="9"/>
        <v/>
      </c>
      <c r="E74" s="44" t="s">
        <v>359</v>
      </c>
      <c r="F74" s="44" t="s">
        <v>331</v>
      </c>
      <c r="G74" s="45">
        <f>B76</f>
        <v>76</v>
      </c>
      <c r="H74" s="40" t="str">
        <f t="shared" si="10"/>
        <v>p 073</v>
      </c>
      <c r="I74" s="45" t="str">
        <f t="shared" si="11"/>
        <v>c 902</v>
      </c>
      <c r="J74" s="46" t="str">
        <f t="shared" si="12"/>
        <v>c 928, v "\mp3_ost\sovetsk.mp3"</v>
      </c>
      <c r="K74" s="40" t="str">
        <f t="shared" si="13"/>
        <v>c 903</v>
      </c>
      <c r="L74" s="42" t="str">
        <f t="shared" si="14"/>
        <v>&lt;unit074&gt; "ул.Советская" {e, p 073, c 902, c 928, v "\mp3_ost\sovetsk.mp3", c 903, d 000, n 076}</v>
      </c>
    </row>
    <row r="75" spans="2:12" s="39" customFormat="1" x14ac:dyDescent="0.25">
      <c r="G75" s="40"/>
      <c r="H75" s="40"/>
      <c r="I75" s="40"/>
      <c r="J75" s="40"/>
      <c r="K75" s="40"/>
      <c r="L75" s="42"/>
    </row>
    <row r="76" spans="2:12" s="39" customFormat="1" x14ac:dyDescent="0.25">
      <c r="B76" s="39">
        <f t="shared" si="8"/>
        <v>76</v>
      </c>
      <c r="E76" s="43" t="s">
        <v>328</v>
      </c>
      <c r="F76" s="43"/>
      <c r="G76" s="40">
        <f>B3</f>
        <v>3</v>
      </c>
      <c r="H76" s="40"/>
      <c r="I76" s="40"/>
      <c r="J76" s="40"/>
      <c r="K76" s="40"/>
      <c r="L76" s="42" t="str">
        <f>"&lt;unit"&amp;TEXT(B76,"000")&amp;"&gt; """&amp;E76&amp;""" {d 000, n "&amp;TEXT(G76,"000")&amp;"}"</f>
        <v>&lt;unit076&gt; "----- Конец -----" {d 000, n 003}</v>
      </c>
    </row>
    <row r="77" spans="2:12" s="39" customFormat="1" x14ac:dyDescent="0.25">
      <c r="G77" s="40"/>
      <c r="H77" s="40"/>
      <c r="I77" s="40"/>
      <c r="J77" s="40"/>
      <c r="K77" s="40"/>
      <c r="L77" s="42"/>
    </row>
    <row r="78" spans="2:12" s="39" customFormat="1" x14ac:dyDescent="0.25">
      <c r="G78" s="40"/>
      <c r="H78" s="40"/>
      <c r="I78" s="40"/>
      <c r="J78" s="40"/>
      <c r="K78" s="40"/>
      <c r="L78" s="42" t="str">
        <f>Константы!D2</f>
        <v>&lt;unit921&gt; "Автовокзал" {v "\mp3_knst\av.mp3"}</v>
      </c>
    </row>
    <row r="79" spans="2:12" s="39" customFormat="1" x14ac:dyDescent="0.25">
      <c r="G79" s="40"/>
      <c r="H79" s="40"/>
      <c r="I79" s="40"/>
      <c r="J79" s="40"/>
      <c r="K79" s="40"/>
      <c r="L79" s="42" t="str">
        <f>Константы!D3</f>
        <v>&lt;unit923&gt; "Гостиница" {v "\mp3_knst\gos.mp3"}</v>
      </c>
    </row>
    <row r="80" spans="2:12" s="39" customFormat="1" x14ac:dyDescent="0.25">
      <c r="G80" s="40"/>
      <c r="H80" s="40"/>
      <c r="I80" s="40"/>
      <c r="J80" s="40"/>
      <c r="K80" s="40"/>
      <c r="L80" s="42" t="str">
        <f>Константы!D4</f>
        <v>&lt;unit922&gt; "Дисп. станция" {v "\mp3_knst\ds.mp3"}</v>
      </c>
    </row>
    <row r="81" spans="7:12" s="39" customFormat="1" x14ac:dyDescent="0.25">
      <c r="G81" s="40"/>
      <c r="H81" s="40"/>
      <c r="I81" s="40"/>
      <c r="J81" s="40"/>
      <c r="K81" s="40"/>
      <c r="L81" s="42" t="str">
        <f>Константы!D5</f>
        <v>&lt;unit903&gt; "Канцавая" {v "\mp3_knst\kanc.mp3"}</v>
      </c>
    </row>
    <row r="82" spans="7:12" s="39" customFormat="1" x14ac:dyDescent="0.25">
      <c r="G82" s="40"/>
      <c r="H82" s="40"/>
      <c r="I82" s="40"/>
      <c r="J82" s="40"/>
      <c r="K82" s="40"/>
      <c r="L82" s="42" t="str">
        <f>Константы!D6</f>
        <v>&lt;unit924&gt; "Конечная" {v "\mp3_knst\ko.mp3"}</v>
      </c>
    </row>
    <row r="83" spans="7:12" s="39" customFormat="1" x14ac:dyDescent="0.25">
      <c r="G83" s="40"/>
      <c r="H83" s="40"/>
      <c r="I83" s="40"/>
      <c r="J83" s="40"/>
      <c r="K83" s="40"/>
      <c r="L83" s="42" t="str">
        <f>Константы!D7</f>
        <v>&lt;unit902&gt; "Остановка" {v "\mp3_knst\ost.mp3"}</v>
      </c>
    </row>
    <row r="84" spans="7:12" s="39" customFormat="1" x14ac:dyDescent="0.25">
      <c r="G84" s="40"/>
      <c r="H84" s="40"/>
      <c r="I84" s="40"/>
      <c r="J84" s="40"/>
      <c r="K84" s="40"/>
      <c r="L84" s="42" t="str">
        <f>Константы!D8</f>
        <v>&lt;unit900&gt; "Дв. закр. След. ост." {v "\mp3_knst\ostor.mp3"}</v>
      </c>
    </row>
    <row r="85" spans="7:12" s="39" customFormat="1" x14ac:dyDescent="0.25">
      <c r="G85" s="40"/>
      <c r="H85" s="40"/>
      <c r="I85" s="40"/>
      <c r="J85" s="40"/>
      <c r="K85" s="40"/>
      <c r="L85" s="42" t="str">
        <f>Константы!D9</f>
        <v>&lt;unit925&gt; "Площадь" {v "\mp3_knst\pl.mp3"}</v>
      </c>
    </row>
    <row r="86" spans="7:12" s="39" customFormat="1" x14ac:dyDescent="0.25">
      <c r="G86" s="40"/>
      <c r="H86" s="40"/>
      <c r="I86" s="40"/>
      <c r="J86" s="40"/>
      <c r="K86" s="40"/>
      <c r="L86" s="42" t="str">
        <f>Константы!D10</f>
        <v>&lt;unit926&gt; "Проспект" {v "\mp3_knst\pr.mp3"}</v>
      </c>
    </row>
    <row r="87" spans="7:12" s="39" customFormat="1" x14ac:dyDescent="0.25">
      <c r="G87" s="40"/>
      <c r="H87" s="40"/>
      <c r="I87" s="40"/>
      <c r="J87" s="40"/>
      <c r="K87" s="40"/>
      <c r="L87" s="42" t="str">
        <f>Константы!D11</f>
        <v>&lt;unit927&gt; "Станция метро" {v "\mp3_knst\sm.mp3"}</v>
      </c>
    </row>
    <row r="88" spans="7:12" s="39" customFormat="1" x14ac:dyDescent="0.25">
      <c r="G88" s="40"/>
      <c r="H88" s="40"/>
      <c r="I88" s="40"/>
      <c r="J88" s="40"/>
      <c r="K88" s="40"/>
      <c r="L88" s="42" t="str">
        <f>Константы!D12</f>
        <v>&lt;unit928&gt; "Улица" {v "\mp3_knst\ul.mp3"}</v>
      </c>
    </row>
    <row r="90" spans="7:12" x14ac:dyDescent="0.25">
      <c r="L90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C8:C38 F8:F38 C42:C74 F42:F74">
      <formula1>Pref_Punktov</formula1>
    </dataValidation>
    <dataValidation type="list" allowBlank="1" showInputMessage="1" showErrorMessage="1" sqref="E8:E38 E42:E74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0"/>
  <dimension ref="A1:L67"/>
  <sheetViews>
    <sheetView workbookViewId="0">
      <pane ySplit="2" topLeftCell="A36" activePane="bottomLeft" state="frozen"/>
      <selection activeCell="B1" sqref="B1"/>
      <selection pane="bottomLeft" activeCell="G8" sqref="G8:G50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29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8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6a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"6а 9 мр-н-Советск." {i 0, t 002, l 060 060, d 000}</v>
      </c>
    </row>
    <row r="3" spans="1:12" s="39" customFormat="1" x14ac:dyDescent="0.25">
      <c r="A3" s="39" t="str">
        <f ca="1">INDIRECT(ADDRESS($B$1,2,4,1,"route"))</f>
        <v>6а 9 мр-н-Советск.</v>
      </c>
      <c r="B3" s="39">
        <f>ROW(B3)</f>
        <v>3</v>
      </c>
      <c r="E3" s="39" t="s">
        <v>322</v>
      </c>
      <c r="G3" s="40">
        <f>B7</f>
        <v>7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007}</v>
      </c>
    </row>
    <row r="4" spans="1:12" s="39" customFormat="1" x14ac:dyDescent="0.25">
      <c r="A4" s="39" t="str">
        <f ca="1">TEXT(INDIRECT(ADDRESS($B$1,1,4,1,"route")),"000")</f>
        <v>060</v>
      </c>
      <c r="G4" s="40"/>
      <c r="H4" s="40"/>
      <c r="I4" s="40"/>
      <c r="J4" s="40"/>
      <c r="K4" s="40"/>
      <c r="L4" s="42"/>
    </row>
    <row r="5" spans="1:12" s="39" customFormat="1" x14ac:dyDescent="0.25">
      <c r="B5" s="39">
        <f>ROW(B5)</f>
        <v>5</v>
      </c>
      <c r="E5" s="43" t="s">
        <v>325</v>
      </c>
      <c r="F5" s="43"/>
      <c r="G5" s="40">
        <f>B7</f>
        <v>7</v>
      </c>
      <c r="H5" s="40"/>
      <c r="I5" s="40"/>
      <c r="J5" s="40"/>
      <c r="K5" s="40"/>
      <c r="L5" s="42" t="str">
        <f>"&lt;unit"&amp;TEXT(B5,"000")&amp;"&gt; """&amp;E5&amp;""" {d 000, n "&amp;TEXT(G5,"000")&amp;"}"</f>
        <v>&lt;unit005&gt; "----- Прямой -----" {d 000, n 007}</v>
      </c>
    </row>
    <row r="6" spans="1:12" s="39" customFormat="1" x14ac:dyDescent="0.25">
      <c r="G6" s="40"/>
      <c r="H6" s="40"/>
      <c r="I6" s="40"/>
      <c r="J6" s="40"/>
      <c r="K6" s="40"/>
      <c r="L6" s="42"/>
    </row>
    <row r="7" spans="1:12" x14ac:dyDescent="0.25">
      <c r="B7" s="44">
        <f>ROW(B7)</f>
        <v>7</v>
      </c>
      <c r="C7" s="44" t="s">
        <v>79</v>
      </c>
      <c r="D7" s="39" t="str">
        <f>IF(I7="c 900","&gt;&gt;","")</f>
        <v/>
      </c>
      <c r="E7" s="44" t="s">
        <v>293</v>
      </c>
      <c r="G7" s="45">
        <f t="shared" ref="G7:G50" si="0">B8</f>
        <v>8</v>
      </c>
      <c r="H7" s="40" t="str">
        <f t="shared" ref="H7:H51" si="1">IFERROR("p "&amp;VLOOKUP(E7,Tablo_Tab,2,FALSE),"")</f>
        <v>p 084</v>
      </c>
      <c r="I7" s="45" t="str">
        <f t="shared" ref="I7:I51" si="2">IFERROR("c "&amp;VLOOKUP(C7,Punkti,2,FALSE),"")</f>
        <v>c 902</v>
      </c>
      <c r="J7" s="46" t="str">
        <f t="shared" ref="J7:J51" si="3">IFERROR(VLOOKUP(E7,Ostanovki,7,FALSE),"")</f>
        <v>v "\mp3_ost\9mikro.mp3"</v>
      </c>
      <c r="K7" s="40" t="str">
        <f t="shared" ref="K7:K51" si="4">IFERROR("c "&amp;VLOOKUP(F7,Punkti,2,FALSE),"")</f>
        <v/>
      </c>
      <c r="L7" s="42" t="str">
        <f t="shared" ref="L7:L51" si="5">"&lt;unit"&amp;TEXT(B7,"000")&amp;"&gt; """&amp;СцепитьМного(D7:E7,"")&amp;""" {e, "&amp;СцепитьМного(H7:K7,", ")&amp;", d 000, n "&amp;TEXT(G7,"000")&amp;"}"</f>
        <v>&lt;unit007&gt; "9-й микрорайон" {e, p 084, c 902, v "\mp3_ost\9mikro.mp3", d 000, n 008}</v>
      </c>
    </row>
    <row r="8" spans="1:12" x14ac:dyDescent="0.25">
      <c r="B8" s="44">
        <f t="shared" ref="B8:B51" si="6">ROW(B8)</f>
        <v>8</v>
      </c>
      <c r="C8" s="44" t="s">
        <v>329</v>
      </c>
      <c r="D8" s="39" t="str">
        <f>IF(I8="c 900","&gt;&gt;","")</f>
        <v>&gt;&gt;</v>
      </c>
      <c r="E8" s="44" t="s">
        <v>274</v>
      </c>
      <c r="F8" s="44" t="s">
        <v>381</v>
      </c>
      <c r="G8" s="45">
        <f t="shared" si="0"/>
        <v>9</v>
      </c>
      <c r="H8" s="40" t="str">
        <f t="shared" si="1"/>
        <v>p 060</v>
      </c>
      <c r="I8" s="45" t="str">
        <f t="shared" si="2"/>
        <v>c 900</v>
      </c>
      <c r="J8" s="46" t="str">
        <f t="shared" si="3"/>
        <v>c 928, v "\mp3_ost\lag.mp3"</v>
      </c>
      <c r="K8" s="40" t="str">
        <f t="shared" si="4"/>
        <v>c 930</v>
      </c>
      <c r="L8" s="42" t="str">
        <f t="shared" si="5"/>
        <v>&lt;unit008&gt; "&gt;&gt;ул.Логойская" {e, p 060, c 900, c 928, v "\mp3_ost\lag.mp3", c 930, d 000, n 009}</v>
      </c>
    </row>
    <row r="9" spans="1:12" x14ac:dyDescent="0.25">
      <c r="B9" s="44">
        <f t="shared" si="6"/>
        <v>9</v>
      </c>
      <c r="C9" s="44" t="s">
        <v>79</v>
      </c>
      <c r="D9" s="39" t="str">
        <f t="shared" ref="D9:D51" si="7">IF(I9="c 900","&gt;&gt;","")</f>
        <v/>
      </c>
      <c r="E9" s="44" t="s">
        <v>274</v>
      </c>
      <c r="G9" s="45">
        <f t="shared" si="0"/>
        <v>10</v>
      </c>
      <c r="H9" s="40" t="str">
        <f t="shared" si="1"/>
        <v>p 060</v>
      </c>
      <c r="I9" s="45" t="str">
        <f t="shared" si="2"/>
        <v>c 902</v>
      </c>
      <c r="J9" s="46" t="str">
        <f t="shared" si="3"/>
        <v>c 928, v "\mp3_ost\lag.mp3"</v>
      </c>
      <c r="K9" s="40" t="str">
        <f t="shared" si="4"/>
        <v/>
      </c>
      <c r="L9" s="42" t="str">
        <f t="shared" si="5"/>
        <v>&lt;unit009&gt; "ул.Логойская" {e, p 060, c 902, c 928, v "\mp3_ost\lag.mp3", d 000, n 010}</v>
      </c>
    </row>
    <row r="10" spans="1:12" x14ac:dyDescent="0.25">
      <c r="B10" s="44">
        <f t="shared" si="6"/>
        <v>10</v>
      </c>
      <c r="C10" s="44" t="s">
        <v>329</v>
      </c>
      <c r="D10" s="39" t="str">
        <f t="shared" si="7"/>
        <v>&gt;&gt;</v>
      </c>
      <c r="E10" s="44" t="s">
        <v>344</v>
      </c>
      <c r="F10" s="44" t="s">
        <v>381</v>
      </c>
      <c r="G10" s="45">
        <f t="shared" si="0"/>
        <v>11</v>
      </c>
      <c r="H10" s="40" t="str">
        <f t="shared" si="1"/>
        <v>p 061</v>
      </c>
      <c r="I10" s="45" t="str">
        <f t="shared" si="2"/>
        <v>c 900</v>
      </c>
      <c r="J10" s="46" t="str">
        <f t="shared" si="3"/>
        <v>c 928, v "\mp3_ost\log21.mp3"</v>
      </c>
      <c r="K10" s="40" t="str">
        <f t="shared" si="4"/>
        <v>c 930</v>
      </c>
      <c r="L10" s="42" t="str">
        <f t="shared" si="5"/>
        <v>&lt;unit010&gt; "&gt;&gt;ул.Логойская,21" {e, p 061, c 900, c 928, v "\mp3_ost\log21.mp3", c 930, d 000, n 011}</v>
      </c>
    </row>
    <row r="11" spans="1:12" x14ac:dyDescent="0.25">
      <c r="B11" s="44">
        <f t="shared" si="6"/>
        <v>11</v>
      </c>
      <c r="C11" s="44" t="s">
        <v>79</v>
      </c>
      <c r="D11" s="39" t="str">
        <f t="shared" si="7"/>
        <v/>
      </c>
      <c r="E11" s="44" t="s">
        <v>344</v>
      </c>
      <c r="G11" s="45">
        <f t="shared" si="0"/>
        <v>12</v>
      </c>
      <c r="H11" s="40" t="str">
        <f t="shared" si="1"/>
        <v>p 061</v>
      </c>
      <c r="I11" s="45" t="str">
        <f t="shared" si="2"/>
        <v>c 902</v>
      </c>
      <c r="J11" s="46" t="str">
        <f t="shared" si="3"/>
        <v>c 928, v "\mp3_ost\log21.mp3"</v>
      </c>
      <c r="K11" s="40" t="str">
        <f t="shared" si="4"/>
        <v/>
      </c>
      <c r="L11" s="42" t="str">
        <f t="shared" si="5"/>
        <v>&lt;unit011&gt; "ул.Логойская,21" {e, p 061, c 902, c 928, v "\mp3_ost\log21.mp3", d 000, n 012}</v>
      </c>
    </row>
    <row r="12" spans="1:12" x14ac:dyDescent="0.25">
      <c r="B12" s="44">
        <f t="shared" si="6"/>
        <v>12</v>
      </c>
      <c r="C12" s="44" t="s">
        <v>329</v>
      </c>
      <c r="D12" s="39" t="str">
        <f t="shared" si="7"/>
        <v>&gt;&gt;</v>
      </c>
      <c r="E12" s="44" t="s">
        <v>345</v>
      </c>
      <c r="F12" s="44" t="s">
        <v>381</v>
      </c>
      <c r="G12" s="45">
        <f t="shared" si="0"/>
        <v>13</v>
      </c>
      <c r="H12" s="40" t="str">
        <f t="shared" si="1"/>
        <v>p 062</v>
      </c>
      <c r="I12" s="45" t="str">
        <f t="shared" si="2"/>
        <v>c 900</v>
      </c>
      <c r="J12" s="46" t="str">
        <f t="shared" si="3"/>
        <v>c 928, v "\mp3_ost\log23.mp3"</v>
      </c>
      <c r="K12" s="40" t="str">
        <f t="shared" si="4"/>
        <v>c 930</v>
      </c>
      <c r="L12" s="42" t="str">
        <f t="shared" si="5"/>
        <v>&lt;unit012&gt; "&gt;&gt;ул.Логойская,23" {e, p 062, c 900, c 928, v "\mp3_ost\log23.mp3", c 930, d 000, n 013}</v>
      </c>
    </row>
    <row r="13" spans="1:12" x14ac:dyDescent="0.25">
      <c r="B13" s="44">
        <f t="shared" si="6"/>
        <v>13</v>
      </c>
      <c r="C13" s="44" t="s">
        <v>79</v>
      </c>
      <c r="D13" s="39" t="str">
        <f t="shared" si="7"/>
        <v/>
      </c>
      <c r="E13" s="44" t="s">
        <v>345</v>
      </c>
      <c r="G13" s="45">
        <f t="shared" si="0"/>
        <v>14</v>
      </c>
      <c r="H13" s="40" t="str">
        <f t="shared" si="1"/>
        <v>p 062</v>
      </c>
      <c r="I13" s="45" t="str">
        <f t="shared" si="2"/>
        <v>c 902</v>
      </c>
      <c r="J13" s="46" t="str">
        <f t="shared" si="3"/>
        <v>c 928, v "\mp3_ost\log23.mp3"</v>
      </c>
      <c r="K13" s="40" t="str">
        <f t="shared" si="4"/>
        <v/>
      </c>
      <c r="L13" s="42" t="str">
        <f t="shared" si="5"/>
        <v>&lt;unit013&gt; "ул.Логойская,23" {e, p 062, c 902, c 928, v "\mp3_ost\log23.mp3", d 000, n 014}</v>
      </c>
    </row>
    <row r="14" spans="1:12" x14ac:dyDescent="0.25">
      <c r="B14" s="44">
        <f t="shared" si="6"/>
        <v>14</v>
      </c>
      <c r="C14" s="44" t="s">
        <v>329</v>
      </c>
      <c r="D14" s="39" t="str">
        <f t="shared" si="7"/>
        <v>&gt;&gt;</v>
      </c>
      <c r="E14" s="44" t="s">
        <v>173</v>
      </c>
      <c r="F14" s="44" t="s">
        <v>381</v>
      </c>
      <c r="G14" s="45">
        <f t="shared" si="0"/>
        <v>15</v>
      </c>
      <c r="H14" s="40" t="str">
        <f>IFERROR("p "&amp;VLOOKUP(E14,Tablo_Tab,2,FALSE),"")</f>
        <v>p 001</v>
      </c>
      <c r="I14" s="45" t="str">
        <f t="shared" si="2"/>
        <v>c 900</v>
      </c>
      <c r="J14" s="46" t="str">
        <f t="shared" ref="J14:J31" si="8">IFERROR(VLOOKUP(E14,Ostanovki,7,FALSE),"")</f>
        <v>v "\mp3_ost\8mikra.mp3"</v>
      </c>
      <c r="K14" s="40" t="str">
        <f t="shared" si="4"/>
        <v>c 930</v>
      </c>
      <c r="L14" s="42" t="str">
        <f t="shared" si="5"/>
        <v>&lt;unit014&gt; "&gt;&gt;8 микрорайон" {e, p 001, c 900, v "\mp3_ost\8mikra.mp3", c 930, d 000, n 015}</v>
      </c>
    </row>
    <row r="15" spans="1:12" x14ac:dyDescent="0.25">
      <c r="B15" s="44">
        <f t="shared" si="6"/>
        <v>15</v>
      </c>
      <c r="C15" s="44" t="s">
        <v>79</v>
      </c>
      <c r="D15" s="39" t="str">
        <f t="shared" si="7"/>
        <v/>
      </c>
      <c r="E15" s="44" t="s">
        <v>173</v>
      </c>
      <c r="G15" s="45">
        <f t="shared" si="0"/>
        <v>16</v>
      </c>
      <c r="H15" s="40" t="str">
        <f>IFERROR("p "&amp;VLOOKUP(E15,Tablo_Tab,2,FALSE),"")</f>
        <v>p 001</v>
      </c>
      <c r="I15" s="45" t="str">
        <f t="shared" ref="I15:I17" si="9">IFERROR("c "&amp;VLOOKUP(C15,Punkti,2,FALSE),"")</f>
        <v>c 902</v>
      </c>
      <c r="J15" s="46" t="str">
        <f t="shared" si="8"/>
        <v>v "\mp3_ost\8mikra.mp3"</v>
      </c>
      <c r="K15" s="40" t="str">
        <f t="shared" ref="K15:K18" si="10">IFERROR("c "&amp;VLOOKUP(F15,Punkti,2,FALSE),"")</f>
        <v/>
      </c>
      <c r="L15" s="42" t="str">
        <f t="shared" si="5"/>
        <v>&lt;unit015&gt; "8 микрорайон" {e, p 001, c 902, v "\mp3_ost\8mikra.mp3", d 000, n 016}</v>
      </c>
    </row>
    <row r="16" spans="1:12" x14ac:dyDescent="0.25">
      <c r="B16" s="44">
        <f t="shared" si="6"/>
        <v>16</v>
      </c>
      <c r="C16" s="44" t="s">
        <v>329</v>
      </c>
      <c r="D16" s="39" t="str">
        <f t="shared" si="7"/>
        <v>&gt;&gt;</v>
      </c>
      <c r="E16" s="44" t="s">
        <v>214</v>
      </c>
      <c r="F16" s="44" t="s">
        <v>381</v>
      </c>
      <c r="G16" s="45">
        <f t="shared" si="0"/>
        <v>17</v>
      </c>
      <c r="H16" s="40" t="str">
        <f>IFERROR("p "&amp;VLOOKUP(E16,Tablo_Tab,2,FALSE),"")</f>
        <v>p 030</v>
      </c>
      <c r="I16" s="45" t="str">
        <f t="shared" si="9"/>
        <v>c 900</v>
      </c>
      <c r="J16" s="46" t="str">
        <f t="shared" si="8"/>
        <v>v "\mp3_ost\lenina.mp3"</v>
      </c>
      <c r="K16" s="40" t="str">
        <f t="shared" si="10"/>
        <v>c 930</v>
      </c>
      <c r="L16" s="42" t="str">
        <f t="shared" si="5"/>
        <v>&lt;unit016&gt; "&gt;&gt;пр-т Ленина" {e, p 030, c 900, v "\mp3_ost\lenina.mp3", c 930, d 000, n 017}</v>
      </c>
    </row>
    <row r="17" spans="2:12" x14ac:dyDescent="0.25">
      <c r="B17" s="44">
        <f t="shared" si="6"/>
        <v>17</v>
      </c>
      <c r="C17" s="44" t="s">
        <v>79</v>
      </c>
      <c r="D17" s="39" t="str">
        <f t="shared" si="7"/>
        <v/>
      </c>
      <c r="E17" s="44" t="s">
        <v>214</v>
      </c>
      <c r="G17" s="45">
        <f t="shared" si="0"/>
        <v>18</v>
      </c>
      <c r="H17" s="40" t="str">
        <f>IFERROR("p "&amp;VLOOKUP(E17,Tablo_Tab,2,FALSE),"")</f>
        <v>p 030</v>
      </c>
      <c r="I17" s="45" t="str">
        <f t="shared" si="9"/>
        <v>c 902</v>
      </c>
      <c r="J17" s="46" t="str">
        <f t="shared" si="8"/>
        <v>v "\mp3_ost\lenina.mp3"</v>
      </c>
      <c r="K17" s="40" t="str">
        <f t="shared" si="10"/>
        <v/>
      </c>
      <c r="L17" s="42" t="str">
        <f t="shared" si="5"/>
        <v>&lt;unit017&gt; "пр-т Ленина" {e, p 030, c 902, v "\mp3_ost\lenina.mp3", d 000, n 018}</v>
      </c>
    </row>
    <row r="18" spans="2:12" x14ac:dyDescent="0.25">
      <c r="B18" s="44">
        <f t="shared" si="6"/>
        <v>18</v>
      </c>
      <c r="C18" s="44" t="s">
        <v>329</v>
      </c>
      <c r="D18" s="39" t="str">
        <f t="shared" si="7"/>
        <v>&gt;&gt;</v>
      </c>
      <c r="E18" s="44" t="s">
        <v>278</v>
      </c>
      <c r="F18" s="44" t="s">
        <v>381</v>
      </c>
      <c r="G18" s="45">
        <f t="shared" si="0"/>
        <v>19</v>
      </c>
      <c r="H18" s="40" t="str">
        <f>IFERROR("p "&amp;VLOOKUP(E18,Tablo_Tab,2,FALSE),"")</f>
        <v>p 076</v>
      </c>
      <c r="I18" s="45" t="str">
        <f t="shared" ref="I18:I31" si="11">IFERROR("c "&amp;VLOOKUP(C18,Punkti,2,FALSE),"")</f>
        <v>c 900</v>
      </c>
      <c r="J18" s="46" t="str">
        <f t="shared" si="8"/>
        <v>c 928, v "\mp3_ost\suhogrya.mp3"</v>
      </c>
      <c r="K18" s="40" t="str">
        <f t="shared" si="10"/>
        <v>c 930</v>
      </c>
      <c r="L18" s="42" t="str">
        <f t="shared" si="5"/>
        <v>&lt;unit018&gt; "&gt;&gt;ул.Сухогрядская" {e, p 076, c 900, c 928, v "\mp3_ost\suhogrya.mp3", c 930, d 000, n 019}</v>
      </c>
    </row>
    <row r="19" spans="2:12" x14ac:dyDescent="0.25">
      <c r="B19" s="44">
        <f t="shared" si="6"/>
        <v>19</v>
      </c>
      <c r="C19" s="44" t="s">
        <v>79</v>
      </c>
      <c r="D19" s="39" t="str">
        <f t="shared" si="7"/>
        <v/>
      </c>
      <c r="E19" s="44" t="s">
        <v>278</v>
      </c>
      <c r="G19" s="45">
        <f t="shared" si="0"/>
        <v>20</v>
      </c>
      <c r="H19" s="40" t="str">
        <f t="shared" ref="H19:H23" si="12">IFERROR("p "&amp;VLOOKUP(E21,Tablo_Tab,2,FALSE),"")</f>
        <v>p 033</v>
      </c>
      <c r="I19" s="45" t="str">
        <f t="shared" si="11"/>
        <v>c 902</v>
      </c>
      <c r="J19" s="46" t="str">
        <f t="shared" si="8"/>
        <v>c 928, v "\mp3_ost\suhogrya.mp3"</v>
      </c>
      <c r="K19" s="40" t="str">
        <f t="shared" si="4"/>
        <v/>
      </c>
      <c r="L19" s="42" t="str">
        <f t="shared" si="5"/>
        <v>&lt;unit019&gt; "ул.Сухогрядская" {e, p 033, c 902, c 928, v "\mp3_ost\suhogrya.mp3", d 000, n 020}</v>
      </c>
    </row>
    <row r="20" spans="2:12" x14ac:dyDescent="0.25">
      <c r="B20" s="44">
        <f t="shared" si="6"/>
        <v>20</v>
      </c>
      <c r="C20" s="44" t="s">
        <v>329</v>
      </c>
      <c r="D20" s="39" t="str">
        <f t="shared" si="7"/>
        <v>&gt;&gt;</v>
      </c>
      <c r="E20" s="44" t="s">
        <v>337</v>
      </c>
      <c r="F20" s="44" t="s">
        <v>381</v>
      </c>
      <c r="G20" s="45">
        <f t="shared" si="0"/>
        <v>21</v>
      </c>
      <c r="H20" s="40" t="str">
        <f t="shared" si="12"/>
        <v>p 046</v>
      </c>
      <c r="I20" s="45" t="str">
        <f t="shared" si="11"/>
        <v>c 900</v>
      </c>
      <c r="J20" s="46" t="str">
        <f t="shared" si="8"/>
        <v>v "\mp3_ost\rinok.mp3"</v>
      </c>
      <c r="K20" s="40" t="str">
        <f t="shared" si="4"/>
        <v>c 930</v>
      </c>
      <c r="L20" s="42" t="str">
        <f t="shared" si="5"/>
        <v>&lt;unit020&gt; "&gt;&gt;Рынок" {e, p 046, c 900, v "\mp3_ost\rinok.mp3", c 930, d 000, n 021}</v>
      </c>
    </row>
    <row r="21" spans="2:12" x14ac:dyDescent="0.25">
      <c r="B21" s="44">
        <f t="shared" si="6"/>
        <v>21</v>
      </c>
      <c r="C21" s="44" t="s">
        <v>79</v>
      </c>
      <c r="D21" s="39" t="str">
        <f t="shared" si="7"/>
        <v/>
      </c>
      <c r="E21" s="44" t="s">
        <v>337</v>
      </c>
      <c r="G21" s="45">
        <f t="shared" si="0"/>
        <v>22</v>
      </c>
      <c r="H21" s="40" t="str">
        <f t="shared" si="12"/>
        <v>p 046</v>
      </c>
      <c r="I21" s="45" t="str">
        <f t="shared" si="11"/>
        <v>c 902</v>
      </c>
      <c r="J21" s="46" t="str">
        <f t="shared" si="8"/>
        <v>v "\mp3_ost\rinok.mp3"</v>
      </c>
      <c r="K21" s="40" t="str">
        <f t="shared" si="4"/>
        <v/>
      </c>
      <c r="L21" s="42" t="str">
        <f t="shared" si="5"/>
        <v>&lt;unit021&gt; "Рынок" {e, p 046, c 902, v "\mp3_ost\rinok.mp3", d 000, n 022}</v>
      </c>
    </row>
    <row r="22" spans="2:12" x14ac:dyDescent="0.25">
      <c r="B22" s="44">
        <f t="shared" si="6"/>
        <v>22</v>
      </c>
      <c r="C22" s="44" t="s">
        <v>329</v>
      </c>
      <c r="D22" s="39" t="str">
        <f t="shared" si="7"/>
        <v>&gt;&gt;</v>
      </c>
      <c r="E22" s="44" t="s">
        <v>267</v>
      </c>
      <c r="F22" s="44" t="s">
        <v>381</v>
      </c>
      <c r="G22" s="45">
        <f t="shared" si="0"/>
        <v>23</v>
      </c>
      <c r="H22" s="40" t="str">
        <f t="shared" si="12"/>
        <v>p 022</v>
      </c>
      <c r="I22" s="45" t="str">
        <f t="shared" si="11"/>
        <v>c 900</v>
      </c>
      <c r="J22" s="46" t="str">
        <f t="shared" si="8"/>
        <v>c 928, v "\mp3_ost\8marta.mp3"</v>
      </c>
      <c r="K22" s="40" t="str">
        <f t="shared" si="4"/>
        <v>c 930</v>
      </c>
      <c r="L22" s="42" t="str">
        <f t="shared" si="5"/>
        <v>&lt;unit022&gt; "&gt;&gt;ул.8 Марта" {e, p 022, c 900, c 928, v "\mp3_ost\8marta.mp3", c 930, d 000, n 023}</v>
      </c>
    </row>
    <row r="23" spans="2:12" x14ac:dyDescent="0.25">
      <c r="B23" s="44">
        <f t="shared" si="6"/>
        <v>23</v>
      </c>
      <c r="C23" s="44" t="s">
        <v>79</v>
      </c>
      <c r="D23" s="39" t="str">
        <f t="shared" si="7"/>
        <v/>
      </c>
      <c r="E23" s="44" t="s">
        <v>267</v>
      </c>
      <c r="G23" s="45">
        <f t="shared" si="0"/>
        <v>24</v>
      </c>
      <c r="H23" s="40" t="str">
        <f t="shared" si="12"/>
        <v>p 022</v>
      </c>
      <c r="I23" s="45" t="str">
        <f t="shared" si="11"/>
        <v>c 902</v>
      </c>
      <c r="J23" s="46" t="str">
        <f t="shared" si="8"/>
        <v>c 928, v "\mp3_ost\8marta.mp3"</v>
      </c>
      <c r="K23" s="40" t="str">
        <f t="shared" si="4"/>
        <v/>
      </c>
      <c r="L23" s="42" t="str">
        <f t="shared" si="5"/>
        <v>&lt;unit023&gt; "ул.8 Марта" {e, p 022, c 902, c 928, v "\mp3_ost\8marta.mp3", d 000, n 024}</v>
      </c>
    </row>
    <row r="24" spans="2:12" x14ac:dyDescent="0.25">
      <c r="B24" s="44">
        <f t="shared" si="6"/>
        <v>24</v>
      </c>
      <c r="C24" s="44" t="s">
        <v>329</v>
      </c>
      <c r="D24" s="39" t="str">
        <f t="shared" si="7"/>
        <v>&gt;&gt;</v>
      </c>
      <c r="E24" s="44" t="s">
        <v>349</v>
      </c>
      <c r="F24" s="44" t="s">
        <v>381</v>
      </c>
      <c r="G24" s="45">
        <f t="shared" si="0"/>
        <v>25</v>
      </c>
      <c r="H24" s="40" t="str">
        <f t="shared" ref="H24:H27" si="13">IFERROR("p "&amp;VLOOKUP(E26,Tablo_Tab,2,FALSE),"")</f>
        <v>p 028</v>
      </c>
      <c r="I24" s="45" t="str">
        <f t="shared" si="11"/>
        <v>c 900</v>
      </c>
      <c r="J24" s="46" t="str">
        <f t="shared" si="8"/>
        <v>v "\mp3_ost\park.mp3"</v>
      </c>
      <c r="K24" s="40" t="str">
        <f t="shared" si="4"/>
        <v>c 930</v>
      </c>
      <c r="L24" s="42" t="str">
        <f t="shared" si="5"/>
        <v>&lt;unit024&gt; "&gt;&gt;Парк культуры" {e, p 028, c 900, v "\mp3_ost\park.mp3", c 930, d 000, n 025}</v>
      </c>
    </row>
    <row r="25" spans="2:12" x14ac:dyDescent="0.25">
      <c r="B25" s="44">
        <f t="shared" si="6"/>
        <v>25</v>
      </c>
      <c r="C25" s="44" t="s">
        <v>79</v>
      </c>
      <c r="D25" s="39" t="str">
        <f t="shared" si="7"/>
        <v/>
      </c>
      <c r="E25" s="44" t="s">
        <v>349</v>
      </c>
      <c r="G25" s="45">
        <f t="shared" si="0"/>
        <v>26</v>
      </c>
      <c r="H25" s="40" t="str">
        <f t="shared" si="13"/>
        <v>p 028</v>
      </c>
      <c r="I25" s="45" t="str">
        <f t="shared" si="11"/>
        <v>c 902</v>
      </c>
      <c r="J25" s="46" t="str">
        <f t="shared" si="8"/>
        <v>v "\mp3_ost\park.mp3"</v>
      </c>
      <c r="K25" s="40" t="str">
        <f t="shared" si="4"/>
        <v/>
      </c>
      <c r="L25" s="42" t="str">
        <f t="shared" si="5"/>
        <v>&lt;unit025&gt; "Парк культуры" {e, p 028, c 902, v "\mp3_ost\park.mp3", d 000, n 026}</v>
      </c>
    </row>
    <row r="26" spans="2:12" x14ac:dyDescent="0.25">
      <c r="B26" s="44">
        <f t="shared" si="6"/>
        <v>26</v>
      </c>
      <c r="C26" s="44" t="s">
        <v>329</v>
      </c>
      <c r="D26" s="39" t="str">
        <f t="shared" si="7"/>
        <v>&gt;&gt;</v>
      </c>
      <c r="E26" s="44" t="s">
        <v>233</v>
      </c>
      <c r="F26" s="44" t="s">
        <v>381</v>
      </c>
      <c r="G26" s="45">
        <f t="shared" si="0"/>
        <v>27</v>
      </c>
      <c r="H26" s="40" t="str">
        <f t="shared" si="13"/>
        <v>p 029</v>
      </c>
      <c r="I26" s="45" t="str">
        <f t="shared" si="11"/>
        <v>c 900</v>
      </c>
      <c r="J26" s="46" t="str">
        <f t="shared" si="8"/>
        <v>v "\mp3_ost\pochta.mp3"</v>
      </c>
      <c r="K26" s="40" t="str">
        <f t="shared" si="4"/>
        <v>c 930</v>
      </c>
      <c r="L26" s="42" t="str">
        <f t="shared" si="5"/>
        <v>&lt;unit026&gt; "&gt;&gt;Почта" {e, p 029, c 900, v "\mp3_ost\pochta.mp3", c 930, d 000, n 027}</v>
      </c>
    </row>
    <row r="27" spans="2:12" x14ac:dyDescent="0.25">
      <c r="B27" s="44">
        <f t="shared" si="6"/>
        <v>27</v>
      </c>
      <c r="C27" s="44" t="s">
        <v>79</v>
      </c>
      <c r="D27" s="39" t="str">
        <f t="shared" si="7"/>
        <v/>
      </c>
      <c r="E27" s="44" t="s">
        <v>233</v>
      </c>
      <c r="G27" s="45">
        <f t="shared" si="0"/>
        <v>28</v>
      </c>
      <c r="H27" s="40" t="str">
        <f t="shared" si="13"/>
        <v>p 029</v>
      </c>
      <c r="I27" s="45" t="str">
        <f t="shared" si="11"/>
        <v>c 902</v>
      </c>
      <c r="J27" s="46" t="str">
        <f t="shared" si="8"/>
        <v>v "\mp3_ost\pochta.mp3"</v>
      </c>
      <c r="K27" s="40" t="str">
        <f t="shared" si="4"/>
        <v/>
      </c>
      <c r="L27" s="42" t="str">
        <f t="shared" si="5"/>
        <v>&lt;unit027&gt; "Почта" {e, p 029, c 902, v "\mp3_ost\pochta.mp3", d 000, n 028}</v>
      </c>
    </row>
    <row r="28" spans="2:12" x14ac:dyDescent="0.25">
      <c r="B28" s="44">
        <f t="shared" si="6"/>
        <v>28</v>
      </c>
      <c r="C28" s="44" t="s">
        <v>329</v>
      </c>
      <c r="D28" s="39" t="str">
        <f t="shared" si="7"/>
        <v>&gt;&gt;</v>
      </c>
      <c r="E28" s="44" t="s">
        <v>260</v>
      </c>
      <c r="F28" s="44" t="s">
        <v>381</v>
      </c>
      <c r="G28" s="45">
        <f t="shared" si="0"/>
        <v>29</v>
      </c>
      <c r="H28" s="40" t="str">
        <f t="shared" si="1"/>
        <v>p 029</v>
      </c>
      <c r="I28" s="45" t="str">
        <f t="shared" si="11"/>
        <v>c 900</v>
      </c>
      <c r="J28" s="46" t="str">
        <f t="shared" si="8"/>
        <v>v "\mp3_ost\venis`e.mp3"</v>
      </c>
      <c r="K28" s="40" t="str">
        <f t="shared" si="4"/>
        <v>c 930</v>
      </c>
      <c r="L28" s="42" t="str">
        <f t="shared" si="5"/>
        <v>&lt;unit028&gt; "&gt;&gt;пр-т Венисье" {e, p 029, c 900, v "\mp3_ost\venis`e.mp3", c 930, d 000, n 029}</v>
      </c>
    </row>
    <row r="29" spans="2:12" x14ac:dyDescent="0.25">
      <c r="B29" s="44">
        <f t="shared" si="6"/>
        <v>29</v>
      </c>
      <c r="C29" s="44" t="s">
        <v>79</v>
      </c>
      <c r="D29" s="39" t="str">
        <f t="shared" si="7"/>
        <v/>
      </c>
      <c r="E29" s="44" t="s">
        <v>260</v>
      </c>
      <c r="G29" s="45">
        <f t="shared" si="0"/>
        <v>30</v>
      </c>
      <c r="H29" s="40" t="str">
        <f t="shared" si="1"/>
        <v>p 029</v>
      </c>
      <c r="I29" s="45" t="str">
        <f t="shared" si="11"/>
        <v>c 902</v>
      </c>
      <c r="J29" s="46" t="str">
        <f t="shared" si="8"/>
        <v>v "\mp3_ost\venis`e.mp3"</v>
      </c>
      <c r="K29" s="40" t="str">
        <f t="shared" si="4"/>
        <v/>
      </c>
      <c r="L29" s="42" t="str">
        <f t="shared" si="5"/>
        <v>&lt;unit029&gt; "пр-т Венисье" {e, p 029, c 902, v "\mp3_ost\venis`e.mp3", d 000, n 030}</v>
      </c>
    </row>
    <row r="30" spans="2:12" x14ac:dyDescent="0.25">
      <c r="B30" s="44">
        <f t="shared" si="6"/>
        <v>30</v>
      </c>
      <c r="C30" s="44" t="s">
        <v>329</v>
      </c>
      <c r="D30" s="39" t="str">
        <f t="shared" si="7"/>
        <v>&gt;&gt;</v>
      </c>
      <c r="E30" s="44" t="s">
        <v>347</v>
      </c>
      <c r="F30" s="44" t="s">
        <v>381</v>
      </c>
      <c r="G30" s="45">
        <f t="shared" si="0"/>
        <v>31</v>
      </c>
      <c r="H30" s="40" t="str">
        <f t="shared" si="1"/>
        <v>p 050</v>
      </c>
      <c r="I30" s="45" t="str">
        <f t="shared" si="11"/>
        <v>c 900</v>
      </c>
      <c r="J30" s="46" t="str">
        <f t="shared" si="8"/>
        <v>c 928, v "\mp3_ost\borovaja.mp3"</v>
      </c>
      <c r="K30" s="40" t="str">
        <f t="shared" si="4"/>
        <v>c 930</v>
      </c>
      <c r="L30" s="42" t="str">
        <f t="shared" si="5"/>
        <v>&lt;unit030&gt; "&gt;&gt;ул.Боровая" {e, p 050, c 900, c 928, v "\mp3_ost\borovaja.mp3", c 930, d 000, n 031}</v>
      </c>
    </row>
    <row r="31" spans="2:12" x14ac:dyDescent="0.25">
      <c r="B31" s="44">
        <f t="shared" si="6"/>
        <v>31</v>
      </c>
      <c r="C31" s="44" t="s">
        <v>79</v>
      </c>
      <c r="D31" s="39" t="str">
        <f t="shared" si="7"/>
        <v/>
      </c>
      <c r="E31" s="44" t="s">
        <v>347</v>
      </c>
      <c r="G31" s="45">
        <f t="shared" si="0"/>
        <v>32</v>
      </c>
      <c r="H31" s="40" t="str">
        <f t="shared" si="1"/>
        <v>p 050</v>
      </c>
      <c r="I31" s="45" t="str">
        <f t="shared" si="11"/>
        <v>c 902</v>
      </c>
      <c r="J31" s="46" t="str">
        <f t="shared" si="8"/>
        <v>c 928, v "\mp3_ost\borovaja.mp3"</v>
      </c>
      <c r="K31" s="40" t="str">
        <f t="shared" si="4"/>
        <v/>
      </c>
      <c r="L31" s="42" t="str">
        <f t="shared" si="5"/>
        <v>&lt;unit031&gt; "ул.Боровая" {e, p 050, c 902, c 928, v "\mp3_ost\borovaja.mp3", d 000, n 032}</v>
      </c>
    </row>
    <row r="32" spans="2:12" x14ac:dyDescent="0.25">
      <c r="B32" s="44">
        <f>ROW(B32)</f>
        <v>32</v>
      </c>
      <c r="C32" s="44" t="s">
        <v>329</v>
      </c>
      <c r="D32" s="39" t="str">
        <f t="shared" si="7"/>
        <v>&gt;&gt;</v>
      </c>
      <c r="E32" s="44" t="s">
        <v>180</v>
      </c>
      <c r="F32" s="44" t="s">
        <v>381</v>
      </c>
      <c r="G32" s="45">
        <f t="shared" si="0"/>
        <v>33</v>
      </c>
      <c r="H32" s="40" t="str">
        <f t="shared" si="1"/>
        <v>p 006</v>
      </c>
      <c r="I32" s="45" t="str">
        <f t="shared" si="2"/>
        <v>c 900</v>
      </c>
      <c r="J32" s="46" t="str">
        <f t="shared" si="3"/>
        <v>v "\mp3_ost\bolnica.mp3"</v>
      </c>
      <c r="K32" s="40" t="str">
        <f t="shared" si="4"/>
        <v>c 930</v>
      </c>
      <c r="L32" s="42" t="str">
        <f t="shared" si="5"/>
        <v>&lt;unit032&gt; "&gt;&gt;Больница" {e, p 006, c 900, v "\mp3_ost\bolnica.mp3", c 930, d 000, n 033}</v>
      </c>
    </row>
    <row r="33" spans="2:12" x14ac:dyDescent="0.25">
      <c r="B33" s="44">
        <f t="shared" si="6"/>
        <v>33</v>
      </c>
      <c r="C33" s="44" t="s">
        <v>79</v>
      </c>
      <c r="D33" s="39" t="str">
        <f t="shared" si="7"/>
        <v/>
      </c>
      <c r="E33" s="44" t="s">
        <v>180</v>
      </c>
      <c r="G33" s="45">
        <f t="shared" si="0"/>
        <v>34</v>
      </c>
      <c r="H33" s="40" t="str">
        <f t="shared" si="1"/>
        <v>p 006</v>
      </c>
      <c r="I33" s="45" t="str">
        <f t="shared" si="2"/>
        <v>c 902</v>
      </c>
      <c r="J33" s="46" t="str">
        <f t="shared" si="3"/>
        <v>v "\mp3_ost\bolnica.mp3"</v>
      </c>
      <c r="K33" s="40" t="str">
        <f t="shared" si="4"/>
        <v/>
      </c>
      <c r="L33" s="42" t="str">
        <f t="shared" si="5"/>
        <v>&lt;unit033&gt; "Больница" {e, p 006, c 902, v "\mp3_ost\bolnica.mp3", d 000, n 034}</v>
      </c>
    </row>
    <row r="34" spans="2:12" x14ac:dyDescent="0.25">
      <c r="B34" s="44">
        <f t="shared" si="6"/>
        <v>34</v>
      </c>
      <c r="C34" s="44" t="s">
        <v>329</v>
      </c>
      <c r="D34" s="39" t="str">
        <f t="shared" si="7"/>
        <v>&gt;&gt;</v>
      </c>
      <c r="E34" s="44" t="s">
        <v>174</v>
      </c>
      <c r="F34" s="44" t="s">
        <v>381</v>
      </c>
      <c r="G34" s="45">
        <f t="shared" si="0"/>
        <v>35</v>
      </c>
      <c r="H34" s="40" t="str">
        <f t="shared" si="1"/>
        <v>p 038</v>
      </c>
      <c r="I34" s="45" t="str">
        <f t="shared" si="2"/>
        <v>c 900</v>
      </c>
      <c r="J34" s="46" t="str">
        <f t="shared" si="3"/>
        <v>v "\mp3_ost\8ssh.mp3"</v>
      </c>
      <c r="K34" s="40" t="str">
        <f t="shared" si="4"/>
        <v>c 930</v>
      </c>
      <c r="L34" s="42" t="str">
        <f t="shared" si="5"/>
        <v>&lt;unit034&gt; "&gt;&gt;СШ № 8" {e, p 038, c 900, v "\mp3_ost\8ssh.mp3", c 930, d 000, n 035}</v>
      </c>
    </row>
    <row r="35" spans="2:12" x14ac:dyDescent="0.25">
      <c r="B35" s="44">
        <f t="shared" si="6"/>
        <v>35</v>
      </c>
      <c r="C35" s="44" t="s">
        <v>79</v>
      </c>
      <c r="D35" s="39" t="str">
        <f t="shared" ref="D35:D44" si="14">IF(I35="c 900","&gt;&gt;","")</f>
        <v/>
      </c>
      <c r="E35" s="44" t="s">
        <v>174</v>
      </c>
      <c r="G35" s="45">
        <f t="shared" si="0"/>
        <v>36</v>
      </c>
      <c r="H35" s="40" t="str">
        <f t="shared" ref="H35:H44" si="15">IFERROR("p "&amp;VLOOKUP(E35,Tablo_Tab,2,FALSE),"")</f>
        <v>p 038</v>
      </c>
      <c r="I35" s="45" t="str">
        <f t="shared" ref="I35:I44" si="16">IFERROR("c "&amp;VLOOKUP(C35,Punkti,2,FALSE),"")</f>
        <v>c 902</v>
      </c>
      <c r="J35" s="46" t="str">
        <f t="shared" ref="J35:J44" si="17">IFERROR(VLOOKUP(E35,Ostanovki,7,FALSE),"")</f>
        <v>v "\mp3_ost\8ssh.mp3"</v>
      </c>
      <c r="K35" s="40" t="str">
        <f t="shared" si="4"/>
        <v/>
      </c>
      <c r="L35" s="42" t="str">
        <f t="shared" si="5"/>
        <v>&lt;unit035&gt; "СШ № 8" {e, p 038, c 902, v "\mp3_ost\8ssh.mp3", d 000, n 036}</v>
      </c>
    </row>
    <row r="36" spans="2:12" x14ac:dyDescent="0.25">
      <c r="B36" s="44">
        <f>ROW(B36)</f>
        <v>36</v>
      </c>
      <c r="C36" s="44" t="s">
        <v>329</v>
      </c>
      <c r="D36" s="39" t="str">
        <f t="shared" si="14"/>
        <v>&gt;&gt;</v>
      </c>
      <c r="E36" s="44" t="s">
        <v>275</v>
      </c>
      <c r="F36" s="44" t="s">
        <v>381</v>
      </c>
      <c r="G36" s="45">
        <f t="shared" si="0"/>
        <v>37</v>
      </c>
      <c r="H36" s="40" t="str">
        <f t="shared" si="15"/>
        <v>p 063</v>
      </c>
      <c r="I36" s="45" t="str">
        <f t="shared" si="16"/>
        <v>c 900</v>
      </c>
      <c r="J36" s="46" t="str">
        <f t="shared" si="17"/>
        <v>c 928, v "\mp3_ost\magistra.mp3"</v>
      </c>
      <c r="K36" s="40" t="str">
        <f t="shared" si="4"/>
        <v>c 930</v>
      </c>
      <c r="L36" s="42" t="str">
        <f t="shared" si="5"/>
        <v>&lt;unit036&gt; "&gt;&gt;ул.Магистральная" {e, p 063, c 900, c 928, v "\mp3_ost\magistra.mp3", c 930, d 000, n 037}</v>
      </c>
    </row>
    <row r="37" spans="2:12" x14ac:dyDescent="0.25">
      <c r="B37" s="44">
        <f t="shared" si="6"/>
        <v>37</v>
      </c>
      <c r="C37" s="44" t="s">
        <v>79</v>
      </c>
      <c r="D37" s="39" t="str">
        <f t="shared" ref="D37:D42" si="18">IF(I37="c 900","&gt;&gt;","")</f>
        <v/>
      </c>
      <c r="E37" s="44" t="s">
        <v>275</v>
      </c>
      <c r="G37" s="45">
        <f t="shared" si="0"/>
        <v>38</v>
      </c>
      <c r="H37" s="40" t="str">
        <f t="shared" ref="H37:H42" si="19">IFERROR("p "&amp;VLOOKUP(E37,Tablo_Tab,2,FALSE),"")</f>
        <v>p 063</v>
      </c>
      <c r="I37" s="45" t="str">
        <f t="shared" ref="I37:I42" si="20">IFERROR("c "&amp;VLOOKUP(C37,Punkti,2,FALSE),"")</f>
        <v>c 902</v>
      </c>
      <c r="J37" s="46" t="str">
        <f t="shared" ref="J37:J42" si="21">IFERROR(VLOOKUP(E37,Ostanovki,7,FALSE),"")</f>
        <v>c 928, v "\mp3_ost\magistra.mp3"</v>
      </c>
      <c r="K37" s="40" t="str">
        <f t="shared" si="4"/>
        <v/>
      </c>
      <c r="L37" s="42" t="str">
        <f t="shared" si="5"/>
        <v>&lt;unit037&gt; "ул.Магистральная" {e, p 063, c 902, c 928, v "\mp3_ost\magistra.mp3", d 000, n 038}</v>
      </c>
    </row>
    <row r="38" spans="2:12" x14ac:dyDescent="0.25">
      <c r="B38" s="44">
        <f t="shared" si="6"/>
        <v>38</v>
      </c>
      <c r="C38" s="44" t="s">
        <v>329</v>
      </c>
      <c r="D38" s="39" t="str">
        <f t="shared" si="18"/>
        <v>&gt;&gt;</v>
      </c>
      <c r="E38" s="44" t="s">
        <v>336</v>
      </c>
      <c r="F38" s="44" t="s">
        <v>381</v>
      </c>
      <c r="G38" s="45">
        <f t="shared" si="0"/>
        <v>39</v>
      </c>
      <c r="H38" s="40" t="str">
        <f t="shared" si="19"/>
        <v>p 067</v>
      </c>
      <c r="I38" s="45" t="str">
        <f t="shared" si="20"/>
        <v>c 900</v>
      </c>
      <c r="J38" s="46" t="str">
        <f t="shared" si="21"/>
        <v>c 928, v "\mp3_ost\ostrovsk.mp3"</v>
      </c>
      <c r="K38" s="40" t="str">
        <f t="shared" si="4"/>
        <v>c 930</v>
      </c>
      <c r="L38" s="42" t="str">
        <f t="shared" si="5"/>
        <v>&lt;unit038&gt; "&gt;&gt;ул.Островского" {e, p 067, c 900, c 928, v "\mp3_ost\ostrovsk.mp3", c 930, d 000, n 039}</v>
      </c>
    </row>
    <row r="39" spans="2:12" x14ac:dyDescent="0.25">
      <c r="B39" s="44">
        <f t="shared" si="6"/>
        <v>39</v>
      </c>
      <c r="C39" s="44" t="s">
        <v>79</v>
      </c>
      <c r="D39" s="39" t="str">
        <f t="shared" si="18"/>
        <v/>
      </c>
      <c r="E39" s="44" t="s">
        <v>336</v>
      </c>
      <c r="G39" s="45">
        <f t="shared" si="0"/>
        <v>40</v>
      </c>
      <c r="H39" s="40" t="str">
        <f t="shared" si="19"/>
        <v>p 067</v>
      </c>
      <c r="I39" s="45" t="str">
        <f t="shared" si="20"/>
        <v>c 902</v>
      </c>
      <c r="J39" s="46" t="str">
        <f t="shared" si="21"/>
        <v>c 928, v "\mp3_ost\ostrovsk.mp3"</v>
      </c>
      <c r="K39" s="40" t="str">
        <f t="shared" si="4"/>
        <v/>
      </c>
      <c r="L39" s="42" t="str">
        <f t="shared" si="5"/>
        <v>&lt;unit039&gt; "ул.Островского" {e, p 067, c 902, c 928, v "\mp3_ost\ostrovsk.mp3", d 000, n 040}</v>
      </c>
    </row>
    <row r="40" spans="2:12" x14ac:dyDescent="0.25">
      <c r="B40" s="44">
        <f>ROW(B40)</f>
        <v>40</v>
      </c>
      <c r="C40" s="44" t="s">
        <v>329</v>
      </c>
      <c r="D40" s="39" t="str">
        <f t="shared" si="18"/>
        <v>&gt;&gt;</v>
      </c>
      <c r="E40" s="44" t="s">
        <v>343</v>
      </c>
      <c r="F40" s="44" t="s">
        <v>381</v>
      </c>
      <c r="G40" s="45">
        <f t="shared" si="0"/>
        <v>41</v>
      </c>
      <c r="H40" s="40" t="str">
        <f t="shared" si="19"/>
        <v>p 041</v>
      </c>
      <c r="I40" s="45" t="str">
        <f t="shared" si="20"/>
        <v>c 900</v>
      </c>
      <c r="J40" s="46" t="str">
        <f t="shared" si="21"/>
        <v>v "\mp3_ost\belaz.mp3"</v>
      </c>
      <c r="K40" s="40" t="str">
        <f t="shared" si="4"/>
        <v>c 930</v>
      </c>
      <c r="L40" s="42" t="str">
        <f t="shared" si="5"/>
        <v>&lt;unit040&gt; "&gt;&gt;Транс.прох.БелАЗ" {e, p 041, c 900, v "\mp3_ost\belaz.mp3", c 930, d 000, n 041}</v>
      </c>
    </row>
    <row r="41" spans="2:12" x14ac:dyDescent="0.25">
      <c r="B41" s="44">
        <f t="shared" si="6"/>
        <v>41</v>
      </c>
      <c r="C41" s="44" t="s">
        <v>79</v>
      </c>
      <c r="D41" s="39" t="str">
        <f t="shared" si="18"/>
        <v/>
      </c>
      <c r="E41" s="44" t="s">
        <v>343</v>
      </c>
      <c r="G41" s="45">
        <f t="shared" si="0"/>
        <v>42</v>
      </c>
      <c r="H41" s="40" t="str">
        <f t="shared" si="19"/>
        <v>p 041</v>
      </c>
      <c r="I41" s="45" t="str">
        <f t="shared" si="20"/>
        <v>c 902</v>
      </c>
      <c r="J41" s="46" t="str">
        <f t="shared" si="21"/>
        <v>v "\mp3_ost\belaz.mp3"</v>
      </c>
      <c r="K41" s="40" t="str">
        <f t="shared" si="4"/>
        <v/>
      </c>
      <c r="L41" s="42" t="str">
        <f t="shared" si="5"/>
        <v>&lt;unit041&gt; "Транс.прох.БелАЗ" {e, p 041, c 902, v "\mp3_ost\belaz.mp3", d 000, n 042}</v>
      </c>
    </row>
    <row r="42" spans="2:12" x14ac:dyDescent="0.25">
      <c r="B42" s="44">
        <f t="shared" si="6"/>
        <v>42</v>
      </c>
      <c r="C42" s="44" t="s">
        <v>329</v>
      </c>
      <c r="D42" s="39" t="str">
        <f t="shared" si="18"/>
        <v>&gt;&gt;</v>
      </c>
      <c r="E42" s="44" t="s">
        <v>269</v>
      </c>
      <c r="F42" s="44" t="s">
        <v>381</v>
      </c>
      <c r="G42" s="45">
        <f t="shared" si="0"/>
        <v>43</v>
      </c>
      <c r="H42" s="40" t="str">
        <f t="shared" si="19"/>
        <v>p 049</v>
      </c>
      <c r="I42" s="45" t="str">
        <f t="shared" si="20"/>
        <v>c 900</v>
      </c>
      <c r="J42" s="46" t="str">
        <f t="shared" si="21"/>
        <v>c 928, v "\mp3_ost\boguslav.mp3"</v>
      </c>
      <c r="K42" s="40" t="str">
        <f t="shared" si="4"/>
        <v>c 930</v>
      </c>
      <c r="L42" s="42" t="str">
        <f t="shared" si="5"/>
        <v>&lt;unit042&gt; "&gt;&gt;ул.Богуслав Поле" {e, p 049, c 900, c 928, v "\mp3_ost\boguslav.mp3", c 930, d 000, n 043}</v>
      </c>
    </row>
    <row r="43" spans="2:12" x14ac:dyDescent="0.25">
      <c r="B43" s="44">
        <f t="shared" si="6"/>
        <v>43</v>
      </c>
      <c r="C43" s="44" t="s">
        <v>79</v>
      </c>
      <c r="D43" s="39" t="str">
        <f t="shared" si="14"/>
        <v/>
      </c>
      <c r="E43" s="44" t="s">
        <v>269</v>
      </c>
      <c r="G43" s="45">
        <f t="shared" si="0"/>
        <v>44</v>
      </c>
      <c r="H43" s="40" t="str">
        <f t="shared" si="15"/>
        <v>p 049</v>
      </c>
      <c r="I43" s="45" t="str">
        <f t="shared" si="16"/>
        <v>c 902</v>
      </c>
      <c r="J43" s="46" t="str">
        <f t="shared" si="17"/>
        <v>c 928, v "\mp3_ost\boguslav.mp3"</v>
      </c>
      <c r="K43" s="40" t="str">
        <f t="shared" si="4"/>
        <v/>
      </c>
      <c r="L43" s="42" t="str">
        <f t="shared" si="5"/>
        <v>&lt;unit043&gt; "ул.Богуслав Поле" {e, p 049, c 902, c 928, v "\mp3_ost\boguslav.mp3", d 000, n 044}</v>
      </c>
    </row>
    <row r="44" spans="2:12" x14ac:dyDescent="0.25">
      <c r="B44" s="44">
        <f t="shared" si="6"/>
        <v>44</v>
      </c>
      <c r="C44" s="44" t="s">
        <v>329</v>
      </c>
      <c r="D44" s="39" t="str">
        <f t="shared" si="14"/>
        <v>&gt;&gt;</v>
      </c>
      <c r="E44" s="44" t="s">
        <v>338</v>
      </c>
      <c r="F44" s="44" t="s">
        <v>381</v>
      </c>
      <c r="G44" s="45">
        <f t="shared" si="0"/>
        <v>45</v>
      </c>
      <c r="H44" s="40" t="str">
        <f t="shared" si="15"/>
        <v>p 004</v>
      </c>
      <c r="I44" s="45" t="str">
        <f t="shared" si="16"/>
        <v>c 900</v>
      </c>
      <c r="J44" s="46" t="str">
        <f t="shared" si="17"/>
        <v>v "\mp3_ost\inst-zve.mp3"</v>
      </c>
      <c r="K44" s="40" t="str">
        <f t="shared" si="4"/>
        <v>c 930</v>
      </c>
      <c r="L44" s="42" t="str">
        <f t="shared" si="5"/>
        <v>&lt;unit044&gt; "&gt;&gt;БелНИИЖ" {e, p 004, c 900, v "\mp3_ost\inst-zve.mp3", c 930, d 000, n 045}</v>
      </c>
    </row>
    <row r="45" spans="2:12" x14ac:dyDescent="0.25">
      <c r="B45" s="44">
        <f t="shared" si="6"/>
        <v>45</v>
      </c>
      <c r="C45" s="44" t="s">
        <v>79</v>
      </c>
      <c r="D45" s="39" t="str">
        <f t="shared" si="7"/>
        <v/>
      </c>
      <c r="E45" s="44" t="s">
        <v>338</v>
      </c>
      <c r="G45" s="45">
        <f t="shared" si="0"/>
        <v>46</v>
      </c>
      <c r="H45" s="40" t="str">
        <f t="shared" si="1"/>
        <v>p 004</v>
      </c>
      <c r="I45" s="45" t="str">
        <f t="shared" si="2"/>
        <v>c 902</v>
      </c>
      <c r="J45" s="46" t="str">
        <f t="shared" si="3"/>
        <v>v "\mp3_ost\inst-zve.mp3"</v>
      </c>
      <c r="K45" s="40" t="str">
        <f t="shared" si="4"/>
        <v/>
      </c>
      <c r="L45" s="42" t="str">
        <f t="shared" si="5"/>
        <v>&lt;unit045&gt; "БелНИИЖ" {e, p 004, c 902, v "\mp3_ost\inst-zve.mp3", d 000, n 046}</v>
      </c>
    </row>
    <row r="46" spans="2:12" x14ac:dyDescent="0.25">
      <c r="B46" s="44">
        <f>ROW(B46)</f>
        <v>46</v>
      </c>
      <c r="C46" s="44" t="s">
        <v>329</v>
      </c>
      <c r="D46" s="39" t="str">
        <f t="shared" si="7"/>
        <v>&gt;&gt;</v>
      </c>
      <c r="E46" s="44" t="s">
        <v>162</v>
      </c>
      <c r="F46" s="44" t="s">
        <v>381</v>
      </c>
      <c r="G46" s="45">
        <f t="shared" si="0"/>
        <v>47</v>
      </c>
      <c r="H46" s="40" t="str">
        <f t="shared" si="1"/>
        <v>p 011</v>
      </c>
      <c r="I46" s="45" t="str">
        <f t="shared" si="2"/>
        <v>c 900</v>
      </c>
      <c r="J46" s="46" t="str">
        <f t="shared" si="3"/>
        <v>v "\mp3_ost\jen-gimn.mp3"</v>
      </c>
      <c r="K46" s="40" t="str">
        <f t="shared" si="4"/>
        <v>c 930</v>
      </c>
      <c r="L46" s="42" t="str">
        <f t="shared" si="5"/>
        <v>&lt;unit046&gt; "&gt;&gt;Женская гимназия" {e, p 011, c 900, v "\mp3_ost\jen-gimn.mp3", c 930, d 000, n 047}</v>
      </c>
    </row>
    <row r="47" spans="2:12" x14ac:dyDescent="0.25">
      <c r="B47" s="44">
        <f t="shared" si="6"/>
        <v>47</v>
      </c>
      <c r="C47" s="44" t="s">
        <v>79</v>
      </c>
      <c r="D47" s="39" t="str">
        <f t="shared" si="7"/>
        <v/>
      </c>
      <c r="E47" s="44" t="s">
        <v>162</v>
      </c>
      <c r="G47" s="45">
        <f t="shared" si="0"/>
        <v>48</v>
      </c>
      <c r="H47" s="40" t="str">
        <f t="shared" si="1"/>
        <v>p 011</v>
      </c>
      <c r="I47" s="45" t="str">
        <f t="shared" si="2"/>
        <v>c 902</v>
      </c>
      <c r="J47" s="46" t="str">
        <f t="shared" si="3"/>
        <v>v "\mp3_ost\jen-gimn.mp3"</v>
      </c>
      <c r="K47" s="40" t="str">
        <f t="shared" si="4"/>
        <v/>
      </c>
      <c r="L47" s="42" t="str">
        <f t="shared" si="5"/>
        <v>&lt;unit047&gt; "Женская гимназия" {e, p 011, c 902, v "\mp3_ost\jen-gimn.mp3", d 000, n 048}</v>
      </c>
    </row>
    <row r="48" spans="2:12" x14ac:dyDescent="0.25">
      <c r="B48" s="44">
        <f t="shared" si="6"/>
        <v>48</v>
      </c>
      <c r="C48" s="44" t="s">
        <v>329</v>
      </c>
      <c r="D48" s="39" t="str">
        <f t="shared" si="7"/>
        <v>&gt;&gt;</v>
      </c>
      <c r="E48" s="44" t="s">
        <v>360</v>
      </c>
      <c r="F48" s="44" t="s">
        <v>381</v>
      </c>
      <c r="G48" s="45">
        <f t="shared" si="0"/>
        <v>49</v>
      </c>
      <c r="H48" s="40" t="str">
        <f t="shared" si="1"/>
        <v>p 057</v>
      </c>
      <c r="I48" s="45" t="str">
        <f t="shared" si="2"/>
        <v>c 900</v>
      </c>
      <c r="J48" s="46" t="str">
        <f t="shared" si="3"/>
        <v>c 928, v "\mp3_ost\leningra.mp3"</v>
      </c>
      <c r="K48" s="40" t="str">
        <f t="shared" si="4"/>
        <v>c 930</v>
      </c>
      <c r="L48" s="42" t="str">
        <f t="shared" si="5"/>
        <v>&lt;unit048&gt; "&gt;&gt;ул.Ленинградская" {e, p 057, c 900, c 928, v "\mp3_ost\leningra.mp3", c 930, d 000, n 049}</v>
      </c>
    </row>
    <row r="49" spans="2:12" x14ac:dyDescent="0.25">
      <c r="B49" s="44">
        <f t="shared" si="6"/>
        <v>49</v>
      </c>
      <c r="C49" s="44" t="s">
        <v>79</v>
      </c>
      <c r="D49" s="39" t="str">
        <f t="shared" si="7"/>
        <v/>
      </c>
      <c r="E49" s="44" t="s">
        <v>360</v>
      </c>
      <c r="G49" s="45">
        <f t="shared" si="0"/>
        <v>50</v>
      </c>
      <c r="H49" s="40" t="str">
        <f t="shared" si="1"/>
        <v>p 057</v>
      </c>
      <c r="I49" s="45" t="str">
        <f t="shared" si="2"/>
        <v>c 902</v>
      </c>
      <c r="J49" s="46" t="str">
        <f t="shared" si="3"/>
        <v>c 928, v "\mp3_ost\leningra.mp3"</v>
      </c>
      <c r="K49" s="40" t="str">
        <f t="shared" si="4"/>
        <v/>
      </c>
      <c r="L49" s="42" t="str">
        <f t="shared" si="5"/>
        <v>&lt;unit049&gt; "ул.Ленинградская" {e, p 057, c 902, c 928, v "\mp3_ost\leningra.mp3", d 000, n 050}</v>
      </c>
    </row>
    <row r="50" spans="2:12" x14ac:dyDescent="0.25">
      <c r="B50" s="44">
        <f t="shared" si="6"/>
        <v>50</v>
      </c>
      <c r="C50" s="44" t="s">
        <v>329</v>
      </c>
      <c r="D50" s="39" t="str">
        <f t="shared" si="7"/>
        <v>&gt;&gt;</v>
      </c>
      <c r="E50" s="44" t="s">
        <v>359</v>
      </c>
      <c r="F50" s="44" t="s">
        <v>381</v>
      </c>
      <c r="G50" s="45">
        <f t="shared" si="0"/>
        <v>51</v>
      </c>
      <c r="H50" s="40" t="str">
        <f t="shared" si="1"/>
        <v>p 073</v>
      </c>
      <c r="I50" s="45" t="str">
        <f t="shared" si="2"/>
        <v>c 900</v>
      </c>
      <c r="J50" s="46" t="str">
        <f t="shared" si="3"/>
        <v>c 928, v "\mp3_ost\sovetsk.mp3"</v>
      </c>
      <c r="K50" s="40" t="str">
        <f t="shared" si="4"/>
        <v>c 930</v>
      </c>
      <c r="L50" s="42" t="str">
        <f t="shared" si="5"/>
        <v>&lt;unit050&gt; "&gt;&gt;ул.Советская" {e, p 073, c 900, c 928, v "\mp3_ost\sovetsk.mp3", c 930, d 000, n 051}</v>
      </c>
    </row>
    <row r="51" spans="2:12" x14ac:dyDescent="0.25">
      <c r="B51" s="44">
        <f t="shared" si="6"/>
        <v>51</v>
      </c>
      <c r="C51" s="44" t="s">
        <v>79</v>
      </c>
      <c r="D51" s="39" t="str">
        <f t="shared" si="7"/>
        <v/>
      </c>
      <c r="E51" s="44" t="s">
        <v>359</v>
      </c>
      <c r="F51" s="44" t="s">
        <v>331</v>
      </c>
      <c r="G51" s="45">
        <f>B53</f>
        <v>53</v>
      </c>
      <c r="H51" s="40" t="str">
        <f t="shared" si="1"/>
        <v>p 073</v>
      </c>
      <c r="I51" s="45" t="str">
        <f t="shared" si="2"/>
        <v>c 902</v>
      </c>
      <c r="J51" s="46" t="str">
        <f t="shared" si="3"/>
        <v>c 928, v "\mp3_ost\sovetsk.mp3"</v>
      </c>
      <c r="K51" s="40" t="str">
        <f t="shared" si="4"/>
        <v>c 903</v>
      </c>
      <c r="L51" s="42" t="str">
        <f t="shared" si="5"/>
        <v>&lt;unit051&gt; "ул.Советская" {e, p 073, c 902, c 928, v "\mp3_ost\sovetsk.mp3", c 903, d 000, n 053}</v>
      </c>
    </row>
    <row r="52" spans="2:12" s="39" customFormat="1" x14ac:dyDescent="0.25">
      <c r="G52" s="40"/>
      <c r="H52" s="40"/>
      <c r="I52" s="40"/>
      <c r="J52" s="40"/>
      <c r="K52" s="40"/>
      <c r="L52" s="42"/>
    </row>
    <row r="53" spans="2:12" s="39" customFormat="1" x14ac:dyDescent="0.25">
      <c r="B53" s="39">
        <f t="shared" ref="B53" si="22">ROW(B53)</f>
        <v>53</v>
      </c>
      <c r="E53" s="43" t="s">
        <v>328</v>
      </c>
      <c r="F53" s="43"/>
      <c r="G53" s="40">
        <f>B3</f>
        <v>3</v>
      </c>
      <c r="H53" s="40"/>
      <c r="I53" s="40"/>
      <c r="J53" s="40"/>
      <c r="K53" s="40"/>
      <c r="L53" s="42" t="str">
        <f>"&lt;unit"&amp;TEXT(B53,"000")&amp;"&gt; """&amp;E53&amp;""" {d 000, n "&amp;TEXT(G53,"000")&amp;"}"</f>
        <v>&lt;unit053&gt; "----- Конец -----" {d 000, n 003}</v>
      </c>
    </row>
    <row r="54" spans="2:12" s="39" customFormat="1" x14ac:dyDescent="0.25">
      <c r="G54" s="40"/>
      <c r="H54" s="40"/>
      <c r="I54" s="40"/>
      <c r="J54" s="40"/>
      <c r="K54" s="40"/>
      <c r="L54" s="42"/>
    </row>
    <row r="55" spans="2:12" s="39" customFormat="1" x14ac:dyDescent="0.25">
      <c r="G55" s="40"/>
      <c r="H55" s="40"/>
      <c r="I55" s="40"/>
      <c r="J55" s="40"/>
      <c r="K55" s="40"/>
      <c r="L55" s="42" t="str">
        <f>Константы!D2</f>
        <v>&lt;unit921&gt; "Автовокзал" {v "\mp3_knst\av.mp3"}</v>
      </c>
    </row>
    <row r="56" spans="2:12" s="39" customFormat="1" x14ac:dyDescent="0.25">
      <c r="G56" s="40"/>
      <c r="H56" s="40"/>
      <c r="I56" s="40"/>
      <c r="J56" s="40"/>
      <c r="K56" s="40"/>
      <c r="L56" s="42" t="str">
        <f>Константы!D3</f>
        <v>&lt;unit923&gt; "Гостиница" {v "\mp3_knst\gos.mp3"}</v>
      </c>
    </row>
    <row r="57" spans="2:12" s="39" customFormat="1" x14ac:dyDescent="0.25">
      <c r="G57" s="40"/>
      <c r="H57" s="40"/>
      <c r="I57" s="40"/>
      <c r="J57" s="40"/>
      <c r="K57" s="40"/>
      <c r="L57" s="42" t="str">
        <f>Константы!D4</f>
        <v>&lt;unit922&gt; "Дисп. станция" {v "\mp3_knst\ds.mp3"}</v>
      </c>
    </row>
    <row r="58" spans="2:12" s="39" customFormat="1" x14ac:dyDescent="0.25">
      <c r="G58" s="40"/>
      <c r="H58" s="40"/>
      <c r="I58" s="40"/>
      <c r="J58" s="40"/>
      <c r="K58" s="40"/>
      <c r="L58" s="42" t="str">
        <f>Константы!D5</f>
        <v>&lt;unit903&gt; "Канцавая" {v "\mp3_knst\kanc.mp3"}</v>
      </c>
    </row>
    <row r="59" spans="2:12" s="39" customFormat="1" x14ac:dyDescent="0.25">
      <c r="G59" s="40"/>
      <c r="H59" s="40"/>
      <c r="I59" s="40"/>
      <c r="J59" s="40"/>
      <c r="K59" s="40"/>
      <c r="L59" s="42" t="str">
        <f>Константы!D6</f>
        <v>&lt;unit924&gt; "Конечная" {v "\mp3_knst\ko.mp3"}</v>
      </c>
    </row>
    <row r="60" spans="2:12" s="39" customFormat="1" x14ac:dyDescent="0.25">
      <c r="G60" s="40"/>
      <c r="H60" s="40"/>
      <c r="I60" s="40"/>
      <c r="J60" s="40"/>
      <c r="K60" s="40"/>
      <c r="L60" s="42" t="str">
        <f>Константы!D7</f>
        <v>&lt;unit902&gt; "Остановка" {v "\mp3_knst\ost.mp3"}</v>
      </c>
    </row>
    <row r="61" spans="2:12" s="39" customFormat="1" x14ac:dyDescent="0.25">
      <c r="G61" s="40"/>
      <c r="H61" s="40"/>
      <c r="I61" s="40"/>
      <c r="J61" s="40"/>
      <c r="K61" s="40"/>
      <c r="L61" s="42" t="str">
        <f>Константы!D8</f>
        <v>&lt;unit900&gt; "Дв. закр. След. ост." {v "\mp3_knst\ostor.mp3"}</v>
      </c>
    </row>
    <row r="62" spans="2:12" s="39" customFormat="1" x14ac:dyDescent="0.25">
      <c r="G62" s="40"/>
      <c r="H62" s="40"/>
      <c r="I62" s="40"/>
      <c r="J62" s="40"/>
      <c r="K62" s="40"/>
      <c r="L62" s="42" t="str">
        <f>Константы!D9</f>
        <v>&lt;unit925&gt; "Площадь" {v "\mp3_knst\pl.mp3"}</v>
      </c>
    </row>
    <row r="63" spans="2:12" s="39" customFormat="1" x14ac:dyDescent="0.25">
      <c r="G63" s="40"/>
      <c r="H63" s="40"/>
      <c r="I63" s="40"/>
      <c r="J63" s="40"/>
      <c r="K63" s="40"/>
      <c r="L63" s="42" t="str">
        <f>Константы!D10</f>
        <v>&lt;unit926&gt; "Проспект" {v "\mp3_knst\pr.mp3"}</v>
      </c>
    </row>
    <row r="64" spans="2:12" s="39" customFormat="1" x14ac:dyDescent="0.25">
      <c r="G64" s="40"/>
      <c r="H64" s="40"/>
      <c r="I64" s="40"/>
      <c r="J64" s="40"/>
      <c r="K64" s="40"/>
      <c r="L64" s="42" t="str">
        <f>Константы!D11</f>
        <v>&lt;unit927&gt; "Станция метро" {v "\mp3_knst\sm.mp3"}</v>
      </c>
    </row>
    <row r="65" spans="7:12" s="39" customFormat="1" x14ac:dyDescent="0.25">
      <c r="G65" s="40"/>
      <c r="H65" s="40"/>
      <c r="I65" s="40"/>
      <c r="J65" s="40"/>
      <c r="K65" s="40"/>
      <c r="L65" s="42" t="str">
        <f>Константы!D12</f>
        <v>&lt;unit928&gt; "Улица" {v "\mp3_knst\ul.mp3"}</v>
      </c>
    </row>
    <row r="67" spans="7:12" x14ac:dyDescent="0.25">
      <c r="L67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E7:E51">
      <formula1>Zag_Ost</formula1>
    </dataValidation>
    <dataValidation type="list" allowBlank="1" showInputMessage="1" showErrorMessage="1" sqref="C7:C51 F7:F51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4"/>
  <dimension ref="A1:L76"/>
  <sheetViews>
    <sheetView topLeftCell="B1" workbookViewId="0">
      <pane ySplit="2" topLeftCell="A48" activePane="bottomLeft" state="frozen"/>
      <selection activeCell="B1" sqref="B1"/>
      <selection pane="bottomLeft" activeCell="G37" sqref="G37:G59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9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8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"8 АС Жодино-КЗТШ" {i 0, t 002, l 008 008, d 000}</v>
      </c>
    </row>
    <row r="3" spans="1:12" s="39" customFormat="1" x14ac:dyDescent="0.25">
      <c r="A3" s="39" t="str">
        <f ca="1">INDIRECT(ADDRESS($B$1,2,4,1,"route"))</f>
        <v>8 АС Жодино-КЗТШ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008</v>
      </c>
      <c r="B4" s="39">
        <f>ROW(B4)</f>
        <v>4</v>
      </c>
      <c r="E4" s="39" t="s">
        <v>323</v>
      </c>
      <c r="G4" s="40">
        <f>B36</f>
        <v>36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036}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177</v>
      </c>
      <c r="G8" s="45">
        <f t="shared" ref="G8:G31" si="0">B9</f>
        <v>9</v>
      </c>
      <c r="H8" s="40" t="str">
        <f t="shared" ref="H8:H32" si="1">IFERROR("p "&amp;VLOOKUP(E8,Tablo_Tab,2,FALSE),"")</f>
        <v>p 002</v>
      </c>
      <c r="I8" s="45" t="str">
        <f t="shared" ref="I8:I32" si="2">IFERROR("c "&amp;VLOOKUP(C8,Punkti,2,FALSE),"")</f>
        <v>c 902</v>
      </c>
      <c r="J8" s="46" t="str">
        <f t="shared" ref="J8:J32" si="3">IFERROR(VLOOKUP(E8,Ostanovki,7,FALSE),"")</f>
        <v>v "\mp3_ost\avtostan.mp3"</v>
      </c>
      <c r="K8" s="40" t="str">
        <f t="shared" ref="K8:K32" si="4">IFERROR("c "&amp;VLOOKUP(F8,Punkti,2,FALSE),"")</f>
        <v/>
      </c>
      <c r="L8" s="42" t="str">
        <f t="shared" ref="L8:L32" si="5">"&lt;unit"&amp;TEXT(B8,"000")&amp;"&gt; """&amp;СцепитьМного(D8:E8,"")&amp;""" {e, "&amp;СцепитьМного(H8:K8,", ")&amp;", d 000, n "&amp;TEXT(G8,"000")&amp;"}"</f>
        <v>&lt;unit008&gt; "Автостанция" {e, p 002, c 902, v "\mp3_ost\avtostan.mp3", d 000, n 009}</v>
      </c>
    </row>
    <row r="9" spans="1:12" x14ac:dyDescent="0.25">
      <c r="B9" s="44">
        <f t="shared" ref="B9:B32" si="6">ROW(B9)</f>
        <v>9</v>
      </c>
      <c r="C9" s="44" t="s">
        <v>329</v>
      </c>
      <c r="D9" s="39" t="str">
        <f>IF(I9="c 900","&gt;&gt;","")</f>
        <v>&gt;&gt;</v>
      </c>
      <c r="E9" s="44" t="s">
        <v>168</v>
      </c>
      <c r="F9" s="44" t="s">
        <v>381</v>
      </c>
      <c r="G9" s="45">
        <f t="shared" si="0"/>
        <v>10</v>
      </c>
      <c r="H9" s="40" t="str">
        <f t="shared" si="1"/>
        <v>p 031</v>
      </c>
      <c r="I9" s="45" t="str">
        <f t="shared" si="2"/>
        <v>c 900</v>
      </c>
      <c r="J9" s="46" t="str">
        <f t="shared" si="3"/>
        <v>v "\mp3_ost\mira.mp3"</v>
      </c>
      <c r="K9" s="40" t="str">
        <f t="shared" si="4"/>
        <v>c 930</v>
      </c>
      <c r="L9" s="42" t="str">
        <f t="shared" si="5"/>
        <v>&lt;unit009&gt; "&gt;&gt;пр-т Мира" {e, p 031, c 900, v "\mp3_ost\mira.mp3", c 930, d 000, n 010}</v>
      </c>
    </row>
    <row r="10" spans="1:12" x14ac:dyDescent="0.25">
      <c r="B10" s="44">
        <f t="shared" si="6"/>
        <v>10</v>
      </c>
      <c r="C10" s="44" t="s">
        <v>79</v>
      </c>
      <c r="D10" s="39" t="str">
        <f t="shared" ref="D10:D32" si="7">IF(I10="c 900","&gt;&gt;","")</f>
        <v/>
      </c>
      <c r="E10" s="44" t="s">
        <v>168</v>
      </c>
      <c r="G10" s="45">
        <f t="shared" si="0"/>
        <v>11</v>
      </c>
      <c r="H10" s="40" t="str">
        <f t="shared" si="1"/>
        <v>p 031</v>
      </c>
      <c r="I10" s="45" t="str">
        <f t="shared" si="2"/>
        <v>c 902</v>
      </c>
      <c r="J10" s="46" t="str">
        <f t="shared" si="3"/>
        <v>v "\mp3_ost\mira.mp3"</v>
      </c>
      <c r="K10" s="40" t="str">
        <f t="shared" si="4"/>
        <v/>
      </c>
      <c r="L10" s="42" t="str">
        <f t="shared" si="5"/>
        <v>&lt;unit010&gt; "пр-т Мира" {e, p 031, c 902, v "\mp3_ost\mira.mp3", d 000, n 011}</v>
      </c>
    </row>
    <row r="11" spans="1:12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E11" s="44" t="s">
        <v>266</v>
      </c>
      <c r="F11" s="44" t="s">
        <v>381</v>
      </c>
      <c r="G11" s="45">
        <f t="shared" si="0"/>
        <v>12</v>
      </c>
      <c r="H11" s="40" t="str">
        <f t="shared" si="1"/>
        <v>p 045</v>
      </c>
      <c r="I11" s="45" t="str">
        <f t="shared" si="2"/>
        <v>c 900</v>
      </c>
      <c r="J11" s="46" t="str">
        <f t="shared" si="3"/>
        <v>c 928, v "\mp3_ost\50letokt.mp3"</v>
      </c>
      <c r="K11" s="40" t="str">
        <f t="shared" si="4"/>
        <v>c 930</v>
      </c>
      <c r="L11" s="42" t="str">
        <f t="shared" si="5"/>
        <v>&lt;unit011&gt; "&gt;&gt;ул.50 лет Октяб." {e, p 045, c 900, c 928, v "\mp3_ost\50letokt.mp3", c 930, d 000, n 012}</v>
      </c>
    </row>
    <row r="12" spans="1:12" x14ac:dyDescent="0.25">
      <c r="B12" s="44">
        <f t="shared" si="6"/>
        <v>12</v>
      </c>
      <c r="C12" s="44" t="s">
        <v>79</v>
      </c>
      <c r="D12" s="39" t="str">
        <f t="shared" si="7"/>
        <v/>
      </c>
      <c r="E12" s="44" t="s">
        <v>266</v>
      </c>
      <c r="G12" s="45">
        <f t="shared" si="0"/>
        <v>13</v>
      </c>
      <c r="H12" s="40" t="str">
        <f t="shared" si="1"/>
        <v>p 045</v>
      </c>
      <c r="I12" s="45" t="str">
        <f t="shared" si="2"/>
        <v>c 902</v>
      </c>
      <c r="J12" s="46" t="str">
        <f t="shared" si="3"/>
        <v>c 928, v "\mp3_ost\50letokt.mp3"</v>
      </c>
      <c r="K12" s="40" t="str">
        <f t="shared" si="4"/>
        <v/>
      </c>
      <c r="L12" s="42" t="str">
        <f t="shared" si="5"/>
        <v>&lt;unit012&gt; "ул.50 лет Октяб." {e, p 045, c 902, c 928, v "\mp3_ost\50letokt.mp3", d 000, n 013}</v>
      </c>
    </row>
    <row r="13" spans="1:12" x14ac:dyDescent="0.25">
      <c r="B13" s="44">
        <f t="shared" si="6"/>
        <v>13</v>
      </c>
      <c r="C13" s="44" t="s">
        <v>329</v>
      </c>
      <c r="D13" s="39" t="str">
        <f t="shared" si="7"/>
        <v>&gt;&gt;</v>
      </c>
      <c r="E13" s="44" t="s">
        <v>169</v>
      </c>
      <c r="F13" s="44" t="s">
        <v>381</v>
      </c>
      <c r="G13" s="45">
        <f t="shared" si="0"/>
        <v>14</v>
      </c>
      <c r="H13" s="40" t="str">
        <f t="shared" si="1"/>
        <v>p 052</v>
      </c>
      <c r="I13" s="45" t="str">
        <f t="shared" si="2"/>
        <v>c 900</v>
      </c>
      <c r="J13" s="46" t="str">
        <f t="shared" si="3"/>
        <v>c 928, v "\mp3_ost\gagarina.mp3"</v>
      </c>
      <c r="K13" s="40" t="str">
        <f t="shared" si="4"/>
        <v>c 930</v>
      </c>
      <c r="L13" s="42" t="str">
        <f t="shared" si="5"/>
        <v>&lt;unit013&gt; "&gt;&gt;ул.Гагарина" {e, p 052, c 900, c 928, v "\mp3_ost\gagarina.mp3", c 930, d 000, n 014}</v>
      </c>
    </row>
    <row r="14" spans="1:12" x14ac:dyDescent="0.25">
      <c r="B14" s="44">
        <f t="shared" si="6"/>
        <v>14</v>
      </c>
      <c r="C14" s="44" t="s">
        <v>79</v>
      </c>
      <c r="D14" s="39" t="str">
        <f t="shared" si="7"/>
        <v/>
      </c>
      <c r="E14" s="44" t="s">
        <v>169</v>
      </c>
      <c r="G14" s="45">
        <f t="shared" si="0"/>
        <v>15</v>
      </c>
      <c r="H14" s="40" t="str">
        <f t="shared" si="1"/>
        <v>p 052</v>
      </c>
      <c r="I14" s="45" t="str">
        <f t="shared" si="2"/>
        <v>c 902</v>
      </c>
      <c r="J14" s="46" t="str">
        <f t="shared" si="3"/>
        <v>c 928, v "\mp3_ost\gagarina.mp3"</v>
      </c>
      <c r="K14" s="40" t="str">
        <f t="shared" si="4"/>
        <v/>
      </c>
      <c r="L14" s="42" t="str">
        <f t="shared" si="5"/>
        <v>&lt;unit014&gt; "ул.Гагарина" {e, p 052, c 902, c 928, v "\mp3_ost\gagarina.mp3", d 000, n 015}</v>
      </c>
    </row>
    <row r="15" spans="1:12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E15" s="44" t="s">
        <v>170</v>
      </c>
      <c r="F15" s="44" t="s">
        <v>381</v>
      </c>
      <c r="G15" s="45">
        <f t="shared" si="0"/>
        <v>16</v>
      </c>
      <c r="H15" s="40" t="str">
        <f t="shared" si="1"/>
        <v>p 037</v>
      </c>
      <c r="I15" s="45" t="str">
        <f t="shared" si="2"/>
        <v>c 900</v>
      </c>
      <c r="J15" s="46" t="str">
        <f t="shared" si="3"/>
        <v>v "\mp3_ost\5ssh.mp3"</v>
      </c>
      <c r="K15" s="40" t="str">
        <f t="shared" si="4"/>
        <v>c 930</v>
      </c>
      <c r="L15" s="42" t="str">
        <f t="shared" si="5"/>
        <v>&lt;unit015&gt; "&gt;&gt;СШ № 5" {e, p 037, c 900, v "\mp3_ost\5ssh.mp3", c 930, d 000, n 016}</v>
      </c>
    </row>
    <row r="16" spans="1:12" x14ac:dyDescent="0.25">
      <c r="B16" s="44">
        <f t="shared" si="6"/>
        <v>16</v>
      </c>
      <c r="C16" s="44" t="s">
        <v>79</v>
      </c>
      <c r="D16" s="39" t="str">
        <f t="shared" si="7"/>
        <v/>
      </c>
      <c r="E16" s="44" t="s">
        <v>170</v>
      </c>
      <c r="G16" s="45">
        <f t="shared" si="0"/>
        <v>17</v>
      </c>
      <c r="H16" s="40" t="str">
        <f t="shared" si="1"/>
        <v>p 037</v>
      </c>
      <c r="I16" s="45" t="str">
        <f t="shared" si="2"/>
        <v>c 902</v>
      </c>
      <c r="J16" s="46" t="str">
        <f t="shared" si="3"/>
        <v>v "\mp3_ost\5ssh.mp3"</v>
      </c>
      <c r="K16" s="40" t="str">
        <f t="shared" si="4"/>
        <v/>
      </c>
      <c r="L16" s="42" t="str">
        <f t="shared" si="5"/>
        <v>&lt;unit016&gt; "СШ № 5" {e, p 037, c 902, v "\mp3_ost\5ssh.mp3", d 000, n 017}</v>
      </c>
    </row>
    <row r="17" spans="2:12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E17" s="44" t="s">
        <v>351</v>
      </c>
      <c r="F17" s="44" t="s">
        <v>381</v>
      </c>
      <c r="G17" s="45">
        <f t="shared" si="0"/>
        <v>18</v>
      </c>
      <c r="H17" s="40" t="str">
        <f t="shared" si="1"/>
        <v>p 008</v>
      </c>
      <c r="I17" s="45" t="str">
        <f t="shared" si="2"/>
        <v>c 900</v>
      </c>
      <c r="J17" s="46" t="str">
        <f t="shared" si="3"/>
        <v>v "\mp3_ost\gimn1.mp3"</v>
      </c>
      <c r="K17" s="40" t="str">
        <f t="shared" si="4"/>
        <v>c 930</v>
      </c>
      <c r="L17" s="42" t="str">
        <f t="shared" si="5"/>
        <v>&lt;unit017&gt; "&gt;&gt;Гимназия № 1" {e, p 008, c 900, v "\mp3_ost\gimn1.mp3", c 930, d 000, n 018}</v>
      </c>
    </row>
    <row r="18" spans="2:12" x14ac:dyDescent="0.25">
      <c r="B18" s="44">
        <f t="shared" si="6"/>
        <v>18</v>
      </c>
      <c r="C18" s="44" t="s">
        <v>79</v>
      </c>
      <c r="D18" s="39" t="str">
        <f t="shared" si="7"/>
        <v/>
      </c>
      <c r="E18" s="44" t="s">
        <v>351</v>
      </c>
      <c r="G18" s="45">
        <f t="shared" si="0"/>
        <v>19</v>
      </c>
      <c r="H18" s="40" t="str">
        <f t="shared" si="1"/>
        <v>p 008</v>
      </c>
      <c r="I18" s="45" t="str">
        <f t="shared" si="2"/>
        <v>c 902</v>
      </c>
      <c r="J18" s="46" t="str">
        <f t="shared" si="3"/>
        <v>v "\mp3_ost\gimn1.mp3"</v>
      </c>
      <c r="K18" s="40" t="str">
        <f t="shared" si="4"/>
        <v/>
      </c>
      <c r="L18" s="42" t="str">
        <f t="shared" si="5"/>
        <v>&lt;unit018&gt; "Гимназия № 1" {e, p 008, c 902, v "\mp3_ost\gimn1.mp3", d 000, n 019}</v>
      </c>
    </row>
    <row r="19" spans="2:12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E19" s="44" t="s">
        <v>171</v>
      </c>
      <c r="F19" s="44" t="s">
        <v>381</v>
      </c>
      <c r="G19" s="45">
        <f t="shared" si="0"/>
        <v>20</v>
      </c>
      <c r="H19" s="40" t="str">
        <f t="shared" si="1"/>
        <v>p 071</v>
      </c>
      <c r="I19" s="45" t="str">
        <f t="shared" si="2"/>
        <v>c 900</v>
      </c>
      <c r="J19" s="46" t="str">
        <f t="shared" si="3"/>
        <v>c 928, v "\mp3_ost\rokosovs.mp3"</v>
      </c>
      <c r="K19" s="40" t="str">
        <f t="shared" si="4"/>
        <v>c 930</v>
      </c>
      <c r="L19" s="42" t="str">
        <f t="shared" si="5"/>
        <v>&lt;unit019&gt; "&gt;&gt;ул.Рокоссовского" {e, p 071, c 900, c 928, v "\mp3_ost\rokosovs.mp3", c 930, d 000, n 020}</v>
      </c>
    </row>
    <row r="20" spans="2:12" x14ac:dyDescent="0.25">
      <c r="B20" s="44">
        <f t="shared" si="6"/>
        <v>20</v>
      </c>
      <c r="C20" s="44" t="s">
        <v>79</v>
      </c>
      <c r="D20" s="39" t="str">
        <f t="shared" si="7"/>
        <v/>
      </c>
      <c r="E20" s="44" t="s">
        <v>171</v>
      </c>
      <c r="G20" s="45">
        <f t="shared" si="0"/>
        <v>21</v>
      </c>
      <c r="H20" s="40" t="str">
        <f t="shared" si="1"/>
        <v>p 071</v>
      </c>
      <c r="I20" s="45" t="str">
        <f t="shared" si="2"/>
        <v>c 902</v>
      </c>
      <c r="J20" s="46" t="str">
        <f t="shared" si="3"/>
        <v>c 928, v "\mp3_ost\rokosovs.mp3"</v>
      </c>
      <c r="K20" s="40" t="str">
        <f t="shared" si="4"/>
        <v/>
      </c>
      <c r="L20" s="42" t="str">
        <f t="shared" si="5"/>
        <v>&lt;unit020&gt; "ул.Рокоссовского" {e, p 071, c 902, c 928, v "\mp3_ost\rokosovs.mp3", d 000, n 021}</v>
      </c>
    </row>
    <row r="21" spans="2:12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E21" s="44" t="s">
        <v>361</v>
      </c>
      <c r="F21" s="44" t="s">
        <v>381</v>
      </c>
      <c r="G21" s="45">
        <f t="shared" si="0"/>
        <v>22</v>
      </c>
      <c r="H21" s="40" t="str">
        <f t="shared" si="1"/>
        <v>p 081</v>
      </c>
      <c r="I21" s="45" t="str">
        <f t="shared" si="2"/>
        <v>c 900</v>
      </c>
      <c r="J21" s="46" t="str">
        <f t="shared" si="3"/>
        <v>v "\mp3_ost\univmag.mp3"</v>
      </c>
      <c r="K21" s="40" t="str">
        <f t="shared" si="4"/>
        <v>c 930</v>
      </c>
      <c r="L21" s="42" t="str">
        <f t="shared" si="5"/>
        <v>&lt;unit021&gt; "&gt;&gt;Универмаг" {e, p 081, c 900, v "\mp3_ost\univmag.mp3", c 930, d 000, n 022}</v>
      </c>
    </row>
    <row r="22" spans="2:12" x14ac:dyDescent="0.25">
      <c r="B22" s="44">
        <f t="shared" si="6"/>
        <v>22</v>
      </c>
      <c r="C22" s="44" t="s">
        <v>79</v>
      </c>
      <c r="D22" s="39" t="str">
        <f t="shared" si="7"/>
        <v/>
      </c>
      <c r="E22" s="44" t="s">
        <v>361</v>
      </c>
      <c r="G22" s="45">
        <f t="shared" si="0"/>
        <v>23</v>
      </c>
      <c r="H22" s="40" t="str">
        <f t="shared" si="1"/>
        <v>p 081</v>
      </c>
      <c r="I22" s="45" t="str">
        <f t="shared" si="2"/>
        <v>c 902</v>
      </c>
      <c r="J22" s="46" t="str">
        <f t="shared" si="3"/>
        <v>v "\mp3_ost\univmag.mp3"</v>
      </c>
      <c r="K22" s="40" t="str">
        <f t="shared" si="4"/>
        <v/>
      </c>
      <c r="L22" s="42" t="str">
        <f t="shared" si="5"/>
        <v>&lt;unit022&gt; "Универмаг" {e, p 081, c 902, v "\mp3_ost\univmag.mp3", d 000, n 023}</v>
      </c>
    </row>
    <row r="23" spans="2:12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E23" s="44" t="s">
        <v>177</v>
      </c>
      <c r="F23" s="44" t="s">
        <v>381</v>
      </c>
      <c r="G23" s="45">
        <f t="shared" si="0"/>
        <v>24</v>
      </c>
      <c r="H23" s="40" t="str">
        <f t="shared" si="1"/>
        <v>p 002</v>
      </c>
      <c r="I23" s="45" t="str">
        <f t="shared" si="2"/>
        <v>c 900</v>
      </c>
      <c r="J23" s="46" t="str">
        <f t="shared" si="3"/>
        <v>v "\mp3_ost\avtostan.mp3"</v>
      </c>
      <c r="K23" s="40" t="str">
        <f t="shared" si="4"/>
        <v>c 930</v>
      </c>
      <c r="L23" s="42" t="str">
        <f t="shared" si="5"/>
        <v>&lt;unit023&gt; "&gt;&gt;Автостанция" {e, p 002, c 900, v "\mp3_ost\avtostan.mp3", c 930, d 000, n 024}</v>
      </c>
    </row>
    <row r="24" spans="2:12" x14ac:dyDescent="0.25">
      <c r="B24" s="44">
        <f t="shared" si="6"/>
        <v>24</v>
      </c>
      <c r="C24" s="44" t="s">
        <v>79</v>
      </c>
      <c r="D24" s="39" t="str">
        <f t="shared" si="7"/>
        <v/>
      </c>
      <c r="E24" s="44" t="s">
        <v>177</v>
      </c>
      <c r="G24" s="45">
        <f t="shared" si="0"/>
        <v>25</v>
      </c>
      <c r="H24" s="40" t="str">
        <f t="shared" si="1"/>
        <v>p 002</v>
      </c>
      <c r="I24" s="45" t="str">
        <f t="shared" si="2"/>
        <v>c 902</v>
      </c>
      <c r="J24" s="46" t="str">
        <f t="shared" si="3"/>
        <v>v "\mp3_ost\avtostan.mp3"</v>
      </c>
      <c r="K24" s="40" t="str">
        <f t="shared" si="4"/>
        <v/>
      </c>
      <c r="L24" s="42" t="str">
        <f t="shared" si="5"/>
        <v>&lt;unit024&gt; "Автостанция" {e, p 002, c 902, v "\mp3_ost\avtostan.mp3", d 000, n 025}</v>
      </c>
    </row>
    <row r="25" spans="2:12" x14ac:dyDescent="0.25">
      <c r="B25" s="44">
        <f t="shared" si="6"/>
        <v>25</v>
      </c>
      <c r="C25" s="44" t="s">
        <v>329</v>
      </c>
      <c r="D25" s="39" t="str">
        <f t="shared" si="7"/>
        <v>&gt;&gt;</v>
      </c>
      <c r="E25" s="44" t="s">
        <v>275</v>
      </c>
      <c r="F25" s="44" t="s">
        <v>381</v>
      </c>
      <c r="G25" s="45">
        <f t="shared" si="0"/>
        <v>26</v>
      </c>
      <c r="H25" s="40" t="str">
        <f t="shared" si="1"/>
        <v>p 063</v>
      </c>
      <c r="I25" s="45" t="str">
        <f t="shared" si="2"/>
        <v>c 900</v>
      </c>
      <c r="J25" s="46" t="str">
        <f t="shared" si="3"/>
        <v>c 928, v "\mp3_ost\magistra.mp3"</v>
      </c>
      <c r="K25" s="40" t="str">
        <f t="shared" si="4"/>
        <v>c 930</v>
      </c>
      <c r="L25" s="42" t="str">
        <f t="shared" si="5"/>
        <v>&lt;unit025&gt; "&gt;&gt;ул.Магистральная" {e, p 063, c 900, c 928, v "\mp3_ost\magistra.mp3", c 930, d 000, n 026}</v>
      </c>
    </row>
    <row r="26" spans="2:12" x14ac:dyDescent="0.25">
      <c r="B26" s="44">
        <f t="shared" si="6"/>
        <v>26</v>
      </c>
      <c r="C26" s="44" t="s">
        <v>79</v>
      </c>
      <c r="D26" s="39" t="str">
        <f t="shared" si="7"/>
        <v/>
      </c>
      <c r="E26" s="44" t="s">
        <v>275</v>
      </c>
      <c r="G26" s="45">
        <f t="shared" si="0"/>
        <v>27</v>
      </c>
      <c r="H26" s="40" t="str">
        <f t="shared" si="1"/>
        <v>p 063</v>
      </c>
      <c r="I26" s="45" t="str">
        <f t="shared" si="2"/>
        <v>c 902</v>
      </c>
      <c r="J26" s="46" t="str">
        <f t="shared" si="3"/>
        <v>c 928, v "\mp3_ost\magistra.mp3"</v>
      </c>
      <c r="K26" s="40" t="str">
        <f t="shared" si="4"/>
        <v/>
      </c>
      <c r="L26" s="42" t="str">
        <f t="shared" si="5"/>
        <v>&lt;unit026&gt; "ул.Магистральная" {e, p 063, c 902, c 928, v "\mp3_ost\magistra.mp3", d 000, n 027}</v>
      </c>
    </row>
    <row r="27" spans="2:12" x14ac:dyDescent="0.25">
      <c r="B27" s="44">
        <f t="shared" si="6"/>
        <v>27</v>
      </c>
      <c r="C27" s="44" t="s">
        <v>329</v>
      </c>
      <c r="D27" s="39" t="str">
        <f t="shared" si="7"/>
        <v>&gt;&gt;</v>
      </c>
      <c r="E27" s="44" t="s">
        <v>336</v>
      </c>
      <c r="F27" s="44" t="s">
        <v>381</v>
      </c>
      <c r="G27" s="45">
        <f t="shared" si="0"/>
        <v>28</v>
      </c>
      <c r="H27" s="40" t="str">
        <f t="shared" si="1"/>
        <v>p 067</v>
      </c>
      <c r="I27" s="45" t="str">
        <f t="shared" si="2"/>
        <v>c 900</v>
      </c>
      <c r="J27" s="46" t="str">
        <f t="shared" si="3"/>
        <v>c 928, v "\mp3_ost\ostrovsk.mp3"</v>
      </c>
      <c r="K27" s="40" t="str">
        <f t="shared" si="4"/>
        <v>c 930</v>
      </c>
      <c r="L27" s="42" t="str">
        <f t="shared" si="5"/>
        <v>&lt;unit027&gt; "&gt;&gt;ул.Островского" {e, p 067, c 900, c 928, v "\mp3_ost\ostrovsk.mp3", c 930, d 000, n 028}</v>
      </c>
    </row>
    <row r="28" spans="2:12" x14ac:dyDescent="0.25">
      <c r="B28" s="44">
        <f t="shared" si="6"/>
        <v>28</v>
      </c>
      <c r="C28" s="44" t="s">
        <v>79</v>
      </c>
      <c r="D28" s="39" t="str">
        <f t="shared" si="7"/>
        <v/>
      </c>
      <c r="E28" s="44" t="s">
        <v>336</v>
      </c>
      <c r="G28" s="45">
        <f t="shared" si="0"/>
        <v>29</v>
      </c>
      <c r="H28" s="40" t="str">
        <f t="shared" si="1"/>
        <v>p 067</v>
      </c>
      <c r="I28" s="45" t="str">
        <f t="shared" si="2"/>
        <v>c 902</v>
      </c>
      <c r="J28" s="46" t="str">
        <f t="shared" si="3"/>
        <v>c 928, v "\mp3_ost\ostrovsk.mp3"</v>
      </c>
      <c r="K28" s="40" t="str">
        <f t="shared" si="4"/>
        <v/>
      </c>
      <c r="L28" s="42" t="str">
        <f t="shared" si="5"/>
        <v>&lt;unit028&gt; "ул.Островского" {e, p 067, c 902, c 928, v "\mp3_ost\ostrovsk.mp3", d 000, n 029}</v>
      </c>
    </row>
    <row r="29" spans="2:12" x14ac:dyDescent="0.25">
      <c r="B29" s="44">
        <f t="shared" si="6"/>
        <v>29</v>
      </c>
      <c r="C29" s="44" t="s">
        <v>329</v>
      </c>
      <c r="D29" s="39" t="str">
        <f t="shared" si="7"/>
        <v>&gt;&gt;</v>
      </c>
      <c r="E29" s="44" t="s">
        <v>272</v>
      </c>
      <c r="F29" s="44" t="s">
        <v>381</v>
      </c>
      <c r="G29" s="45">
        <f t="shared" si="0"/>
        <v>30</v>
      </c>
      <c r="H29" s="40" t="str">
        <f t="shared" si="1"/>
        <v>p 058</v>
      </c>
      <c r="I29" s="45" t="str">
        <f t="shared" si="2"/>
        <v>c 900</v>
      </c>
      <c r="J29" s="46" t="str">
        <f t="shared" si="3"/>
        <v>c 928, v "\mp3_ost\leninska.mp3"</v>
      </c>
      <c r="K29" s="40" t="str">
        <f t="shared" si="4"/>
        <v>c 930</v>
      </c>
      <c r="L29" s="42" t="str">
        <f t="shared" si="5"/>
        <v>&lt;unit029&gt; "&gt;&gt;ул.Ленинская" {e, p 058, c 900, c 928, v "\mp3_ost\leninska.mp3", c 930, d 000, n 030}</v>
      </c>
    </row>
    <row r="30" spans="2:12" x14ac:dyDescent="0.25">
      <c r="B30" s="44">
        <f t="shared" si="6"/>
        <v>30</v>
      </c>
      <c r="C30" s="44" t="s">
        <v>79</v>
      </c>
      <c r="D30" s="39" t="str">
        <f t="shared" si="7"/>
        <v/>
      </c>
      <c r="E30" s="44" t="s">
        <v>272</v>
      </c>
      <c r="G30" s="45">
        <f t="shared" si="0"/>
        <v>31</v>
      </c>
      <c r="H30" s="40" t="str">
        <f t="shared" si="1"/>
        <v>p 058</v>
      </c>
      <c r="I30" s="45" t="str">
        <f t="shared" si="2"/>
        <v>c 902</v>
      </c>
      <c r="J30" s="46" t="str">
        <f t="shared" si="3"/>
        <v>c 928, v "\mp3_ost\leninska.mp3"</v>
      </c>
      <c r="K30" s="40" t="str">
        <f t="shared" si="4"/>
        <v/>
      </c>
      <c r="L30" s="42" t="str">
        <f t="shared" si="5"/>
        <v>&lt;unit030&gt; "ул.Ленинская" {e, p 058, c 902, c 928, v "\mp3_ost\leninska.mp3", d 000, n 031}</v>
      </c>
    </row>
    <row r="31" spans="2:12" x14ac:dyDescent="0.25">
      <c r="B31" s="44">
        <f t="shared" si="6"/>
        <v>31</v>
      </c>
      <c r="C31" s="44" t="s">
        <v>329</v>
      </c>
      <c r="D31" s="39" t="str">
        <f t="shared" si="7"/>
        <v>&gt;&gt;</v>
      </c>
      <c r="E31" s="44" t="s">
        <v>213</v>
      </c>
      <c r="F31" s="44" t="s">
        <v>381</v>
      </c>
      <c r="G31" s="45">
        <f t="shared" si="0"/>
        <v>32</v>
      </c>
      <c r="H31" s="40" t="str">
        <f t="shared" si="1"/>
        <v>p 014</v>
      </c>
      <c r="I31" s="45" t="str">
        <f t="shared" si="2"/>
        <v>c 900</v>
      </c>
      <c r="J31" s="46" t="str">
        <f t="shared" si="3"/>
        <v>v "\mp3_ost\kztsh.mp3"</v>
      </c>
      <c r="K31" s="40" t="str">
        <f t="shared" si="4"/>
        <v>c 930</v>
      </c>
      <c r="L31" s="42" t="str">
        <f t="shared" si="5"/>
        <v>&lt;unit031&gt; "&gt;&gt;КЗТШ" {e, p 014, c 900, v "\mp3_ost\kztsh.mp3", c 930, d 000, n 032}</v>
      </c>
    </row>
    <row r="32" spans="2:12" x14ac:dyDescent="0.25">
      <c r="B32" s="44">
        <f t="shared" si="6"/>
        <v>32</v>
      </c>
      <c r="C32" s="44" t="s">
        <v>79</v>
      </c>
      <c r="D32" s="39" t="str">
        <f t="shared" si="7"/>
        <v/>
      </c>
      <c r="E32" s="44" t="s">
        <v>213</v>
      </c>
      <c r="F32" s="44" t="s">
        <v>331</v>
      </c>
      <c r="G32" s="45">
        <f>B34</f>
        <v>34</v>
      </c>
      <c r="H32" s="40" t="str">
        <f t="shared" si="1"/>
        <v>p 014</v>
      </c>
      <c r="I32" s="45" t="str">
        <f t="shared" si="2"/>
        <v>c 902</v>
      </c>
      <c r="J32" s="46" t="str">
        <f t="shared" si="3"/>
        <v>v "\mp3_ost\kztsh.mp3"</v>
      </c>
      <c r="K32" s="40" t="str">
        <f t="shared" si="4"/>
        <v>c 903</v>
      </c>
      <c r="L32" s="42" t="str">
        <f t="shared" si="5"/>
        <v>&lt;unit032&gt; "КЗТШ" {e, p 014, c 902, v "\mp3_ost\kztsh.mp3", c 903, d 000, n 034}</v>
      </c>
    </row>
    <row r="33" spans="2:12" s="39" customFormat="1" x14ac:dyDescent="0.25">
      <c r="G33" s="40"/>
      <c r="H33" s="40"/>
      <c r="I33" s="40"/>
      <c r="J33" s="40"/>
      <c r="K33" s="40"/>
      <c r="L33" s="42"/>
    </row>
    <row r="34" spans="2:12" s="39" customFormat="1" x14ac:dyDescent="0.25">
      <c r="B34" s="39">
        <f t="shared" ref="B34:B62" si="8">ROW(B34)</f>
        <v>34</v>
      </c>
      <c r="E34" s="43" t="s">
        <v>327</v>
      </c>
      <c r="F34" s="43"/>
      <c r="G34" s="40">
        <f>B36</f>
        <v>36</v>
      </c>
      <c r="H34" s="40"/>
      <c r="I34" s="40"/>
      <c r="J34" s="40"/>
      <c r="K34" s="40"/>
      <c r="L34" s="42" t="str">
        <f>"&lt;unit"&amp;TEXT(B34,"000")&amp;"&gt; """&amp;E34&amp;""" {d 000, n "&amp;TEXT(G34,"000")&amp;"}"</f>
        <v>&lt;unit034&gt; "----- Обратный -----" {d 000, n 036}</v>
      </c>
    </row>
    <row r="35" spans="2:12" s="39" customFormat="1" x14ac:dyDescent="0.25">
      <c r="G35" s="40"/>
      <c r="H35" s="40"/>
      <c r="I35" s="40"/>
      <c r="J35" s="40"/>
      <c r="K35" s="40"/>
      <c r="L35" s="42"/>
    </row>
    <row r="36" spans="2:12" x14ac:dyDescent="0.25">
      <c r="B36" s="44">
        <f t="shared" si="8"/>
        <v>36</v>
      </c>
      <c r="C36" s="44" t="s">
        <v>79</v>
      </c>
      <c r="D36" s="39" t="str">
        <f t="shared" ref="D36:D60" si="9">IF(I36="c 900","&gt;&gt;","")</f>
        <v/>
      </c>
      <c r="E36" s="44" t="s">
        <v>213</v>
      </c>
      <c r="G36" s="45">
        <f>B37</f>
        <v>37</v>
      </c>
      <c r="H36" s="40" t="str">
        <f t="shared" ref="H36:H60" si="10">IFERROR("p "&amp;VLOOKUP(E36,Tablo_Tab,2,FALSE),"")</f>
        <v>p 014</v>
      </c>
      <c r="I36" s="45" t="str">
        <f t="shared" ref="I36:I60" si="11">IFERROR("c "&amp;VLOOKUP(C36,Punkti,2,FALSE),"")</f>
        <v>c 902</v>
      </c>
      <c r="J36" s="46" t="str">
        <f t="shared" ref="J36:J60" si="12">IFERROR(VLOOKUP(E36,Ostanovki,7,FALSE),"")</f>
        <v>v "\mp3_ost\kztsh.mp3"</v>
      </c>
      <c r="K36" s="40" t="str">
        <f t="shared" ref="K36:K60" si="13">IFERROR("c "&amp;VLOOKUP(F36,Punkti,2,FALSE),"")</f>
        <v/>
      </c>
      <c r="L36" s="42" t="str">
        <f t="shared" ref="L36:L60" si="14">"&lt;unit"&amp;TEXT(B36,"000")&amp;"&gt; """&amp;СцепитьМного(D36:E36,"")&amp;""" {e, "&amp;СцепитьМного(H36:K36,", ")&amp;", d 000, n "&amp;TEXT(G36,"000")&amp;"}"</f>
        <v>&lt;unit036&gt; "КЗТШ" {e, p 014, c 902, v "\mp3_ost\kztsh.mp3", d 000, n 037}</v>
      </c>
    </row>
    <row r="37" spans="2:12" x14ac:dyDescent="0.25">
      <c r="B37" s="44">
        <f t="shared" si="8"/>
        <v>37</v>
      </c>
      <c r="C37" s="44" t="s">
        <v>329</v>
      </c>
      <c r="D37" s="39" t="str">
        <f t="shared" si="9"/>
        <v>&gt;&gt;</v>
      </c>
      <c r="E37" s="44" t="s">
        <v>272</v>
      </c>
      <c r="F37" s="44" t="s">
        <v>381</v>
      </c>
      <c r="G37" s="45">
        <f t="shared" ref="G37:G59" si="15">B38</f>
        <v>38</v>
      </c>
      <c r="H37" s="40" t="str">
        <f t="shared" si="10"/>
        <v>p 058</v>
      </c>
      <c r="I37" s="45" t="str">
        <f t="shared" si="11"/>
        <v>c 900</v>
      </c>
      <c r="J37" s="46" t="str">
        <f t="shared" si="12"/>
        <v>c 928, v "\mp3_ost\leninska.mp3"</v>
      </c>
      <c r="K37" s="40" t="str">
        <f t="shared" si="13"/>
        <v>c 930</v>
      </c>
      <c r="L37" s="42" t="str">
        <f t="shared" si="14"/>
        <v>&lt;unit037&gt; "&gt;&gt;ул.Ленинская" {e, p 058, c 900, c 928, v "\mp3_ost\leninska.mp3", c 930, d 000, n 038}</v>
      </c>
    </row>
    <row r="38" spans="2:12" x14ac:dyDescent="0.25">
      <c r="B38" s="44">
        <f t="shared" si="8"/>
        <v>38</v>
      </c>
      <c r="C38" s="44" t="s">
        <v>79</v>
      </c>
      <c r="D38" s="39" t="str">
        <f t="shared" si="9"/>
        <v/>
      </c>
      <c r="E38" s="44" t="s">
        <v>272</v>
      </c>
      <c r="G38" s="45">
        <f t="shared" si="15"/>
        <v>39</v>
      </c>
      <c r="H38" s="40" t="str">
        <f t="shared" si="10"/>
        <v>p 058</v>
      </c>
      <c r="I38" s="45" t="str">
        <f t="shared" si="11"/>
        <v>c 902</v>
      </c>
      <c r="J38" s="46" t="str">
        <f t="shared" si="12"/>
        <v>c 928, v "\mp3_ost\leninska.mp3"</v>
      </c>
      <c r="K38" s="40" t="str">
        <f t="shared" si="13"/>
        <v/>
      </c>
      <c r="L38" s="42" t="str">
        <f t="shared" si="14"/>
        <v>&lt;unit038&gt; "ул.Ленинская" {e, p 058, c 902, c 928, v "\mp3_ost\leninska.mp3", d 000, n 039}</v>
      </c>
    </row>
    <row r="39" spans="2:12" x14ac:dyDescent="0.25">
      <c r="B39" s="44">
        <f t="shared" si="8"/>
        <v>39</v>
      </c>
      <c r="C39" s="44" t="s">
        <v>329</v>
      </c>
      <c r="D39" s="39" t="str">
        <f t="shared" si="9"/>
        <v>&gt;&gt;</v>
      </c>
      <c r="E39" s="44" t="s">
        <v>336</v>
      </c>
      <c r="F39" s="44" t="s">
        <v>381</v>
      </c>
      <c r="G39" s="45">
        <f t="shared" si="15"/>
        <v>40</v>
      </c>
      <c r="H39" s="40" t="str">
        <f t="shared" si="10"/>
        <v>p 067</v>
      </c>
      <c r="I39" s="45" t="str">
        <f t="shared" si="11"/>
        <v>c 900</v>
      </c>
      <c r="J39" s="46" t="str">
        <f t="shared" si="12"/>
        <v>c 928, v "\mp3_ost\ostrovsk.mp3"</v>
      </c>
      <c r="K39" s="40" t="str">
        <f t="shared" si="13"/>
        <v>c 930</v>
      </c>
      <c r="L39" s="42" t="str">
        <f t="shared" si="14"/>
        <v>&lt;unit039&gt; "&gt;&gt;ул.Островского" {e, p 067, c 900, c 928, v "\mp3_ost\ostrovsk.mp3", c 930, d 000, n 040}</v>
      </c>
    </row>
    <row r="40" spans="2:12" x14ac:dyDescent="0.25">
      <c r="B40" s="44">
        <f t="shared" si="8"/>
        <v>40</v>
      </c>
      <c r="C40" s="44" t="s">
        <v>79</v>
      </c>
      <c r="D40" s="39" t="str">
        <f t="shared" si="9"/>
        <v/>
      </c>
      <c r="E40" s="44" t="s">
        <v>336</v>
      </c>
      <c r="G40" s="45">
        <f t="shared" si="15"/>
        <v>41</v>
      </c>
      <c r="H40" s="40" t="str">
        <f t="shared" si="10"/>
        <v>p 067</v>
      </c>
      <c r="I40" s="45" t="str">
        <f t="shared" si="11"/>
        <v>c 902</v>
      </c>
      <c r="J40" s="46" t="str">
        <f t="shared" si="12"/>
        <v>c 928, v "\mp3_ost\ostrovsk.mp3"</v>
      </c>
      <c r="K40" s="40" t="str">
        <f t="shared" si="13"/>
        <v/>
      </c>
      <c r="L40" s="42" t="str">
        <f t="shared" si="14"/>
        <v>&lt;unit040&gt; "ул.Островского" {e, p 067, c 902, c 928, v "\mp3_ost\ostrovsk.mp3", d 000, n 041}</v>
      </c>
    </row>
    <row r="41" spans="2:12" x14ac:dyDescent="0.25">
      <c r="B41" s="44">
        <f t="shared" si="8"/>
        <v>41</v>
      </c>
      <c r="C41" s="44" t="s">
        <v>329</v>
      </c>
      <c r="D41" s="39" t="str">
        <f t="shared" si="9"/>
        <v>&gt;&gt;</v>
      </c>
      <c r="E41" s="44" t="s">
        <v>275</v>
      </c>
      <c r="F41" s="44" t="s">
        <v>381</v>
      </c>
      <c r="G41" s="45">
        <f t="shared" si="15"/>
        <v>42</v>
      </c>
      <c r="H41" s="40" t="str">
        <f t="shared" si="10"/>
        <v>p 063</v>
      </c>
      <c r="I41" s="45" t="str">
        <f t="shared" si="11"/>
        <v>c 900</v>
      </c>
      <c r="J41" s="46" t="str">
        <f t="shared" si="12"/>
        <v>c 928, v "\mp3_ost\magistra.mp3"</v>
      </c>
      <c r="K41" s="40" t="str">
        <f t="shared" si="13"/>
        <v>c 930</v>
      </c>
      <c r="L41" s="42" t="str">
        <f t="shared" si="14"/>
        <v>&lt;unit041&gt; "&gt;&gt;ул.Магистральная" {e, p 063, c 900, c 928, v "\mp3_ost\magistra.mp3", c 930, d 000, n 042}</v>
      </c>
    </row>
    <row r="42" spans="2:12" x14ac:dyDescent="0.25">
      <c r="B42" s="44">
        <f t="shared" si="8"/>
        <v>42</v>
      </c>
      <c r="C42" s="44" t="s">
        <v>79</v>
      </c>
      <c r="D42" s="39" t="str">
        <f t="shared" si="9"/>
        <v/>
      </c>
      <c r="E42" s="44" t="s">
        <v>275</v>
      </c>
      <c r="G42" s="45">
        <f t="shared" si="15"/>
        <v>43</v>
      </c>
      <c r="H42" s="40" t="str">
        <f t="shared" si="10"/>
        <v>p 063</v>
      </c>
      <c r="I42" s="45" t="str">
        <f t="shared" si="11"/>
        <v>c 902</v>
      </c>
      <c r="J42" s="46" t="str">
        <f t="shared" si="12"/>
        <v>c 928, v "\mp3_ost\magistra.mp3"</v>
      </c>
      <c r="K42" s="40" t="str">
        <f t="shared" si="13"/>
        <v/>
      </c>
      <c r="L42" s="42" t="str">
        <f t="shared" si="14"/>
        <v>&lt;unit042&gt; "ул.Магистральная" {e, p 063, c 902, c 928, v "\mp3_ost\magistra.mp3", d 000, n 043}</v>
      </c>
    </row>
    <row r="43" spans="2:12" x14ac:dyDescent="0.25">
      <c r="B43" s="44">
        <f t="shared" si="8"/>
        <v>43</v>
      </c>
      <c r="C43" s="44" t="s">
        <v>329</v>
      </c>
      <c r="D43" s="39" t="str">
        <f t="shared" si="9"/>
        <v>&gt;&gt;</v>
      </c>
      <c r="E43" s="44" t="s">
        <v>339</v>
      </c>
      <c r="F43" s="44" t="s">
        <v>381</v>
      </c>
      <c r="G43" s="45">
        <f t="shared" si="15"/>
        <v>44</v>
      </c>
      <c r="H43" s="40" t="str">
        <f t="shared" si="10"/>
        <v>p 005</v>
      </c>
      <c r="I43" s="45" t="str">
        <f t="shared" si="11"/>
        <v>c 900</v>
      </c>
      <c r="J43" s="46" t="str">
        <f t="shared" si="12"/>
        <v>v "\mp3_ost\inst-zem.mp3"</v>
      </c>
      <c r="K43" s="40" t="str">
        <f t="shared" si="13"/>
        <v>c 930</v>
      </c>
      <c r="L43" s="42" t="str">
        <f t="shared" si="14"/>
        <v>&lt;unit043&gt; "&gt;&gt;БелНИИЗ" {e, p 005, c 900, v "\mp3_ost\inst-zem.mp3", c 930, d 000, n 044}</v>
      </c>
    </row>
    <row r="44" spans="2:12" x14ac:dyDescent="0.25">
      <c r="B44" s="44">
        <f t="shared" si="8"/>
        <v>44</v>
      </c>
      <c r="C44" s="44" t="s">
        <v>79</v>
      </c>
      <c r="D44" s="39" t="str">
        <f t="shared" si="9"/>
        <v/>
      </c>
      <c r="E44" s="44" t="s">
        <v>339</v>
      </c>
      <c r="G44" s="45">
        <f t="shared" si="15"/>
        <v>45</v>
      </c>
      <c r="H44" s="40" t="str">
        <f t="shared" si="10"/>
        <v>p 005</v>
      </c>
      <c r="I44" s="45" t="str">
        <f t="shared" si="11"/>
        <v>c 902</v>
      </c>
      <c r="J44" s="46" t="str">
        <f t="shared" si="12"/>
        <v>v "\mp3_ost\inst-zem.mp3"</v>
      </c>
      <c r="K44" s="40" t="str">
        <f t="shared" si="13"/>
        <v/>
      </c>
      <c r="L44" s="42" t="str">
        <f t="shared" si="14"/>
        <v>&lt;unit044&gt; "БелНИИЗ" {e, p 005, c 902, v "\mp3_ost\inst-zem.mp3", d 000, n 045}</v>
      </c>
    </row>
    <row r="45" spans="2:12" x14ac:dyDescent="0.25">
      <c r="B45" s="44">
        <f t="shared" si="8"/>
        <v>45</v>
      </c>
      <c r="C45" s="44" t="s">
        <v>329</v>
      </c>
      <c r="D45" s="39" t="str">
        <f t="shared" si="9"/>
        <v>&gt;&gt;</v>
      </c>
      <c r="E45" s="44" t="s">
        <v>241</v>
      </c>
      <c r="F45" s="44" t="s">
        <v>381</v>
      </c>
      <c r="G45" s="45">
        <f t="shared" si="15"/>
        <v>46</v>
      </c>
      <c r="H45" s="40" t="str">
        <f t="shared" si="10"/>
        <v>p 032</v>
      </c>
      <c r="I45" s="45" t="str">
        <f t="shared" si="11"/>
        <v>c 900</v>
      </c>
      <c r="J45" s="46" t="str">
        <f t="shared" si="12"/>
        <v>v "\mp3_ost\skarwnw.mp3"</v>
      </c>
      <c r="K45" s="40" t="str">
        <f t="shared" si="13"/>
        <v>c 930</v>
      </c>
      <c r="L45" s="42" t="str">
        <f t="shared" si="14"/>
        <v>&lt;unit045&gt; "&gt;&gt;пр-т Скорины" {e, p 032, c 900, v "\mp3_ost\skarwnw.mp3", c 930, d 000, n 046}</v>
      </c>
    </row>
    <row r="46" spans="2:12" x14ac:dyDescent="0.25">
      <c r="B46" s="44">
        <f t="shared" si="8"/>
        <v>46</v>
      </c>
      <c r="C46" s="44" t="s">
        <v>79</v>
      </c>
      <c r="D46" s="39" t="str">
        <f t="shared" si="9"/>
        <v/>
      </c>
      <c r="E46" s="44" t="s">
        <v>241</v>
      </c>
      <c r="G46" s="45">
        <f t="shared" si="15"/>
        <v>47</v>
      </c>
      <c r="H46" s="40" t="str">
        <f t="shared" si="10"/>
        <v>p 032</v>
      </c>
      <c r="I46" s="45" t="str">
        <f t="shared" si="11"/>
        <v>c 902</v>
      </c>
      <c r="J46" s="46" t="str">
        <f t="shared" si="12"/>
        <v>v "\mp3_ost\skarwnw.mp3"</v>
      </c>
      <c r="K46" s="40" t="str">
        <f t="shared" si="13"/>
        <v/>
      </c>
      <c r="L46" s="42" t="str">
        <f t="shared" si="14"/>
        <v>&lt;unit046&gt; "пр-т Скорины" {e, p 032, c 902, v "\mp3_ost\skarwnw.mp3", d 000, n 047}</v>
      </c>
    </row>
    <row r="47" spans="2:12" x14ac:dyDescent="0.25">
      <c r="B47" s="44">
        <f t="shared" si="8"/>
        <v>47</v>
      </c>
      <c r="C47" s="44" t="s">
        <v>329</v>
      </c>
      <c r="D47" s="39" t="str">
        <f t="shared" si="9"/>
        <v>&gt;&gt;</v>
      </c>
      <c r="E47" s="44" t="s">
        <v>214</v>
      </c>
      <c r="F47" s="44" t="s">
        <v>381</v>
      </c>
      <c r="G47" s="45">
        <f t="shared" si="15"/>
        <v>48</v>
      </c>
      <c r="H47" s="40" t="str">
        <f t="shared" si="10"/>
        <v>p 030</v>
      </c>
      <c r="I47" s="45" t="str">
        <f t="shared" si="11"/>
        <v>c 900</v>
      </c>
      <c r="J47" s="46" t="str">
        <f t="shared" si="12"/>
        <v>v "\mp3_ost\lenina.mp3"</v>
      </c>
      <c r="K47" s="40" t="str">
        <f t="shared" si="13"/>
        <v>c 930</v>
      </c>
      <c r="L47" s="42" t="str">
        <f t="shared" si="14"/>
        <v>&lt;unit047&gt; "&gt;&gt;пр-т Ленина" {e, p 030, c 900, v "\mp3_ost\lenina.mp3", c 930, d 000, n 048}</v>
      </c>
    </row>
    <row r="48" spans="2:12" x14ac:dyDescent="0.25">
      <c r="B48" s="44">
        <f t="shared" si="8"/>
        <v>48</v>
      </c>
      <c r="C48" s="44" t="s">
        <v>79</v>
      </c>
      <c r="D48" s="39" t="str">
        <f t="shared" si="9"/>
        <v/>
      </c>
      <c r="E48" s="44" t="s">
        <v>214</v>
      </c>
      <c r="G48" s="45">
        <f t="shared" si="15"/>
        <v>49</v>
      </c>
      <c r="H48" s="40" t="str">
        <f t="shared" si="10"/>
        <v>p 030</v>
      </c>
      <c r="I48" s="45" t="str">
        <f t="shared" si="11"/>
        <v>c 902</v>
      </c>
      <c r="J48" s="46" t="str">
        <f t="shared" si="12"/>
        <v>v "\mp3_ost\lenina.mp3"</v>
      </c>
      <c r="K48" s="40" t="str">
        <f t="shared" si="13"/>
        <v/>
      </c>
      <c r="L48" s="42" t="str">
        <f t="shared" si="14"/>
        <v>&lt;unit048&gt; "пр-т Ленина" {e, p 030, c 902, v "\mp3_ost\lenina.mp3", d 000, n 049}</v>
      </c>
    </row>
    <row r="49" spans="2:12" x14ac:dyDescent="0.25">
      <c r="B49" s="44">
        <f t="shared" si="8"/>
        <v>49</v>
      </c>
      <c r="C49" s="44" t="s">
        <v>329</v>
      </c>
      <c r="D49" s="39" t="str">
        <f t="shared" si="9"/>
        <v>&gt;&gt;</v>
      </c>
      <c r="E49" s="44" t="s">
        <v>351</v>
      </c>
      <c r="F49" s="44" t="s">
        <v>381</v>
      </c>
      <c r="G49" s="45">
        <f t="shared" si="15"/>
        <v>50</v>
      </c>
      <c r="H49" s="40" t="str">
        <f t="shared" si="10"/>
        <v>p 008</v>
      </c>
      <c r="I49" s="45" t="str">
        <f t="shared" si="11"/>
        <v>c 900</v>
      </c>
      <c r="J49" s="46" t="str">
        <f t="shared" si="12"/>
        <v>v "\mp3_ost\gimn1.mp3"</v>
      </c>
      <c r="K49" s="40" t="str">
        <f t="shared" si="13"/>
        <v>c 930</v>
      </c>
      <c r="L49" s="42" t="str">
        <f t="shared" si="14"/>
        <v>&lt;unit049&gt; "&gt;&gt;Гимназия № 1" {e, p 008, c 900, v "\mp3_ost\gimn1.mp3", c 930, d 000, n 050}</v>
      </c>
    </row>
    <row r="50" spans="2:12" x14ac:dyDescent="0.25">
      <c r="B50" s="44">
        <f t="shared" si="8"/>
        <v>50</v>
      </c>
      <c r="C50" s="44" t="s">
        <v>79</v>
      </c>
      <c r="D50" s="39" t="str">
        <f t="shared" si="9"/>
        <v/>
      </c>
      <c r="E50" s="44" t="s">
        <v>351</v>
      </c>
      <c r="G50" s="45">
        <f t="shared" si="15"/>
        <v>51</v>
      </c>
      <c r="H50" s="40" t="str">
        <f t="shared" si="10"/>
        <v>p 008</v>
      </c>
      <c r="I50" s="45" t="str">
        <f t="shared" si="11"/>
        <v>c 902</v>
      </c>
      <c r="J50" s="46" t="str">
        <f t="shared" si="12"/>
        <v>v "\mp3_ost\gimn1.mp3"</v>
      </c>
      <c r="K50" s="40" t="str">
        <f t="shared" si="13"/>
        <v/>
      </c>
      <c r="L50" s="42" t="str">
        <f t="shared" si="14"/>
        <v>&lt;unit050&gt; "Гимназия № 1" {e, p 008, c 902, v "\mp3_ost\gimn1.mp3", d 000, n 051}</v>
      </c>
    </row>
    <row r="51" spans="2:12" x14ac:dyDescent="0.25">
      <c r="B51" s="44">
        <f t="shared" si="8"/>
        <v>51</v>
      </c>
      <c r="C51" s="44" t="s">
        <v>329</v>
      </c>
      <c r="D51" s="39" t="str">
        <f t="shared" si="9"/>
        <v>&gt;&gt;</v>
      </c>
      <c r="E51" s="44" t="s">
        <v>170</v>
      </c>
      <c r="F51" s="44" t="s">
        <v>381</v>
      </c>
      <c r="G51" s="45">
        <f t="shared" si="15"/>
        <v>52</v>
      </c>
      <c r="H51" s="40" t="str">
        <f t="shared" si="10"/>
        <v>p 037</v>
      </c>
      <c r="I51" s="45" t="str">
        <f t="shared" si="11"/>
        <v>c 900</v>
      </c>
      <c r="J51" s="46" t="str">
        <f t="shared" si="12"/>
        <v>v "\mp3_ost\5ssh.mp3"</v>
      </c>
      <c r="K51" s="40" t="str">
        <f t="shared" si="13"/>
        <v>c 930</v>
      </c>
      <c r="L51" s="42" t="str">
        <f t="shared" si="14"/>
        <v>&lt;unit051&gt; "&gt;&gt;СШ № 5" {e, p 037, c 900, v "\mp3_ost\5ssh.mp3", c 930, d 000, n 052}</v>
      </c>
    </row>
    <row r="52" spans="2:12" x14ac:dyDescent="0.25">
      <c r="B52" s="44">
        <f t="shared" si="8"/>
        <v>52</v>
      </c>
      <c r="C52" s="44" t="s">
        <v>79</v>
      </c>
      <c r="D52" s="39" t="str">
        <f t="shared" si="9"/>
        <v/>
      </c>
      <c r="E52" s="44" t="s">
        <v>170</v>
      </c>
      <c r="G52" s="45">
        <f t="shared" si="15"/>
        <v>53</v>
      </c>
      <c r="H52" s="40" t="str">
        <f t="shared" si="10"/>
        <v>p 037</v>
      </c>
      <c r="I52" s="45" t="str">
        <f t="shared" si="11"/>
        <v>c 902</v>
      </c>
      <c r="J52" s="46" t="str">
        <f t="shared" si="12"/>
        <v>v "\mp3_ost\5ssh.mp3"</v>
      </c>
      <c r="K52" s="40" t="str">
        <f t="shared" si="13"/>
        <v/>
      </c>
      <c r="L52" s="42" t="str">
        <f t="shared" si="14"/>
        <v>&lt;unit052&gt; "СШ № 5" {e, p 037, c 902, v "\mp3_ost\5ssh.mp3", d 000, n 053}</v>
      </c>
    </row>
    <row r="53" spans="2:12" x14ac:dyDescent="0.25">
      <c r="B53" s="44">
        <f t="shared" si="8"/>
        <v>53</v>
      </c>
      <c r="C53" s="44" t="s">
        <v>329</v>
      </c>
      <c r="D53" s="39" t="str">
        <f t="shared" si="9"/>
        <v>&gt;&gt;</v>
      </c>
      <c r="E53" s="44" t="s">
        <v>225</v>
      </c>
      <c r="F53" s="44" t="s">
        <v>381</v>
      </c>
      <c r="G53" s="45">
        <f t="shared" si="15"/>
        <v>54</v>
      </c>
      <c r="H53" s="40" t="str">
        <f t="shared" si="10"/>
        <v>p 027</v>
      </c>
      <c r="I53" s="45" t="str">
        <f t="shared" si="11"/>
        <v>c 900</v>
      </c>
      <c r="J53" s="46" t="str">
        <f t="shared" si="12"/>
        <v>v "\mp3_ost\paliklin.mp3"</v>
      </c>
      <c r="K53" s="40" t="str">
        <f t="shared" si="13"/>
        <v>c 930</v>
      </c>
      <c r="L53" s="42" t="str">
        <f t="shared" si="14"/>
        <v>&lt;unit053&gt; "&gt;&gt;Поликлиника" {e, p 027, c 900, v "\mp3_ost\paliklin.mp3", c 930, d 000, n 054}</v>
      </c>
    </row>
    <row r="54" spans="2:12" x14ac:dyDescent="0.25">
      <c r="B54" s="44">
        <f t="shared" si="8"/>
        <v>54</v>
      </c>
      <c r="C54" s="44" t="s">
        <v>79</v>
      </c>
      <c r="D54" s="39" t="str">
        <f t="shared" si="9"/>
        <v/>
      </c>
      <c r="E54" s="44" t="s">
        <v>225</v>
      </c>
      <c r="G54" s="45">
        <f t="shared" si="15"/>
        <v>55</v>
      </c>
      <c r="H54" s="40" t="str">
        <f t="shared" si="10"/>
        <v>p 027</v>
      </c>
      <c r="I54" s="45" t="str">
        <f t="shared" si="11"/>
        <v>c 902</v>
      </c>
      <c r="J54" s="46" t="str">
        <f t="shared" si="12"/>
        <v>v "\mp3_ost\paliklin.mp3"</v>
      </c>
      <c r="K54" s="40" t="str">
        <f t="shared" si="13"/>
        <v/>
      </c>
      <c r="L54" s="42" t="str">
        <f t="shared" si="14"/>
        <v>&lt;unit054&gt; "Поликлиника" {e, p 027, c 902, v "\mp3_ost\paliklin.mp3", d 000, n 055}</v>
      </c>
    </row>
    <row r="55" spans="2:12" x14ac:dyDescent="0.25">
      <c r="B55" s="44">
        <f t="shared" si="8"/>
        <v>55</v>
      </c>
      <c r="C55" s="44" t="s">
        <v>329</v>
      </c>
      <c r="D55" s="39" t="str">
        <f t="shared" si="9"/>
        <v>&gt;&gt;</v>
      </c>
      <c r="E55" s="44" t="s">
        <v>349</v>
      </c>
      <c r="F55" s="44" t="s">
        <v>381</v>
      </c>
      <c r="G55" s="45">
        <f t="shared" si="15"/>
        <v>56</v>
      </c>
      <c r="H55" s="40" t="str">
        <f t="shared" si="10"/>
        <v>p 022</v>
      </c>
      <c r="I55" s="45" t="str">
        <f t="shared" si="11"/>
        <v>c 900</v>
      </c>
      <c r="J55" s="46" t="str">
        <f t="shared" si="12"/>
        <v>v "\mp3_ost\park.mp3"</v>
      </c>
      <c r="K55" s="40" t="str">
        <f t="shared" si="13"/>
        <v>c 930</v>
      </c>
      <c r="L55" s="42" t="str">
        <f t="shared" si="14"/>
        <v>&lt;unit055&gt; "&gt;&gt;Парк культуры" {e, p 022, c 900, v "\mp3_ost\park.mp3", c 930, d 000, n 056}</v>
      </c>
    </row>
    <row r="56" spans="2:12" x14ac:dyDescent="0.25">
      <c r="B56" s="44">
        <f t="shared" si="8"/>
        <v>56</v>
      </c>
      <c r="C56" s="44" t="s">
        <v>79</v>
      </c>
      <c r="D56" s="39" t="str">
        <f t="shared" si="9"/>
        <v/>
      </c>
      <c r="E56" s="44" t="s">
        <v>349</v>
      </c>
      <c r="G56" s="45">
        <f t="shared" si="15"/>
        <v>57</v>
      </c>
      <c r="H56" s="40" t="str">
        <f t="shared" si="10"/>
        <v>p 022</v>
      </c>
      <c r="I56" s="45" t="str">
        <f t="shared" si="11"/>
        <v>c 902</v>
      </c>
      <c r="J56" s="46" t="str">
        <f t="shared" si="12"/>
        <v>v "\mp3_ost\park.mp3"</v>
      </c>
      <c r="K56" s="40" t="str">
        <f t="shared" si="13"/>
        <v/>
      </c>
      <c r="L56" s="42" t="str">
        <f t="shared" si="14"/>
        <v>&lt;unit056&gt; "Парк культуры" {e, p 022, c 902, v "\mp3_ost\park.mp3", d 000, n 057}</v>
      </c>
    </row>
    <row r="57" spans="2:12" x14ac:dyDescent="0.25">
      <c r="B57" s="44">
        <f t="shared" si="8"/>
        <v>57</v>
      </c>
      <c r="C57" s="44" t="s">
        <v>329</v>
      </c>
      <c r="D57" s="39" t="str">
        <f t="shared" si="9"/>
        <v>&gt;&gt;</v>
      </c>
      <c r="E57" s="44" t="s">
        <v>233</v>
      </c>
      <c r="F57" s="44" t="s">
        <v>381</v>
      </c>
      <c r="G57" s="45">
        <f t="shared" si="15"/>
        <v>58</v>
      </c>
      <c r="H57" s="40" t="str">
        <f t="shared" si="10"/>
        <v>p 028</v>
      </c>
      <c r="I57" s="45" t="str">
        <f t="shared" si="11"/>
        <v>c 900</v>
      </c>
      <c r="J57" s="46" t="str">
        <f t="shared" si="12"/>
        <v>v "\mp3_ost\pochta.mp3"</v>
      </c>
      <c r="K57" s="40" t="str">
        <f t="shared" si="13"/>
        <v>c 930</v>
      </c>
      <c r="L57" s="42" t="str">
        <f t="shared" si="14"/>
        <v>&lt;unit057&gt; "&gt;&gt;Почта" {e, p 028, c 900, v "\mp3_ost\pochta.mp3", c 930, d 000, n 058}</v>
      </c>
    </row>
    <row r="58" spans="2:12" x14ac:dyDescent="0.25">
      <c r="B58" s="44">
        <f t="shared" si="8"/>
        <v>58</v>
      </c>
      <c r="C58" s="44" t="s">
        <v>79</v>
      </c>
      <c r="D58" s="39" t="str">
        <f t="shared" si="9"/>
        <v/>
      </c>
      <c r="E58" s="44" t="s">
        <v>233</v>
      </c>
      <c r="G58" s="45">
        <f t="shared" si="15"/>
        <v>59</v>
      </c>
      <c r="H58" s="40" t="str">
        <f t="shared" si="10"/>
        <v>p 028</v>
      </c>
      <c r="I58" s="45" t="str">
        <f t="shared" si="11"/>
        <v>c 902</v>
      </c>
      <c r="J58" s="46" t="str">
        <f t="shared" si="12"/>
        <v>v "\mp3_ost\pochta.mp3"</v>
      </c>
      <c r="K58" s="40" t="str">
        <f t="shared" si="13"/>
        <v/>
      </c>
      <c r="L58" s="42" t="str">
        <f t="shared" si="14"/>
        <v>&lt;unit058&gt; "Почта" {e, p 028, c 902, v "\mp3_ost\pochta.mp3", d 000, n 059}</v>
      </c>
    </row>
    <row r="59" spans="2:12" x14ac:dyDescent="0.25">
      <c r="B59" s="44">
        <f t="shared" si="8"/>
        <v>59</v>
      </c>
      <c r="C59" s="44" t="s">
        <v>329</v>
      </c>
      <c r="D59" s="39" t="str">
        <f t="shared" si="9"/>
        <v>&gt;&gt;</v>
      </c>
      <c r="E59" s="44" t="s">
        <v>177</v>
      </c>
      <c r="F59" s="44" t="s">
        <v>381</v>
      </c>
      <c r="G59" s="45">
        <f t="shared" si="15"/>
        <v>60</v>
      </c>
      <c r="H59" s="40" t="str">
        <f t="shared" si="10"/>
        <v>p 002</v>
      </c>
      <c r="I59" s="45" t="str">
        <f t="shared" si="11"/>
        <v>c 900</v>
      </c>
      <c r="J59" s="46" t="str">
        <f t="shared" si="12"/>
        <v>v "\mp3_ost\avtostan.mp3"</v>
      </c>
      <c r="K59" s="40" t="str">
        <f t="shared" si="13"/>
        <v>c 930</v>
      </c>
      <c r="L59" s="42" t="str">
        <f t="shared" si="14"/>
        <v>&lt;unit059&gt; "&gt;&gt;Автостанция" {e, p 002, c 900, v "\mp3_ost\avtostan.mp3", c 930, d 000, n 060}</v>
      </c>
    </row>
    <row r="60" spans="2:12" x14ac:dyDescent="0.25">
      <c r="B60" s="44">
        <f t="shared" si="8"/>
        <v>60</v>
      </c>
      <c r="C60" s="44" t="s">
        <v>79</v>
      </c>
      <c r="D60" s="39" t="str">
        <f t="shared" si="9"/>
        <v/>
      </c>
      <c r="E60" s="44" t="s">
        <v>177</v>
      </c>
      <c r="F60" s="44" t="s">
        <v>331</v>
      </c>
      <c r="G60" s="45">
        <f>B62</f>
        <v>62</v>
      </c>
      <c r="H60" s="40" t="str">
        <f t="shared" si="10"/>
        <v>p 002</v>
      </c>
      <c r="I60" s="45" t="str">
        <f t="shared" si="11"/>
        <v>c 902</v>
      </c>
      <c r="J60" s="46" t="str">
        <f t="shared" si="12"/>
        <v>v "\mp3_ost\avtostan.mp3"</v>
      </c>
      <c r="K60" s="40" t="str">
        <f t="shared" si="13"/>
        <v>c 903</v>
      </c>
      <c r="L60" s="42" t="str">
        <f t="shared" si="14"/>
        <v>&lt;unit060&gt; "Автостанция" {e, p 002, c 902, v "\mp3_ost\avtostan.mp3", c 903, d 000, n 062}</v>
      </c>
    </row>
    <row r="61" spans="2:12" s="39" customFormat="1" x14ac:dyDescent="0.25">
      <c r="G61" s="40"/>
      <c r="H61" s="40"/>
      <c r="I61" s="40"/>
      <c r="J61" s="40"/>
      <c r="K61" s="40"/>
      <c r="L61" s="42"/>
    </row>
    <row r="62" spans="2:12" s="39" customFormat="1" x14ac:dyDescent="0.25">
      <c r="B62" s="39">
        <f t="shared" si="8"/>
        <v>62</v>
      </c>
      <c r="E62" s="43" t="s">
        <v>328</v>
      </c>
      <c r="F62" s="43"/>
      <c r="G62" s="40">
        <f>B3</f>
        <v>3</v>
      </c>
      <c r="H62" s="40"/>
      <c r="I62" s="40"/>
      <c r="J62" s="40"/>
      <c r="K62" s="40"/>
      <c r="L62" s="42" t="str">
        <f>"&lt;unit"&amp;TEXT(B62,"000")&amp;"&gt; """&amp;E62&amp;""" {d 000, n "&amp;TEXT(G62,"000")&amp;"}"</f>
        <v>&lt;unit062&gt; "----- Конец -----" {d 000, n 003}</v>
      </c>
    </row>
    <row r="63" spans="2:12" s="39" customFormat="1" x14ac:dyDescent="0.25">
      <c r="G63" s="40"/>
      <c r="H63" s="40"/>
      <c r="I63" s="40"/>
      <c r="J63" s="40"/>
      <c r="K63" s="40"/>
      <c r="L63" s="42"/>
    </row>
    <row r="64" spans="2:12" s="39" customFormat="1" x14ac:dyDescent="0.25">
      <c r="G64" s="40"/>
      <c r="H64" s="40"/>
      <c r="I64" s="40"/>
      <c r="J64" s="40"/>
      <c r="K64" s="40"/>
      <c r="L64" s="42" t="str">
        <f>Константы!D2</f>
        <v>&lt;unit921&gt; "Автовокзал" {v "\mp3_knst\av.mp3"}</v>
      </c>
    </row>
    <row r="65" spans="7:12" s="39" customFormat="1" x14ac:dyDescent="0.25">
      <c r="G65" s="40"/>
      <c r="H65" s="40"/>
      <c r="I65" s="40"/>
      <c r="J65" s="40"/>
      <c r="K65" s="40"/>
      <c r="L65" s="42" t="str">
        <f>Константы!D3</f>
        <v>&lt;unit923&gt; "Гостиница" {v "\mp3_knst\gos.mp3"}</v>
      </c>
    </row>
    <row r="66" spans="7:12" s="39" customFormat="1" x14ac:dyDescent="0.25">
      <c r="G66" s="40"/>
      <c r="H66" s="40"/>
      <c r="I66" s="40"/>
      <c r="J66" s="40"/>
      <c r="K66" s="40"/>
      <c r="L66" s="42" t="str">
        <f>Константы!D4</f>
        <v>&lt;unit922&gt; "Дисп. станция" {v "\mp3_knst\ds.mp3"}</v>
      </c>
    </row>
    <row r="67" spans="7:12" s="39" customFormat="1" x14ac:dyDescent="0.25">
      <c r="G67" s="40"/>
      <c r="H67" s="40"/>
      <c r="I67" s="40"/>
      <c r="J67" s="40"/>
      <c r="K67" s="40"/>
      <c r="L67" s="42" t="str">
        <f>Константы!D5</f>
        <v>&lt;unit903&gt; "Канцавая" {v "\mp3_knst\kanc.mp3"}</v>
      </c>
    </row>
    <row r="68" spans="7:12" s="39" customFormat="1" x14ac:dyDescent="0.25">
      <c r="G68" s="40"/>
      <c r="H68" s="40"/>
      <c r="I68" s="40"/>
      <c r="J68" s="40"/>
      <c r="K68" s="40"/>
      <c r="L68" s="42" t="str">
        <f>Константы!D6</f>
        <v>&lt;unit924&gt; "Конечная" {v "\mp3_knst\ko.mp3"}</v>
      </c>
    </row>
    <row r="69" spans="7:12" s="39" customFormat="1" x14ac:dyDescent="0.25">
      <c r="G69" s="40"/>
      <c r="H69" s="40"/>
      <c r="I69" s="40"/>
      <c r="J69" s="40"/>
      <c r="K69" s="40"/>
      <c r="L69" s="42" t="str">
        <f>Константы!D7</f>
        <v>&lt;unit902&gt; "Остановка" {v "\mp3_knst\ost.mp3"}</v>
      </c>
    </row>
    <row r="70" spans="7:12" s="39" customFormat="1" x14ac:dyDescent="0.25">
      <c r="G70" s="40"/>
      <c r="H70" s="40"/>
      <c r="I70" s="40"/>
      <c r="J70" s="40"/>
      <c r="K70" s="40"/>
      <c r="L70" s="42" t="str">
        <f>Константы!D8</f>
        <v>&lt;unit900&gt; "Дв. закр. След. ост." {v "\mp3_knst\ostor.mp3"}</v>
      </c>
    </row>
    <row r="71" spans="7:12" s="39" customFormat="1" x14ac:dyDescent="0.25">
      <c r="G71" s="40"/>
      <c r="H71" s="40"/>
      <c r="I71" s="40"/>
      <c r="J71" s="40"/>
      <c r="K71" s="40"/>
      <c r="L71" s="42" t="str">
        <f>Константы!D9</f>
        <v>&lt;unit925&gt; "Площадь" {v "\mp3_knst\pl.mp3"}</v>
      </c>
    </row>
    <row r="72" spans="7:12" s="39" customFormat="1" x14ac:dyDescent="0.25">
      <c r="G72" s="40"/>
      <c r="H72" s="40"/>
      <c r="I72" s="40"/>
      <c r="J72" s="40"/>
      <c r="K72" s="40"/>
      <c r="L72" s="42" t="str">
        <f>Константы!D10</f>
        <v>&lt;unit926&gt; "Проспект" {v "\mp3_knst\pr.mp3"}</v>
      </c>
    </row>
    <row r="73" spans="7:12" s="39" customFormat="1" x14ac:dyDescent="0.25">
      <c r="G73" s="40"/>
      <c r="H73" s="40"/>
      <c r="I73" s="40"/>
      <c r="J73" s="40"/>
      <c r="K73" s="40"/>
      <c r="L73" s="42" t="str">
        <f>Константы!D11</f>
        <v>&lt;unit927&gt; "Станция метро" {v "\mp3_knst\sm.mp3"}</v>
      </c>
    </row>
    <row r="74" spans="7:12" s="39" customFormat="1" x14ac:dyDescent="0.25">
      <c r="G74" s="40"/>
      <c r="H74" s="40"/>
      <c r="I74" s="40"/>
      <c r="J74" s="40"/>
      <c r="K74" s="40"/>
      <c r="L74" s="42" t="str">
        <f>Константы!D12</f>
        <v>&lt;unit928&gt; "Улица" {v "\mp3_knst\ul.mp3"}</v>
      </c>
    </row>
    <row r="76" spans="7:12" x14ac:dyDescent="0.25">
      <c r="L76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E8:E32 E36:E60">
      <formula1>Zag_Ost</formula1>
    </dataValidation>
    <dataValidation type="list" allowBlank="1" showInputMessage="1" showErrorMessage="1" sqref="C8:C32 C36:C60 F8:F32 F36:F60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6"/>
  <dimension ref="A1:L76"/>
  <sheetViews>
    <sheetView topLeftCell="B1" workbookViewId="0">
      <pane ySplit="2" topLeftCell="A48" activePane="bottomLeft" state="frozen"/>
      <selection activeCell="B1" sqref="B1"/>
      <selection pane="bottomLeft" activeCell="G37" sqref="G37:G59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10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8a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"8a АС Жодино-КЗТШ" {i 0, t 002, l 080 080, d 000}</v>
      </c>
    </row>
    <row r="3" spans="1:12" s="39" customFormat="1" x14ac:dyDescent="0.25">
      <c r="A3" s="39" t="str">
        <f ca="1">INDIRECT(ADDRESS($B$1,2,4,1,"route"))</f>
        <v>8a АС Жодино-КЗТШ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080</v>
      </c>
      <c r="B4" s="39">
        <f>ROW(B4)</f>
        <v>4</v>
      </c>
      <c r="E4" s="39" t="s">
        <v>323</v>
      </c>
      <c r="G4" s="40">
        <f>B36</f>
        <v>36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036}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177</v>
      </c>
      <c r="G8" s="45">
        <f t="shared" ref="G8:G31" si="0">B9</f>
        <v>9</v>
      </c>
      <c r="H8" s="40" t="str">
        <f t="shared" ref="H8:H32" si="1">IFERROR("p "&amp;VLOOKUP(E8,Tablo_Tab,2,FALSE),"")</f>
        <v>p 002</v>
      </c>
      <c r="I8" s="45" t="str">
        <f t="shared" ref="I8:I32" si="2">IFERROR("c "&amp;VLOOKUP(C8,Punkti,2,FALSE),"")</f>
        <v>c 902</v>
      </c>
      <c r="J8" s="46" t="str">
        <f t="shared" ref="J8:J32" si="3">IFERROR(VLOOKUP(E8,Ostanovki,7,FALSE),"")</f>
        <v>v "\mp3_ost\avtostan.mp3"</v>
      </c>
      <c r="K8" s="40" t="str">
        <f t="shared" ref="K8:K32" si="4">IFERROR("c "&amp;VLOOKUP(F8,Punkti,2,FALSE),"")</f>
        <v/>
      </c>
      <c r="L8" s="42" t="str">
        <f t="shared" ref="L8:L32" si="5">"&lt;unit"&amp;TEXT(B8,"000")&amp;"&gt; """&amp;СцепитьМного(D8:E8,"")&amp;""" {e, "&amp;СцепитьМного(H8:K8,", ")&amp;", d 000, n "&amp;TEXT(G8,"000")&amp;"}"</f>
        <v>&lt;unit008&gt; "Автостанция" {e, p 002, c 902, v "\mp3_ost\avtostan.mp3", d 000, n 009}</v>
      </c>
    </row>
    <row r="9" spans="1:12" x14ac:dyDescent="0.25">
      <c r="B9" s="44">
        <f t="shared" ref="B9:B32" si="6">ROW(B9)</f>
        <v>9</v>
      </c>
      <c r="C9" s="44" t="s">
        <v>329</v>
      </c>
      <c r="D9" s="39" t="str">
        <f>IF(I9="c 900","&gt;&gt;","")</f>
        <v>&gt;&gt;</v>
      </c>
      <c r="E9" s="44" t="s">
        <v>168</v>
      </c>
      <c r="F9" s="44" t="s">
        <v>381</v>
      </c>
      <c r="G9" s="45">
        <f t="shared" si="0"/>
        <v>10</v>
      </c>
      <c r="H9" s="40" t="str">
        <f t="shared" si="1"/>
        <v>p 031</v>
      </c>
      <c r="I9" s="45" t="str">
        <f t="shared" si="2"/>
        <v>c 900</v>
      </c>
      <c r="J9" s="46" t="str">
        <f t="shared" si="3"/>
        <v>v "\mp3_ost\mira.mp3"</v>
      </c>
      <c r="K9" s="40" t="str">
        <f t="shared" si="4"/>
        <v>c 930</v>
      </c>
      <c r="L9" s="42" t="str">
        <f t="shared" si="5"/>
        <v>&lt;unit009&gt; "&gt;&gt;пр-т Мира" {e, p 031, c 900, v "\mp3_ost\mira.mp3", c 930, d 000, n 010}</v>
      </c>
    </row>
    <row r="10" spans="1:12" x14ac:dyDescent="0.25">
      <c r="B10" s="44">
        <f t="shared" si="6"/>
        <v>10</v>
      </c>
      <c r="C10" s="44" t="s">
        <v>79</v>
      </c>
      <c r="D10" s="39" t="str">
        <f t="shared" ref="D10:D32" si="7">IF(I10="c 900","&gt;&gt;","")</f>
        <v/>
      </c>
      <c r="E10" s="44" t="s">
        <v>168</v>
      </c>
      <c r="G10" s="45">
        <f t="shared" si="0"/>
        <v>11</v>
      </c>
      <c r="H10" s="40" t="str">
        <f t="shared" si="1"/>
        <v>p 031</v>
      </c>
      <c r="I10" s="45" t="str">
        <f t="shared" si="2"/>
        <v>c 902</v>
      </c>
      <c r="J10" s="46" t="str">
        <f t="shared" si="3"/>
        <v>v "\mp3_ost\mira.mp3"</v>
      </c>
      <c r="K10" s="40" t="str">
        <f t="shared" si="4"/>
        <v/>
      </c>
      <c r="L10" s="42" t="str">
        <f t="shared" si="5"/>
        <v>&lt;unit010&gt; "пр-т Мира" {e, p 031, c 902, v "\mp3_ost\mira.mp3", d 000, n 011}</v>
      </c>
    </row>
    <row r="11" spans="1:12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E11" s="44" t="s">
        <v>266</v>
      </c>
      <c r="F11" s="44" t="s">
        <v>381</v>
      </c>
      <c r="G11" s="45">
        <f t="shared" si="0"/>
        <v>12</v>
      </c>
      <c r="H11" s="40" t="str">
        <f t="shared" si="1"/>
        <v>p 045</v>
      </c>
      <c r="I11" s="45" t="str">
        <f t="shared" si="2"/>
        <v>c 900</v>
      </c>
      <c r="J11" s="46" t="str">
        <f t="shared" si="3"/>
        <v>c 928, v "\mp3_ost\50letokt.mp3"</v>
      </c>
      <c r="K11" s="40" t="str">
        <f t="shared" si="4"/>
        <v>c 930</v>
      </c>
      <c r="L11" s="42" t="str">
        <f t="shared" si="5"/>
        <v>&lt;unit011&gt; "&gt;&gt;ул.50 лет Октяб." {e, p 045, c 900, c 928, v "\mp3_ost\50letokt.mp3", c 930, d 000, n 012}</v>
      </c>
    </row>
    <row r="12" spans="1:12" x14ac:dyDescent="0.25">
      <c r="B12" s="44">
        <f t="shared" si="6"/>
        <v>12</v>
      </c>
      <c r="C12" s="44" t="s">
        <v>79</v>
      </c>
      <c r="D12" s="39" t="str">
        <f t="shared" si="7"/>
        <v/>
      </c>
      <c r="E12" s="44" t="s">
        <v>266</v>
      </c>
      <c r="G12" s="45">
        <f t="shared" si="0"/>
        <v>13</v>
      </c>
      <c r="H12" s="40" t="str">
        <f t="shared" si="1"/>
        <v>p 045</v>
      </c>
      <c r="I12" s="45" t="str">
        <f t="shared" si="2"/>
        <v>c 902</v>
      </c>
      <c r="J12" s="46" t="str">
        <f t="shared" si="3"/>
        <v>c 928, v "\mp3_ost\50letokt.mp3"</v>
      </c>
      <c r="K12" s="40" t="str">
        <f t="shared" si="4"/>
        <v/>
      </c>
      <c r="L12" s="42" t="str">
        <f t="shared" si="5"/>
        <v>&lt;unit012&gt; "ул.50 лет Октяб." {e, p 045, c 902, c 928, v "\mp3_ost\50letokt.mp3", d 000, n 013}</v>
      </c>
    </row>
    <row r="13" spans="1:12" x14ac:dyDescent="0.25">
      <c r="B13" s="44">
        <f t="shared" si="6"/>
        <v>13</v>
      </c>
      <c r="C13" s="44" t="s">
        <v>329</v>
      </c>
      <c r="D13" s="39" t="str">
        <f t="shared" si="7"/>
        <v>&gt;&gt;</v>
      </c>
      <c r="E13" s="44" t="s">
        <v>169</v>
      </c>
      <c r="F13" s="44" t="s">
        <v>381</v>
      </c>
      <c r="G13" s="45">
        <f t="shared" si="0"/>
        <v>14</v>
      </c>
      <c r="H13" s="40" t="str">
        <f t="shared" si="1"/>
        <v>p 052</v>
      </c>
      <c r="I13" s="45" t="str">
        <f t="shared" si="2"/>
        <v>c 900</v>
      </c>
      <c r="J13" s="46" t="str">
        <f t="shared" si="3"/>
        <v>c 928, v "\mp3_ost\gagarina.mp3"</v>
      </c>
      <c r="K13" s="40" t="str">
        <f t="shared" si="4"/>
        <v>c 930</v>
      </c>
      <c r="L13" s="42" t="str">
        <f t="shared" si="5"/>
        <v>&lt;unit013&gt; "&gt;&gt;ул.Гагарина" {e, p 052, c 900, c 928, v "\mp3_ost\gagarina.mp3", c 930, d 000, n 014}</v>
      </c>
    </row>
    <row r="14" spans="1:12" x14ac:dyDescent="0.25">
      <c r="B14" s="44">
        <f t="shared" si="6"/>
        <v>14</v>
      </c>
      <c r="C14" s="44" t="s">
        <v>79</v>
      </c>
      <c r="D14" s="39" t="str">
        <f t="shared" si="7"/>
        <v/>
      </c>
      <c r="E14" s="44" t="s">
        <v>169</v>
      </c>
      <c r="G14" s="45">
        <f t="shared" si="0"/>
        <v>15</v>
      </c>
      <c r="H14" s="40" t="str">
        <f t="shared" si="1"/>
        <v>p 052</v>
      </c>
      <c r="I14" s="45" t="str">
        <f t="shared" si="2"/>
        <v>c 902</v>
      </c>
      <c r="J14" s="46" t="str">
        <f t="shared" si="3"/>
        <v>c 928, v "\mp3_ost\gagarina.mp3"</v>
      </c>
      <c r="K14" s="40" t="str">
        <f t="shared" si="4"/>
        <v/>
      </c>
      <c r="L14" s="42" t="str">
        <f t="shared" si="5"/>
        <v>&lt;unit014&gt; "ул.Гагарина" {e, p 052, c 902, c 928, v "\mp3_ost\gagarina.mp3", d 000, n 015}</v>
      </c>
    </row>
    <row r="15" spans="1:12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E15" s="44" t="s">
        <v>170</v>
      </c>
      <c r="F15" s="44" t="s">
        <v>381</v>
      </c>
      <c r="G15" s="45">
        <f t="shared" si="0"/>
        <v>16</v>
      </c>
      <c r="H15" s="40" t="str">
        <f t="shared" si="1"/>
        <v>p 037</v>
      </c>
      <c r="I15" s="45" t="str">
        <f t="shared" si="2"/>
        <v>c 900</v>
      </c>
      <c r="J15" s="46" t="str">
        <f t="shared" si="3"/>
        <v>v "\mp3_ost\5ssh.mp3"</v>
      </c>
      <c r="K15" s="40" t="str">
        <f t="shared" si="4"/>
        <v>c 930</v>
      </c>
      <c r="L15" s="42" t="str">
        <f t="shared" si="5"/>
        <v>&lt;unit015&gt; "&gt;&gt;СШ № 5" {e, p 037, c 900, v "\mp3_ost\5ssh.mp3", c 930, d 000, n 016}</v>
      </c>
    </row>
    <row r="16" spans="1:12" x14ac:dyDescent="0.25">
      <c r="B16" s="44">
        <f t="shared" si="6"/>
        <v>16</v>
      </c>
      <c r="C16" s="44" t="s">
        <v>79</v>
      </c>
      <c r="D16" s="39" t="str">
        <f t="shared" si="7"/>
        <v/>
      </c>
      <c r="E16" s="44" t="s">
        <v>170</v>
      </c>
      <c r="G16" s="45">
        <f t="shared" si="0"/>
        <v>17</v>
      </c>
      <c r="H16" s="40" t="str">
        <f t="shared" si="1"/>
        <v>p 037</v>
      </c>
      <c r="I16" s="45" t="str">
        <f t="shared" si="2"/>
        <v>c 902</v>
      </c>
      <c r="J16" s="46" t="str">
        <f t="shared" si="3"/>
        <v>v "\mp3_ost\5ssh.mp3"</v>
      </c>
      <c r="K16" s="40" t="str">
        <f t="shared" si="4"/>
        <v/>
      </c>
      <c r="L16" s="42" t="str">
        <f t="shared" si="5"/>
        <v>&lt;unit016&gt; "СШ № 5" {e, p 037, c 902, v "\mp3_ost\5ssh.mp3", d 000, n 017}</v>
      </c>
    </row>
    <row r="17" spans="2:12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E17" s="44" t="s">
        <v>351</v>
      </c>
      <c r="F17" s="44" t="s">
        <v>381</v>
      </c>
      <c r="G17" s="45">
        <f t="shared" si="0"/>
        <v>18</v>
      </c>
      <c r="H17" s="40" t="str">
        <f t="shared" si="1"/>
        <v>p 008</v>
      </c>
      <c r="I17" s="45" t="str">
        <f t="shared" si="2"/>
        <v>c 900</v>
      </c>
      <c r="J17" s="46" t="str">
        <f t="shared" si="3"/>
        <v>v "\mp3_ost\gimn1.mp3"</v>
      </c>
      <c r="K17" s="40" t="str">
        <f t="shared" si="4"/>
        <v>c 930</v>
      </c>
      <c r="L17" s="42" t="str">
        <f t="shared" si="5"/>
        <v>&lt;unit017&gt; "&gt;&gt;Гимназия № 1" {e, p 008, c 900, v "\mp3_ost\gimn1.mp3", c 930, d 000, n 018}</v>
      </c>
    </row>
    <row r="18" spans="2:12" x14ac:dyDescent="0.25">
      <c r="B18" s="44">
        <f t="shared" si="6"/>
        <v>18</v>
      </c>
      <c r="C18" s="44" t="s">
        <v>79</v>
      </c>
      <c r="D18" s="39" t="str">
        <f t="shared" si="7"/>
        <v/>
      </c>
      <c r="E18" s="44" t="s">
        <v>351</v>
      </c>
      <c r="G18" s="45">
        <f t="shared" si="0"/>
        <v>19</v>
      </c>
      <c r="H18" s="40" t="str">
        <f t="shared" si="1"/>
        <v>p 008</v>
      </c>
      <c r="I18" s="45" t="str">
        <f t="shared" si="2"/>
        <v>c 902</v>
      </c>
      <c r="J18" s="46" t="str">
        <f t="shared" si="3"/>
        <v>v "\mp3_ost\gimn1.mp3"</v>
      </c>
      <c r="K18" s="40" t="str">
        <f t="shared" si="4"/>
        <v/>
      </c>
      <c r="L18" s="42" t="str">
        <f t="shared" si="5"/>
        <v>&lt;unit018&gt; "Гимназия № 1" {e, p 008, c 902, v "\mp3_ost\gimn1.mp3", d 000, n 019}</v>
      </c>
    </row>
    <row r="19" spans="2:12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E19" s="44" t="s">
        <v>171</v>
      </c>
      <c r="F19" s="44" t="s">
        <v>381</v>
      </c>
      <c r="G19" s="45">
        <f t="shared" si="0"/>
        <v>20</v>
      </c>
      <c r="H19" s="40" t="str">
        <f t="shared" si="1"/>
        <v>p 071</v>
      </c>
      <c r="I19" s="45" t="str">
        <f t="shared" si="2"/>
        <v>c 900</v>
      </c>
      <c r="J19" s="46" t="str">
        <f t="shared" si="3"/>
        <v>c 928, v "\mp3_ost\rokosovs.mp3"</v>
      </c>
      <c r="K19" s="40" t="str">
        <f t="shared" si="4"/>
        <v>c 930</v>
      </c>
      <c r="L19" s="42" t="str">
        <f t="shared" si="5"/>
        <v>&lt;unit019&gt; "&gt;&gt;ул.Рокоссовского" {e, p 071, c 900, c 928, v "\mp3_ost\rokosovs.mp3", c 930, d 000, n 020}</v>
      </c>
    </row>
    <row r="20" spans="2:12" x14ac:dyDescent="0.25">
      <c r="B20" s="44">
        <f t="shared" si="6"/>
        <v>20</v>
      </c>
      <c r="C20" s="44" t="s">
        <v>79</v>
      </c>
      <c r="D20" s="39" t="str">
        <f t="shared" si="7"/>
        <v/>
      </c>
      <c r="E20" s="44" t="s">
        <v>171</v>
      </c>
      <c r="G20" s="45">
        <f t="shared" si="0"/>
        <v>21</v>
      </c>
      <c r="H20" s="40" t="str">
        <f t="shared" si="1"/>
        <v>p 071</v>
      </c>
      <c r="I20" s="45" t="str">
        <f t="shared" si="2"/>
        <v>c 902</v>
      </c>
      <c r="J20" s="46" t="str">
        <f t="shared" si="3"/>
        <v>c 928, v "\mp3_ost\rokosovs.mp3"</v>
      </c>
      <c r="K20" s="40" t="str">
        <f t="shared" si="4"/>
        <v/>
      </c>
      <c r="L20" s="42" t="str">
        <f t="shared" si="5"/>
        <v>&lt;unit020&gt; "ул.Рокоссовского" {e, p 071, c 902, c 928, v "\mp3_ost\rokosovs.mp3", d 000, n 021}</v>
      </c>
    </row>
    <row r="21" spans="2:12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E21" s="44" t="s">
        <v>361</v>
      </c>
      <c r="F21" s="44" t="s">
        <v>381</v>
      </c>
      <c r="G21" s="45">
        <f t="shared" si="0"/>
        <v>22</v>
      </c>
      <c r="H21" s="40" t="str">
        <f t="shared" si="1"/>
        <v>p 081</v>
      </c>
      <c r="I21" s="45" t="str">
        <f t="shared" si="2"/>
        <v>c 900</v>
      </c>
      <c r="J21" s="46" t="str">
        <f t="shared" si="3"/>
        <v>v "\mp3_ost\univmag.mp3"</v>
      </c>
      <c r="K21" s="40" t="str">
        <f t="shared" si="4"/>
        <v>c 930</v>
      </c>
      <c r="L21" s="42" t="str">
        <f t="shared" si="5"/>
        <v>&lt;unit021&gt; "&gt;&gt;Универмаг" {e, p 081, c 900, v "\mp3_ost\univmag.mp3", c 930, d 000, n 022}</v>
      </c>
    </row>
    <row r="22" spans="2:12" x14ac:dyDescent="0.25">
      <c r="B22" s="44">
        <f t="shared" si="6"/>
        <v>22</v>
      </c>
      <c r="C22" s="44" t="s">
        <v>79</v>
      </c>
      <c r="D22" s="39" t="str">
        <f t="shared" si="7"/>
        <v/>
      </c>
      <c r="E22" s="44" t="s">
        <v>361</v>
      </c>
      <c r="G22" s="45">
        <f t="shared" si="0"/>
        <v>23</v>
      </c>
      <c r="H22" s="40" t="str">
        <f t="shared" si="1"/>
        <v>p 081</v>
      </c>
      <c r="I22" s="45" t="str">
        <f t="shared" si="2"/>
        <v>c 902</v>
      </c>
      <c r="J22" s="46" t="str">
        <f t="shared" si="3"/>
        <v>v "\mp3_ost\univmag.mp3"</v>
      </c>
      <c r="K22" s="40" t="str">
        <f t="shared" si="4"/>
        <v/>
      </c>
      <c r="L22" s="42" t="str">
        <f t="shared" si="5"/>
        <v>&lt;unit022&gt; "Универмаг" {e, p 081, c 902, v "\mp3_ost\univmag.mp3", d 000, n 023}</v>
      </c>
    </row>
    <row r="23" spans="2:12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E23" s="44" t="s">
        <v>177</v>
      </c>
      <c r="F23" s="44" t="s">
        <v>381</v>
      </c>
      <c r="G23" s="45">
        <f t="shared" si="0"/>
        <v>24</v>
      </c>
      <c r="H23" s="40" t="str">
        <f t="shared" si="1"/>
        <v>p 002</v>
      </c>
      <c r="I23" s="45" t="str">
        <f t="shared" si="2"/>
        <v>c 900</v>
      </c>
      <c r="J23" s="46" t="str">
        <f t="shared" si="3"/>
        <v>v "\mp3_ost\avtostan.mp3"</v>
      </c>
      <c r="K23" s="40" t="str">
        <f t="shared" si="4"/>
        <v>c 930</v>
      </c>
      <c r="L23" s="42" t="str">
        <f t="shared" si="5"/>
        <v>&lt;unit023&gt; "&gt;&gt;Автостанция" {e, p 002, c 900, v "\mp3_ost\avtostan.mp3", c 930, d 000, n 024}</v>
      </c>
    </row>
    <row r="24" spans="2:12" x14ac:dyDescent="0.25">
      <c r="B24" s="44">
        <f t="shared" si="6"/>
        <v>24</v>
      </c>
      <c r="C24" s="44" t="s">
        <v>79</v>
      </c>
      <c r="D24" s="39" t="str">
        <f t="shared" si="7"/>
        <v/>
      </c>
      <c r="E24" s="44" t="s">
        <v>177</v>
      </c>
      <c r="G24" s="45">
        <f t="shared" si="0"/>
        <v>25</v>
      </c>
      <c r="H24" s="40" t="str">
        <f t="shared" si="1"/>
        <v>p 002</v>
      </c>
      <c r="I24" s="45" t="str">
        <f t="shared" si="2"/>
        <v>c 902</v>
      </c>
      <c r="J24" s="46" t="str">
        <f t="shared" si="3"/>
        <v>v "\mp3_ost\avtostan.mp3"</v>
      </c>
      <c r="K24" s="40" t="str">
        <f t="shared" si="4"/>
        <v/>
      </c>
      <c r="L24" s="42" t="str">
        <f t="shared" si="5"/>
        <v>&lt;unit024&gt; "Автостанция" {e, p 002, c 902, v "\mp3_ost\avtostan.mp3", d 000, n 025}</v>
      </c>
    </row>
    <row r="25" spans="2:12" x14ac:dyDescent="0.25">
      <c r="B25" s="44">
        <f t="shared" si="6"/>
        <v>25</v>
      </c>
      <c r="C25" s="44" t="s">
        <v>329</v>
      </c>
      <c r="D25" s="39" t="str">
        <f t="shared" si="7"/>
        <v>&gt;&gt;</v>
      </c>
      <c r="E25" s="44" t="s">
        <v>275</v>
      </c>
      <c r="F25" s="44" t="s">
        <v>381</v>
      </c>
      <c r="G25" s="45">
        <f t="shared" si="0"/>
        <v>26</v>
      </c>
      <c r="H25" s="40" t="str">
        <f t="shared" si="1"/>
        <v>p 063</v>
      </c>
      <c r="I25" s="45" t="str">
        <f t="shared" si="2"/>
        <v>c 900</v>
      </c>
      <c r="J25" s="46" t="str">
        <f t="shared" si="3"/>
        <v>c 928, v "\mp3_ost\magistra.mp3"</v>
      </c>
      <c r="K25" s="40" t="str">
        <f t="shared" si="4"/>
        <v>c 930</v>
      </c>
      <c r="L25" s="42" t="str">
        <f t="shared" si="5"/>
        <v>&lt;unit025&gt; "&gt;&gt;ул.Магистральная" {e, p 063, c 900, c 928, v "\mp3_ost\magistra.mp3", c 930, d 000, n 026}</v>
      </c>
    </row>
    <row r="26" spans="2:12" x14ac:dyDescent="0.25">
      <c r="B26" s="44">
        <f t="shared" si="6"/>
        <v>26</v>
      </c>
      <c r="C26" s="44" t="s">
        <v>79</v>
      </c>
      <c r="D26" s="39" t="str">
        <f t="shared" si="7"/>
        <v/>
      </c>
      <c r="E26" s="44" t="s">
        <v>275</v>
      </c>
      <c r="G26" s="45">
        <f t="shared" si="0"/>
        <v>27</v>
      </c>
      <c r="H26" s="40" t="str">
        <f t="shared" si="1"/>
        <v>p 063</v>
      </c>
      <c r="I26" s="45" t="str">
        <f t="shared" si="2"/>
        <v>c 902</v>
      </c>
      <c r="J26" s="46" t="str">
        <f t="shared" si="3"/>
        <v>c 928, v "\mp3_ost\magistra.mp3"</v>
      </c>
      <c r="K26" s="40" t="str">
        <f t="shared" si="4"/>
        <v/>
      </c>
      <c r="L26" s="42" t="str">
        <f t="shared" si="5"/>
        <v>&lt;unit026&gt; "ул.Магистральная" {e, p 063, c 902, c 928, v "\mp3_ost\magistra.mp3", d 000, n 027}</v>
      </c>
    </row>
    <row r="27" spans="2:12" x14ac:dyDescent="0.25">
      <c r="B27" s="44">
        <f t="shared" si="6"/>
        <v>27</v>
      </c>
      <c r="C27" s="44" t="s">
        <v>329</v>
      </c>
      <c r="D27" s="39" t="str">
        <f t="shared" si="7"/>
        <v>&gt;&gt;</v>
      </c>
      <c r="E27" s="44" t="s">
        <v>336</v>
      </c>
      <c r="F27" s="44" t="s">
        <v>381</v>
      </c>
      <c r="G27" s="45">
        <f t="shared" si="0"/>
        <v>28</v>
      </c>
      <c r="H27" s="40" t="str">
        <f t="shared" si="1"/>
        <v>p 067</v>
      </c>
      <c r="I27" s="45" t="str">
        <f t="shared" si="2"/>
        <v>c 900</v>
      </c>
      <c r="J27" s="46" t="str">
        <f t="shared" si="3"/>
        <v>c 928, v "\mp3_ost\ostrovsk.mp3"</v>
      </c>
      <c r="K27" s="40" t="str">
        <f t="shared" si="4"/>
        <v>c 930</v>
      </c>
      <c r="L27" s="42" t="str">
        <f t="shared" si="5"/>
        <v>&lt;unit027&gt; "&gt;&gt;ул.Островского" {e, p 067, c 900, c 928, v "\mp3_ost\ostrovsk.mp3", c 930, d 000, n 028}</v>
      </c>
    </row>
    <row r="28" spans="2:12" x14ac:dyDescent="0.25">
      <c r="B28" s="44">
        <f t="shared" si="6"/>
        <v>28</v>
      </c>
      <c r="C28" s="44" t="s">
        <v>79</v>
      </c>
      <c r="D28" s="39" t="str">
        <f t="shared" si="7"/>
        <v/>
      </c>
      <c r="E28" s="44" t="s">
        <v>336</v>
      </c>
      <c r="G28" s="45">
        <f t="shared" si="0"/>
        <v>29</v>
      </c>
      <c r="H28" s="40" t="str">
        <f t="shared" si="1"/>
        <v>p 067</v>
      </c>
      <c r="I28" s="45" t="str">
        <f t="shared" si="2"/>
        <v>c 902</v>
      </c>
      <c r="J28" s="46" t="str">
        <f t="shared" si="3"/>
        <v>c 928, v "\mp3_ost\ostrovsk.mp3"</v>
      </c>
      <c r="K28" s="40" t="str">
        <f t="shared" si="4"/>
        <v/>
      </c>
      <c r="L28" s="42" t="str">
        <f t="shared" si="5"/>
        <v>&lt;unit028&gt; "ул.Островского" {e, p 067, c 902, c 928, v "\mp3_ost\ostrovsk.mp3", d 000, n 029}</v>
      </c>
    </row>
    <row r="29" spans="2:12" x14ac:dyDescent="0.25">
      <c r="B29" s="44">
        <f t="shared" si="6"/>
        <v>29</v>
      </c>
      <c r="C29" s="44" t="s">
        <v>329</v>
      </c>
      <c r="D29" s="39" t="str">
        <f t="shared" si="7"/>
        <v>&gt;&gt;</v>
      </c>
      <c r="E29" s="44" t="s">
        <v>272</v>
      </c>
      <c r="F29" s="44" t="s">
        <v>381</v>
      </c>
      <c r="G29" s="45">
        <f t="shared" si="0"/>
        <v>30</v>
      </c>
      <c r="H29" s="40" t="str">
        <f t="shared" si="1"/>
        <v>p 058</v>
      </c>
      <c r="I29" s="45" t="str">
        <f t="shared" si="2"/>
        <v>c 900</v>
      </c>
      <c r="J29" s="46" t="str">
        <f t="shared" si="3"/>
        <v>c 928, v "\mp3_ost\leninska.mp3"</v>
      </c>
      <c r="K29" s="40" t="str">
        <f t="shared" si="4"/>
        <v>c 930</v>
      </c>
      <c r="L29" s="42" t="str">
        <f t="shared" si="5"/>
        <v>&lt;unit029&gt; "&gt;&gt;ул.Ленинская" {e, p 058, c 900, c 928, v "\mp3_ost\leninska.mp3", c 930, d 000, n 030}</v>
      </c>
    </row>
    <row r="30" spans="2:12" x14ac:dyDescent="0.25">
      <c r="B30" s="44">
        <f t="shared" si="6"/>
        <v>30</v>
      </c>
      <c r="C30" s="44" t="s">
        <v>79</v>
      </c>
      <c r="D30" s="39" t="str">
        <f t="shared" si="7"/>
        <v/>
      </c>
      <c r="E30" s="44" t="s">
        <v>272</v>
      </c>
      <c r="G30" s="45">
        <f t="shared" si="0"/>
        <v>31</v>
      </c>
      <c r="H30" s="40" t="str">
        <f t="shared" si="1"/>
        <v>p 058</v>
      </c>
      <c r="I30" s="45" t="str">
        <f t="shared" si="2"/>
        <v>c 902</v>
      </c>
      <c r="J30" s="46" t="str">
        <f t="shared" si="3"/>
        <v>c 928, v "\mp3_ost\leninska.mp3"</v>
      </c>
      <c r="K30" s="40" t="str">
        <f t="shared" si="4"/>
        <v/>
      </c>
      <c r="L30" s="42" t="str">
        <f t="shared" si="5"/>
        <v>&lt;unit030&gt; "ул.Ленинская" {e, p 058, c 902, c 928, v "\mp3_ost\leninska.mp3", d 000, n 031}</v>
      </c>
    </row>
    <row r="31" spans="2:12" x14ac:dyDescent="0.25">
      <c r="B31" s="44">
        <f t="shared" si="6"/>
        <v>31</v>
      </c>
      <c r="C31" s="44" t="s">
        <v>329</v>
      </c>
      <c r="D31" s="39" t="str">
        <f t="shared" si="7"/>
        <v>&gt;&gt;</v>
      </c>
      <c r="E31" s="44" t="s">
        <v>213</v>
      </c>
      <c r="F31" s="44" t="s">
        <v>381</v>
      </c>
      <c r="G31" s="45">
        <f t="shared" si="0"/>
        <v>32</v>
      </c>
      <c r="H31" s="40" t="str">
        <f t="shared" si="1"/>
        <v>p 014</v>
      </c>
      <c r="I31" s="45" t="str">
        <f t="shared" si="2"/>
        <v>c 900</v>
      </c>
      <c r="J31" s="46" t="str">
        <f t="shared" si="3"/>
        <v>v "\mp3_ost\kztsh.mp3"</v>
      </c>
      <c r="K31" s="40" t="str">
        <f t="shared" si="4"/>
        <v>c 930</v>
      </c>
      <c r="L31" s="42" t="str">
        <f t="shared" si="5"/>
        <v>&lt;unit031&gt; "&gt;&gt;КЗТШ" {e, p 014, c 900, v "\mp3_ost\kztsh.mp3", c 930, d 000, n 032}</v>
      </c>
    </row>
    <row r="32" spans="2:12" x14ac:dyDescent="0.25">
      <c r="B32" s="44">
        <f t="shared" si="6"/>
        <v>32</v>
      </c>
      <c r="C32" s="44" t="s">
        <v>79</v>
      </c>
      <c r="D32" s="39" t="str">
        <f t="shared" si="7"/>
        <v/>
      </c>
      <c r="E32" s="44" t="s">
        <v>213</v>
      </c>
      <c r="F32" s="44" t="s">
        <v>331</v>
      </c>
      <c r="G32" s="45">
        <f>B34</f>
        <v>34</v>
      </c>
      <c r="H32" s="40" t="str">
        <f t="shared" si="1"/>
        <v>p 014</v>
      </c>
      <c r="I32" s="45" t="str">
        <f t="shared" si="2"/>
        <v>c 902</v>
      </c>
      <c r="J32" s="46" t="str">
        <f t="shared" si="3"/>
        <v>v "\mp3_ost\kztsh.mp3"</v>
      </c>
      <c r="K32" s="40" t="str">
        <f t="shared" si="4"/>
        <v>c 903</v>
      </c>
      <c r="L32" s="42" t="str">
        <f t="shared" si="5"/>
        <v>&lt;unit032&gt; "КЗТШ" {e, p 014, c 902, v "\mp3_ost\kztsh.mp3", c 903, d 000, n 034}</v>
      </c>
    </row>
    <row r="33" spans="2:12" s="39" customFormat="1" x14ac:dyDescent="0.25">
      <c r="G33" s="40"/>
      <c r="H33" s="40"/>
      <c r="I33" s="40"/>
      <c r="J33" s="40"/>
      <c r="K33" s="40"/>
      <c r="L33" s="42"/>
    </row>
    <row r="34" spans="2:12" s="39" customFormat="1" x14ac:dyDescent="0.25">
      <c r="B34" s="39">
        <f t="shared" ref="B34:B62" si="8">ROW(B34)</f>
        <v>34</v>
      </c>
      <c r="E34" s="43" t="s">
        <v>327</v>
      </c>
      <c r="F34" s="43"/>
      <c r="G34" s="40">
        <f>B36</f>
        <v>36</v>
      </c>
      <c r="H34" s="40"/>
      <c r="I34" s="40"/>
      <c r="J34" s="40"/>
      <c r="K34" s="40"/>
      <c r="L34" s="42" t="str">
        <f>"&lt;unit"&amp;TEXT(B34,"000")&amp;"&gt; """&amp;E34&amp;""" {d 000, n "&amp;TEXT(G34,"000")&amp;"}"</f>
        <v>&lt;unit034&gt; "----- Обратный -----" {d 000, n 036}</v>
      </c>
    </row>
    <row r="35" spans="2:12" s="39" customFormat="1" x14ac:dyDescent="0.25">
      <c r="G35" s="40"/>
      <c r="H35" s="40"/>
      <c r="I35" s="40"/>
      <c r="J35" s="40"/>
      <c r="K35" s="40"/>
      <c r="L35" s="42"/>
    </row>
    <row r="36" spans="2:12" x14ac:dyDescent="0.25">
      <c r="B36" s="44">
        <f t="shared" si="8"/>
        <v>36</v>
      </c>
      <c r="C36" s="44" t="s">
        <v>79</v>
      </c>
      <c r="D36" s="39" t="str">
        <f t="shared" ref="D36:D60" si="9">IF(I36="c 900","&gt;&gt;","")</f>
        <v/>
      </c>
      <c r="E36" s="44" t="s">
        <v>213</v>
      </c>
      <c r="G36" s="45">
        <f>B37</f>
        <v>37</v>
      </c>
      <c r="H36" s="40" t="str">
        <f t="shared" ref="H36:H60" si="10">IFERROR("p "&amp;VLOOKUP(E36,Tablo_Tab,2,FALSE),"")</f>
        <v>p 014</v>
      </c>
      <c r="I36" s="45" t="str">
        <f t="shared" ref="I36:I60" si="11">IFERROR("c "&amp;VLOOKUP(C36,Punkti,2,FALSE),"")</f>
        <v>c 902</v>
      </c>
      <c r="J36" s="46" t="str">
        <f t="shared" ref="J36:J60" si="12">IFERROR(VLOOKUP(E36,Ostanovki,7,FALSE),"")</f>
        <v>v "\mp3_ost\kztsh.mp3"</v>
      </c>
      <c r="K36" s="40" t="str">
        <f t="shared" ref="K36:K60" si="13">IFERROR("c "&amp;VLOOKUP(F36,Punkti,2,FALSE),"")</f>
        <v/>
      </c>
      <c r="L36" s="42" t="str">
        <f t="shared" ref="L36:L60" si="14">"&lt;unit"&amp;TEXT(B36,"000")&amp;"&gt; """&amp;СцепитьМного(D36:E36,"")&amp;""" {e, "&amp;СцепитьМного(H36:K36,", ")&amp;", d 000, n "&amp;TEXT(G36,"000")&amp;"}"</f>
        <v>&lt;unit036&gt; "КЗТШ" {e, p 014, c 902, v "\mp3_ost\kztsh.mp3", d 000, n 037}</v>
      </c>
    </row>
    <row r="37" spans="2:12" x14ac:dyDescent="0.25">
      <c r="B37" s="44">
        <f t="shared" si="8"/>
        <v>37</v>
      </c>
      <c r="C37" s="44" t="s">
        <v>329</v>
      </c>
      <c r="D37" s="39" t="str">
        <f t="shared" si="9"/>
        <v>&gt;&gt;</v>
      </c>
      <c r="E37" s="44" t="s">
        <v>272</v>
      </c>
      <c r="F37" s="44" t="s">
        <v>381</v>
      </c>
      <c r="G37" s="45">
        <f t="shared" ref="G37:G59" si="15">B38</f>
        <v>38</v>
      </c>
      <c r="H37" s="40" t="str">
        <f t="shared" si="10"/>
        <v>p 058</v>
      </c>
      <c r="I37" s="45" t="str">
        <f t="shared" si="11"/>
        <v>c 900</v>
      </c>
      <c r="J37" s="46" t="str">
        <f t="shared" si="12"/>
        <v>c 928, v "\mp3_ost\leninska.mp3"</v>
      </c>
      <c r="K37" s="40" t="str">
        <f t="shared" si="13"/>
        <v>c 930</v>
      </c>
      <c r="L37" s="42" t="str">
        <f t="shared" si="14"/>
        <v>&lt;unit037&gt; "&gt;&gt;ул.Ленинская" {e, p 058, c 900, c 928, v "\mp3_ost\leninska.mp3", c 930, d 000, n 038}</v>
      </c>
    </row>
    <row r="38" spans="2:12" x14ac:dyDescent="0.25">
      <c r="B38" s="44">
        <f t="shared" si="8"/>
        <v>38</v>
      </c>
      <c r="C38" s="44" t="s">
        <v>79</v>
      </c>
      <c r="D38" s="39" t="str">
        <f t="shared" si="9"/>
        <v/>
      </c>
      <c r="E38" s="44" t="s">
        <v>272</v>
      </c>
      <c r="G38" s="45">
        <f t="shared" si="15"/>
        <v>39</v>
      </c>
      <c r="H38" s="40" t="str">
        <f t="shared" si="10"/>
        <v>p 058</v>
      </c>
      <c r="I38" s="45" t="str">
        <f t="shared" si="11"/>
        <v>c 902</v>
      </c>
      <c r="J38" s="46" t="str">
        <f t="shared" si="12"/>
        <v>c 928, v "\mp3_ost\leninska.mp3"</v>
      </c>
      <c r="K38" s="40" t="str">
        <f t="shared" si="13"/>
        <v/>
      </c>
      <c r="L38" s="42" t="str">
        <f t="shared" si="14"/>
        <v>&lt;unit038&gt; "ул.Ленинская" {e, p 058, c 902, c 928, v "\mp3_ost\leninska.mp3", d 000, n 039}</v>
      </c>
    </row>
    <row r="39" spans="2:12" x14ac:dyDescent="0.25">
      <c r="B39" s="44">
        <f t="shared" si="8"/>
        <v>39</v>
      </c>
      <c r="C39" s="44" t="s">
        <v>329</v>
      </c>
      <c r="D39" s="39" t="str">
        <f t="shared" si="9"/>
        <v>&gt;&gt;</v>
      </c>
      <c r="E39" s="44" t="s">
        <v>336</v>
      </c>
      <c r="F39" s="44" t="s">
        <v>381</v>
      </c>
      <c r="G39" s="45">
        <f t="shared" si="15"/>
        <v>40</v>
      </c>
      <c r="H39" s="40" t="str">
        <f t="shared" si="10"/>
        <v>p 067</v>
      </c>
      <c r="I39" s="45" t="str">
        <f t="shared" si="11"/>
        <v>c 900</v>
      </c>
      <c r="J39" s="46" t="str">
        <f t="shared" si="12"/>
        <v>c 928, v "\mp3_ost\ostrovsk.mp3"</v>
      </c>
      <c r="K39" s="40" t="str">
        <f t="shared" si="13"/>
        <v>c 930</v>
      </c>
      <c r="L39" s="42" t="str">
        <f t="shared" si="14"/>
        <v>&lt;unit039&gt; "&gt;&gt;ул.Островского" {e, p 067, c 900, c 928, v "\mp3_ost\ostrovsk.mp3", c 930, d 000, n 040}</v>
      </c>
    </row>
    <row r="40" spans="2:12" x14ac:dyDescent="0.25">
      <c r="B40" s="44">
        <f t="shared" si="8"/>
        <v>40</v>
      </c>
      <c r="C40" s="44" t="s">
        <v>79</v>
      </c>
      <c r="D40" s="39" t="str">
        <f t="shared" si="9"/>
        <v/>
      </c>
      <c r="E40" s="44" t="s">
        <v>336</v>
      </c>
      <c r="G40" s="45">
        <f t="shared" si="15"/>
        <v>41</v>
      </c>
      <c r="H40" s="40" t="str">
        <f t="shared" si="10"/>
        <v>p 067</v>
      </c>
      <c r="I40" s="45" t="str">
        <f t="shared" si="11"/>
        <v>c 902</v>
      </c>
      <c r="J40" s="46" t="str">
        <f t="shared" si="12"/>
        <v>c 928, v "\mp3_ost\ostrovsk.mp3"</v>
      </c>
      <c r="K40" s="40" t="str">
        <f t="shared" si="13"/>
        <v/>
      </c>
      <c r="L40" s="42" t="str">
        <f t="shared" si="14"/>
        <v>&lt;unit040&gt; "ул.Островского" {e, p 067, c 902, c 928, v "\mp3_ost\ostrovsk.mp3", d 000, n 041}</v>
      </c>
    </row>
    <row r="41" spans="2:12" x14ac:dyDescent="0.25">
      <c r="B41" s="44">
        <f t="shared" si="8"/>
        <v>41</v>
      </c>
      <c r="C41" s="44" t="s">
        <v>329</v>
      </c>
      <c r="D41" s="39" t="str">
        <f t="shared" si="9"/>
        <v>&gt;&gt;</v>
      </c>
      <c r="E41" s="44" t="s">
        <v>275</v>
      </c>
      <c r="F41" s="44" t="s">
        <v>381</v>
      </c>
      <c r="G41" s="45">
        <f t="shared" si="15"/>
        <v>42</v>
      </c>
      <c r="H41" s="40" t="str">
        <f t="shared" si="10"/>
        <v>p 063</v>
      </c>
      <c r="I41" s="45" t="str">
        <f t="shared" si="11"/>
        <v>c 900</v>
      </c>
      <c r="J41" s="46" t="str">
        <f t="shared" si="12"/>
        <v>c 928, v "\mp3_ost\magistra.mp3"</v>
      </c>
      <c r="K41" s="40" t="str">
        <f t="shared" si="13"/>
        <v>c 930</v>
      </c>
      <c r="L41" s="42" t="str">
        <f t="shared" si="14"/>
        <v>&lt;unit041&gt; "&gt;&gt;ул.Магистральная" {e, p 063, c 900, c 928, v "\mp3_ost\magistra.mp3", c 930, d 000, n 042}</v>
      </c>
    </row>
    <row r="42" spans="2:12" x14ac:dyDescent="0.25">
      <c r="B42" s="44">
        <f t="shared" si="8"/>
        <v>42</v>
      </c>
      <c r="C42" s="44" t="s">
        <v>79</v>
      </c>
      <c r="D42" s="39" t="str">
        <f t="shared" si="9"/>
        <v/>
      </c>
      <c r="E42" s="44" t="s">
        <v>275</v>
      </c>
      <c r="G42" s="45">
        <f t="shared" si="15"/>
        <v>43</v>
      </c>
      <c r="H42" s="40" t="str">
        <f t="shared" si="10"/>
        <v>p 063</v>
      </c>
      <c r="I42" s="45" t="str">
        <f t="shared" si="11"/>
        <v>c 902</v>
      </c>
      <c r="J42" s="46" t="str">
        <f t="shared" si="12"/>
        <v>c 928, v "\mp3_ost\magistra.mp3"</v>
      </c>
      <c r="K42" s="40" t="str">
        <f t="shared" si="13"/>
        <v/>
      </c>
      <c r="L42" s="42" t="str">
        <f t="shared" si="14"/>
        <v>&lt;unit042&gt; "ул.Магистральная" {e, p 063, c 902, c 928, v "\mp3_ost\magistra.mp3", d 000, n 043}</v>
      </c>
    </row>
    <row r="43" spans="2:12" x14ac:dyDescent="0.25">
      <c r="B43" s="44">
        <f t="shared" si="8"/>
        <v>43</v>
      </c>
      <c r="C43" s="44" t="s">
        <v>329</v>
      </c>
      <c r="D43" s="39" t="str">
        <f t="shared" si="9"/>
        <v>&gt;&gt;</v>
      </c>
      <c r="E43" s="44" t="s">
        <v>339</v>
      </c>
      <c r="F43" s="44" t="s">
        <v>381</v>
      </c>
      <c r="G43" s="45">
        <f t="shared" si="15"/>
        <v>44</v>
      </c>
      <c r="H43" s="40" t="str">
        <f t="shared" si="10"/>
        <v>p 005</v>
      </c>
      <c r="I43" s="45" t="str">
        <f t="shared" si="11"/>
        <v>c 900</v>
      </c>
      <c r="J43" s="46" t="str">
        <f t="shared" si="12"/>
        <v>v "\mp3_ost\inst-zem.mp3"</v>
      </c>
      <c r="K43" s="40" t="str">
        <f t="shared" si="13"/>
        <v>c 930</v>
      </c>
      <c r="L43" s="42" t="str">
        <f t="shared" si="14"/>
        <v>&lt;unit043&gt; "&gt;&gt;БелНИИЗ" {e, p 005, c 900, v "\mp3_ost\inst-zem.mp3", c 930, d 000, n 044}</v>
      </c>
    </row>
    <row r="44" spans="2:12" x14ac:dyDescent="0.25">
      <c r="B44" s="44">
        <f t="shared" si="8"/>
        <v>44</v>
      </c>
      <c r="C44" s="44" t="s">
        <v>79</v>
      </c>
      <c r="D44" s="39" t="str">
        <f t="shared" si="9"/>
        <v/>
      </c>
      <c r="E44" s="44" t="s">
        <v>339</v>
      </c>
      <c r="G44" s="45">
        <f t="shared" si="15"/>
        <v>45</v>
      </c>
      <c r="H44" s="40" t="str">
        <f t="shared" si="10"/>
        <v>p 005</v>
      </c>
      <c r="I44" s="45" t="str">
        <f t="shared" si="11"/>
        <v>c 902</v>
      </c>
      <c r="J44" s="46" t="str">
        <f t="shared" si="12"/>
        <v>v "\mp3_ost\inst-zem.mp3"</v>
      </c>
      <c r="K44" s="40" t="str">
        <f t="shared" si="13"/>
        <v/>
      </c>
      <c r="L44" s="42" t="str">
        <f t="shared" si="14"/>
        <v>&lt;unit044&gt; "БелНИИЗ" {e, p 005, c 902, v "\mp3_ost\inst-zem.mp3", d 000, n 045}</v>
      </c>
    </row>
    <row r="45" spans="2:12" x14ac:dyDescent="0.25">
      <c r="B45" s="44">
        <f t="shared" si="8"/>
        <v>45</v>
      </c>
      <c r="C45" s="44" t="s">
        <v>329</v>
      </c>
      <c r="D45" s="39" t="str">
        <f t="shared" si="9"/>
        <v>&gt;&gt;</v>
      </c>
      <c r="E45" s="44" t="s">
        <v>241</v>
      </c>
      <c r="F45" s="44" t="s">
        <v>381</v>
      </c>
      <c r="G45" s="45">
        <f t="shared" si="15"/>
        <v>46</v>
      </c>
      <c r="H45" s="40" t="str">
        <f t="shared" si="10"/>
        <v>p 032</v>
      </c>
      <c r="I45" s="45" t="str">
        <f t="shared" si="11"/>
        <v>c 900</v>
      </c>
      <c r="J45" s="46" t="str">
        <f t="shared" si="12"/>
        <v>v "\mp3_ost\skarwnw.mp3"</v>
      </c>
      <c r="K45" s="40" t="str">
        <f t="shared" si="13"/>
        <v>c 930</v>
      </c>
      <c r="L45" s="42" t="str">
        <f t="shared" si="14"/>
        <v>&lt;unit045&gt; "&gt;&gt;пр-т Скорины" {e, p 032, c 900, v "\mp3_ost\skarwnw.mp3", c 930, d 000, n 046}</v>
      </c>
    </row>
    <row r="46" spans="2:12" x14ac:dyDescent="0.25">
      <c r="B46" s="44">
        <f t="shared" si="8"/>
        <v>46</v>
      </c>
      <c r="C46" s="44" t="s">
        <v>79</v>
      </c>
      <c r="D46" s="39" t="str">
        <f t="shared" si="9"/>
        <v/>
      </c>
      <c r="E46" s="44" t="s">
        <v>241</v>
      </c>
      <c r="G46" s="45">
        <f t="shared" si="15"/>
        <v>47</v>
      </c>
      <c r="H46" s="40" t="str">
        <f t="shared" si="10"/>
        <v>p 032</v>
      </c>
      <c r="I46" s="45" t="str">
        <f t="shared" si="11"/>
        <v>c 902</v>
      </c>
      <c r="J46" s="46" t="str">
        <f t="shared" si="12"/>
        <v>v "\mp3_ost\skarwnw.mp3"</v>
      </c>
      <c r="K46" s="40" t="str">
        <f t="shared" si="13"/>
        <v/>
      </c>
      <c r="L46" s="42" t="str">
        <f t="shared" si="14"/>
        <v>&lt;unit046&gt; "пр-т Скорины" {e, p 032, c 902, v "\mp3_ost\skarwnw.mp3", d 000, n 047}</v>
      </c>
    </row>
    <row r="47" spans="2:12" x14ac:dyDescent="0.25">
      <c r="B47" s="44">
        <f t="shared" si="8"/>
        <v>47</v>
      </c>
      <c r="C47" s="44" t="s">
        <v>329</v>
      </c>
      <c r="D47" s="39" t="str">
        <f t="shared" si="9"/>
        <v>&gt;&gt;</v>
      </c>
      <c r="E47" s="44" t="s">
        <v>214</v>
      </c>
      <c r="F47" s="44" t="s">
        <v>381</v>
      </c>
      <c r="G47" s="45">
        <f t="shared" si="15"/>
        <v>48</v>
      </c>
      <c r="H47" s="40" t="str">
        <f t="shared" si="10"/>
        <v>p 030</v>
      </c>
      <c r="I47" s="45" t="str">
        <f t="shared" si="11"/>
        <v>c 900</v>
      </c>
      <c r="J47" s="46" t="str">
        <f t="shared" si="12"/>
        <v>v "\mp3_ost\lenina.mp3"</v>
      </c>
      <c r="K47" s="40" t="str">
        <f t="shared" si="13"/>
        <v>c 930</v>
      </c>
      <c r="L47" s="42" t="str">
        <f t="shared" si="14"/>
        <v>&lt;unit047&gt; "&gt;&gt;пр-т Ленина" {e, p 030, c 900, v "\mp3_ost\lenina.mp3", c 930, d 000, n 048}</v>
      </c>
    </row>
    <row r="48" spans="2:12" x14ac:dyDescent="0.25">
      <c r="B48" s="44">
        <f t="shared" si="8"/>
        <v>48</v>
      </c>
      <c r="C48" s="44" t="s">
        <v>79</v>
      </c>
      <c r="D48" s="39" t="str">
        <f t="shared" si="9"/>
        <v/>
      </c>
      <c r="E48" s="44" t="s">
        <v>214</v>
      </c>
      <c r="G48" s="45">
        <f t="shared" si="15"/>
        <v>49</v>
      </c>
      <c r="H48" s="40" t="str">
        <f t="shared" si="10"/>
        <v>p 030</v>
      </c>
      <c r="I48" s="45" t="str">
        <f t="shared" si="11"/>
        <v>c 902</v>
      </c>
      <c r="J48" s="46" t="str">
        <f t="shared" si="12"/>
        <v>v "\mp3_ost\lenina.mp3"</v>
      </c>
      <c r="K48" s="40" t="str">
        <f t="shared" si="13"/>
        <v/>
      </c>
      <c r="L48" s="42" t="str">
        <f t="shared" si="14"/>
        <v>&lt;unit048&gt; "пр-т Ленина" {e, p 030, c 902, v "\mp3_ost\lenina.mp3", d 000, n 049}</v>
      </c>
    </row>
    <row r="49" spans="2:12" x14ac:dyDescent="0.25">
      <c r="B49" s="44">
        <f t="shared" si="8"/>
        <v>49</v>
      </c>
      <c r="C49" s="44" t="s">
        <v>329</v>
      </c>
      <c r="D49" s="39" t="str">
        <f t="shared" si="9"/>
        <v>&gt;&gt;</v>
      </c>
      <c r="E49" s="44" t="s">
        <v>351</v>
      </c>
      <c r="F49" s="44" t="s">
        <v>381</v>
      </c>
      <c r="G49" s="45">
        <f t="shared" si="15"/>
        <v>50</v>
      </c>
      <c r="H49" s="40" t="str">
        <f t="shared" si="10"/>
        <v>p 008</v>
      </c>
      <c r="I49" s="45" t="str">
        <f t="shared" si="11"/>
        <v>c 900</v>
      </c>
      <c r="J49" s="46" t="str">
        <f t="shared" si="12"/>
        <v>v "\mp3_ost\gimn1.mp3"</v>
      </c>
      <c r="K49" s="40" t="str">
        <f t="shared" si="13"/>
        <v>c 930</v>
      </c>
      <c r="L49" s="42" t="str">
        <f t="shared" si="14"/>
        <v>&lt;unit049&gt; "&gt;&gt;Гимназия № 1" {e, p 008, c 900, v "\mp3_ost\gimn1.mp3", c 930, d 000, n 050}</v>
      </c>
    </row>
    <row r="50" spans="2:12" x14ac:dyDescent="0.25">
      <c r="B50" s="44">
        <f t="shared" si="8"/>
        <v>50</v>
      </c>
      <c r="C50" s="44" t="s">
        <v>79</v>
      </c>
      <c r="D50" s="39" t="str">
        <f t="shared" si="9"/>
        <v/>
      </c>
      <c r="E50" s="44" t="s">
        <v>351</v>
      </c>
      <c r="G50" s="45">
        <f t="shared" si="15"/>
        <v>51</v>
      </c>
      <c r="H50" s="40" t="str">
        <f t="shared" si="10"/>
        <v>p 008</v>
      </c>
      <c r="I50" s="45" t="str">
        <f t="shared" si="11"/>
        <v>c 902</v>
      </c>
      <c r="J50" s="46" t="str">
        <f t="shared" si="12"/>
        <v>v "\mp3_ost\gimn1.mp3"</v>
      </c>
      <c r="K50" s="40" t="str">
        <f t="shared" si="13"/>
        <v/>
      </c>
      <c r="L50" s="42" t="str">
        <f t="shared" si="14"/>
        <v>&lt;unit050&gt; "Гимназия № 1" {e, p 008, c 902, v "\mp3_ost\gimn1.mp3", d 000, n 051}</v>
      </c>
    </row>
    <row r="51" spans="2:12" x14ac:dyDescent="0.25">
      <c r="B51" s="44">
        <f t="shared" si="8"/>
        <v>51</v>
      </c>
      <c r="C51" s="44" t="s">
        <v>329</v>
      </c>
      <c r="D51" s="39" t="str">
        <f t="shared" si="9"/>
        <v>&gt;&gt;</v>
      </c>
      <c r="E51" s="44" t="s">
        <v>170</v>
      </c>
      <c r="F51" s="44" t="s">
        <v>381</v>
      </c>
      <c r="G51" s="45">
        <f t="shared" si="15"/>
        <v>52</v>
      </c>
      <c r="H51" s="40" t="str">
        <f t="shared" si="10"/>
        <v>p 037</v>
      </c>
      <c r="I51" s="45" t="str">
        <f t="shared" si="11"/>
        <v>c 900</v>
      </c>
      <c r="J51" s="46" t="str">
        <f t="shared" si="12"/>
        <v>v "\mp3_ost\5ssh.mp3"</v>
      </c>
      <c r="K51" s="40" t="str">
        <f t="shared" si="13"/>
        <v>c 930</v>
      </c>
      <c r="L51" s="42" t="str">
        <f t="shared" si="14"/>
        <v>&lt;unit051&gt; "&gt;&gt;СШ № 5" {e, p 037, c 900, v "\mp3_ost\5ssh.mp3", c 930, d 000, n 052}</v>
      </c>
    </row>
    <row r="52" spans="2:12" x14ac:dyDescent="0.25">
      <c r="B52" s="44">
        <f t="shared" si="8"/>
        <v>52</v>
      </c>
      <c r="C52" s="44" t="s">
        <v>79</v>
      </c>
      <c r="D52" s="39" t="str">
        <f t="shared" si="9"/>
        <v/>
      </c>
      <c r="E52" s="44" t="s">
        <v>170</v>
      </c>
      <c r="G52" s="45">
        <f t="shared" si="15"/>
        <v>53</v>
      </c>
      <c r="H52" s="40" t="str">
        <f t="shared" si="10"/>
        <v>p 037</v>
      </c>
      <c r="I52" s="45" t="str">
        <f t="shared" si="11"/>
        <v>c 902</v>
      </c>
      <c r="J52" s="46" t="str">
        <f t="shared" si="12"/>
        <v>v "\mp3_ost\5ssh.mp3"</v>
      </c>
      <c r="K52" s="40" t="str">
        <f t="shared" si="13"/>
        <v/>
      </c>
      <c r="L52" s="42" t="str">
        <f t="shared" si="14"/>
        <v>&lt;unit052&gt; "СШ № 5" {e, p 037, c 902, v "\mp3_ost\5ssh.mp3", d 000, n 053}</v>
      </c>
    </row>
    <row r="53" spans="2:12" x14ac:dyDescent="0.25">
      <c r="B53" s="44">
        <f t="shared" si="8"/>
        <v>53</v>
      </c>
      <c r="C53" s="44" t="s">
        <v>329</v>
      </c>
      <c r="D53" s="39" t="str">
        <f t="shared" si="9"/>
        <v>&gt;&gt;</v>
      </c>
      <c r="E53" s="44" t="s">
        <v>225</v>
      </c>
      <c r="F53" s="44" t="s">
        <v>381</v>
      </c>
      <c r="G53" s="45">
        <f t="shared" si="15"/>
        <v>54</v>
      </c>
      <c r="H53" s="40" t="str">
        <f t="shared" si="10"/>
        <v>p 027</v>
      </c>
      <c r="I53" s="45" t="str">
        <f t="shared" si="11"/>
        <v>c 900</v>
      </c>
      <c r="J53" s="46" t="str">
        <f t="shared" si="12"/>
        <v>v "\mp3_ost\paliklin.mp3"</v>
      </c>
      <c r="K53" s="40" t="str">
        <f t="shared" si="13"/>
        <v>c 930</v>
      </c>
      <c r="L53" s="42" t="str">
        <f t="shared" si="14"/>
        <v>&lt;unit053&gt; "&gt;&gt;Поликлиника" {e, p 027, c 900, v "\mp3_ost\paliklin.mp3", c 930, d 000, n 054}</v>
      </c>
    </row>
    <row r="54" spans="2:12" x14ac:dyDescent="0.25">
      <c r="B54" s="44">
        <f t="shared" si="8"/>
        <v>54</v>
      </c>
      <c r="C54" s="44" t="s">
        <v>79</v>
      </c>
      <c r="D54" s="39" t="str">
        <f t="shared" si="9"/>
        <v/>
      </c>
      <c r="E54" s="44" t="s">
        <v>225</v>
      </c>
      <c r="G54" s="45">
        <f t="shared" si="15"/>
        <v>55</v>
      </c>
      <c r="H54" s="40" t="str">
        <f t="shared" si="10"/>
        <v>p 027</v>
      </c>
      <c r="I54" s="45" t="str">
        <f t="shared" si="11"/>
        <v>c 902</v>
      </c>
      <c r="J54" s="46" t="str">
        <f t="shared" si="12"/>
        <v>v "\mp3_ost\paliklin.mp3"</v>
      </c>
      <c r="K54" s="40" t="str">
        <f t="shared" si="13"/>
        <v/>
      </c>
      <c r="L54" s="42" t="str">
        <f t="shared" si="14"/>
        <v>&lt;unit054&gt; "Поликлиника" {e, p 027, c 902, v "\mp3_ost\paliklin.mp3", d 000, n 055}</v>
      </c>
    </row>
    <row r="55" spans="2:12" x14ac:dyDescent="0.25">
      <c r="B55" s="44">
        <f t="shared" si="8"/>
        <v>55</v>
      </c>
      <c r="C55" s="44" t="s">
        <v>329</v>
      </c>
      <c r="D55" s="39" t="str">
        <f t="shared" si="9"/>
        <v>&gt;&gt;</v>
      </c>
      <c r="E55" s="44" t="s">
        <v>349</v>
      </c>
      <c r="F55" s="44" t="s">
        <v>381</v>
      </c>
      <c r="G55" s="45">
        <f t="shared" si="15"/>
        <v>56</v>
      </c>
      <c r="H55" s="40" t="str">
        <f t="shared" si="10"/>
        <v>p 022</v>
      </c>
      <c r="I55" s="45" t="str">
        <f t="shared" si="11"/>
        <v>c 900</v>
      </c>
      <c r="J55" s="46" t="str">
        <f t="shared" si="12"/>
        <v>v "\mp3_ost\park.mp3"</v>
      </c>
      <c r="K55" s="40" t="str">
        <f t="shared" si="13"/>
        <v>c 930</v>
      </c>
      <c r="L55" s="42" t="str">
        <f t="shared" si="14"/>
        <v>&lt;unit055&gt; "&gt;&gt;Парк культуры" {e, p 022, c 900, v "\mp3_ost\park.mp3", c 930, d 000, n 056}</v>
      </c>
    </row>
    <row r="56" spans="2:12" x14ac:dyDescent="0.25">
      <c r="B56" s="44">
        <f t="shared" si="8"/>
        <v>56</v>
      </c>
      <c r="C56" s="44" t="s">
        <v>79</v>
      </c>
      <c r="D56" s="39" t="str">
        <f t="shared" si="9"/>
        <v/>
      </c>
      <c r="E56" s="44" t="s">
        <v>349</v>
      </c>
      <c r="G56" s="45">
        <f t="shared" si="15"/>
        <v>57</v>
      </c>
      <c r="H56" s="40" t="str">
        <f t="shared" si="10"/>
        <v>p 022</v>
      </c>
      <c r="I56" s="45" t="str">
        <f t="shared" si="11"/>
        <v>c 902</v>
      </c>
      <c r="J56" s="46" t="str">
        <f t="shared" si="12"/>
        <v>v "\mp3_ost\park.mp3"</v>
      </c>
      <c r="K56" s="40" t="str">
        <f t="shared" si="13"/>
        <v/>
      </c>
      <c r="L56" s="42" t="str">
        <f t="shared" si="14"/>
        <v>&lt;unit056&gt; "Парк культуры" {e, p 022, c 902, v "\mp3_ost\park.mp3", d 000, n 057}</v>
      </c>
    </row>
    <row r="57" spans="2:12" x14ac:dyDescent="0.25">
      <c r="B57" s="44">
        <f t="shared" si="8"/>
        <v>57</v>
      </c>
      <c r="C57" s="44" t="s">
        <v>329</v>
      </c>
      <c r="D57" s="39" t="str">
        <f t="shared" si="9"/>
        <v>&gt;&gt;</v>
      </c>
      <c r="E57" s="44" t="s">
        <v>233</v>
      </c>
      <c r="F57" s="44" t="s">
        <v>381</v>
      </c>
      <c r="G57" s="45">
        <f t="shared" si="15"/>
        <v>58</v>
      </c>
      <c r="H57" s="40" t="str">
        <f t="shared" si="10"/>
        <v>p 028</v>
      </c>
      <c r="I57" s="45" t="str">
        <f t="shared" si="11"/>
        <v>c 900</v>
      </c>
      <c r="J57" s="46" t="str">
        <f t="shared" si="12"/>
        <v>v "\mp3_ost\pochta.mp3"</v>
      </c>
      <c r="K57" s="40" t="str">
        <f t="shared" si="13"/>
        <v>c 930</v>
      </c>
      <c r="L57" s="42" t="str">
        <f t="shared" si="14"/>
        <v>&lt;unit057&gt; "&gt;&gt;Почта" {e, p 028, c 900, v "\mp3_ost\pochta.mp3", c 930, d 000, n 058}</v>
      </c>
    </row>
    <row r="58" spans="2:12" x14ac:dyDescent="0.25">
      <c r="B58" s="44">
        <f t="shared" si="8"/>
        <v>58</v>
      </c>
      <c r="C58" s="44" t="s">
        <v>79</v>
      </c>
      <c r="D58" s="39" t="str">
        <f t="shared" si="9"/>
        <v/>
      </c>
      <c r="E58" s="44" t="s">
        <v>233</v>
      </c>
      <c r="G58" s="45">
        <f t="shared" si="15"/>
        <v>59</v>
      </c>
      <c r="H58" s="40" t="str">
        <f t="shared" si="10"/>
        <v>p 028</v>
      </c>
      <c r="I58" s="45" t="str">
        <f t="shared" si="11"/>
        <v>c 902</v>
      </c>
      <c r="J58" s="46" t="str">
        <f t="shared" si="12"/>
        <v>v "\mp3_ost\pochta.mp3"</v>
      </c>
      <c r="K58" s="40" t="str">
        <f t="shared" si="13"/>
        <v/>
      </c>
      <c r="L58" s="42" t="str">
        <f t="shared" si="14"/>
        <v>&lt;unit058&gt; "Почта" {e, p 028, c 902, v "\mp3_ost\pochta.mp3", d 000, n 059}</v>
      </c>
    </row>
    <row r="59" spans="2:12" x14ac:dyDescent="0.25">
      <c r="B59" s="44">
        <f t="shared" si="8"/>
        <v>59</v>
      </c>
      <c r="C59" s="44" t="s">
        <v>329</v>
      </c>
      <c r="D59" s="39" t="str">
        <f t="shared" si="9"/>
        <v>&gt;&gt;</v>
      </c>
      <c r="E59" s="44" t="s">
        <v>177</v>
      </c>
      <c r="F59" s="44" t="s">
        <v>381</v>
      </c>
      <c r="G59" s="45">
        <f t="shared" si="15"/>
        <v>60</v>
      </c>
      <c r="H59" s="40" t="str">
        <f t="shared" si="10"/>
        <v>p 002</v>
      </c>
      <c r="I59" s="45" t="str">
        <f t="shared" si="11"/>
        <v>c 900</v>
      </c>
      <c r="J59" s="46" t="str">
        <f t="shared" si="12"/>
        <v>v "\mp3_ost\avtostan.mp3"</v>
      </c>
      <c r="K59" s="40" t="str">
        <f t="shared" si="13"/>
        <v>c 930</v>
      </c>
      <c r="L59" s="42" t="str">
        <f t="shared" si="14"/>
        <v>&lt;unit059&gt; "&gt;&gt;Автостанция" {e, p 002, c 900, v "\mp3_ost\avtostan.mp3", c 930, d 000, n 060}</v>
      </c>
    </row>
    <row r="60" spans="2:12" x14ac:dyDescent="0.25">
      <c r="B60" s="44">
        <f t="shared" si="8"/>
        <v>60</v>
      </c>
      <c r="C60" s="44" t="s">
        <v>79</v>
      </c>
      <c r="D60" s="39" t="str">
        <f t="shared" si="9"/>
        <v/>
      </c>
      <c r="E60" s="44" t="s">
        <v>177</v>
      </c>
      <c r="F60" s="44" t="s">
        <v>331</v>
      </c>
      <c r="G60" s="45">
        <f>B62</f>
        <v>62</v>
      </c>
      <c r="H60" s="40" t="str">
        <f t="shared" si="10"/>
        <v>p 002</v>
      </c>
      <c r="I60" s="45" t="str">
        <f t="shared" si="11"/>
        <v>c 902</v>
      </c>
      <c r="J60" s="46" t="str">
        <f t="shared" si="12"/>
        <v>v "\mp3_ost\avtostan.mp3"</v>
      </c>
      <c r="K60" s="40" t="str">
        <f t="shared" si="13"/>
        <v>c 903</v>
      </c>
      <c r="L60" s="42" t="str">
        <f t="shared" si="14"/>
        <v>&lt;unit060&gt; "Автостанция" {e, p 002, c 902, v "\mp3_ost\avtostan.mp3", c 903, d 000, n 062}</v>
      </c>
    </row>
    <row r="61" spans="2:12" s="39" customFormat="1" x14ac:dyDescent="0.25">
      <c r="G61" s="40"/>
      <c r="H61" s="40"/>
      <c r="I61" s="40"/>
      <c r="J61" s="40"/>
      <c r="K61" s="40"/>
      <c r="L61" s="42"/>
    </row>
    <row r="62" spans="2:12" s="39" customFormat="1" x14ac:dyDescent="0.25">
      <c r="B62" s="39">
        <f t="shared" si="8"/>
        <v>62</v>
      </c>
      <c r="E62" s="43" t="s">
        <v>328</v>
      </c>
      <c r="F62" s="43"/>
      <c r="G62" s="40">
        <f>B3</f>
        <v>3</v>
      </c>
      <c r="H62" s="40"/>
      <c r="I62" s="40"/>
      <c r="J62" s="40"/>
      <c r="K62" s="40"/>
      <c r="L62" s="42" t="str">
        <f>"&lt;unit"&amp;TEXT(B62,"000")&amp;"&gt; """&amp;E62&amp;""" {d 000, n "&amp;TEXT(G62,"000")&amp;"}"</f>
        <v>&lt;unit062&gt; "----- Конец -----" {d 000, n 003}</v>
      </c>
    </row>
    <row r="63" spans="2:12" s="39" customFormat="1" x14ac:dyDescent="0.25">
      <c r="G63" s="40"/>
      <c r="H63" s="40"/>
      <c r="I63" s="40"/>
      <c r="J63" s="40"/>
      <c r="K63" s="40"/>
      <c r="L63" s="42"/>
    </row>
    <row r="64" spans="2:12" s="39" customFormat="1" x14ac:dyDescent="0.25">
      <c r="G64" s="40"/>
      <c r="H64" s="40"/>
      <c r="I64" s="40"/>
      <c r="J64" s="40"/>
      <c r="K64" s="40"/>
      <c r="L64" s="42" t="str">
        <f>Константы!D2</f>
        <v>&lt;unit921&gt; "Автовокзал" {v "\mp3_knst\av.mp3"}</v>
      </c>
    </row>
    <row r="65" spans="7:12" s="39" customFormat="1" x14ac:dyDescent="0.25">
      <c r="G65" s="40"/>
      <c r="H65" s="40"/>
      <c r="I65" s="40"/>
      <c r="J65" s="40"/>
      <c r="K65" s="40"/>
      <c r="L65" s="42" t="str">
        <f>Константы!D3</f>
        <v>&lt;unit923&gt; "Гостиница" {v "\mp3_knst\gos.mp3"}</v>
      </c>
    </row>
    <row r="66" spans="7:12" s="39" customFormat="1" x14ac:dyDescent="0.25">
      <c r="G66" s="40"/>
      <c r="H66" s="40"/>
      <c r="I66" s="40"/>
      <c r="J66" s="40"/>
      <c r="K66" s="40"/>
      <c r="L66" s="42" t="str">
        <f>Константы!D4</f>
        <v>&lt;unit922&gt; "Дисп. станция" {v "\mp3_knst\ds.mp3"}</v>
      </c>
    </row>
    <row r="67" spans="7:12" s="39" customFormat="1" x14ac:dyDescent="0.25">
      <c r="G67" s="40"/>
      <c r="H67" s="40"/>
      <c r="I67" s="40"/>
      <c r="J67" s="40"/>
      <c r="K67" s="40"/>
      <c r="L67" s="42" t="str">
        <f>Константы!D5</f>
        <v>&lt;unit903&gt; "Канцавая" {v "\mp3_knst\kanc.mp3"}</v>
      </c>
    </row>
    <row r="68" spans="7:12" s="39" customFormat="1" x14ac:dyDescent="0.25">
      <c r="G68" s="40"/>
      <c r="H68" s="40"/>
      <c r="I68" s="40"/>
      <c r="J68" s="40"/>
      <c r="K68" s="40"/>
      <c r="L68" s="42" t="str">
        <f>Константы!D6</f>
        <v>&lt;unit924&gt; "Конечная" {v "\mp3_knst\ko.mp3"}</v>
      </c>
    </row>
    <row r="69" spans="7:12" s="39" customFormat="1" x14ac:dyDescent="0.25">
      <c r="G69" s="40"/>
      <c r="H69" s="40"/>
      <c r="I69" s="40"/>
      <c r="J69" s="40"/>
      <c r="K69" s="40"/>
      <c r="L69" s="42" t="str">
        <f>Константы!D7</f>
        <v>&lt;unit902&gt; "Остановка" {v "\mp3_knst\ost.mp3"}</v>
      </c>
    </row>
    <row r="70" spans="7:12" s="39" customFormat="1" x14ac:dyDescent="0.25">
      <c r="G70" s="40"/>
      <c r="H70" s="40"/>
      <c r="I70" s="40"/>
      <c r="J70" s="40"/>
      <c r="K70" s="40"/>
      <c r="L70" s="42" t="str">
        <f>Константы!D8</f>
        <v>&lt;unit900&gt; "Дв. закр. След. ост." {v "\mp3_knst\ostor.mp3"}</v>
      </c>
    </row>
    <row r="71" spans="7:12" s="39" customFormat="1" x14ac:dyDescent="0.25">
      <c r="G71" s="40"/>
      <c r="H71" s="40"/>
      <c r="I71" s="40"/>
      <c r="J71" s="40"/>
      <c r="K71" s="40"/>
      <c r="L71" s="42" t="str">
        <f>Константы!D9</f>
        <v>&lt;unit925&gt; "Площадь" {v "\mp3_knst\pl.mp3"}</v>
      </c>
    </row>
    <row r="72" spans="7:12" s="39" customFormat="1" x14ac:dyDescent="0.25">
      <c r="G72" s="40"/>
      <c r="H72" s="40"/>
      <c r="I72" s="40"/>
      <c r="J72" s="40"/>
      <c r="K72" s="40"/>
      <c r="L72" s="42" t="str">
        <f>Константы!D10</f>
        <v>&lt;unit926&gt; "Проспект" {v "\mp3_knst\pr.mp3"}</v>
      </c>
    </row>
    <row r="73" spans="7:12" s="39" customFormat="1" x14ac:dyDescent="0.25">
      <c r="G73" s="40"/>
      <c r="H73" s="40"/>
      <c r="I73" s="40"/>
      <c r="J73" s="40"/>
      <c r="K73" s="40"/>
      <c r="L73" s="42" t="str">
        <f>Константы!D11</f>
        <v>&lt;unit927&gt; "Станция метро" {v "\mp3_knst\sm.mp3"}</v>
      </c>
    </row>
    <row r="74" spans="7:12" s="39" customFormat="1" x14ac:dyDescent="0.25">
      <c r="G74" s="40"/>
      <c r="H74" s="40"/>
      <c r="I74" s="40"/>
      <c r="J74" s="40"/>
      <c r="K74" s="40"/>
      <c r="L74" s="42" t="str">
        <f>Константы!D12</f>
        <v>&lt;unit928&gt; "Улица" {v "\mp3_knst\ul.mp3"}</v>
      </c>
    </row>
    <row r="76" spans="7:12" x14ac:dyDescent="0.25">
      <c r="L76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C8:C32 C36:C60 F8:F32 F36:F60">
      <formula1>Pref_Punktov</formula1>
    </dataValidation>
    <dataValidation type="list" allowBlank="1" showInputMessage="1" showErrorMessage="1" sqref="E8:E32 E36:E60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7"/>
  <dimension ref="A1:L126"/>
  <sheetViews>
    <sheetView topLeftCell="B1" workbookViewId="0">
      <pane ySplit="2" topLeftCell="A99" activePane="bottomLeft" state="frozen"/>
      <selection activeCell="B1" sqref="B1"/>
      <selection pane="bottomLeft" activeCell="G61" sqref="G61:G109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12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9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"9 Бажора-КЗТШ" {i 0, t 002, l 009 009, d 000}</v>
      </c>
    </row>
    <row r="3" spans="1:12" s="39" customFormat="1" x14ac:dyDescent="0.25">
      <c r="A3" s="39" t="str">
        <f ca="1">INDIRECT(ADDRESS($B$1,2,4,1,"route"))</f>
        <v>9 Бажора-КЗТШ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009</v>
      </c>
      <c r="B4" s="39">
        <f>ROW(B4)</f>
        <v>4</v>
      </c>
      <c r="E4" s="39" t="s">
        <v>323</v>
      </c>
      <c r="G4" s="40">
        <f>B60</f>
        <v>60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060}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172</v>
      </c>
      <c r="G8" s="45">
        <f t="shared" ref="G8:G55" si="0">B9</f>
        <v>9</v>
      </c>
      <c r="H8" s="40" t="str">
        <f t="shared" ref="H8:H56" si="1">IFERROR("p "&amp;VLOOKUP(E8,Tablo_Tab,2,FALSE),"")</f>
        <v>p 048</v>
      </c>
      <c r="I8" s="45" t="str">
        <f t="shared" ref="I8:I56" si="2">IFERROR("c "&amp;VLOOKUP(C8,Punkti,2,FALSE),"")</f>
        <v>c 902</v>
      </c>
      <c r="J8" s="46" t="str">
        <f t="shared" ref="J8:J56" si="3">IFERROR(VLOOKUP(E8,Ostanovki,7,FALSE),"")</f>
        <v>c 928, v "\mp3_ost\bajora.mp3"</v>
      </c>
      <c r="K8" s="40" t="str">
        <f t="shared" ref="K8:K56" si="4">IFERROR("c "&amp;VLOOKUP(F8,Punkti,2,FALSE),"")</f>
        <v/>
      </c>
      <c r="L8" s="42" t="str">
        <f t="shared" ref="L8:L39" si="5">"&lt;unit"&amp;TEXT(B8,"000")&amp;"&gt; """&amp;СцепитьМного(D8:E8,"")&amp;""" {e, "&amp;СцепитьМного(H8:K8,", ")&amp;", d 000, n "&amp;TEXT(G8,"000")&amp;"}"</f>
        <v>&lt;unit008&gt; "ул.Бажора" {e, p 048, c 902, c 928, v "\mp3_ost\bajora.mp3", d 000, n 009}</v>
      </c>
    </row>
    <row r="9" spans="1:12" x14ac:dyDescent="0.25">
      <c r="B9" s="44">
        <f t="shared" ref="B9:B56" si="6">ROW(B9)</f>
        <v>9</v>
      </c>
      <c r="C9" s="44" t="s">
        <v>329</v>
      </c>
      <c r="D9" s="39" t="str">
        <f>IF(I9="c 900","&gt;&gt;","")</f>
        <v>&gt;&gt;</v>
      </c>
      <c r="E9" s="44" t="s">
        <v>276</v>
      </c>
      <c r="F9" s="44" t="s">
        <v>381</v>
      </c>
      <c r="G9" s="45">
        <f t="shared" si="0"/>
        <v>10</v>
      </c>
      <c r="H9" s="40" t="str">
        <f t="shared" si="1"/>
        <v>p 065</v>
      </c>
      <c r="I9" s="45" t="str">
        <f t="shared" si="2"/>
        <v>c 900</v>
      </c>
      <c r="J9" s="46" t="str">
        <f t="shared" si="3"/>
        <v>c 928, v "\mp3_ost\nagornay.mp3"</v>
      </c>
      <c r="K9" s="40" t="str">
        <f t="shared" si="4"/>
        <v>c 930</v>
      </c>
      <c r="L9" s="42" t="str">
        <f t="shared" si="5"/>
        <v>&lt;unit009&gt; "&gt;&gt;ул.Нагорная" {e, p 065, c 900, c 928, v "\mp3_ost\nagornay.mp3", c 930, d 000, n 010}</v>
      </c>
    </row>
    <row r="10" spans="1:12" x14ac:dyDescent="0.25">
      <c r="B10" s="44">
        <f t="shared" si="6"/>
        <v>10</v>
      </c>
      <c r="C10" s="44" t="s">
        <v>79</v>
      </c>
      <c r="D10" s="39" t="str">
        <f t="shared" ref="D10:D56" si="7">IF(I10="c 900","&gt;&gt;","")</f>
        <v/>
      </c>
      <c r="E10" s="44" t="s">
        <v>276</v>
      </c>
      <c r="G10" s="45">
        <f t="shared" si="0"/>
        <v>11</v>
      </c>
      <c r="H10" s="40" t="str">
        <f t="shared" si="1"/>
        <v>p 065</v>
      </c>
      <c r="I10" s="45" t="str">
        <f t="shared" si="2"/>
        <v>c 902</v>
      </c>
      <c r="J10" s="46" t="str">
        <f t="shared" si="3"/>
        <v>c 928, v "\mp3_ost\nagornay.mp3"</v>
      </c>
      <c r="K10" s="40" t="str">
        <f t="shared" si="4"/>
        <v/>
      </c>
      <c r="L10" s="42" t="str">
        <f t="shared" si="5"/>
        <v>&lt;unit010&gt; "ул.Нагорная" {e, p 065, c 902, c 928, v "\mp3_ost\nagornay.mp3", d 000, n 011}</v>
      </c>
    </row>
    <row r="11" spans="1:12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E11" s="44" t="s">
        <v>350</v>
      </c>
      <c r="F11" s="44" t="s">
        <v>381</v>
      </c>
      <c r="G11" s="45">
        <f t="shared" si="0"/>
        <v>12</v>
      </c>
      <c r="H11" s="40" t="str">
        <f t="shared" si="1"/>
        <v>p 079</v>
      </c>
      <c r="I11" s="45" t="str">
        <f t="shared" si="2"/>
        <v>c 900</v>
      </c>
      <c r="J11" s="46" t="str">
        <f t="shared" si="3"/>
        <v>c 928, v "\mp3_ost\ubiley.mp3"</v>
      </c>
      <c r="K11" s="40" t="str">
        <f t="shared" si="4"/>
        <v>c 930</v>
      </c>
      <c r="L11" s="42" t="str">
        <f t="shared" si="5"/>
        <v>&lt;unit011&gt; "&gt;&gt;ул.Юбилейная" {e, p 079, c 900, c 928, v "\mp3_ost\ubiley.mp3", c 930, d 000, n 012}</v>
      </c>
    </row>
    <row r="12" spans="1:12" x14ac:dyDescent="0.25">
      <c r="B12" s="44">
        <f t="shared" si="6"/>
        <v>12</v>
      </c>
      <c r="C12" s="44" t="s">
        <v>79</v>
      </c>
      <c r="D12" s="39" t="str">
        <f t="shared" si="7"/>
        <v/>
      </c>
      <c r="E12" s="44" t="s">
        <v>350</v>
      </c>
      <c r="G12" s="45">
        <f t="shared" si="0"/>
        <v>13</v>
      </c>
      <c r="H12" s="40" t="str">
        <f t="shared" si="1"/>
        <v>p 079</v>
      </c>
      <c r="I12" s="45" t="str">
        <f t="shared" si="2"/>
        <v>c 902</v>
      </c>
      <c r="J12" s="46" t="str">
        <f t="shared" si="3"/>
        <v>c 928, v "\mp3_ost\ubiley.mp3"</v>
      </c>
      <c r="K12" s="40" t="str">
        <f t="shared" si="4"/>
        <v/>
      </c>
      <c r="L12" s="42" t="str">
        <f t="shared" si="5"/>
        <v>&lt;unit012&gt; "ул.Юбилейная" {e, p 079, c 902, c 928, v "\mp3_ost\ubiley.mp3", d 000, n 013}</v>
      </c>
    </row>
    <row r="13" spans="1:12" x14ac:dyDescent="0.25">
      <c r="B13" s="44">
        <f t="shared" si="6"/>
        <v>13</v>
      </c>
      <c r="C13" s="44" t="s">
        <v>329</v>
      </c>
      <c r="D13" s="39" t="str">
        <f t="shared" si="7"/>
        <v>&gt;&gt;</v>
      </c>
      <c r="E13" s="44" t="s">
        <v>277</v>
      </c>
      <c r="F13" s="44" t="s">
        <v>381</v>
      </c>
      <c r="G13" s="45">
        <f t="shared" si="0"/>
        <v>14</v>
      </c>
      <c r="H13" s="40" t="str">
        <f t="shared" si="1"/>
        <v>p 069</v>
      </c>
      <c r="I13" s="45" t="str">
        <f t="shared" si="2"/>
        <v>c 900</v>
      </c>
      <c r="J13" s="46" t="str">
        <f t="shared" si="3"/>
        <v>c 928, v "\mp3_ost\pyaschan.mp3"</v>
      </c>
      <c r="K13" s="40" t="str">
        <f t="shared" si="4"/>
        <v>c 930</v>
      </c>
      <c r="L13" s="42" t="str">
        <f t="shared" si="5"/>
        <v>&lt;unit013&gt; "&gt;&gt;ул.Песчаная" {e, p 069, c 900, c 928, v "\mp3_ost\pyaschan.mp3", c 930, d 000, n 014}</v>
      </c>
    </row>
    <row r="14" spans="1:12" x14ac:dyDescent="0.25">
      <c r="B14" s="44">
        <f t="shared" si="6"/>
        <v>14</v>
      </c>
      <c r="C14" s="44" t="s">
        <v>79</v>
      </c>
      <c r="D14" s="39" t="str">
        <f t="shared" si="7"/>
        <v/>
      </c>
      <c r="E14" s="44" t="s">
        <v>277</v>
      </c>
      <c r="G14" s="45">
        <f t="shared" si="0"/>
        <v>15</v>
      </c>
      <c r="H14" s="40" t="str">
        <f t="shared" si="1"/>
        <v>p 069</v>
      </c>
      <c r="I14" s="45" t="str">
        <f t="shared" si="2"/>
        <v>c 902</v>
      </c>
      <c r="J14" s="46" t="str">
        <f t="shared" si="3"/>
        <v>c 928, v "\mp3_ost\pyaschan.mp3"</v>
      </c>
      <c r="K14" s="40" t="str">
        <f t="shared" si="4"/>
        <v/>
      </c>
      <c r="L14" s="42" t="str">
        <f t="shared" si="5"/>
        <v>&lt;unit014&gt; "ул.Песчаная" {e, p 069, c 902, c 928, v "\mp3_ost\pyaschan.mp3", d 000, n 015}</v>
      </c>
    </row>
    <row r="15" spans="1:12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E15" s="44" t="s">
        <v>270</v>
      </c>
      <c r="F15" s="44" t="s">
        <v>381</v>
      </c>
      <c r="G15" s="45">
        <f t="shared" si="0"/>
        <v>16</v>
      </c>
      <c r="H15" s="40" t="str">
        <f t="shared" si="1"/>
        <v>p 053</v>
      </c>
      <c r="I15" s="45" t="str">
        <f t="shared" si="2"/>
        <v>c 900</v>
      </c>
      <c r="J15" s="46" t="str">
        <f t="shared" si="3"/>
        <v>c 928, v "\mp3_ost\darojnay.mp3"</v>
      </c>
      <c r="K15" s="40" t="str">
        <f t="shared" si="4"/>
        <v>c 930</v>
      </c>
      <c r="L15" s="42" t="str">
        <f t="shared" si="5"/>
        <v>&lt;unit015&gt; "&gt;&gt;ул.Дорожная" {e, p 053, c 900, c 928, v "\mp3_ost\darojnay.mp3", c 930, d 000, n 016}</v>
      </c>
    </row>
    <row r="16" spans="1:12" x14ac:dyDescent="0.25">
      <c r="B16" s="44">
        <f t="shared" si="6"/>
        <v>16</v>
      </c>
      <c r="C16" s="44" t="s">
        <v>79</v>
      </c>
      <c r="D16" s="39" t="str">
        <f t="shared" si="7"/>
        <v/>
      </c>
      <c r="E16" s="44" t="s">
        <v>270</v>
      </c>
      <c r="G16" s="45">
        <f t="shared" si="0"/>
        <v>17</v>
      </c>
      <c r="H16" s="40" t="str">
        <f t="shared" si="1"/>
        <v>p 053</v>
      </c>
      <c r="I16" s="45" t="str">
        <f t="shared" si="2"/>
        <v>c 902</v>
      </c>
      <c r="J16" s="46" t="str">
        <f t="shared" si="3"/>
        <v>c 928, v "\mp3_ost\darojnay.mp3"</v>
      </c>
      <c r="K16" s="40" t="str">
        <f t="shared" si="4"/>
        <v/>
      </c>
      <c r="L16" s="42" t="str">
        <f t="shared" si="5"/>
        <v>&lt;unit016&gt; "ул.Дорожная" {e, p 053, c 902, c 928, v "\mp3_ost\darojnay.mp3", d 000, n 017}</v>
      </c>
    </row>
    <row r="17" spans="2:12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E17" s="44" t="s">
        <v>268</v>
      </c>
      <c r="F17" s="44" t="s">
        <v>381</v>
      </c>
      <c r="G17" s="45">
        <f t="shared" si="0"/>
        <v>18</v>
      </c>
      <c r="H17" s="40" t="str">
        <f t="shared" si="1"/>
        <v>p 047</v>
      </c>
      <c r="I17" s="45" t="str">
        <f t="shared" si="2"/>
        <v>c 900</v>
      </c>
      <c r="J17" s="46" t="str">
        <f t="shared" si="3"/>
        <v>c 928, v "\mp3_ost\avtomobi.mp3"</v>
      </c>
      <c r="K17" s="40" t="str">
        <f t="shared" si="4"/>
        <v>c 930</v>
      </c>
      <c r="L17" s="42" t="str">
        <f t="shared" si="5"/>
        <v>&lt;unit017&gt; "&gt;&gt;ул.Автомобилист." {e, p 047, c 900, c 928, v "\mp3_ost\avtomobi.mp3", c 930, d 000, n 018}</v>
      </c>
    </row>
    <row r="18" spans="2:12" x14ac:dyDescent="0.25">
      <c r="B18" s="44">
        <f t="shared" si="6"/>
        <v>18</v>
      </c>
      <c r="C18" s="44" t="s">
        <v>79</v>
      </c>
      <c r="D18" s="39" t="str">
        <f t="shared" si="7"/>
        <v/>
      </c>
      <c r="E18" s="44" t="s">
        <v>268</v>
      </c>
      <c r="G18" s="45">
        <f t="shared" si="0"/>
        <v>19</v>
      </c>
      <c r="H18" s="40" t="str">
        <f t="shared" si="1"/>
        <v>p 047</v>
      </c>
      <c r="I18" s="45" t="str">
        <f t="shared" si="2"/>
        <v>c 902</v>
      </c>
      <c r="J18" s="46" t="str">
        <f t="shared" si="3"/>
        <v>c 928, v "\mp3_ost\avtomobi.mp3"</v>
      </c>
      <c r="K18" s="40" t="str">
        <f t="shared" si="4"/>
        <v/>
      </c>
      <c r="L18" s="42" t="str">
        <f t="shared" si="5"/>
        <v>&lt;unit018&gt; "ул.Автомобилист." {e, p 047, c 902, c 928, v "\mp3_ost\avtomobi.mp3", d 000, n 019}</v>
      </c>
    </row>
    <row r="19" spans="2:12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E19" s="44" t="s">
        <v>271</v>
      </c>
      <c r="F19" s="44" t="s">
        <v>381</v>
      </c>
      <c r="G19" s="45">
        <f t="shared" si="0"/>
        <v>20</v>
      </c>
      <c r="H19" s="40" t="str">
        <f t="shared" si="1"/>
        <v>p 056</v>
      </c>
      <c r="I19" s="45" t="str">
        <f t="shared" si="2"/>
        <v>c 900</v>
      </c>
      <c r="J19" s="46" t="str">
        <f t="shared" si="3"/>
        <v>c 928, v "\mp3_ost\kupriyan.mp3"</v>
      </c>
      <c r="K19" s="40" t="str">
        <f t="shared" si="4"/>
        <v>c 930</v>
      </c>
      <c r="L19" s="42" t="str">
        <f t="shared" si="5"/>
        <v>&lt;unit019&gt; "&gt;&gt;ул.Куприянова" {e, p 056, c 900, c 928, v "\mp3_ost\kupriyan.mp3", c 930, d 000, n 020}</v>
      </c>
    </row>
    <row r="20" spans="2:12" x14ac:dyDescent="0.25">
      <c r="B20" s="44">
        <f t="shared" si="6"/>
        <v>20</v>
      </c>
      <c r="C20" s="44" t="s">
        <v>79</v>
      </c>
      <c r="D20" s="39" t="str">
        <f t="shared" si="7"/>
        <v/>
      </c>
      <c r="E20" s="44" t="s">
        <v>271</v>
      </c>
      <c r="G20" s="45">
        <f t="shared" si="0"/>
        <v>21</v>
      </c>
      <c r="H20" s="40" t="str">
        <f t="shared" si="1"/>
        <v>p 056</v>
      </c>
      <c r="I20" s="45" t="str">
        <f t="shared" si="2"/>
        <v>c 902</v>
      </c>
      <c r="J20" s="46" t="str">
        <f t="shared" si="3"/>
        <v>c 928, v "\mp3_ost\kupriyan.mp3"</v>
      </c>
      <c r="K20" s="40" t="str">
        <f t="shared" si="4"/>
        <v/>
      </c>
      <c r="L20" s="42" t="str">
        <f t="shared" si="5"/>
        <v>&lt;unit020&gt; "ул.Куприянова" {e, p 056, c 902, c 928, v "\mp3_ost\kupriyan.mp3", d 000, n 021}</v>
      </c>
    </row>
    <row r="21" spans="2:12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E21" s="44" t="s">
        <v>253</v>
      </c>
      <c r="F21" s="44" t="s">
        <v>381</v>
      </c>
      <c r="G21" s="45">
        <f t="shared" si="0"/>
        <v>22</v>
      </c>
      <c r="H21" s="40" t="str">
        <f t="shared" si="1"/>
        <v>p 042</v>
      </c>
      <c r="I21" s="45" t="str">
        <f t="shared" si="2"/>
        <v>c 900</v>
      </c>
      <c r="J21" s="46" t="str">
        <f t="shared" si="3"/>
        <v>v "\mp3_ost\tec.mp3"</v>
      </c>
      <c r="K21" s="40" t="str">
        <f t="shared" si="4"/>
        <v>c 930</v>
      </c>
      <c r="L21" s="42" t="str">
        <f t="shared" si="5"/>
        <v>&lt;unit021&gt; "&gt;&gt;ТЭЦ" {e, p 042, c 900, v "\mp3_ost\tec.mp3", c 930, d 000, n 022}</v>
      </c>
    </row>
    <row r="22" spans="2:12" x14ac:dyDescent="0.25">
      <c r="B22" s="44">
        <f t="shared" si="6"/>
        <v>22</v>
      </c>
      <c r="C22" s="44" t="s">
        <v>79</v>
      </c>
      <c r="D22" s="39" t="str">
        <f t="shared" si="7"/>
        <v/>
      </c>
      <c r="E22" s="44" t="s">
        <v>253</v>
      </c>
      <c r="G22" s="45">
        <f t="shared" si="0"/>
        <v>23</v>
      </c>
      <c r="H22" s="40" t="str">
        <f t="shared" si="1"/>
        <v>p 042</v>
      </c>
      <c r="I22" s="45" t="str">
        <f t="shared" si="2"/>
        <v>c 902</v>
      </c>
      <c r="J22" s="46" t="str">
        <f t="shared" si="3"/>
        <v>v "\mp3_ost\tec.mp3"</v>
      </c>
      <c r="K22" s="40" t="str">
        <f t="shared" si="4"/>
        <v/>
      </c>
      <c r="L22" s="42" t="str">
        <f t="shared" si="5"/>
        <v>&lt;unit022&gt; "ТЭЦ" {e, p 042, c 902, v "\mp3_ost\tec.mp3", d 000, n 023}</v>
      </c>
    </row>
    <row r="23" spans="2:12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E23" s="44" t="s">
        <v>346</v>
      </c>
      <c r="F23" s="44" t="s">
        <v>381</v>
      </c>
      <c r="G23" s="45">
        <f t="shared" si="0"/>
        <v>24</v>
      </c>
      <c r="H23" s="40" t="str">
        <f t="shared" si="1"/>
        <v>p 054</v>
      </c>
      <c r="I23" s="45" t="str">
        <f t="shared" si="2"/>
        <v>c 900</v>
      </c>
      <c r="J23" s="46" t="str">
        <f t="shared" si="3"/>
        <v>c 928, v "\mp3_ost\zhodinsk.mp3"</v>
      </c>
      <c r="K23" s="40" t="str">
        <f t="shared" si="4"/>
        <v>c 930</v>
      </c>
      <c r="L23" s="42" t="str">
        <f t="shared" si="5"/>
        <v>&lt;unit023&gt; "&gt;&gt;ул.Жодинская" {e, p 054, c 900, c 928, v "\mp3_ost\zhodinsk.mp3", c 930, d 000, n 024}</v>
      </c>
    </row>
    <row r="24" spans="2:12" x14ac:dyDescent="0.25">
      <c r="B24" s="44">
        <f t="shared" si="6"/>
        <v>24</v>
      </c>
      <c r="C24" s="44" t="s">
        <v>79</v>
      </c>
      <c r="D24" s="39" t="str">
        <f t="shared" si="7"/>
        <v/>
      </c>
      <c r="E24" s="44" t="s">
        <v>346</v>
      </c>
      <c r="G24" s="45">
        <f t="shared" si="0"/>
        <v>25</v>
      </c>
      <c r="H24" s="40" t="str">
        <f t="shared" si="1"/>
        <v>p 054</v>
      </c>
      <c r="I24" s="45" t="str">
        <f t="shared" si="2"/>
        <v>c 902</v>
      </c>
      <c r="J24" s="46" t="str">
        <f t="shared" si="3"/>
        <v>c 928, v "\mp3_ost\zhodinsk.mp3"</v>
      </c>
      <c r="K24" s="40" t="str">
        <f t="shared" si="4"/>
        <v/>
      </c>
      <c r="L24" s="42" t="str">
        <f t="shared" si="5"/>
        <v>&lt;unit024&gt; "ул.Жодинская" {e, p 054, c 902, c 928, v "\mp3_ost\zhodinsk.mp3", d 000, n 025}</v>
      </c>
    </row>
    <row r="25" spans="2:12" x14ac:dyDescent="0.25">
      <c r="B25" s="44">
        <f t="shared" si="6"/>
        <v>25</v>
      </c>
      <c r="C25" s="44" t="s">
        <v>329</v>
      </c>
      <c r="D25" s="39" t="str">
        <f t="shared" si="7"/>
        <v>&gt;&gt;</v>
      </c>
      <c r="E25" s="44" t="s">
        <v>163</v>
      </c>
      <c r="F25" s="44" t="s">
        <v>381</v>
      </c>
      <c r="G25" s="45">
        <f t="shared" si="0"/>
        <v>26</v>
      </c>
      <c r="H25" s="40" t="str">
        <f t="shared" si="1"/>
        <v>p 010</v>
      </c>
      <c r="I25" s="45" t="str">
        <f t="shared" si="2"/>
        <v>c 900</v>
      </c>
      <c r="J25" s="46" t="str">
        <f t="shared" si="3"/>
        <v>v "\mp3_ost\jd.mp3"</v>
      </c>
      <c r="K25" s="40" t="str">
        <f t="shared" si="4"/>
        <v>c 930</v>
      </c>
      <c r="L25" s="42" t="str">
        <f t="shared" si="5"/>
        <v>&lt;unit025&gt; "&gt;&gt;ЖД Вокзал" {e, p 010, c 900, v "\mp3_ost\jd.mp3", c 930, d 000, n 026}</v>
      </c>
    </row>
    <row r="26" spans="2:12" x14ac:dyDescent="0.25">
      <c r="B26" s="44">
        <f t="shared" si="6"/>
        <v>26</v>
      </c>
      <c r="C26" s="44" t="s">
        <v>79</v>
      </c>
      <c r="D26" s="39" t="str">
        <f t="shared" si="7"/>
        <v/>
      </c>
      <c r="E26" s="44" t="s">
        <v>163</v>
      </c>
      <c r="G26" s="45">
        <f t="shared" si="0"/>
        <v>27</v>
      </c>
      <c r="H26" s="40" t="str">
        <f t="shared" si="1"/>
        <v>p 010</v>
      </c>
      <c r="I26" s="45" t="str">
        <f t="shared" si="2"/>
        <v>c 902</v>
      </c>
      <c r="J26" s="46" t="str">
        <f t="shared" si="3"/>
        <v>v "\mp3_ost\jd.mp3"</v>
      </c>
      <c r="K26" s="40" t="str">
        <f t="shared" si="4"/>
        <v/>
      </c>
      <c r="L26" s="42" t="str">
        <f t="shared" si="5"/>
        <v>&lt;unit026&gt; "ЖД Вокзал" {e, p 010, c 902, v "\mp3_ost\jd.mp3", d 000, n 027}</v>
      </c>
    </row>
    <row r="27" spans="2:12" x14ac:dyDescent="0.25">
      <c r="B27" s="44">
        <f t="shared" si="6"/>
        <v>27</v>
      </c>
      <c r="C27" s="44" t="s">
        <v>329</v>
      </c>
      <c r="D27" s="39" t="str">
        <f t="shared" si="7"/>
        <v>&gt;&gt;</v>
      </c>
      <c r="E27" s="44" t="s">
        <v>166</v>
      </c>
      <c r="F27" s="44" t="s">
        <v>381</v>
      </c>
      <c r="G27" s="45">
        <f t="shared" si="0"/>
        <v>28</v>
      </c>
      <c r="H27" s="40" t="str">
        <f t="shared" si="1"/>
        <v>p 068</v>
      </c>
      <c r="I27" s="45" t="str">
        <f t="shared" si="2"/>
        <v>c 900</v>
      </c>
      <c r="J27" s="46" t="str">
        <f t="shared" si="3"/>
        <v>c 928, v "\mp3_ost\partizan.mp3"</v>
      </c>
      <c r="K27" s="40" t="str">
        <f t="shared" si="4"/>
        <v>c 930</v>
      </c>
      <c r="L27" s="42" t="str">
        <f t="shared" si="5"/>
        <v>&lt;unit027&gt; "&gt;&gt;ул.Партизанская" {e, p 068, c 900, c 928, v "\mp3_ost\partizan.mp3", c 930, d 000, n 028}</v>
      </c>
    </row>
    <row r="28" spans="2:12" x14ac:dyDescent="0.25">
      <c r="B28" s="44">
        <f t="shared" si="6"/>
        <v>28</v>
      </c>
      <c r="C28" s="44" t="s">
        <v>79</v>
      </c>
      <c r="D28" s="39" t="str">
        <f t="shared" si="7"/>
        <v/>
      </c>
      <c r="E28" s="44" t="s">
        <v>166</v>
      </c>
      <c r="G28" s="45">
        <f t="shared" si="0"/>
        <v>29</v>
      </c>
      <c r="H28" s="40" t="str">
        <f t="shared" si="1"/>
        <v>p 068</v>
      </c>
      <c r="I28" s="45" t="str">
        <f t="shared" si="2"/>
        <v>c 902</v>
      </c>
      <c r="J28" s="46" t="str">
        <f t="shared" si="3"/>
        <v>c 928, v "\mp3_ost\partizan.mp3"</v>
      </c>
      <c r="K28" s="40" t="str">
        <f t="shared" si="4"/>
        <v/>
      </c>
      <c r="L28" s="42" t="str">
        <f t="shared" si="5"/>
        <v>&lt;unit028&gt; "ул.Партизанская" {e, p 068, c 902, c 928, v "\mp3_ost\partizan.mp3", d 000, n 029}</v>
      </c>
    </row>
    <row r="29" spans="2:12" x14ac:dyDescent="0.25">
      <c r="B29" s="44">
        <f t="shared" si="6"/>
        <v>29</v>
      </c>
      <c r="C29" s="44" t="s">
        <v>329</v>
      </c>
      <c r="D29" s="39" t="str">
        <f t="shared" si="7"/>
        <v>&gt;&gt;</v>
      </c>
      <c r="E29" s="44" t="s">
        <v>165</v>
      </c>
      <c r="F29" s="44" t="s">
        <v>381</v>
      </c>
      <c r="G29" s="45">
        <f t="shared" si="0"/>
        <v>30</v>
      </c>
      <c r="H29" s="40" t="str">
        <f t="shared" si="1"/>
        <v>p 064</v>
      </c>
      <c r="I29" s="45" t="str">
        <f t="shared" si="2"/>
        <v>c 900</v>
      </c>
      <c r="J29" s="46" t="str">
        <f t="shared" si="3"/>
        <v>c 928, v "\mp3_ost\moskovsk.mp3"</v>
      </c>
      <c r="K29" s="40" t="str">
        <f t="shared" si="4"/>
        <v>c 930</v>
      </c>
      <c r="L29" s="42" t="str">
        <f t="shared" si="5"/>
        <v>&lt;unit029&gt; "&gt;&gt;ул.Московская" {e, p 064, c 900, c 928, v "\mp3_ost\moskovsk.mp3", c 930, d 000, n 030}</v>
      </c>
    </row>
    <row r="30" spans="2:12" x14ac:dyDescent="0.25">
      <c r="B30" s="44">
        <f t="shared" si="6"/>
        <v>30</v>
      </c>
      <c r="C30" s="44" t="s">
        <v>79</v>
      </c>
      <c r="D30" s="39" t="str">
        <f t="shared" si="7"/>
        <v/>
      </c>
      <c r="E30" s="44" t="s">
        <v>165</v>
      </c>
      <c r="G30" s="45">
        <f t="shared" si="0"/>
        <v>31</v>
      </c>
      <c r="H30" s="40" t="str">
        <f t="shared" si="1"/>
        <v>p 064</v>
      </c>
      <c r="I30" s="45" t="str">
        <f t="shared" si="2"/>
        <v>c 902</v>
      </c>
      <c r="J30" s="46" t="str">
        <f t="shared" si="3"/>
        <v>c 928, v "\mp3_ost\moskovsk.mp3"</v>
      </c>
      <c r="K30" s="40" t="str">
        <f t="shared" si="4"/>
        <v/>
      </c>
      <c r="L30" s="42" t="str">
        <f t="shared" si="5"/>
        <v>&lt;unit030&gt; "ул.Московская" {e, p 064, c 902, c 928, v "\mp3_ost\moskovsk.mp3", d 000, n 031}</v>
      </c>
    </row>
    <row r="31" spans="2:12" x14ac:dyDescent="0.25">
      <c r="B31" s="44">
        <f t="shared" si="6"/>
        <v>31</v>
      </c>
      <c r="C31" s="44" t="s">
        <v>329</v>
      </c>
      <c r="D31" s="39" t="str">
        <f t="shared" si="7"/>
        <v>&gt;&gt;</v>
      </c>
      <c r="E31" s="44" t="s">
        <v>167</v>
      </c>
      <c r="F31" s="44" t="s">
        <v>381</v>
      </c>
      <c r="G31" s="45">
        <f t="shared" si="0"/>
        <v>32</v>
      </c>
      <c r="H31" s="40" t="str">
        <f t="shared" si="1"/>
        <v>p 077</v>
      </c>
      <c r="I31" s="45" t="str">
        <f t="shared" si="2"/>
        <v>c 900</v>
      </c>
      <c r="J31" s="46" t="str">
        <f t="shared" si="3"/>
        <v>c 928, v "\mp3_ost\swrokvas.mp3"</v>
      </c>
      <c r="K31" s="40" t="str">
        <f t="shared" si="4"/>
        <v>c 930</v>
      </c>
      <c r="L31" s="42" t="str">
        <f t="shared" si="5"/>
        <v>&lt;unit031&gt; "&gt;&gt;ул.Сырокваша" {e, p 077, c 900, c 928, v "\mp3_ost\swrokvas.mp3", c 930, d 000, n 032}</v>
      </c>
    </row>
    <row r="32" spans="2:12" x14ac:dyDescent="0.25">
      <c r="B32" s="44">
        <f t="shared" si="6"/>
        <v>32</v>
      </c>
      <c r="C32" s="44" t="s">
        <v>79</v>
      </c>
      <c r="D32" s="39" t="str">
        <f t="shared" si="7"/>
        <v/>
      </c>
      <c r="E32" s="44" t="s">
        <v>167</v>
      </c>
      <c r="G32" s="45">
        <f t="shared" si="0"/>
        <v>33</v>
      </c>
      <c r="H32" s="40" t="str">
        <f t="shared" si="1"/>
        <v>p 077</v>
      </c>
      <c r="I32" s="45" t="str">
        <f t="shared" si="2"/>
        <v>c 902</v>
      </c>
      <c r="J32" s="46" t="str">
        <f t="shared" si="3"/>
        <v>c 928, v "\mp3_ost\swrokvas.mp3"</v>
      </c>
      <c r="K32" s="40" t="str">
        <f t="shared" si="4"/>
        <v/>
      </c>
      <c r="L32" s="42" t="str">
        <f t="shared" si="5"/>
        <v>&lt;unit032&gt; "ул.Сырокваша" {e, p 077, c 902, c 928, v "\mp3_ost\swrokvas.mp3", d 000, n 033}</v>
      </c>
    </row>
    <row r="33" spans="2:12" x14ac:dyDescent="0.25">
      <c r="B33" s="44">
        <f>ROW(B33)</f>
        <v>33</v>
      </c>
      <c r="C33" s="44" t="s">
        <v>329</v>
      </c>
      <c r="D33" s="39" t="str">
        <f t="shared" si="7"/>
        <v>&gt;&gt;</v>
      </c>
      <c r="E33" s="44" t="s">
        <v>168</v>
      </c>
      <c r="F33" s="44" t="s">
        <v>381</v>
      </c>
      <c r="G33" s="45">
        <f t="shared" si="0"/>
        <v>34</v>
      </c>
      <c r="H33" s="40" t="str">
        <f t="shared" si="1"/>
        <v>p 031</v>
      </c>
      <c r="I33" s="45" t="str">
        <f t="shared" si="2"/>
        <v>c 900</v>
      </c>
      <c r="J33" s="46" t="str">
        <f t="shared" si="3"/>
        <v>v "\mp3_ost\mira.mp3"</v>
      </c>
      <c r="K33" s="40" t="str">
        <f t="shared" si="4"/>
        <v>c 930</v>
      </c>
      <c r="L33" s="42" t="str">
        <f t="shared" si="5"/>
        <v>&lt;unit033&gt; "&gt;&gt;пр-т Мира" {e, p 031, c 900, v "\mp3_ost\mira.mp3", c 930, d 000, n 034}</v>
      </c>
    </row>
    <row r="34" spans="2:12" x14ac:dyDescent="0.25">
      <c r="B34" s="44">
        <f t="shared" si="6"/>
        <v>34</v>
      </c>
      <c r="C34" s="44" t="s">
        <v>79</v>
      </c>
      <c r="D34" s="39" t="str">
        <f t="shared" si="7"/>
        <v/>
      </c>
      <c r="E34" s="44" t="s">
        <v>168</v>
      </c>
      <c r="G34" s="45">
        <f t="shared" si="0"/>
        <v>35</v>
      </c>
      <c r="H34" s="40" t="str">
        <f t="shared" si="1"/>
        <v>p 031</v>
      </c>
      <c r="I34" s="45" t="str">
        <f t="shared" si="2"/>
        <v>c 902</v>
      </c>
      <c r="J34" s="46" t="str">
        <f t="shared" si="3"/>
        <v>v "\mp3_ost\mira.mp3"</v>
      </c>
      <c r="K34" s="40" t="str">
        <f t="shared" si="4"/>
        <v/>
      </c>
      <c r="L34" s="42" t="str">
        <f t="shared" si="5"/>
        <v>&lt;unit034&gt; "пр-т Мира" {e, p 031, c 902, v "\mp3_ost\mira.mp3", d 000, n 035}</v>
      </c>
    </row>
    <row r="35" spans="2:12" x14ac:dyDescent="0.25">
      <c r="B35" s="44">
        <f t="shared" si="6"/>
        <v>35</v>
      </c>
      <c r="C35" s="44" t="s">
        <v>329</v>
      </c>
      <c r="D35" s="39" t="str">
        <f t="shared" si="7"/>
        <v>&gt;&gt;</v>
      </c>
      <c r="E35" s="44" t="s">
        <v>266</v>
      </c>
      <c r="F35" s="44" t="s">
        <v>381</v>
      </c>
      <c r="G35" s="45">
        <f t="shared" si="0"/>
        <v>36</v>
      </c>
      <c r="H35" s="40" t="str">
        <f t="shared" si="1"/>
        <v>p 045</v>
      </c>
      <c r="I35" s="45" t="str">
        <f t="shared" si="2"/>
        <v>c 900</v>
      </c>
      <c r="J35" s="46" t="str">
        <f t="shared" si="3"/>
        <v>c 928, v "\mp3_ost\50letokt.mp3"</v>
      </c>
      <c r="K35" s="40" t="str">
        <f t="shared" si="4"/>
        <v>c 930</v>
      </c>
      <c r="L35" s="42" t="str">
        <f t="shared" si="5"/>
        <v>&lt;unit035&gt; "&gt;&gt;ул.50 лет Октяб." {e, p 045, c 900, c 928, v "\mp3_ost\50letokt.mp3", c 930, d 000, n 036}</v>
      </c>
    </row>
    <row r="36" spans="2:12" x14ac:dyDescent="0.25">
      <c r="B36" s="44">
        <f t="shared" si="6"/>
        <v>36</v>
      </c>
      <c r="C36" s="44" t="s">
        <v>79</v>
      </c>
      <c r="D36" s="39" t="str">
        <f t="shared" si="7"/>
        <v/>
      </c>
      <c r="E36" s="44" t="s">
        <v>266</v>
      </c>
      <c r="G36" s="45">
        <f t="shared" si="0"/>
        <v>37</v>
      </c>
      <c r="H36" s="40" t="str">
        <f t="shared" si="1"/>
        <v>p 045</v>
      </c>
      <c r="I36" s="45" t="str">
        <f t="shared" si="2"/>
        <v>c 902</v>
      </c>
      <c r="J36" s="46" t="str">
        <f t="shared" si="3"/>
        <v>c 928, v "\mp3_ost\50letokt.mp3"</v>
      </c>
      <c r="K36" s="40" t="str">
        <f t="shared" si="4"/>
        <v/>
      </c>
      <c r="L36" s="42" t="str">
        <f t="shared" si="5"/>
        <v>&lt;unit036&gt; "ул.50 лет Октяб." {e, p 045, c 902, c 928, v "\mp3_ost\50letokt.mp3", d 000, n 037}</v>
      </c>
    </row>
    <row r="37" spans="2:12" x14ac:dyDescent="0.25">
      <c r="B37" s="44">
        <f t="shared" si="6"/>
        <v>37</v>
      </c>
      <c r="C37" s="44" t="s">
        <v>329</v>
      </c>
      <c r="D37" s="39" t="str">
        <f t="shared" si="7"/>
        <v>&gt;&gt;</v>
      </c>
      <c r="E37" s="44" t="s">
        <v>251</v>
      </c>
      <c r="F37" s="44" t="s">
        <v>381</v>
      </c>
      <c r="G37" s="45">
        <f t="shared" si="0"/>
        <v>38</v>
      </c>
      <c r="H37" s="40" t="str">
        <f t="shared" si="1"/>
        <v>p 040</v>
      </c>
      <c r="I37" s="45" t="str">
        <f t="shared" ref="I37:I46" si="8">IFERROR("c "&amp;VLOOKUP(C37,Punkti,2,FALSE),"")</f>
        <v>c 900</v>
      </c>
      <c r="J37" s="46" t="str">
        <f t="shared" ref="J37:J46" si="9">IFERROR(VLOOKUP(E37,Ostanovki,7,FALSE),"")</f>
        <v>v "\mp3_ost\tc.mp3"</v>
      </c>
      <c r="K37" s="40" t="str">
        <f t="shared" si="4"/>
        <v>c 930</v>
      </c>
      <c r="L37" s="42" t="str">
        <f t="shared" si="5"/>
        <v>&lt;unit037&gt; "&gt;&gt;Торг.центр" {e, p 040, c 900, v "\mp3_ost\tc.mp3", c 930, d 000, n 038}</v>
      </c>
    </row>
    <row r="38" spans="2:12" x14ac:dyDescent="0.25">
      <c r="B38" s="44">
        <f t="shared" si="6"/>
        <v>38</v>
      </c>
      <c r="C38" s="44" t="s">
        <v>79</v>
      </c>
      <c r="D38" s="39" t="str">
        <f t="shared" si="7"/>
        <v/>
      </c>
      <c r="E38" s="44" t="s">
        <v>251</v>
      </c>
      <c r="G38" s="45">
        <f t="shared" si="0"/>
        <v>39</v>
      </c>
      <c r="H38" s="40" t="str">
        <f t="shared" si="1"/>
        <v>p 040</v>
      </c>
      <c r="I38" s="45" t="str">
        <f t="shared" si="8"/>
        <v>c 902</v>
      </c>
      <c r="J38" s="46" t="str">
        <f t="shared" si="9"/>
        <v>v "\mp3_ost\tc.mp3"</v>
      </c>
      <c r="K38" s="40" t="str">
        <f t="shared" si="4"/>
        <v/>
      </c>
      <c r="L38" s="42" t="str">
        <f t="shared" si="5"/>
        <v>&lt;unit038&gt; "Торг.центр" {e, p 040, c 902, v "\mp3_ost\tc.mp3", d 000, n 039}</v>
      </c>
    </row>
    <row r="39" spans="2:12" x14ac:dyDescent="0.25">
      <c r="B39" s="44">
        <f t="shared" si="6"/>
        <v>39</v>
      </c>
      <c r="C39" s="44" t="s">
        <v>329</v>
      </c>
      <c r="D39" s="39" t="str">
        <f t="shared" si="7"/>
        <v>&gt;&gt;</v>
      </c>
      <c r="E39" s="44" t="s">
        <v>361</v>
      </c>
      <c r="F39" s="44" t="s">
        <v>381</v>
      </c>
      <c r="G39" s="45">
        <f t="shared" si="0"/>
        <v>40</v>
      </c>
      <c r="H39" s="40" t="str">
        <f t="shared" si="1"/>
        <v>p 081</v>
      </c>
      <c r="I39" s="45" t="str">
        <f t="shared" si="8"/>
        <v>c 900</v>
      </c>
      <c r="J39" s="46" t="str">
        <f t="shared" si="9"/>
        <v>v "\mp3_ost\univmag.mp3"</v>
      </c>
      <c r="K39" s="40" t="str">
        <f t="shared" si="4"/>
        <v>c 930</v>
      </c>
      <c r="L39" s="42" t="str">
        <f t="shared" si="5"/>
        <v>&lt;unit039&gt; "&gt;&gt;Универмаг" {e, p 081, c 900, v "\mp3_ost\univmag.mp3", c 930, d 000, n 040}</v>
      </c>
    </row>
    <row r="40" spans="2:12" x14ac:dyDescent="0.25">
      <c r="B40" s="44">
        <f t="shared" si="6"/>
        <v>40</v>
      </c>
      <c r="C40" s="44" t="s">
        <v>79</v>
      </c>
      <c r="D40" s="39" t="str">
        <f t="shared" si="7"/>
        <v/>
      </c>
      <c r="E40" s="44" t="s">
        <v>361</v>
      </c>
      <c r="G40" s="45">
        <f t="shared" si="0"/>
        <v>41</v>
      </c>
      <c r="H40" s="40" t="str">
        <f t="shared" si="1"/>
        <v>p 081</v>
      </c>
      <c r="I40" s="45" t="str">
        <f t="shared" si="8"/>
        <v>c 902</v>
      </c>
      <c r="J40" s="46" t="str">
        <f t="shared" si="9"/>
        <v>v "\mp3_ost\univmag.mp3"</v>
      </c>
      <c r="K40" s="40" t="str">
        <f t="shared" si="4"/>
        <v/>
      </c>
      <c r="L40" s="42" t="str">
        <f t="shared" ref="L40:L56" si="10">"&lt;unit"&amp;TEXT(B40,"000")&amp;"&gt; """&amp;СцепитьМного(D40:E40,"")&amp;""" {e, "&amp;СцепитьМного(H40:K40,", ")&amp;", d 000, n "&amp;TEXT(G40,"000")&amp;"}"</f>
        <v>&lt;unit040&gt; "Универмаг" {e, p 081, c 902, v "\mp3_ost\univmag.mp3", d 000, n 041}</v>
      </c>
    </row>
    <row r="41" spans="2:12" x14ac:dyDescent="0.25">
      <c r="B41" s="44">
        <f t="shared" si="6"/>
        <v>41</v>
      </c>
      <c r="C41" s="44" t="s">
        <v>329</v>
      </c>
      <c r="D41" s="39" t="str">
        <f t="shared" si="7"/>
        <v>&gt;&gt;</v>
      </c>
      <c r="E41" s="44" t="s">
        <v>260</v>
      </c>
      <c r="F41" s="44" t="s">
        <v>381</v>
      </c>
      <c r="G41" s="45">
        <f t="shared" si="0"/>
        <v>42</v>
      </c>
      <c r="H41" s="40" t="str">
        <f t="shared" si="1"/>
        <v>p 029</v>
      </c>
      <c r="I41" s="45" t="str">
        <f t="shared" si="8"/>
        <v>c 900</v>
      </c>
      <c r="J41" s="46" t="str">
        <f t="shared" si="9"/>
        <v>v "\mp3_ost\venis`e.mp3"</v>
      </c>
      <c r="K41" s="40" t="str">
        <f t="shared" si="4"/>
        <v>c 930</v>
      </c>
      <c r="L41" s="42" t="str">
        <f t="shared" si="10"/>
        <v>&lt;unit041&gt; "&gt;&gt;пр-т Венисье" {e, p 029, c 900, v "\mp3_ost\venis`e.mp3", c 930, d 000, n 042}</v>
      </c>
    </row>
    <row r="42" spans="2:12" x14ac:dyDescent="0.25">
      <c r="B42" s="44">
        <f t="shared" si="6"/>
        <v>42</v>
      </c>
      <c r="C42" s="44" t="s">
        <v>79</v>
      </c>
      <c r="D42" s="39" t="str">
        <f t="shared" si="7"/>
        <v/>
      </c>
      <c r="E42" s="44" t="s">
        <v>260</v>
      </c>
      <c r="G42" s="45">
        <f t="shared" si="0"/>
        <v>43</v>
      </c>
      <c r="H42" s="40" t="str">
        <f t="shared" si="1"/>
        <v>p 029</v>
      </c>
      <c r="I42" s="45" t="str">
        <f t="shared" si="8"/>
        <v>c 902</v>
      </c>
      <c r="J42" s="46" t="str">
        <f t="shared" si="9"/>
        <v>v "\mp3_ost\venis`e.mp3"</v>
      </c>
      <c r="K42" s="40" t="str">
        <f t="shared" si="4"/>
        <v/>
      </c>
      <c r="L42" s="42" t="str">
        <f t="shared" si="10"/>
        <v>&lt;unit042&gt; "пр-т Венисье" {e, p 029, c 902, v "\mp3_ost\venis`e.mp3", d 000, n 043}</v>
      </c>
    </row>
    <row r="43" spans="2:12" x14ac:dyDescent="0.25">
      <c r="B43" s="44">
        <f t="shared" si="6"/>
        <v>43</v>
      </c>
      <c r="C43" s="44" t="s">
        <v>329</v>
      </c>
      <c r="D43" s="39" t="str">
        <f t="shared" si="7"/>
        <v>&gt;&gt;</v>
      </c>
      <c r="E43" s="44" t="s">
        <v>347</v>
      </c>
      <c r="F43" s="44" t="s">
        <v>381</v>
      </c>
      <c r="G43" s="45">
        <f t="shared" si="0"/>
        <v>44</v>
      </c>
      <c r="H43" s="40" t="str">
        <f t="shared" si="1"/>
        <v>p 050</v>
      </c>
      <c r="I43" s="45" t="str">
        <f t="shared" si="8"/>
        <v>c 900</v>
      </c>
      <c r="J43" s="46" t="str">
        <f t="shared" si="9"/>
        <v>c 928, v "\mp3_ost\borovaja.mp3"</v>
      </c>
      <c r="K43" s="40" t="str">
        <f t="shared" si="4"/>
        <v>c 930</v>
      </c>
      <c r="L43" s="42" t="str">
        <f t="shared" si="10"/>
        <v>&lt;unit043&gt; "&gt;&gt;ул.Боровая" {e, p 050, c 900, c 928, v "\mp3_ost\borovaja.mp3", c 930, d 000, n 044}</v>
      </c>
    </row>
    <row r="44" spans="2:12" x14ac:dyDescent="0.25">
      <c r="B44" s="44">
        <f t="shared" si="6"/>
        <v>44</v>
      </c>
      <c r="C44" s="44" t="s">
        <v>79</v>
      </c>
      <c r="D44" s="39" t="str">
        <f t="shared" si="7"/>
        <v/>
      </c>
      <c r="E44" s="44" t="s">
        <v>347</v>
      </c>
      <c r="G44" s="45">
        <f t="shared" si="0"/>
        <v>45</v>
      </c>
      <c r="H44" s="40" t="str">
        <f t="shared" si="1"/>
        <v>p 050</v>
      </c>
      <c r="I44" s="45" t="str">
        <f t="shared" si="8"/>
        <v>c 902</v>
      </c>
      <c r="J44" s="46" t="str">
        <f t="shared" si="9"/>
        <v>c 928, v "\mp3_ost\borovaja.mp3"</v>
      </c>
      <c r="K44" s="40" t="str">
        <f t="shared" si="4"/>
        <v/>
      </c>
      <c r="L44" s="42" t="str">
        <f t="shared" si="10"/>
        <v>&lt;unit044&gt; "ул.Боровая" {e, p 050, c 902, c 928, v "\mp3_ost\borovaja.mp3", d 000, n 045}</v>
      </c>
    </row>
    <row r="45" spans="2:12" x14ac:dyDescent="0.25">
      <c r="B45" s="44">
        <f t="shared" si="6"/>
        <v>45</v>
      </c>
      <c r="C45" s="44" t="s">
        <v>329</v>
      </c>
      <c r="D45" s="39" t="str">
        <f t="shared" si="7"/>
        <v>&gt;&gt;</v>
      </c>
      <c r="E45" s="44" t="s">
        <v>180</v>
      </c>
      <c r="F45" s="44" t="s">
        <v>381</v>
      </c>
      <c r="G45" s="45">
        <f t="shared" si="0"/>
        <v>46</v>
      </c>
      <c r="H45" s="40" t="str">
        <f t="shared" si="1"/>
        <v>p 006</v>
      </c>
      <c r="I45" s="45" t="str">
        <f t="shared" si="8"/>
        <v>c 900</v>
      </c>
      <c r="J45" s="46" t="str">
        <f t="shared" si="9"/>
        <v>v "\mp3_ost\bolnica.mp3"</v>
      </c>
      <c r="K45" s="40" t="str">
        <f t="shared" si="4"/>
        <v>c 930</v>
      </c>
      <c r="L45" s="42" t="str">
        <f t="shared" si="10"/>
        <v>&lt;unit045&gt; "&gt;&gt;Больница" {e, p 006, c 900, v "\mp3_ost\bolnica.mp3", c 930, d 000, n 046}</v>
      </c>
    </row>
    <row r="46" spans="2:12" x14ac:dyDescent="0.25">
      <c r="B46" s="44">
        <f t="shared" si="6"/>
        <v>46</v>
      </c>
      <c r="C46" s="44" t="s">
        <v>79</v>
      </c>
      <c r="D46" s="39" t="str">
        <f t="shared" si="7"/>
        <v/>
      </c>
      <c r="E46" s="44" t="s">
        <v>180</v>
      </c>
      <c r="G46" s="45">
        <f t="shared" si="0"/>
        <v>47</v>
      </c>
      <c r="H46" s="40" t="str">
        <f t="shared" si="1"/>
        <v>p 006</v>
      </c>
      <c r="I46" s="45" t="str">
        <f t="shared" si="8"/>
        <v>c 902</v>
      </c>
      <c r="J46" s="46" t="str">
        <f t="shared" si="9"/>
        <v>v "\mp3_ost\bolnica.mp3"</v>
      </c>
      <c r="K46" s="40" t="str">
        <f t="shared" si="4"/>
        <v/>
      </c>
      <c r="L46" s="42" t="str">
        <f t="shared" si="10"/>
        <v>&lt;unit046&gt; "Больница" {e, p 006, c 902, v "\mp3_ost\bolnica.mp3", d 000, n 047}</v>
      </c>
    </row>
    <row r="47" spans="2:12" x14ac:dyDescent="0.25">
      <c r="B47" s="44">
        <f t="shared" si="6"/>
        <v>47</v>
      </c>
      <c r="C47" s="44" t="s">
        <v>329</v>
      </c>
      <c r="D47" s="39" t="str">
        <f t="shared" si="7"/>
        <v>&gt;&gt;</v>
      </c>
      <c r="E47" s="44" t="s">
        <v>174</v>
      </c>
      <c r="F47" s="44" t="s">
        <v>381</v>
      </c>
      <c r="G47" s="45">
        <f t="shared" si="0"/>
        <v>48</v>
      </c>
      <c r="H47" s="40" t="str">
        <f t="shared" si="1"/>
        <v>p 038</v>
      </c>
      <c r="I47" s="45" t="str">
        <f t="shared" ref="I47:I50" si="11">IFERROR("c "&amp;VLOOKUP(C47,Punkti,2,FALSE),"")</f>
        <v>c 900</v>
      </c>
      <c r="J47" s="46" t="str">
        <f t="shared" ref="J47:J50" si="12">IFERROR(VLOOKUP(E47,Ostanovki,7,FALSE),"")</f>
        <v>v "\mp3_ost\8ssh.mp3"</v>
      </c>
      <c r="K47" s="40" t="str">
        <f t="shared" si="4"/>
        <v>c 930</v>
      </c>
      <c r="L47" s="42" t="str">
        <f t="shared" si="10"/>
        <v>&lt;unit047&gt; "&gt;&gt;СШ № 8" {e, p 038, c 900, v "\mp3_ost\8ssh.mp3", c 930, d 000, n 048}</v>
      </c>
    </row>
    <row r="48" spans="2:12" x14ac:dyDescent="0.25">
      <c r="B48" s="44">
        <f t="shared" si="6"/>
        <v>48</v>
      </c>
      <c r="C48" s="44" t="s">
        <v>79</v>
      </c>
      <c r="D48" s="39" t="str">
        <f t="shared" si="7"/>
        <v/>
      </c>
      <c r="E48" s="44" t="s">
        <v>174</v>
      </c>
      <c r="G48" s="45">
        <f t="shared" si="0"/>
        <v>49</v>
      </c>
      <c r="H48" s="40" t="str">
        <f t="shared" si="1"/>
        <v>p 038</v>
      </c>
      <c r="I48" s="45" t="str">
        <f t="shared" si="11"/>
        <v>c 902</v>
      </c>
      <c r="J48" s="46" t="str">
        <f t="shared" si="12"/>
        <v>v "\mp3_ost\8ssh.mp3"</v>
      </c>
      <c r="K48" s="40" t="str">
        <f t="shared" si="4"/>
        <v/>
      </c>
      <c r="L48" s="42" t="str">
        <f t="shared" si="10"/>
        <v>&lt;unit048&gt; "СШ № 8" {e, p 038, c 902, v "\mp3_ost\8ssh.mp3", d 000, n 049}</v>
      </c>
    </row>
    <row r="49" spans="2:12" x14ac:dyDescent="0.25">
      <c r="B49" s="44">
        <f t="shared" si="6"/>
        <v>49</v>
      </c>
      <c r="C49" s="44" t="s">
        <v>329</v>
      </c>
      <c r="D49" s="39" t="str">
        <f t="shared" si="7"/>
        <v>&gt;&gt;</v>
      </c>
      <c r="E49" s="44" t="s">
        <v>275</v>
      </c>
      <c r="F49" s="44" t="s">
        <v>381</v>
      </c>
      <c r="G49" s="45">
        <f t="shared" si="0"/>
        <v>50</v>
      </c>
      <c r="H49" s="40" t="str">
        <f t="shared" si="1"/>
        <v>p 063</v>
      </c>
      <c r="I49" s="45" t="str">
        <f t="shared" si="11"/>
        <v>c 900</v>
      </c>
      <c r="J49" s="46" t="str">
        <f t="shared" si="12"/>
        <v>c 928, v "\mp3_ost\magistra.mp3"</v>
      </c>
      <c r="K49" s="40" t="str">
        <f t="shared" si="4"/>
        <v>c 930</v>
      </c>
      <c r="L49" s="42" t="str">
        <f t="shared" si="10"/>
        <v>&lt;unit049&gt; "&gt;&gt;ул.Магистральная" {e, p 063, c 900, c 928, v "\mp3_ost\magistra.mp3", c 930, d 000, n 050}</v>
      </c>
    </row>
    <row r="50" spans="2:12" x14ac:dyDescent="0.25">
      <c r="B50" s="44">
        <f t="shared" si="6"/>
        <v>50</v>
      </c>
      <c r="C50" s="44" t="s">
        <v>79</v>
      </c>
      <c r="D50" s="39" t="str">
        <f t="shared" si="7"/>
        <v/>
      </c>
      <c r="E50" s="44" t="s">
        <v>275</v>
      </c>
      <c r="G50" s="45">
        <f t="shared" si="0"/>
        <v>51</v>
      </c>
      <c r="H50" s="40" t="str">
        <f t="shared" si="1"/>
        <v>p 063</v>
      </c>
      <c r="I50" s="45" t="str">
        <f t="shared" si="11"/>
        <v>c 902</v>
      </c>
      <c r="J50" s="46" t="str">
        <f t="shared" si="12"/>
        <v>c 928, v "\mp3_ost\magistra.mp3"</v>
      </c>
      <c r="K50" s="40" t="str">
        <f t="shared" si="4"/>
        <v/>
      </c>
      <c r="L50" s="42" t="str">
        <f t="shared" si="10"/>
        <v>&lt;unit050&gt; "ул.Магистральная" {e, p 063, c 902, c 928, v "\mp3_ost\magistra.mp3", d 000, n 051}</v>
      </c>
    </row>
    <row r="51" spans="2:12" x14ac:dyDescent="0.25">
      <c r="B51" s="44">
        <f t="shared" si="6"/>
        <v>51</v>
      </c>
      <c r="C51" s="44" t="s">
        <v>329</v>
      </c>
      <c r="D51" s="39" t="str">
        <f t="shared" si="7"/>
        <v>&gt;&gt;</v>
      </c>
      <c r="E51" s="44" t="s">
        <v>336</v>
      </c>
      <c r="F51" s="44" t="s">
        <v>381</v>
      </c>
      <c r="G51" s="45">
        <f t="shared" si="0"/>
        <v>52</v>
      </c>
      <c r="H51" s="40" t="str">
        <f t="shared" si="1"/>
        <v>p 067</v>
      </c>
      <c r="I51" s="45" t="str">
        <f t="shared" si="2"/>
        <v>c 900</v>
      </c>
      <c r="J51" s="46" t="str">
        <f t="shared" si="3"/>
        <v>c 928, v "\mp3_ost\ostrovsk.mp3"</v>
      </c>
      <c r="K51" s="40" t="str">
        <f t="shared" si="4"/>
        <v>c 930</v>
      </c>
      <c r="L51" s="42" t="str">
        <f t="shared" si="10"/>
        <v>&lt;unit051&gt; "&gt;&gt;ул.Островского" {e, p 067, c 900, c 928, v "\mp3_ost\ostrovsk.mp3", c 930, d 000, n 052}</v>
      </c>
    </row>
    <row r="52" spans="2:12" x14ac:dyDescent="0.25">
      <c r="B52" s="44">
        <f t="shared" si="6"/>
        <v>52</v>
      </c>
      <c r="C52" s="44" t="s">
        <v>79</v>
      </c>
      <c r="D52" s="39" t="str">
        <f t="shared" si="7"/>
        <v/>
      </c>
      <c r="E52" s="44" t="s">
        <v>336</v>
      </c>
      <c r="G52" s="45">
        <f t="shared" si="0"/>
        <v>53</v>
      </c>
      <c r="H52" s="40" t="str">
        <f t="shared" si="1"/>
        <v>p 067</v>
      </c>
      <c r="I52" s="45" t="str">
        <f t="shared" si="2"/>
        <v>c 902</v>
      </c>
      <c r="J52" s="46" t="str">
        <f t="shared" si="3"/>
        <v>c 928, v "\mp3_ost\ostrovsk.mp3"</v>
      </c>
      <c r="K52" s="40" t="str">
        <f t="shared" si="4"/>
        <v/>
      </c>
      <c r="L52" s="42" t="str">
        <f t="shared" si="10"/>
        <v>&lt;unit052&gt; "ул.Островского" {e, p 067, c 902, c 928, v "\mp3_ost\ostrovsk.mp3", d 000, n 053}</v>
      </c>
    </row>
    <row r="53" spans="2:12" x14ac:dyDescent="0.25">
      <c r="B53" s="44">
        <f t="shared" si="6"/>
        <v>53</v>
      </c>
      <c r="C53" s="44" t="s">
        <v>329</v>
      </c>
      <c r="D53" s="39" t="str">
        <f t="shared" si="7"/>
        <v>&gt;&gt;</v>
      </c>
      <c r="E53" s="44" t="s">
        <v>272</v>
      </c>
      <c r="F53" s="44" t="s">
        <v>381</v>
      </c>
      <c r="G53" s="45">
        <f t="shared" si="0"/>
        <v>54</v>
      </c>
      <c r="H53" s="40" t="str">
        <f t="shared" si="1"/>
        <v>p 058</v>
      </c>
      <c r="I53" s="45" t="str">
        <f t="shared" si="2"/>
        <v>c 900</v>
      </c>
      <c r="J53" s="46" t="str">
        <f t="shared" si="3"/>
        <v>c 928, v "\mp3_ost\leninska.mp3"</v>
      </c>
      <c r="K53" s="40" t="str">
        <f t="shared" si="4"/>
        <v>c 930</v>
      </c>
      <c r="L53" s="42" t="str">
        <f t="shared" si="10"/>
        <v>&lt;unit053&gt; "&gt;&gt;ул.Ленинская" {e, p 058, c 900, c 928, v "\mp3_ost\leninska.mp3", c 930, d 000, n 054}</v>
      </c>
    </row>
    <row r="54" spans="2:12" x14ac:dyDescent="0.25">
      <c r="B54" s="44">
        <f t="shared" si="6"/>
        <v>54</v>
      </c>
      <c r="C54" s="44" t="s">
        <v>79</v>
      </c>
      <c r="D54" s="39" t="str">
        <f t="shared" si="7"/>
        <v/>
      </c>
      <c r="E54" s="44" t="s">
        <v>272</v>
      </c>
      <c r="G54" s="45">
        <f t="shared" si="0"/>
        <v>55</v>
      </c>
      <c r="H54" s="40" t="str">
        <f t="shared" si="1"/>
        <v>p 058</v>
      </c>
      <c r="I54" s="45" t="str">
        <f t="shared" si="2"/>
        <v>c 902</v>
      </c>
      <c r="J54" s="46" t="str">
        <f t="shared" si="3"/>
        <v>c 928, v "\mp3_ost\leninska.mp3"</v>
      </c>
      <c r="K54" s="40" t="str">
        <f t="shared" si="4"/>
        <v/>
      </c>
      <c r="L54" s="42" t="str">
        <f t="shared" si="10"/>
        <v>&lt;unit054&gt; "ул.Ленинская" {e, p 058, c 902, c 928, v "\mp3_ost\leninska.mp3", d 000, n 055}</v>
      </c>
    </row>
    <row r="55" spans="2:12" x14ac:dyDescent="0.25">
      <c r="B55" s="44">
        <f t="shared" si="6"/>
        <v>55</v>
      </c>
      <c r="C55" s="44" t="s">
        <v>329</v>
      </c>
      <c r="D55" s="39" t="str">
        <f t="shared" si="7"/>
        <v>&gt;&gt;</v>
      </c>
      <c r="E55" s="44" t="s">
        <v>213</v>
      </c>
      <c r="F55" s="44" t="s">
        <v>381</v>
      </c>
      <c r="G55" s="45">
        <f t="shared" si="0"/>
        <v>56</v>
      </c>
      <c r="H55" s="40" t="str">
        <f t="shared" si="1"/>
        <v>p 014</v>
      </c>
      <c r="I55" s="45" t="str">
        <f t="shared" si="2"/>
        <v>c 900</v>
      </c>
      <c r="J55" s="46" t="str">
        <f t="shared" si="3"/>
        <v>v "\mp3_ost\kztsh.mp3"</v>
      </c>
      <c r="K55" s="40" t="str">
        <f t="shared" si="4"/>
        <v>c 930</v>
      </c>
      <c r="L55" s="42" t="str">
        <f t="shared" si="10"/>
        <v>&lt;unit055&gt; "&gt;&gt;КЗТШ" {e, p 014, c 900, v "\mp3_ost\kztsh.mp3", c 930, d 000, n 056}</v>
      </c>
    </row>
    <row r="56" spans="2:12" x14ac:dyDescent="0.25">
      <c r="B56" s="44">
        <f t="shared" si="6"/>
        <v>56</v>
      </c>
      <c r="C56" s="44" t="s">
        <v>79</v>
      </c>
      <c r="D56" s="39" t="str">
        <f t="shared" si="7"/>
        <v/>
      </c>
      <c r="E56" s="44" t="s">
        <v>213</v>
      </c>
      <c r="F56" s="44" t="s">
        <v>331</v>
      </c>
      <c r="G56" s="45">
        <f>B58</f>
        <v>58</v>
      </c>
      <c r="H56" s="40" t="str">
        <f t="shared" si="1"/>
        <v>p 014</v>
      </c>
      <c r="I56" s="45" t="str">
        <f t="shared" si="2"/>
        <v>c 902</v>
      </c>
      <c r="J56" s="46" t="str">
        <f t="shared" si="3"/>
        <v>v "\mp3_ost\kztsh.mp3"</v>
      </c>
      <c r="K56" s="40" t="str">
        <f t="shared" si="4"/>
        <v>c 903</v>
      </c>
      <c r="L56" s="42" t="str">
        <f t="shared" si="10"/>
        <v>&lt;unit056&gt; "КЗТШ" {e, p 014, c 902, v "\mp3_ost\kztsh.mp3", c 903, d 000, n 058}</v>
      </c>
    </row>
    <row r="57" spans="2:12" s="39" customFormat="1" x14ac:dyDescent="0.25">
      <c r="G57" s="40"/>
      <c r="H57" s="40"/>
      <c r="I57" s="40"/>
      <c r="J57" s="40"/>
      <c r="K57" s="40"/>
      <c r="L57" s="42"/>
    </row>
    <row r="58" spans="2:12" s="39" customFormat="1" x14ac:dyDescent="0.25">
      <c r="B58" s="39">
        <f t="shared" ref="B58:B112" si="13">ROW(B58)</f>
        <v>58</v>
      </c>
      <c r="E58" s="43" t="s">
        <v>327</v>
      </c>
      <c r="F58" s="43"/>
      <c r="G58" s="40">
        <f>B60</f>
        <v>60</v>
      </c>
      <c r="H58" s="40"/>
      <c r="I58" s="40"/>
      <c r="J58" s="40"/>
      <c r="K58" s="40"/>
      <c r="L58" s="42" t="str">
        <f>"&lt;unit"&amp;TEXT(B58,"000")&amp;"&gt; """&amp;E58&amp;""" {d 000, n "&amp;TEXT(G58,"000")&amp;"}"</f>
        <v>&lt;unit058&gt; "----- Обратный -----" {d 000, n 060}</v>
      </c>
    </row>
    <row r="59" spans="2:12" s="39" customFormat="1" x14ac:dyDescent="0.25">
      <c r="G59" s="40"/>
      <c r="H59" s="40"/>
      <c r="I59" s="40"/>
      <c r="J59" s="40"/>
      <c r="K59" s="40"/>
      <c r="L59" s="42"/>
    </row>
    <row r="60" spans="2:12" x14ac:dyDescent="0.25">
      <c r="B60" s="44">
        <f t="shared" si="13"/>
        <v>60</v>
      </c>
      <c r="C60" s="44" t="s">
        <v>79</v>
      </c>
      <c r="D60" s="39" t="str">
        <f t="shared" ref="D60:D110" si="14">IF(I60="c 900","&gt;&gt;","")</f>
        <v/>
      </c>
      <c r="E60" s="44" t="s">
        <v>213</v>
      </c>
      <c r="G60" s="45">
        <f t="shared" ref="G60:G109" si="15">B61</f>
        <v>61</v>
      </c>
      <c r="H60" s="40" t="str">
        <f t="shared" ref="H60:H110" si="16">IFERROR("p "&amp;VLOOKUP(E60,Tablo_Tab,2,FALSE),"")</f>
        <v>p 014</v>
      </c>
      <c r="I60" s="45" t="str">
        <f t="shared" ref="I60:I110" si="17">IFERROR("c "&amp;VLOOKUP(C60,Punkti,2,FALSE),"")</f>
        <v>c 902</v>
      </c>
      <c r="J60" s="46" t="str">
        <f t="shared" ref="J60:J110" si="18">IFERROR(VLOOKUP(E60,Ostanovki,7,FALSE),"")</f>
        <v>v "\mp3_ost\kztsh.mp3"</v>
      </c>
      <c r="K60" s="40" t="str">
        <f t="shared" ref="K60:K110" si="19">IFERROR("c "&amp;VLOOKUP(F60,Punkti,2,FALSE),"")</f>
        <v/>
      </c>
      <c r="L60" s="42" t="str">
        <f t="shared" ref="L60:L91" si="20">"&lt;unit"&amp;TEXT(B60,"000")&amp;"&gt; """&amp;СцепитьМного(D60:E60,"")&amp;""" {e, "&amp;СцепитьМного(H60:K60,", ")&amp;", d 000, n "&amp;TEXT(G60,"000")&amp;"}"</f>
        <v>&lt;unit060&gt; "КЗТШ" {e, p 014, c 902, v "\mp3_ost\kztsh.mp3", d 000, n 061}</v>
      </c>
    </row>
    <row r="61" spans="2:12" x14ac:dyDescent="0.25">
      <c r="B61" s="44">
        <f t="shared" si="13"/>
        <v>61</v>
      </c>
      <c r="C61" s="44" t="s">
        <v>329</v>
      </c>
      <c r="D61" s="39" t="str">
        <f t="shared" ref="D61:D66" si="21">IF(I61="c 900","&gt;&gt;","")</f>
        <v>&gt;&gt;</v>
      </c>
      <c r="E61" s="44" t="s">
        <v>272</v>
      </c>
      <c r="F61" s="44" t="s">
        <v>381</v>
      </c>
      <c r="G61" s="45">
        <f t="shared" si="15"/>
        <v>62</v>
      </c>
      <c r="H61" s="40" t="str">
        <f t="shared" ref="H61:H66" si="22">IFERROR("p "&amp;VLOOKUP(E61,Tablo_Tab,2,FALSE),"")</f>
        <v>p 058</v>
      </c>
      <c r="I61" s="45" t="str">
        <f t="shared" ref="I61:I66" si="23">IFERROR("c "&amp;VLOOKUP(C61,Punkti,2,FALSE),"")</f>
        <v>c 900</v>
      </c>
      <c r="J61" s="46" t="str">
        <f t="shared" ref="J61:J66" si="24">IFERROR(VLOOKUP(E61,Ostanovki,7,FALSE),"")</f>
        <v>c 928, v "\mp3_ost\leninska.mp3"</v>
      </c>
      <c r="K61" s="40" t="str">
        <f t="shared" ref="K61:K66" si="25">IFERROR("c "&amp;VLOOKUP(F61,Punkti,2,FALSE),"")</f>
        <v>c 930</v>
      </c>
      <c r="L61" s="42" t="str">
        <f t="shared" si="20"/>
        <v>&lt;unit061&gt; "&gt;&gt;ул.Ленинская" {e, p 058, c 900, c 928, v "\mp3_ost\leninska.mp3", c 930, d 000, n 062}</v>
      </c>
    </row>
    <row r="62" spans="2:12" x14ac:dyDescent="0.25">
      <c r="B62" s="44">
        <f t="shared" si="13"/>
        <v>62</v>
      </c>
      <c r="C62" s="44" t="s">
        <v>79</v>
      </c>
      <c r="D62" s="39" t="str">
        <f t="shared" si="21"/>
        <v/>
      </c>
      <c r="E62" s="44" t="s">
        <v>272</v>
      </c>
      <c r="G62" s="45">
        <f t="shared" si="15"/>
        <v>63</v>
      </c>
      <c r="H62" s="40" t="str">
        <f t="shared" si="22"/>
        <v>p 058</v>
      </c>
      <c r="I62" s="45" t="str">
        <f t="shared" si="23"/>
        <v>c 902</v>
      </c>
      <c r="J62" s="46" t="str">
        <f t="shared" si="24"/>
        <v>c 928, v "\mp3_ost\leninska.mp3"</v>
      </c>
      <c r="K62" s="40" t="str">
        <f t="shared" si="25"/>
        <v/>
      </c>
      <c r="L62" s="42" t="str">
        <f t="shared" si="20"/>
        <v>&lt;unit062&gt; "ул.Ленинская" {e, p 058, c 902, c 928, v "\mp3_ost\leninska.mp3", d 000, n 063}</v>
      </c>
    </row>
    <row r="63" spans="2:12" x14ac:dyDescent="0.25">
      <c r="B63" s="44">
        <f t="shared" si="13"/>
        <v>63</v>
      </c>
      <c r="C63" s="44" t="s">
        <v>329</v>
      </c>
      <c r="D63" s="39" t="str">
        <f t="shared" si="21"/>
        <v>&gt;&gt;</v>
      </c>
      <c r="E63" s="44" t="s">
        <v>336</v>
      </c>
      <c r="F63" s="44" t="s">
        <v>381</v>
      </c>
      <c r="G63" s="45">
        <f t="shared" si="15"/>
        <v>64</v>
      </c>
      <c r="H63" s="40" t="str">
        <f t="shared" si="22"/>
        <v>p 067</v>
      </c>
      <c r="I63" s="45" t="str">
        <f t="shared" si="23"/>
        <v>c 900</v>
      </c>
      <c r="J63" s="46" t="str">
        <f t="shared" si="24"/>
        <v>c 928, v "\mp3_ost\ostrovsk.mp3"</v>
      </c>
      <c r="K63" s="40" t="str">
        <f t="shared" si="25"/>
        <v>c 930</v>
      </c>
      <c r="L63" s="42" t="str">
        <f t="shared" si="20"/>
        <v>&lt;unit063&gt; "&gt;&gt;ул.Островского" {e, p 067, c 900, c 928, v "\mp3_ost\ostrovsk.mp3", c 930, d 000, n 064}</v>
      </c>
    </row>
    <row r="64" spans="2:12" x14ac:dyDescent="0.25">
      <c r="B64" s="44">
        <f t="shared" si="13"/>
        <v>64</v>
      </c>
      <c r="C64" s="44" t="s">
        <v>79</v>
      </c>
      <c r="D64" s="39" t="str">
        <f t="shared" si="21"/>
        <v/>
      </c>
      <c r="E64" s="44" t="s">
        <v>336</v>
      </c>
      <c r="G64" s="45">
        <f t="shared" si="15"/>
        <v>65</v>
      </c>
      <c r="H64" s="40" t="str">
        <f t="shared" si="22"/>
        <v>p 067</v>
      </c>
      <c r="I64" s="45" t="str">
        <f t="shared" si="23"/>
        <v>c 902</v>
      </c>
      <c r="J64" s="46" t="str">
        <f t="shared" si="24"/>
        <v>c 928, v "\mp3_ost\ostrovsk.mp3"</v>
      </c>
      <c r="K64" s="40" t="str">
        <f t="shared" si="25"/>
        <v/>
      </c>
      <c r="L64" s="42" t="str">
        <f t="shared" si="20"/>
        <v>&lt;unit064&gt; "ул.Островского" {e, p 067, c 902, c 928, v "\mp3_ost\ostrovsk.mp3", d 000, n 065}</v>
      </c>
    </row>
    <row r="65" spans="2:12" x14ac:dyDescent="0.25">
      <c r="B65" s="44">
        <f t="shared" si="13"/>
        <v>65</v>
      </c>
      <c r="C65" s="44" t="s">
        <v>329</v>
      </c>
      <c r="D65" s="39" t="str">
        <f t="shared" si="21"/>
        <v>&gt;&gt;</v>
      </c>
      <c r="E65" s="44" t="s">
        <v>355</v>
      </c>
      <c r="F65" s="44" t="s">
        <v>381</v>
      </c>
      <c r="G65" s="45">
        <f t="shared" si="15"/>
        <v>66</v>
      </c>
      <c r="H65" s="40" t="str">
        <f t="shared" si="22"/>
        <v>p 051</v>
      </c>
      <c r="I65" s="45" t="str">
        <f t="shared" si="23"/>
        <v>c 900</v>
      </c>
      <c r="J65" s="46" t="str">
        <f t="shared" si="24"/>
        <v>c 928, v "\mp3_ost\vitebsk.mp3"</v>
      </c>
      <c r="K65" s="40" t="str">
        <f t="shared" si="25"/>
        <v>c 930</v>
      </c>
      <c r="L65" s="42" t="str">
        <f t="shared" si="20"/>
        <v>&lt;unit065&gt; "&gt;&gt;ул.Витебская" {e, p 051, c 900, c 928, v "\mp3_ost\vitebsk.mp3", c 930, d 000, n 066}</v>
      </c>
    </row>
    <row r="66" spans="2:12" x14ac:dyDescent="0.25">
      <c r="B66" s="44">
        <f t="shared" si="13"/>
        <v>66</v>
      </c>
      <c r="C66" s="44" t="s">
        <v>79</v>
      </c>
      <c r="D66" s="39" t="str">
        <f t="shared" si="21"/>
        <v/>
      </c>
      <c r="E66" s="44" t="s">
        <v>355</v>
      </c>
      <c r="G66" s="45">
        <f t="shared" si="15"/>
        <v>67</v>
      </c>
      <c r="H66" s="40" t="str">
        <f t="shared" si="22"/>
        <v>p 051</v>
      </c>
      <c r="I66" s="45" t="str">
        <f t="shared" si="23"/>
        <v>c 902</v>
      </c>
      <c r="J66" s="46" t="str">
        <f t="shared" si="24"/>
        <v>c 928, v "\mp3_ost\vitebsk.mp3"</v>
      </c>
      <c r="K66" s="40" t="str">
        <f t="shared" si="25"/>
        <v/>
      </c>
      <c r="L66" s="42" t="str">
        <f t="shared" si="20"/>
        <v>&lt;unit066&gt; "ул.Витебская" {e, p 051, c 902, c 928, v "\mp3_ost\vitebsk.mp3", d 000, n 067}</v>
      </c>
    </row>
    <row r="67" spans="2:12" x14ac:dyDescent="0.25">
      <c r="B67" s="44">
        <f t="shared" si="13"/>
        <v>67</v>
      </c>
      <c r="C67" s="44" t="s">
        <v>329</v>
      </c>
      <c r="D67" s="39" t="str">
        <f t="shared" si="14"/>
        <v>&gt;&gt;</v>
      </c>
      <c r="E67" s="44" t="s">
        <v>354</v>
      </c>
      <c r="F67" s="44" t="s">
        <v>381</v>
      </c>
      <c r="G67" s="45">
        <f t="shared" si="15"/>
        <v>68</v>
      </c>
      <c r="H67" s="40" t="str">
        <f t="shared" si="16"/>
        <v>p 074</v>
      </c>
      <c r="I67" s="45" t="str">
        <f t="shared" si="17"/>
        <v>c 900</v>
      </c>
      <c r="J67" s="46" t="str">
        <f t="shared" si="18"/>
        <v>c 928, v "\mp3_ost\soligors.mp3"</v>
      </c>
      <c r="K67" s="40" t="str">
        <f t="shared" si="19"/>
        <v>c 930</v>
      </c>
      <c r="L67" s="42" t="str">
        <f t="shared" si="20"/>
        <v>&lt;unit067&gt; "&gt;&gt;ул.Солигорская" {e, p 074, c 900, c 928, v "\mp3_ost\soligors.mp3", c 930, d 000, n 068}</v>
      </c>
    </row>
    <row r="68" spans="2:12" x14ac:dyDescent="0.25">
      <c r="B68" s="44">
        <f t="shared" si="13"/>
        <v>68</v>
      </c>
      <c r="C68" s="44" t="s">
        <v>79</v>
      </c>
      <c r="D68" s="39" t="str">
        <f t="shared" si="14"/>
        <v/>
      </c>
      <c r="E68" s="44" t="s">
        <v>354</v>
      </c>
      <c r="G68" s="45">
        <f t="shared" si="15"/>
        <v>69</v>
      </c>
      <c r="H68" s="40" t="str">
        <f t="shared" si="16"/>
        <v>p 074</v>
      </c>
      <c r="I68" s="45" t="str">
        <f t="shared" si="17"/>
        <v>c 902</v>
      </c>
      <c r="J68" s="46" t="str">
        <f t="shared" si="18"/>
        <v>c 928, v "\mp3_ost\soligors.mp3"</v>
      </c>
      <c r="K68" s="40" t="str">
        <f t="shared" si="19"/>
        <v/>
      </c>
      <c r="L68" s="42" t="str">
        <f t="shared" si="20"/>
        <v>&lt;unit068&gt; "ул.Солигорская" {e, p 074, c 902, c 928, v "\mp3_ost\soligors.mp3", d 000, n 069}</v>
      </c>
    </row>
    <row r="69" spans="2:12" x14ac:dyDescent="0.25">
      <c r="B69" s="44">
        <f t="shared" si="13"/>
        <v>69</v>
      </c>
      <c r="C69" s="44" t="s">
        <v>329</v>
      </c>
      <c r="D69" s="39" t="str">
        <f t="shared" si="14"/>
        <v>&gt;&gt;</v>
      </c>
      <c r="E69" s="44" t="s">
        <v>356</v>
      </c>
      <c r="F69" s="44" t="s">
        <v>381</v>
      </c>
      <c r="G69" s="45">
        <f t="shared" si="15"/>
        <v>70</v>
      </c>
      <c r="H69" s="40" t="str">
        <f t="shared" si="16"/>
        <v>p 072</v>
      </c>
      <c r="I69" s="45" t="str">
        <f t="shared" si="17"/>
        <v>c 900</v>
      </c>
      <c r="J69" s="46" t="str">
        <f t="shared" si="18"/>
        <v>c 928, v "\mp3_ost\sluchk.mp3"</v>
      </c>
      <c r="K69" s="40" t="str">
        <f t="shared" si="19"/>
        <v>c 930</v>
      </c>
      <c r="L69" s="42" t="str">
        <f t="shared" si="20"/>
        <v>&lt;unit069&gt; "&gt;&gt;ул.Слуцкая" {e, p 072, c 900, c 928, v "\mp3_ost\sluchk.mp3", c 930, d 000, n 070}</v>
      </c>
    </row>
    <row r="70" spans="2:12" x14ac:dyDescent="0.25">
      <c r="B70" s="44">
        <f t="shared" si="13"/>
        <v>70</v>
      </c>
      <c r="C70" s="44" t="s">
        <v>79</v>
      </c>
      <c r="D70" s="39" t="str">
        <f t="shared" si="14"/>
        <v/>
      </c>
      <c r="E70" s="44" t="s">
        <v>356</v>
      </c>
      <c r="G70" s="45">
        <f t="shared" si="15"/>
        <v>71</v>
      </c>
      <c r="H70" s="40" t="str">
        <f t="shared" si="16"/>
        <v>p 072</v>
      </c>
      <c r="I70" s="45" t="str">
        <f t="shared" si="17"/>
        <v>c 902</v>
      </c>
      <c r="J70" s="46" t="str">
        <f t="shared" si="18"/>
        <v>c 928, v "\mp3_ost\sluchk.mp3"</v>
      </c>
      <c r="K70" s="40" t="str">
        <f t="shared" si="19"/>
        <v/>
      </c>
      <c r="L70" s="42" t="str">
        <f t="shared" si="20"/>
        <v>&lt;unit070&gt; "ул.Слуцкая" {e, p 072, c 902, c 928, v "\mp3_ost\sluchk.mp3", d 000, n 071}</v>
      </c>
    </row>
    <row r="71" spans="2:12" x14ac:dyDescent="0.25">
      <c r="B71" s="44">
        <f t="shared" si="13"/>
        <v>71</v>
      </c>
      <c r="C71" s="44" t="s">
        <v>329</v>
      </c>
      <c r="D71" s="39" t="str">
        <f t="shared" si="14"/>
        <v>&gt;&gt;</v>
      </c>
      <c r="E71" s="44" t="s">
        <v>363</v>
      </c>
      <c r="F71" s="44" t="s">
        <v>381</v>
      </c>
      <c r="G71" s="45">
        <f t="shared" si="15"/>
        <v>72</v>
      </c>
      <c r="H71" s="40" t="str">
        <f t="shared" si="16"/>
        <v>p 044</v>
      </c>
      <c r="I71" s="45" t="str">
        <f t="shared" si="17"/>
        <v>c 900</v>
      </c>
      <c r="J71" s="46" t="str">
        <f t="shared" si="18"/>
        <v>v "\mp3_ost\ugli-2.mp3"</v>
      </c>
      <c r="K71" s="40" t="str">
        <f t="shared" si="19"/>
        <v>c 930</v>
      </c>
      <c r="L71" s="42" t="str">
        <f t="shared" si="20"/>
        <v>&lt;unit071&gt; "&gt;&gt;Углы-2" {e, p 044, c 900, v "\mp3_ost\ugli-2.mp3", c 930, d 000, n 072}</v>
      </c>
    </row>
    <row r="72" spans="2:12" x14ac:dyDescent="0.25">
      <c r="B72" s="44">
        <f t="shared" si="13"/>
        <v>72</v>
      </c>
      <c r="C72" s="44" t="s">
        <v>79</v>
      </c>
      <c r="D72" s="39" t="str">
        <f t="shared" si="14"/>
        <v/>
      </c>
      <c r="E72" s="44" t="s">
        <v>363</v>
      </c>
      <c r="G72" s="45">
        <f t="shared" si="15"/>
        <v>73</v>
      </c>
      <c r="H72" s="40" t="str">
        <f t="shared" si="16"/>
        <v>p 044</v>
      </c>
      <c r="I72" s="45" t="str">
        <f t="shared" si="17"/>
        <v>c 902</v>
      </c>
      <c r="J72" s="46" t="str">
        <f t="shared" si="18"/>
        <v>v "\mp3_ost\ugli-2.mp3"</v>
      </c>
      <c r="K72" s="40" t="str">
        <f t="shared" si="19"/>
        <v/>
      </c>
      <c r="L72" s="42" t="str">
        <f t="shared" si="20"/>
        <v>&lt;unit072&gt; "Углы-2" {e, p 044, c 902, v "\mp3_ost\ugli-2.mp3", d 000, n 073}</v>
      </c>
    </row>
    <row r="73" spans="2:12" x14ac:dyDescent="0.25">
      <c r="B73" s="44">
        <f t="shared" si="13"/>
        <v>73</v>
      </c>
      <c r="C73" s="44" t="s">
        <v>329</v>
      </c>
      <c r="D73" s="39" t="str">
        <f t="shared" ref="D73:D78" si="26">IF(I73="c 900","&gt;&gt;","")</f>
        <v>&gt;&gt;</v>
      </c>
      <c r="E73" s="44" t="s">
        <v>275</v>
      </c>
      <c r="F73" s="44" t="s">
        <v>381</v>
      </c>
      <c r="G73" s="45">
        <f t="shared" si="15"/>
        <v>74</v>
      </c>
      <c r="H73" s="40" t="str">
        <f t="shared" ref="H73:H78" si="27">IFERROR("p "&amp;VLOOKUP(E73,Tablo_Tab,2,FALSE),"")</f>
        <v>p 063</v>
      </c>
      <c r="I73" s="45" t="str">
        <f t="shared" ref="I73:I78" si="28">IFERROR("c "&amp;VLOOKUP(C73,Punkti,2,FALSE),"")</f>
        <v>c 900</v>
      </c>
      <c r="J73" s="46" t="str">
        <f t="shared" ref="J73:J78" si="29">IFERROR(VLOOKUP(E73,Ostanovki,7,FALSE),"")</f>
        <v>c 928, v "\mp3_ost\magistra.mp3"</v>
      </c>
      <c r="K73" s="40" t="str">
        <f t="shared" ref="K73:K78" si="30">IFERROR("c "&amp;VLOOKUP(F73,Punkti,2,FALSE),"")</f>
        <v>c 930</v>
      </c>
      <c r="L73" s="42" t="str">
        <f t="shared" si="20"/>
        <v>&lt;unit073&gt; "&gt;&gt;ул.Магистральная" {e, p 063, c 900, c 928, v "\mp3_ost\magistra.mp3", c 930, d 000, n 074}</v>
      </c>
    </row>
    <row r="74" spans="2:12" x14ac:dyDescent="0.25">
      <c r="B74" s="44">
        <f t="shared" si="13"/>
        <v>74</v>
      </c>
      <c r="C74" s="44" t="s">
        <v>79</v>
      </c>
      <c r="D74" s="39" t="str">
        <f t="shared" si="26"/>
        <v/>
      </c>
      <c r="E74" s="44" t="s">
        <v>275</v>
      </c>
      <c r="G74" s="45">
        <f t="shared" si="15"/>
        <v>75</v>
      </c>
      <c r="H74" s="40" t="str">
        <f t="shared" si="27"/>
        <v>p 063</v>
      </c>
      <c r="I74" s="45" t="str">
        <f t="shared" si="28"/>
        <v>c 902</v>
      </c>
      <c r="J74" s="46" t="str">
        <f t="shared" si="29"/>
        <v>c 928, v "\mp3_ost\magistra.mp3"</v>
      </c>
      <c r="K74" s="40" t="str">
        <f t="shared" si="30"/>
        <v/>
      </c>
      <c r="L74" s="42" t="str">
        <f t="shared" si="20"/>
        <v>&lt;unit074&gt; "ул.Магистральная" {e, p 063, c 902, c 928, v "\mp3_ost\magistra.mp3", d 000, n 075}</v>
      </c>
    </row>
    <row r="75" spans="2:12" x14ac:dyDescent="0.25">
      <c r="B75" s="44">
        <f t="shared" si="13"/>
        <v>75</v>
      </c>
      <c r="C75" s="44" t="s">
        <v>329</v>
      </c>
      <c r="D75" s="39" t="str">
        <f t="shared" si="26"/>
        <v>&gt;&gt;</v>
      </c>
      <c r="E75" s="44" t="s">
        <v>348</v>
      </c>
      <c r="F75" s="44" t="s">
        <v>381</v>
      </c>
      <c r="G75" s="45">
        <f t="shared" si="15"/>
        <v>76</v>
      </c>
      <c r="H75" s="40" t="str">
        <f t="shared" si="27"/>
        <v>p 070</v>
      </c>
      <c r="I75" s="45" t="str">
        <f t="shared" si="28"/>
        <v>c 900</v>
      </c>
      <c r="J75" s="46" t="str">
        <f t="shared" si="29"/>
        <v>c 928, v "\mp3_ost\rodnik.mp3"</v>
      </c>
      <c r="K75" s="40" t="str">
        <f t="shared" si="30"/>
        <v>c 930</v>
      </c>
      <c r="L75" s="42" t="str">
        <f t="shared" si="20"/>
        <v>&lt;unit075&gt; "&gt;&gt;ул.Родниковая" {e, p 070, c 900, c 928, v "\mp3_ost\rodnik.mp3", c 930, d 000, n 076}</v>
      </c>
    </row>
    <row r="76" spans="2:12" x14ac:dyDescent="0.25">
      <c r="B76" s="44">
        <f t="shared" si="13"/>
        <v>76</v>
      </c>
      <c r="C76" s="44" t="s">
        <v>79</v>
      </c>
      <c r="D76" s="39" t="str">
        <f t="shared" si="26"/>
        <v/>
      </c>
      <c r="E76" s="44" t="s">
        <v>348</v>
      </c>
      <c r="G76" s="45">
        <f t="shared" si="15"/>
        <v>77</v>
      </c>
      <c r="H76" s="40" t="str">
        <f t="shared" si="27"/>
        <v>p 070</v>
      </c>
      <c r="I76" s="45" t="str">
        <f t="shared" si="28"/>
        <v>c 902</v>
      </c>
      <c r="J76" s="46" t="str">
        <f t="shared" si="29"/>
        <v>c 928, v "\mp3_ost\rodnik.mp3"</v>
      </c>
      <c r="K76" s="40" t="str">
        <f t="shared" si="30"/>
        <v/>
      </c>
      <c r="L76" s="42" t="str">
        <f t="shared" si="20"/>
        <v>&lt;unit076&gt; "ул.Родниковая" {e, p 070, c 902, c 928, v "\mp3_ost\rodnik.mp3", d 000, n 077}</v>
      </c>
    </row>
    <row r="77" spans="2:12" x14ac:dyDescent="0.25">
      <c r="B77" s="44">
        <f t="shared" si="13"/>
        <v>77</v>
      </c>
      <c r="C77" s="44" t="s">
        <v>329</v>
      </c>
      <c r="D77" s="39" t="str">
        <f t="shared" si="26"/>
        <v>&gt;&gt;</v>
      </c>
      <c r="E77" s="44" t="s">
        <v>174</v>
      </c>
      <c r="F77" s="44" t="s">
        <v>381</v>
      </c>
      <c r="G77" s="45">
        <f t="shared" si="15"/>
        <v>78</v>
      </c>
      <c r="H77" s="40" t="str">
        <f t="shared" si="27"/>
        <v>p 038</v>
      </c>
      <c r="I77" s="45" t="str">
        <f t="shared" si="28"/>
        <v>c 900</v>
      </c>
      <c r="J77" s="46" t="str">
        <f t="shared" si="29"/>
        <v>v "\mp3_ost\8ssh.mp3"</v>
      </c>
      <c r="K77" s="40" t="str">
        <f t="shared" si="30"/>
        <v>c 930</v>
      </c>
      <c r="L77" s="42" t="str">
        <f t="shared" si="20"/>
        <v>&lt;unit077&gt; "&gt;&gt;СШ № 8" {e, p 038, c 900, v "\mp3_ost\8ssh.mp3", c 930, d 000, n 078}</v>
      </c>
    </row>
    <row r="78" spans="2:12" x14ac:dyDescent="0.25">
      <c r="B78" s="44">
        <f t="shared" si="13"/>
        <v>78</v>
      </c>
      <c r="C78" s="44" t="s">
        <v>79</v>
      </c>
      <c r="D78" s="39" t="str">
        <f t="shared" si="26"/>
        <v/>
      </c>
      <c r="E78" s="44" t="s">
        <v>174</v>
      </c>
      <c r="G78" s="45">
        <f t="shared" si="15"/>
        <v>79</v>
      </c>
      <c r="H78" s="40" t="str">
        <f t="shared" si="27"/>
        <v>p 038</v>
      </c>
      <c r="I78" s="45" t="str">
        <f t="shared" si="28"/>
        <v>c 902</v>
      </c>
      <c r="J78" s="46" t="str">
        <f t="shared" si="29"/>
        <v>v "\mp3_ost\8ssh.mp3"</v>
      </c>
      <c r="K78" s="40" t="str">
        <f t="shared" si="30"/>
        <v/>
      </c>
      <c r="L78" s="42" t="str">
        <f t="shared" si="20"/>
        <v>&lt;unit078&gt; "СШ № 8" {e, p 038, c 902, v "\mp3_ost\8ssh.mp3", d 000, n 079}</v>
      </c>
    </row>
    <row r="79" spans="2:12" x14ac:dyDescent="0.25">
      <c r="B79" s="44">
        <f t="shared" si="13"/>
        <v>79</v>
      </c>
      <c r="C79" s="44" t="s">
        <v>329</v>
      </c>
      <c r="D79" s="39" t="str">
        <f t="shared" si="14"/>
        <v>&gt;&gt;</v>
      </c>
      <c r="E79" s="44" t="s">
        <v>180</v>
      </c>
      <c r="F79" s="44" t="s">
        <v>381</v>
      </c>
      <c r="G79" s="45">
        <f t="shared" si="15"/>
        <v>80</v>
      </c>
      <c r="H79" s="40" t="str">
        <f t="shared" si="16"/>
        <v>p 006</v>
      </c>
      <c r="I79" s="45" t="str">
        <f t="shared" si="17"/>
        <v>c 900</v>
      </c>
      <c r="J79" s="46" t="str">
        <f t="shared" si="18"/>
        <v>v "\mp3_ost\bolnica.mp3"</v>
      </c>
      <c r="K79" s="40" t="str">
        <f t="shared" si="19"/>
        <v>c 930</v>
      </c>
      <c r="L79" s="42" t="str">
        <f t="shared" si="20"/>
        <v>&lt;unit079&gt; "&gt;&gt;Больница" {e, p 006, c 900, v "\mp3_ost\bolnica.mp3", c 930, d 000, n 080}</v>
      </c>
    </row>
    <row r="80" spans="2:12" x14ac:dyDescent="0.25">
      <c r="B80" s="44">
        <f t="shared" si="13"/>
        <v>80</v>
      </c>
      <c r="C80" s="44" t="s">
        <v>79</v>
      </c>
      <c r="D80" s="39" t="str">
        <f t="shared" si="14"/>
        <v/>
      </c>
      <c r="E80" s="44" t="s">
        <v>180</v>
      </c>
      <c r="G80" s="45">
        <f t="shared" si="15"/>
        <v>81</v>
      </c>
      <c r="H80" s="40" t="str">
        <f t="shared" si="16"/>
        <v>p 006</v>
      </c>
      <c r="I80" s="45" t="str">
        <f t="shared" si="17"/>
        <v>c 902</v>
      </c>
      <c r="J80" s="46" t="str">
        <f t="shared" si="18"/>
        <v>v "\mp3_ost\bolnica.mp3"</v>
      </c>
      <c r="K80" s="40" t="str">
        <f t="shared" si="19"/>
        <v/>
      </c>
      <c r="L80" s="42" t="str">
        <f t="shared" si="20"/>
        <v>&lt;unit080&gt; "Больница" {e, p 006, c 902, v "\mp3_ost\bolnica.mp3", d 000, n 081}</v>
      </c>
    </row>
    <row r="81" spans="2:12" x14ac:dyDescent="0.25">
      <c r="B81" s="44">
        <f t="shared" si="13"/>
        <v>81</v>
      </c>
      <c r="C81" s="44" t="s">
        <v>329</v>
      </c>
      <c r="D81" s="39" t="str">
        <f t="shared" si="14"/>
        <v>&gt;&gt;</v>
      </c>
      <c r="E81" s="44" t="s">
        <v>347</v>
      </c>
      <c r="F81" s="44" t="s">
        <v>381</v>
      </c>
      <c r="G81" s="45">
        <f t="shared" si="15"/>
        <v>82</v>
      </c>
      <c r="H81" s="40" t="str">
        <f t="shared" si="16"/>
        <v>p 050</v>
      </c>
      <c r="I81" s="45" t="str">
        <f t="shared" si="17"/>
        <v>c 900</v>
      </c>
      <c r="J81" s="46" t="str">
        <f t="shared" si="18"/>
        <v>c 928, v "\mp3_ost\borovaja.mp3"</v>
      </c>
      <c r="K81" s="40" t="str">
        <f t="shared" si="19"/>
        <v>c 930</v>
      </c>
      <c r="L81" s="42" t="str">
        <f t="shared" si="20"/>
        <v>&lt;unit081&gt; "&gt;&gt;ул.Боровая" {e, p 050, c 900, c 928, v "\mp3_ost\borovaja.mp3", c 930, d 000, n 082}</v>
      </c>
    </row>
    <row r="82" spans="2:12" x14ac:dyDescent="0.25">
      <c r="B82" s="44">
        <f t="shared" si="13"/>
        <v>82</v>
      </c>
      <c r="C82" s="44" t="s">
        <v>79</v>
      </c>
      <c r="D82" s="39" t="str">
        <f t="shared" si="14"/>
        <v/>
      </c>
      <c r="E82" s="44" t="s">
        <v>347</v>
      </c>
      <c r="G82" s="45">
        <f t="shared" si="15"/>
        <v>83</v>
      </c>
      <c r="H82" s="40" t="str">
        <f t="shared" si="16"/>
        <v>p 050</v>
      </c>
      <c r="I82" s="45" t="str">
        <f t="shared" si="17"/>
        <v>c 902</v>
      </c>
      <c r="J82" s="46" t="str">
        <f t="shared" si="18"/>
        <v>c 928, v "\mp3_ost\borovaja.mp3"</v>
      </c>
      <c r="K82" s="40" t="str">
        <f t="shared" si="19"/>
        <v/>
      </c>
      <c r="L82" s="42" t="str">
        <f t="shared" si="20"/>
        <v>&lt;unit082&gt; "ул.Боровая" {e, p 050, c 902, c 928, v "\mp3_ost\borovaja.mp3", d 000, n 083}</v>
      </c>
    </row>
    <row r="83" spans="2:12" x14ac:dyDescent="0.25">
      <c r="B83" s="44">
        <f t="shared" si="13"/>
        <v>83</v>
      </c>
      <c r="C83" s="44" t="s">
        <v>329</v>
      </c>
      <c r="D83" s="39" t="str">
        <f t="shared" ref="D83:D84" si="31">IF(I83="c 900","&gt;&gt;","")</f>
        <v>&gt;&gt;</v>
      </c>
      <c r="E83" s="44" t="s">
        <v>260</v>
      </c>
      <c r="F83" s="44" t="s">
        <v>381</v>
      </c>
      <c r="G83" s="45">
        <f t="shared" si="15"/>
        <v>84</v>
      </c>
      <c r="H83" s="40" t="str">
        <f t="shared" ref="H83:H84" si="32">IFERROR("p "&amp;VLOOKUP(E83,Tablo_Tab,2,FALSE),"")</f>
        <v>p 029</v>
      </c>
      <c r="I83" s="45" t="str">
        <f t="shared" ref="I83:I84" si="33">IFERROR("c "&amp;VLOOKUP(C83,Punkti,2,FALSE),"")</f>
        <v>c 900</v>
      </c>
      <c r="J83" s="46" t="str">
        <f t="shared" ref="J83:J84" si="34">IFERROR(VLOOKUP(E83,Ostanovki,7,FALSE),"")</f>
        <v>v "\mp3_ost\venis`e.mp3"</v>
      </c>
      <c r="K83" s="40" t="str">
        <f t="shared" ref="K83:K84" si="35">IFERROR("c "&amp;VLOOKUP(F83,Punkti,2,FALSE),"")</f>
        <v>c 930</v>
      </c>
      <c r="L83" s="42" t="str">
        <f t="shared" si="20"/>
        <v>&lt;unit083&gt; "&gt;&gt;пр-т Венисье" {e, p 029, c 900, v "\mp3_ost\venis`e.mp3", c 930, d 000, n 084}</v>
      </c>
    </row>
    <row r="84" spans="2:12" x14ac:dyDescent="0.25">
      <c r="B84" s="44">
        <f t="shared" si="13"/>
        <v>84</v>
      </c>
      <c r="C84" s="44" t="s">
        <v>79</v>
      </c>
      <c r="D84" s="39" t="str">
        <f t="shared" si="31"/>
        <v/>
      </c>
      <c r="E84" s="44" t="s">
        <v>260</v>
      </c>
      <c r="G84" s="45">
        <f t="shared" si="15"/>
        <v>85</v>
      </c>
      <c r="H84" s="40" t="str">
        <f t="shared" si="32"/>
        <v>p 029</v>
      </c>
      <c r="I84" s="45" t="str">
        <f t="shared" si="33"/>
        <v>c 902</v>
      </c>
      <c r="J84" s="46" t="str">
        <f t="shared" si="34"/>
        <v>v "\mp3_ost\venis`e.mp3"</v>
      </c>
      <c r="K84" s="40" t="str">
        <f t="shared" si="35"/>
        <v/>
      </c>
      <c r="L84" s="42" t="str">
        <f t="shared" si="20"/>
        <v>&lt;unit084&gt; "пр-т Венисье" {e, p 029, c 902, v "\mp3_ost\venis`e.mp3", d 000, n 085}</v>
      </c>
    </row>
    <row r="85" spans="2:12" x14ac:dyDescent="0.25">
      <c r="B85" s="44">
        <f t="shared" si="13"/>
        <v>85</v>
      </c>
      <c r="C85" s="44" t="s">
        <v>329</v>
      </c>
      <c r="D85" s="39" t="str">
        <f t="shared" si="14"/>
        <v>&gt;&gt;</v>
      </c>
      <c r="E85" s="44" t="s">
        <v>240</v>
      </c>
      <c r="F85" s="44" t="s">
        <v>381</v>
      </c>
      <c r="G85" s="45">
        <f t="shared" si="15"/>
        <v>86</v>
      </c>
      <c r="H85" s="40" t="str">
        <f t="shared" si="16"/>
        <v>p 034</v>
      </c>
      <c r="I85" s="45" t="str">
        <f t="shared" si="17"/>
        <v>c 900</v>
      </c>
      <c r="J85" s="46" t="str">
        <f t="shared" si="18"/>
        <v>v "\mp3_ost\sberbank.mp3"</v>
      </c>
      <c r="K85" s="40" t="str">
        <f t="shared" si="19"/>
        <v>c 930</v>
      </c>
      <c r="L85" s="42" t="str">
        <f t="shared" si="20"/>
        <v>&lt;unit085&gt; "&gt;&gt;Сбербанк" {e, p 034, c 900, v "\mp3_ost\sberbank.mp3", c 930, d 000, n 086}</v>
      </c>
    </row>
    <row r="86" spans="2:12" x14ac:dyDescent="0.25">
      <c r="B86" s="44">
        <f t="shared" si="13"/>
        <v>86</v>
      </c>
      <c r="C86" s="44" t="s">
        <v>79</v>
      </c>
      <c r="D86" s="39" t="str">
        <f t="shared" si="14"/>
        <v/>
      </c>
      <c r="E86" s="44" t="s">
        <v>240</v>
      </c>
      <c r="G86" s="45">
        <f t="shared" si="15"/>
        <v>87</v>
      </c>
      <c r="H86" s="40" t="str">
        <f t="shared" si="16"/>
        <v>p 034</v>
      </c>
      <c r="I86" s="45" t="str">
        <f t="shared" si="17"/>
        <v>c 902</v>
      </c>
      <c r="J86" s="46" t="str">
        <f t="shared" si="18"/>
        <v>v "\mp3_ost\sberbank.mp3"</v>
      </c>
      <c r="K86" s="40" t="str">
        <f t="shared" si="19"/>
        <v/>
      </c>
      <c r="L86" s="42" t="str">
        <f t="shared" si="20"/>
        <v>&lt;unit086&gt; "Сбербанк" {e, p 034, c 902, v "\mp3_ost\sberbank.mp3", d 000, n 087}</v>
      </c>
    </row>
    <row r="87" spans="2:12" x14ac:dyDescent="0.25">
      <c r="B87" s="44">
        <f t="shared" si="13"/>
        <v>87</v>
      </c>
      <c r="C87" s="44" t="s">
        <v>329</v>
      </c>
      <c r="D87" s="39" t="str">
        <f t="shared" si="14"/>
        <v>&gt;&gt;</v>
      </c>
      <c r="E87" s="44" t="s">
        <v>225</v>
      </c>
      <c r="F87" s="44" t="s">
        <v>381</v>
      </c>
      <c r="G87" s="45">
        <f t="shared" si="15"/>
        <v>88</v>
      </c>
      <c r="H87" s="40" t="str">
        <f t="shared" si="16"/>
        <v>p 027</v>
      </c>
      <c r="I87" s="45" t="str">
        <f t="shared" si="17"/>
        <v>c 900</v>
      </c>
      <c r="J87" s="46" t="str">
        <f t="shared" si="18"/>
        <v>v "\mp3_ost\paliklin.mp3"</v>
      </c>
      <c r="K87" s="40" t="str">
        <f t="shared" si="19"/>
        <v>c 930</v>
      </c>
      <c r="L87" s="42" t="str">
        <f t="shared" si="20"/>
        <v>&lt;unit087&gt; "&gt;&gt;Поликлиника" {e, p 027, c 900, v "\mp3_ost\paliklin.mp3", c 930, d 000, n 088}</v>
      </c>
    </row>
    <row r="88" spans="2:12" x14ac:dyDescent="0.25">
      <c r="B88" s="44">
        <f t="shared" si="13"/>
        <v>88</v>
      </c>
      <c r="C88" s="44" t="s">
        <v>79</v>
      </c>
      <c r="D88" s="39" t="str">
        <f t="shared" si="14"/>
        <v/>
      </c>
      <c r="E88" s="44" t="s">
        <v>225</v>
      </c>
      <c r="G88" s="45">
        <f t="shared" si="15"/>
        <v>89</v>
      </c>
      <c r="H88" s="40" t="str">
        <f t="shared" si="16"/>
        <v>p 027</v>
      </c>
      <c r="I88" s="45" t="str">
        <f t="shared" si="17"/>
        <v>c 902</v>
      </c>
      <c r="J88" s="46" t="str">
        <f t="shared" si="18"/>
        <v>v "\mp3_ost\paliklin.mp3"</v>
      </c>
      <c r="K88" s="40" t="str">
        <f t="shared" si="19"/>
        <v/>
      </c>
      <c r="L88" s="42" t="str">
        <f t="shared" si="20"/>
        <v>&lt;unit088&gt; "Поликлиника" {e, p 027, c 902, v "\mp3_ost\paliklin.mp3", d 000, n 089}</v>
      </c>
    </row>
    <row r="89" spans="2:12" x14ac:dyDescent="0.25">
      <c r="B89" s="44">
        <f t="shared" si="13"/>
        <v>89</v>
      </c>
      <c r="C89" s="44" t="s">
        <v>329</v>
      </c>
      <c r="D89" s="39" t="str">
        <f t="shared" si="14"/>
        <v>&gt;&gt;</v>
      </c>
      <c r="E89" s="44" t="s">
        <v>349</v>
      </c>
      <c r="F89" s="44" t="s">
        <v>381</v>
      </c>
      <c r="G89" s="45">
        <f t="shared" si="15"/>
        <v>90</v>
      </c>
      <c r="H89" s="40" t="str">
        <f t="shared" si="16"/>
        <v>p 022</v>
      </c>
      <c r="I89" s="45" t="str">
        <f t="shared" si="17"/>
        <v>c 900</v>
      </c>
      <c r="J89" s="46" t="str">
        <f t="shared" si="18"/>
        <v>v "\mp3_ost\park.mp3"</v>
      </c>
      <c r="K89" s="40" t="str">
        <f t="shared" si="19"/>
        <v>c 930</v>
      </c>
      <c r="L89" s="42" t="str">
        <f t="shared" si="20"/>
        <v>&lt;unit089&gt; "&gt;&gt;Парк культуры" {e, p 022, c 900, v "\mp3_ost\park.mp3", c 930, d 000, n 090}</v>
      </c>
    </row>
    <row r="90" spans="2:12" x14ac:dyDescent="0.25">
      <c r="B90" s="44">
        <f t="shared" si="13"/>
        <v>90</v>
      </c>
      <c r="C90" s="44" t="s">
        <v>79</v>
      </c>
      <c r="D90" s="39" t="str">
        <f t="shared" si="14"/>
        <v/>
      </c>
      <c r="E90" s="44" t="s">
        <v>349</v>
      </c>
      <c r="G90" s="45">
        <f t="shared" si="15"/>
        <v>91</v>
      </c>
      <c r="H90" s="40" t="str">
        <f t="shared" si="16"/>
        <v>p 022</v>
      </c>
      <c r="I90" s="45" t="str">
        <f t="shared" si="17"/>
        <v>c 902</v>
      </c>
      <c r="J90" s="46" t="str">
        <f t="shared" si="18"/>
        <v>v "\mp3_ost\park.mp3"</v>
      </c>
      <c r="K90" s="40" t="str">
        <f t="shared" si="19"/>
        <v/>
      </c>
      <c r="L90" s="42" t="str">
        <f t="shared" si="20"/>
        <v>&lt;unit090&gt; "Парк культуры" {e, p 022, c 902, v "\mp3_ost\park.mp3", d 000, n 091}</v>
      </c>
    </row>
    <row r="91" spans="2:12" x14ac:dyDescent="0.25">
      <c r="B91" s="44">
        <f t="shared" si="13"/>
        <v>91</v>
      </c>
      <c r="C91" s="44" t="s">
        <v>329</v>
      </c>
      <c r="D91" s="39" t="str">
        <f t="shared" si="14"/>
        <v>&gt;&gt;</v>
      </c>
      <c r="E91" s="44" t="s">
        <v>233</v>
      </c>
      <c r="F91" s="44" t="s">
        <v>381</v>
      </c>
      <c r="G91" s="45">
        <f t="shared" si="15"/>
        <v>92</v>
      </c>
      <c r="H91" s="40" t="str">
        <f t="shared" si="16"/>
        <v>p 028</v>
      </c>
      <c r="I91" s="45" t="str">
        <f t="shared" si="17"/>
        <v>c 900</v>
      </c>
      <c r="J91" s="46" t="str">
        <f t="shared" si="18"/>
        <v>v "\mp3_ost\pochta.mp3"</v>
      </c>
      <c r="K91" s="40" t="str">
        <f t="shared" si="19"/>
        <v>c 930</v>
      </c>
      <c r="L91" s="42" t="str">
        <f t="shared" si="20"/>
        <v>&lt;unit091&gt; "&gt;&gt;Почта" {e, p 028, c 900, v "\mp3_ost\pochta.mp3", c 930, d 000, n 092}</v>
      </c>
    </row>
    <row r="92" spans="2:12" x14ac:dyDescent="0.25">
      <c r="B92" s="44">
        <f t="shared" si="13"/>
        <v>92</v>
      </c>
      <c r="C92" s="44" t="s">
        <v>79</v>
      </c>
      <c r="D92" s="39" t="str">
        <f t="shared" si="14"/>
        <v/>
      </c>
      <c r="E92" s="44" t="s">
        <v>233</v>
      </c>
      <c r="G92" s="45">
        <f t="shared" si="15"/>
        <v>93</v>
      </c>
      <c r="H92" s="40" t="str">
        <f t="shared" si="16"/>
        <v>p 028</v>
      </c>
      <c r="I92" s="45" t="str">
        <f t="shared" si="17"/>
        <v>c 902</v>
      </c>
      <c r="J92" s="46" t="str">
        <f t="shared" si="18"/>
        <v>v "\mp3_ost\pochta.mp3"</v>
      </c>
      <c r="K92" s="40" t="str">
        <f t="shared" si="19"/>
        <v/>
      </c>
      <c r="L92" s="42" t="str">
        <f t="shared" ref="L92:L110" si="36">"&lt;unit"&amp;TEXT(B92,"000")&amp;"&gt; """&amp;СцепитьМного(D92:E92,"")&amp;""" {e, "&amp;СцепитьМного(H92:K92,", ")&amp;", d 000, n "&amp;TEXT(G92,"000")&amp;"}"</f>
        <v>&lt;unit092&gt; "Почта" {e, p 028, c 902, v "\mp3_ost\pochta.mp3", d 000, n 093}</v>
      </c>
    </row>
    <row r="93" spans="2:12" x14ac:dyDescent="0.25">
      <c r="B93" s="44">
        <f t="shared" si="13"/>
        <v>93</v>
      </c>
      <c r="C93" s="44" t="s">
        <v>329</v>
      </c>
      <c r="D93" s="39" t="str">
        <f t="shared" si="14"/>
        <v>&gt;&gt;</v>
      </c>
      <c r="E93" s="44" t="s">
        <v>167</v>
      </c>
      <c r="F93" s="44" t="s">
        <v>381</v>
      </c>
      <c r="G93" s="45">
        <f t="shared" si="15"/>
        <v>94</v>
      </c>
      <c r="H93" s="40" t="str">
        <f t="shared" si="16"/>
        <v>p 077</v>
      </c>
      <c r="I93" s="45" t="str">
        <f t="shared" si="17"/>
        <v>c 900</v>
      </c>
      <c r="J93" s="46" t="str">
        <f t="shared" si="18"/>
        <v>c 928, v "\mp3_ost\swrokvas.mp3"</v>
      </c>
      <c r="K93" s="40" t="str">
        <f t="shared" si="19"/>
        <v>c 930</v>
      </c>
      <c r="L93" s="42" t="str">
        <f t="shared" si="36"/>
        <v>&lt;unit093&gt; "&gt;&gt;ул.Сырокваша" {e, p 077, c 900, c 928, v "\mp3_ost\swrokvas.mp3", c 930, d 000, n 094}</v>
      </c>
    </row>
    <row r="94" spans="2:12" x14ac:dyDescent="0.25">
      <c r="B94" s="44">
        <f t="shared" si="13"/>
        <v>94</v>
      </c>
      <c r="C94" s="44" t="s">
        <v>79</v>
      </c>
      <c r="D94" s="39" t="str">
        <f t="shared" si="14"/>
        <v/>
      </c>
      <c r="E94" s="44" t="s">
        <v>167</v>
      </c>
      <c r="G94" s="45">
        <f t="shared" si="15"/>
        <v>95</v>
      </c>
      <c r="H94" s="40" t="str">
        <f t="shared" si="16"/>
        <v>p 077</v>
      </c>
      <c r="I94" s="45" t="str">
        <f t="shared" si="17"/>
        <v>c 902</v>
      </c>
      <c r="J94" s="46" t="str">
        <f t="shared" si="18"/>
        <v>c 928, v "\mp3_ost\swrokvas.mp3"</v>
      </c>
      <c r="K94" s="40" t="str">
        <f t="shared" si="19"/>
        <v/>
      </c>
      <c r="L94" s="42" t="str">
        <f t="shared" si="36"/>
        <v>&lt;unit094&gt; "ул.Сырокваша" {e, p 077, c 902, c 928, v "\mp3_ost\swrokvas.mp3", d 000, n 095}</v>
      </c>
    </row>
    <row r="95" spans="2:12" x14ac:dyDescent="0.25">
      <c r="B95" s="44">
        <f t="shared" si="13"/>
        <v>95</v>
      </c>
      <c r="C95" s="44" t="s">
        <v>329</v>
      </c>
      <c r="D95" s="39" t="str">
        <f t="shared" si="14"/>
        <v>&gt;&gt;</v>
      </c>
      <c r="E95" s="44" t="s">
        <v>165</v>
      </c>
      <c r="F95" s="44" t="s">
        <v>381</v>
      </c>
      <c r="G95" s="45">
        <f t="shared" si="15"/>
        <v>96</v>
      </c>
      <c r="H95" s="40" t="str">
        <f t="shared" si="16"/>
        <v>p 064</v>
      </c>
      <c r="I95" s="45" t="str">
        <f t="shared" si="17"/>
        <v>c 900</v>
      </c>
      <c r="J95" s="46" t="str">
        <f t="shared" si="18"/>
        <v>c 928, v "\mp3_ost\moskovsk.mp3"</v>
      </c>
      <c r="K95" s="40" t="str">
        <f t="shared" si="19"/>
        <v>c 930</v>
      </c>
      <c r="L95" s="42" t="str">
        <f t="shared" si="36"/>
        <v>&lt;unit095&gt; "&gt;&gt;ул.Московская" {e, p 064, c 900, c 928, v "\mp3_ost\moskovsk.mp3", c 930, d 000, n 096}</v>
      </c>
    </row>
    <row r="96" spans="2:12" x14ac:dyDescent="0.25">
      <c r="B96" s="44">
        <f t="shared" si="13"/>
        <v>96</v>
      </c>
      <c r="C96" s="44" t="s">
        <v>79</v>
      </c>
      <c r="D96" s="39" t="str">
        <f t="shared" si="14"/>
        <v/>
      </c>
      <c r="E96" s="44" t="s">
        <v>165</v>
      </c>
      <c r="G96" s="45">
        <f t="shared" si="15"/>
        <v>97</v>
      </c>
      <c r="H96" s="40" t="str">
        <f t="shared" si="16"/>
        <v>p 064</v>
      </c>
      <c r="I96" s="45" t="str">
        <f t="shared" si="17"/>
        <v>c 902</v>
      </c>
      <c r="J96" s="46" t="str">
        <f t="shared" si="18"/>
        <v>c 928, v "\mp3_ost\moskovsk.mp3"</v>
      </c>
      <c r="K96" s="40" t="str">
        <f t="shared" si="19"/>
        <v/>
      </c>
      <c r="L96" s="42" t="str">
        <f t="shared" si="36"/>
        <v>&lt;unit096&gt; "ул.Московская" {e, p 064, c 902, c 928, v "\mp3_ost\moskovsk.mp3", d 000, n 097}</v>
      </c>
    </row>
    <row r="97" spans="2:12" x14ac:dyDescent="0.25">
      <c r="B97" s="44">
        <f t="shared" si="13"/>
        <v>97</v>
      </c>
      <c r="C97" s="44" t="s">
        <v>329</v>
      </c>
      <c r="D97" s="39" t="str">
        <f t="shared" si="14"/>
        <v>&gt;&gt;</v>
      </c>
      <c r="E97" s="44" t="s">
        <v>166</v>
      </c>
      <c r="F97" s="44" t="s">
        <v>381</v>
      </c>
      <c r="G97" s="45">
        <f t="shared" si="15"/>
        <v>98</v>
      </c>
      <c r="H97" s="40" t="str">
        <f t="shared" si="16"/>
        <v>p 068</v>
      </c>
      <c r="I97" s="45" t="str">
        <f t="shared" si="17"/>
        <v>c 900</v>
      </c>
      <c r="J97" s="46" t="str">
        <f t="shared" si="18"/>
        <v>c 928, v "\mp3_ost\partizan.mp3"</v>
      </c>
      <c r="K97" s="40" t="str">
        <f t="shared" si="19"/>
        <v>c 930</v>
      </c>
      <c r="L97" s="42" t="str">
        <f t="shared" si="36"/>
        <v>&lt;unit097&gt; "&gt;&gt;ул.Партизанская" {e, p 068, c 900, c 928, v "\mp3_ost\partizan.mp3", c 930, d 000, n 098}</v>
      </c>
    </row>
    <row r="98" spans="2:12" x14ac:dyDescent="0.25">
      <c r="B98" s="44">
        <f t="shared" si="13"/>
        <v>98</v>
      </c>
      <c r="C98" s="44" t="s">
        <v>79</v>
      </c>
      <c r="D98" s="39" t="str">
        <f t="shared" si="14"/>
        <v/>
      </c>
      <c r="E98" s="44" t="s">
        <v>166</v>
      </c>
      <c r="G98" s="45">
        <f t="shared" si="15"/>
        <v>99</v>
      </c>
      <c r="H98" s="40" t="str">
        <f t="shared" si="16"/>
        <v>p 068</v>
      </c>
      <c r="I98" s="45" t="str">
        <f t="shared" si="17"/>
        <v>c 902</v>
      </c>
      <c r="J98" s="46" t="str">
        <f t="shared" si="18"/>
        <v>c 928, v "\mp3_ost\partizan.mp3"</v>
      </c>
      <c r="K98" s="40" t="str">
        <f t="shared" si="19"/>
        <v/>
      </c>
      <c r="L98" s="42" t="str">
        <f t="shared" si="36"/>
        <v>&lt;unit098&gt; "ул.Партизанская" {e, p 068, c 902, c 928, v "\mp3_ost\partizan.mp3", d 000, n 099}</v>
      </c>
    </row>
    <row r="99" spans="2:12" x14ac:dyDescent="0.25">
      <c r="B99" s="44">
        <f t="shared" si="13"/>
        <v>99</v>
      </c>
      <c r="C99" s="44" t="s">
        <v>329</v>
      </c>
      <c r="D99" s="39" t="str">
        <f t="shared" si="14"/>
        <v>&gt;&gt;</v>
      </c>
      <c r="E99" s="44" t="s">
        <v>163</v>
      </c>
      <c r="F99" s="44" t="s">
        <v>381</v>
      </c>
      <c r="G99" s="45">
        <f t="shared" si="15"/>
        <v>100</v>
      </c>
      <c r="H99" s="40" t="str">
        <f t="shared" si="16"/>
        <v>p 010</v>
      </c>
      <c r="I99" s="45" t="str">
        <f t="shared" si="17"/>
        <v>c 900</v>
      </c>
      <c r="J99" s="46" t="str">
        <f t="shared" si="18"/>
        <v>v "\mp3_ost\jd.mp3"</v>
      </c>
      <c r="K99" s="40" t="str">
        <f t="shared" si="19"/>
        <v>c 930</v>
      </c>
      <c r="L99" s="42" t="str">
        <f t="shared" si="36"/>
        <v>&lt;unit099&gt; "&gt;&gt;ЖД Вокзал" {e, p 010, c 900, v "\mp3_ost\jd.mp3", c 930, d 000, n 100}</v>
      </c>
    </row>
    <row r="100" spans="2:12" x14ac:dyDescent="0.25">
      <c r="B100" s="44">
        <f t="shared" si="13"/>
        <v>100</v>
      </c>
      <c r="C100" s="44" t="s">
        <v>79</v>
      </c>
      <c r="D100" s="39" t="str">
        <f t="shared" si="14"/>
        <v/>
      </c>
      <c r="E100" s="44" t="s">
        <v>163</v>
      </c>
      <c r="G100" s="45">
        <f t="shared" si="15"/>
        <v>101</v>
      </c>
      <c r="H100" s="40" t="str">
        <f t="shared" si="16"/>
        <v>p 010</v>
      </c>
      <c r="I100" s="45" t="str">
        <f t="shared" si="17"/>
        <v>c 902</v>
      </c>
      <c r="J100" s="46" t="str">
        <f t="shared" si="18"/>
        <v>v "\mp3_ost\jd.mp3"</v>
      </c>
      <c r="K100" s="40" t="str">
        <f t="shared" si="19"/>
        <v/>
      </c>
      <c r="L100" s="42" t="str">
        <f t="shared" si="36"/>
        <v>&lt;unit100&gt; "ЖД Вокзал" {e, p 010, c 902, v "\mp3_ost\jd.mp3", d 000, n 101}</v>
      </c>
    </row>
    <row r="101" spans="2:12" x14ac:dyDescent="0.25">
      <c r="B101" s="44">
        <f t="shared" si="13"/>
        <v>101</v>
      </c>
      <c r="C101" s="44" t="s">
        <v>329</v>
      </c>
      <c r="D101" s="39" t="str">
        <f t="shared" si="14"/>
        <v>&gt;&gt;</v>
      </c>
      <c r="E101" s="44" t="s">
        <v>346</v>
      </c>
      <c r="F101" s="44" t="s">
        <v>381</v>
      </c>
      <c r="G101" s="45">
        <f t="shared" si="15"/>
        <v>102</v>
      </c>
      <c r="H101" s="40" t="str">
        <f t="shared" si="16"/>
        <v>p 054</v>
      </c>
      <c r="I101" s="45" t="str">
        <f t="shared" si="17"/>
        <v>c 900</v>
      </c>
      <c r="J101" s="46" t="str">
        <f t="shared" si="18"/>
        <v>c 928, v "\mp3_ost\zhodinsk.mp3"</v>
      </c>
      <c r="K101" s="40" t="str">
        <f t="shared" si="19"/>
        <v>c 930</v>
      </c>
      <c r="L101" s="42" t="str">
        <f t="shared" si="36"/>
        <v>&lt;unit101&gt; "&gt;&gt;ул.Жодинская" {e, p 054, c 900, c 928, v "\mp3_ost\zhodinsk.mp3", c 930, d 000, n 102}</v>
      </c>
    </row>
    <row r="102" spans="2:12" x14ac:dyDescent="0.25">
      <c r="B102" s="44">
        <f t="shared" si="13"/>
        <v>102</v>
      </c>
      <c r="C102" s="44" t="s">
        <v>79</v>
      </c>
      <c r="D102" s="39" t="str">
        <f t="shared" si="14"/>
        <v/>
      </c>
      <c r="E102" s="44" t="s">
        <v>346</v>
      </c>
      <c r="G102" s="45">
        <f t="shared" si="15"/>
        <v>103</v>
      </c>
      <c r="H102" s="40" t="str">
        <f t="shared" si="16"/>
        <v>p 054</v>
      </c>
      <c r="I102" s="45" t="str">
        <f t="shared" si="17"/>
        <v>c 902</v>
      </c>
      <c r="J102" s="46" t="str">
        <f t="shared" si="18"/>
        <v>c 928, v "\mp3_ost\zhodinsk.mp3"</v>
      </c>
      <c r="K102" s="40" t="str">
        <f t="shared" si="19"/>
        <v/>
      </c>
      <c r="L102" s="42" t="str">
        <f t="shared" si="36"/>
        <v>&lt;unit102&gt; "ул.Жодинская" {e, p 054, c 902, c 928, v "\mp3_ost\zhodinsk.mp3", d 000, n 103}</v>
      </c>
    </row>
    <row r="103" spans="2:12" x14ac:dyDescent="0.25">
      <c r="B103" s="44">
        <f t="shared" si="13"/>
        <v>103</v>
      </c>
      <c r="C103" s="44" t="s">
        <v>329</v>
      </c>
      <c r="D103" s="39" t="str">
        <f t="shared" si="14"/>
        <v>&gt;&gt;</v>
      </c>
      <c r="E103" s="44" t="s">
        <v>253</v>
      </c>
      <c r="F103" s="44" t="s">
        <v>381</v>
      </c>
      <c r="G103" s="45">
        <f t="shared" si="15"/>
        <v>104</v>
      </c>
      <c r="H103" s="40" t="str">
        <f t="shared" si="16"/>
        <v>p 042</v>
      </c>
      <c r="I103" s="45" t="str">
        <f t="shared" si="17"/>
        <v>c 900</v>
      </c>
      <c r="J103" s="46" t="str">
        <f t="shared" si="18"/>
        <v>v "\mp3_ost\tec.mp3"</v>
      </c>
      <c r="K103" s="40" t="str">
        <f t="shared" si="19"/>
        <v>c 930</v>
      </c>
      <c r="L103" s="42" t="str">
        <f t="shared" si="36"/>
        <v>&lt;unit103&gt; "&gt;&gt;ТЭЦ" {e, p 042, c 900, v "\mp3_ost\tec.mp3", c 930, d 000, n 104}</v>
      </c>
    </row>
    <row r="104" spans="2:12" x14ac:dyDescent="0.25">
      <c r="B104" s="44">
        <f t="shared" si="13"/>
        <v>104</v>
      </c>
      <c r="C104" s="44" t="s">
        <v>79</v>
      </c>
      <c r="D104" s="39" t="str">
        <f t="shared" si="14"/>
        <v/>
      </c>
      <c r="E104" s="44" t="s">
        <v>253</v>
      </c>
      <c r="G104" s="45">
        <f t="shared" si="15"/>
        <v>105</v>
      </c>
      <c r="H104" s="40" t="str">
        <f t="shared" si="16"/>
        <v>p 042</v>
      </c>
      <c r="I104" s="45" t="str">
        <f t="shared" si="17"/>
        <v>c 902</v>
      </c>
      <c r="J104" s="46" t="str">
        <f t="shared" si="18"/>
        <v>v "\mp3_ost\tec.mp3"</v>
      </c>
      <c r="K104" s="40" t="str">
        <f t="shared" si="19"/>
        <v/>
      </c>
      <c r="L104" s="42" t="str">
        <f t="shared" si="36"/>
        <v>&lt;unit104&gt; "ТЭЦ" {e, p 042, c 902, v "\mp3_ost\tec.mp3", d 000, n 105}</v>
      </c>
    </row>
    <row r="105" spans="2:12" x14ac:dyDescent="0.25">
      <c r="B105" s="44">
        <f t="shared" si="13"/>
        <v>105</v>
      </c>
      <c r="C105" s="44" t="s">
        <v>329</v>
      </c>
      <c r="D105" s="39" t="str">
        <f t="shared" si="14"/>
        <v>&gt;&gt;</v>
      </c>
      <c r="E105" s="44" t="s">
        <v>271</v>
      </c>
      <c r="F105" s="44" t="s">
        <v>381</v>
      </c>
      <c r="G105" s="45">
        <f t="shared" si="15"/>
        <v>106</v>
      </c>
      <c r="H105" s="40" t="str">
        <f t="shared" si="16"/>
        <v>p 056</v>
      </c>
      <c r="I105" s="45" t="str">
        <f t="shared" si="17"/>
        <v>c 900</v>
      </c>
      <c r="J105" s="46" t="str">
        <f t="shared" si="18"/>
        <v>c 928, v "\mp3_ost\kupriyan.mp3"</v>
      </c>
      <c r="K105" s="40" t="str">
        <f t="shared" si="19"/>
        <v>c 930</v>
      </c>
      <c r="L105" s="42" t="str">
        <f t="shared" si="36"/>
        <v>&lt;unit105&gt; "&gt;&gt;ул.Куприянова" {e, p 056, c 900, c 928, v "\mp3_ost\kupriyan.mp3", c 930, d 000, n 106}</v>
      </c>
    </row>
    <row r="106" spans="2:12" x14ac:dyDescent="0.25">
      <c r="B106" s="44">
        <f t="shared" si="13"/>
        <v>106</v>
      </c>
      <c r="C106" s="44" t="s">
        <v>79</v>
      </c>
      <c r="D106" s="39" t="str">
        <f t="shared" si="14"/>
        <v/>
      </c>
      <c r="E106" s="44" t="s">
        <v>271</v>
      </c>
      <c r="G106" s="45">
        <f t="shared" si="15"/>
        <v>107</v>
      </c>
      <c r="H106" s="40" t="str">
        <f t="shared" si="16"/>
        <v>p 056</v>
      </c>
      <c r="I106" s="45" t="str">
        <f t="shared" si="17"/>
        <v>c 902</v>
      </c>
      <c r="J106" s="46" t="str">
        <f t="shared" si="18"/>
        <v>c 928, v "\mp3_ost\kupriyan.mp3"</v>
      </c>
      <c r="K106" s="40" t="str">
        <f t="shared" si="19"/>
        <v/>
      </c>
      <c r="L106" s="42" t="str">
        <f t="shared" si="36"/>
        <v>&lt;unit106&gt; "ул.Куприянова" {e, p 056, c 902, c 928, v "\mp3_ost\kupriyan.mp3", d 000, n 107}</v>
      </c>
    </row>
    <row r="107" spans="2:12" x14ac:dyDescent="0.25">
      <c r="B107" s="44">
        <f t="shared" si="13"/>
        <v>107</v>
      </c>
      <c r="C107" s="44" t="s">
        <v>329</v>
      </c>
      <c r="D107" s="39" t="str">
        <f t="shared" si="14"/>
        <v>&gt;&gt;</v>
      </c>
      <c r="E107" s="44" t="s">
        <v>202</v>
      </c>
      <c r="F107" s="44" t="s">
        <v>381</v>
      </c>
      <c r="G107" s="45">
        <f t="shared" si="15"/>
        <v>108</v>
      </c>
      <c r="H107" s="40" t="str">
        <f t="shared" si="16"/>
        <v>p 083</v>
      </c>
      <c r="I107" s="45" t="str">
        <f t="shared" si="17"/>
        <v>c 900</v>
      </c>
      <c r="J107" s="46" t="str">
        <f t="shared" si="18"/>
        <v>v "\mp3_ost\elseti.mp3"</v>
      </c>
      <c r="K107" s="40" t="str">
        <f t="shared" si="19"/>
        <v>c 930</v>
      </c>
      <c r="L107" s="42" t="str">
        <f t="shared" si="36"/>
        <v>&lt;unit107&gt; "&gt;&gt;Электросети" {e, p 083, c 900, v "\mp3_ost\elseti.mp3", c 930, d 000, n 108}</v>
      </c>
    </row>
    <row r="108" spans="2:12" x14ac:dyDescent="0.25">
      <c r="B108" s="44">
        <f t="shared" si="13"/>
        <v>108</v>
      </c>
      <c r="C108" s="44" t="s">
        <v>79</v>
      </c>
      <c r="D108" s="39" t="str">
        <f t="shared" si="14"/>
        <v/>
      </c>
      <c r="E108" s="44" t="s">
        <v>202</v>
      </c>
      <c r="G108" s="45">
        <f t="shared" si="15"/>
        <v>109</v>
      </c>
      <c r="H108" s="40" t="str">
        <f t="shared" si="16"/>
        <v>p 083</v>
      </c>
      <c r="I108" s="45" t="str">
        <f t="shared" si="17"/>
        <v>c 902</v>
      </c>
      <c r="J108" s="46" t="str">
        <f t="shared" si="18"/>
        <v>v "\mp3_ost\elseti.mp3"</v>
      </c>
      <c r="K108" s="40" t="str">
        <f t="shared" si="19"/>
        <v/>
      </c>
      <c r="L108" s="42" t="str">
        <f t="shared" si="36"/>
        <v>&lt;unit108&gt; "Электросети" {e, p 083, c 902, v "\mp3_ost\elseti.mp3", d 000, n 109}</v>
      </c>
    </row>
    <row r="109" spans="2:12" x14ac:dyDescent="0.25">
      <c r="B109" s="44">
        <f t="shared" si="13"/>
        <v>109</v>
      </c>
      <c r="C109" s="44" t="s">
        <v>329</v>
      </c>
      <c r="D109" s="39" t="str">
        <f t="shared" si="14"/>
        <v>&gt;&gt;</v>
      </c>
      <c r="E109" s="44" t="s">
        <v>279</v>
      </c>
      <c r="F109" s="44" t="s">
        <v>381</v>
      </c>
      <c r="G109" s="45">
        <f t="shared" si="15"/>
        <v>110</v>
      </c>
      <c r="H109" s="40" t="str">
        <f t="shared" si="16"/>
        <v>p 078</v>
      </c>
      <c r="I109" s="45" t="str">
        <f t="shared" si="17"/>
        <v>c 900</v>
      </c>
      <c r="J109" s="46" t="str">
        <f t="shared" si="18"/>
        <v>c 928, v "\mp3_ost\truda.mp3"</v>
      </c>
      <c r="K109" s="40" t="str">
        <f t="shared" si="19"/>
        <v>c 930</v>
      </c>
      <c r="L109" s="42" t="str">
        <f t="shared" si="36"/>
        <v>&lt;unit109&gt; "&gt;&gt;ул.Труда" {e, p 078, c 900, c 928, v "\mp3_ost\truda.mp3", c 930, d 000, n 110}</v>
      </c>
    </row>
    <row r="110" spans="2:12" x14ac:dyDescent="0.25">
      <c r="B110" s="44">
        <f t="shared" si="13"/>
        <v>110</v>
      </c>
      <c r="C110" s="44" t="s">
        <v>79</v>
      </c>
      <c r="D110" s="39" t="str">
        <f t="shared" si="14"/>
        <v/>
      </c>
      <c r="E110" s="44" t="s">
        <v>279</v>
      </c>
      <c r="F110" s="44" t="s">
        <v>331</v>
      </c>
      <c r="G110" s="45">
        <f>B112</f>
        <v>112</v>
      </c>
      <c r="H110" s="40" t="str">
        <f t="shared" si="16"/>
        <v>p 078</v>
      </c>
      <c r="I110" s="45" t="str">
        <f t="shared" si="17"/>
        <v>c 902</v>
      </c>
      <c r="J110" s="46" t="str">
        <f t="shared" si="18"/>
        <v>c 928, v "\mp3_ost\truda.mp3"</v>
      </c>
      <c r="K110" s="40" t="str">
        <f t="shared" si="19"/>
        <v>c 903</v>
      </c>
      <c r="L110" s="42" t="str">
        <f t="shared" si="36"/>
        <v>&lt;unit110&gt; "ул.Труда" {e, p 078, c 902, c 928, v "\mp3_ost\truda.mp3", c 903, d 000, n 112}</v>
      </c>
    </row>
    <row r="111" spans="2:12" s="39" customFormat="1" x14ac:dyDescent="0.25">
      <c r="G111" s="40"/>
      <c r="H111" s="40"/>
      <c r="I111" s="40"/>
      <c r="J111" s="40"/>
      <c r="K111" s="40"/>
      <c r="L111" s="42"/>
    </row>
    <row r="112" spans="2:12" s="39" customFormat="1" x14ac:dyDescent="0.25">
      <c r="B112" s="39">
        <f t="shared" si="13"/>
        <v>112</v>
      </c>
      <c r="E112" s="43" t="s">
        <v>328</v>
      </c>
      <c r="F112" s="43"/>
      <c r="G112" s="40">
        <f>B3</f>
        <v>3</v>
      </c>
      <c r="H112" s="40"/>
      <c r="I112" s="40"/>
      <c r="J112" s="40"/>
      <c r="K112" s="40"/>
      <c r="L112" s="42" t="str">
        <f>"&lt;unit"&amp;TEXT(B112,"000")&amp;"&gt; """&amp;E112&amp;""" {d 000, n "&amp;TEXT(G112,"000")&amp;"}"</f>
        <v>&lt;unit112&gt; "----- Конец -----" {d 000, n 003}</v>
      </c>
    </row>
    <row r="113" spans="7:12" s="39" customFormat="1" x14ac:dyDescent="0.25">
      <c r="G113" s="40"/>
      <c r="H113" s="40"/>
      <c r="I113" s="40"/>
      <c r="J113" s="40"/>
      <c r="K113" s="40"/>
      <c r="L113" s="42"/>
    </row>
    <row r="114" spans="7:12" s="39" customFormat="1" x14ac:dyDescent="0.25">
      <c r="G114" s="40"/>
      <c r="H114" s="40"/>
      <c r="I114" s="40"/>
      <c r="J114" s="40"/>
      <c r="K114" s="40"/>
      <c r="L114" s="42" t="str">
        <f>Константы!D2</f>
        <v>&lt;unit921&gt; "Автовокзал" {v "\mp3_knst\av.mp3"}</v>
      </c>
    </row>
    <row r="115" spans="7:12" s="39" customFormat="1" x14ac:dyDescent="0.25">
      <c r="G115" s="40"/>
      <c r="H115" s="40"/>
      <c r="I115" s="40"/>
      <c r="J115" s="40"/>
      <c r="K115" s="40"/>
      <c r="L115" s="42" t="str">
        <f>Константы!D3</f>
        <v>&lt;unit923&gt; "Гостиница" {v "\mp3_knst\gos.mp3"}</v>
      </c>
    </row>
    <row r="116" spans="7:12" s="39" customFormat="1" x14ac:dyDescent="0.25">
      <c r="G116" s="40"/>
      <c r="H116" s="40"/>
      <c r="I116" s="40"/>
      <c r="J116" s="40"/>
      <c r="K116" s="40"/>
      <c r="L116" s="42" t="str">
        <f>Константы!D4</f>
        <v>&lt;unit922&gt; "Дисп. станция" {v "\mp3_knst\ds.mp3"}</v>
      </c>
    </row>
    <row r="117" spans="7:12" s="39" customFormat="1" x14ac:dyDescent="0.25">
      <c r="G117" s="40"/>
      <c r="H117" s="40"/>
      <c r="I117" s="40"/>
      <c r="J117" s="40"/>
      <c r="K117" s="40"/>
      <c r="L117" s="42" t="str">
        <f>Константы!D5</f>
        <v>&lt;unit903&gt; "Канцавая" {v "\mp3_knst\kanc.mp3"}</v>
      </c>
    </row>
    <row r="118" spans="7:12" s="39" customFormat="1" x14ac:dyDescent="0.25">
      <c r="G118" s="40"/>
      <c r="H118" s="40"/>
      <c r="I118" s="40"/>
      <c r="J118" s="40"/>
      <c r="K118" s="40"/>
      <c r="L118" s="42" t="str">
        <f>Константы!D6</f>
        <v>&lt;unit924&gt; "Конечная" {v "\mp3_knst\ko.mp3"}</v>
      </c>
    </row>
    <row r="119" spans="7:12" s="39" customFormat="1" x14ac:dyDescent="0.25">
      <c r="G119" s="40"/>
      <c r="H119" s="40"/>
      <c r="I119" s="40"/>
      <c r="J119" s="40"/>
      <c r="K119" s="40"/>
      <c r="L119" s="42" t="str">
        <f>Константы!D7</f>
        <v>&lt;unit902&gt; "Остановка" {v "\mp3_knst\ost.mp3"}</v>
      </c>
    </row>
    <row r="120" spans="7:12" s="39" customFormat="1" x14ac:dyDescent="0.25">
      <c r="G120" s="40"/>
      <c r="H120" s="40"/>
      <c r="I120" s="40"/>
      <c r="J120" s="40"/>
      <c r="K120" s="40"/>
      <c r="L120" s="42" t="str">
        <f>Константы!D8</f>
        <v>&lt;unit900&gt; "Дв. закр. След. ост." {v "\mp3_knst\ostor.mp3"}</v>
      </c>
    </row>
    <row r="121" spans="7:12" s="39" customFormat="1" x14ac:dyDescent="0.25">
      <c r="G121" s="40"/>
      <c r="H121" s="40"/>
      <c r="I121" s="40"/>
      <c r="J121" s="40"/>
      <c r="K121" s="40"/>
      <c r="L121" s="42" t="str">
        <f>Константы!D9</f>
        <v>&lt;unit925&gt; "Площадь" {v "\mp3_knst\pl.mp3"}</v>
      </c>
    </row>
    <row r="122" spans="7:12" s="39" customFormat="1" x14ac:dyDescent="0.25">
      <c r="G122" s="40"/>
      <c r="H122" s="40"/>
      <c r="I122" s="40"/>
      <c r="J122" s="40"/>
      <c r="K122" s="40"/>
      <c r="L122" s="42" t="str">
        <f>Константы!D10</f>
        <v>&lt;unit926&gt; "Проспект" {v "\mp3_knst\pr.mp3"}</v>
      </c>
    </row>
    <row r="123" spans="7:12" s="39" customFormat="1" x14ac:dyDescent="0.25">
      <c r="G123" s="40"/>
      <c r="H123" s="40"/>
      <c r="I123" s="40"/>
      <c r="J123" s="40"/>
      <c r="K123" s="40"/>
      <c r="L123" s="42" t="str">
        <f>Константы!D11</f>
        <v>&lt;unit927&gt; "Станция метро" {v "\mp3_knst\sm.mp3"}</v>
      </c>
    </row>
    <row r="124" spans="7:12" s="39" customFormat="1" x14ac:dyDescent="0.25">
      <c r="G124" s="40"/>
      <c r="H124" s="40"/>
      <c r="I124" s="40"/>
      <c r="J124" s="40"/>
      <c r="K124" s="40"/>
      <c r="L124" s="42" t="str">
        <f>Константы!D12</f>
        <v>&lt;unit928&gt; "Улица" {v "\mp3_knst\ul.mp3"}</v>
      </c>
    </row>
    <row r="126" spans="7:12" x14ac:dyDescent="0.25">
      <c r="L126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C60:C110 C8:C56 F8:F56 F60:F110">
      <formula1>Pref_Punktov</formula1>
    </dataValidation>
    <dataValidation type="list" allowBlank="1" showInputMessage="1" showErrorMessage="1" sqref="E8:E56 E60:E110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8"/>
  <dimension ref="A1:L124"/>
  <sheetViews>
    <sheetView tabSelected="1" workbookViewId="0">
      <pane ySplit="2" topLeftCell="A3" activePane="bottomLeft" state="frozen"/>
      <selection activeCell="B1" sqref="B1"/>
      <selection pane="bottomLeft" activeCell="L2" sqref="L2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7.875" style="45" hidden="1" customWidth="1"/>
    <col min="10" max="10" width="15.1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13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11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"11 Труда-Вост.кладб." {i 0, t 002, l 011 011, d 000}</v>
      </c>
    </row>
    <row r="3" spans="1:12" s="39" customFormat="1" x14ac:dyDescent="0.25">
      <c r="A3" s="39" t="str">
        <f ca="1">INDIRECT(ADDRESS($B$1,2,4,1,"route"))</f>
        <v>11 Труда-Вост.кладб.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011</v>
      </c>
      <c r="B4" s="39">
        <f>ROW(B4)</f>
        <v>4</v>
      </c>
      <c r="E4" s="39" t="s">
        <v>323</v>
      </c>
      <c r="G4" s="40">
        <f>B60</f>
        <v>60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060}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279</v>
      </c>
      <c r="G8" s="45">
        <f t="shared" ref="G8:G55" si="0">B9</f>
        <v>9</v>
      </c>
      <c r="H8" s="40" t="str">
        <f t="shared" ref="H8:H52" si="1">IFERROR("p "&amp;VLOOKUP(E8,Tablo_Tab,2,FALSE),"")</f>
        <v>p 078</v>
      </c>
      <c r="I8" s="45" t="str">
        <f t="shared" ref="I8:I56" si="2">IFERROR("c "&amp;VLOOKUP(C8,Punkti,2,FALSE),"")</f>
        <v>c 902</v>
      </c>
      <c r="J8" s="46" t="str">
        <f t="shared" ref="J8:J52" si="3">IFERROR(VLOOKUP(E8,Ostanovki,7,FALSE),"")</f>
        <v>c 928, v "\mp3_ost\truda.mp3"</v>
      </c>
      <c r="K8" s="40" t="str">
        <f t="shared" ref="K8:K56" si="4">IFERROR("c "&amp;VLOOKUP(F8,Punkti,2,FALSE),"")</f>
        <v/>
      </c>
      <c r="L8" s="42" t="str">
        <f t="shared" ref="L8:L39" si="5">"&lt;unit"&amp;TEXT(B8,"000")&amp;"&gt; """&amp;СцепитьМного(D8:E8,"")&amp;""" {e, "&amp;СцепитьМного(H8:K8,", ")&amp;", d 000, n "&amp;TEXT(G8,"000")&amp;"}"</f>
        <v>&lt;unit008&gt; "ул.Труда" {e, p 078, c 902, c 928, v "\mp3_ost\truda.mp3", d 000, n 009}</v>
      </c>
    </row>
    <row r="9" spans="1:12" x14ac:dyDescent="0.25">
      <c r="B9" s="44">
        <f t="shared" ref="B9:B56" si="6">ROW(B9)</f>
        <v>9</v>
      </c>
      <c r="C9" s="44" t="s">
        <v>329</v>
      </c>
      <c r="D9" s="39" t="str">
        <f>IF(I9="c 900","&gt;&gt;","")</f>
        <v>&gt;&gt;</v>
      </c>
      <c r="E9" s="44" t="s">
        <v>202</v>
      </c>
      <c r="F9" s="44" t="s">
        <v>381</v>
      </c>
      <c r="G9" s="45">
        <f t="shared" si="0"/>
        <v>10</v>
      </c>
      <c r="H9" s="40" t="str">
        <f t="shared" si="1"/>
        <v>p 083</v>
      </c>
      <c r="I9" s="45" t="str">
        <f t="shared" si="2"/>
        <v>c 900</v>
      </c>
      <c r="J9" s="46" t="str">
        <f t="shared" si="3"/>
        <v>v "\mp3_ost\elseti.mp3"</v>
      </c>
      <c r="K9" s="40" t="str">
        <f t="shared" si="4"/>
        <v>c 930</v>
      </c>
      <c r="L9" s="42" t="str">
        <f t="shared" si="5"/>
        <v>&lt;unit009&gt; "&gt;&gt;Электросети" {e, p 083, c 900, v "\mp3_ost\elseti.mp3", c 930, d 000, n 010}</v>
      </c>
    </row>
    <row r="10" spans="1:12" x14ac:dyDescent="0.25">
      <c r="B10" s="44">
        <f t="shared" si="6"/>
        <v>10</v>
      </c>
      <c r="C10" s="44" t="s">
        <v>79</v>
      </c>
      <c r="D10" s="39" t="str">
        <f t="shared" ref="D10:D56" si="7">IF(I10="c 900","&gt;&gt;","")</f>
        <v/>
      </c>
      <c r="E10" s="44" t="s">
        <v>202</v>
      </c>
      <c r="G10" s="45">
        <f t="shared" si="0"/>
        <v>11</v>
      </c>
      <c r="H10" s="40" t="str">
        <f t="shared" si="1"/>
        <v>p 083</v>
      </c>
      <c r="I10" s="45" t="str">
        <f t="shared" si="2"/>
        <v>c 902</v>
      </c>
      <c r="J10" s="46" t="str">
        <f t="shared" si="3"/>
        <v>v "\mp3_ost\elseti.mp3"</v>
      </c>
      <c r="K10" s="40" t="str">
        <f t="shared" si="4"/>
        <v/>
      </c>
      <c r="L10" s="42" t="str">
        <f t="shared" si="5"/>
        <v>&lt;unit010&gt; "Электросети" {e, p 083, c 902, v "\mp3_ost\elseti.mp3", d 000, n 011}</v>
      </c>
    </row>
    <row r="11" spans="1:12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E11" s="44" t="s">
        <v>271</v>
      </c>
      <c r="F11" s="44" t="s">
        <v>381</v>
      </c>
      <c r="G11" s="45">
        <f t="shared" si="0"/>
        <v>12</v>
      </c>
      <c r="H11" s="40" t="str">
        <f t="shared" si="1"/>
        <v>p 056</v>
      </c>
      <c r="I11" s="45" t="str">
        <f t="shared" si="2"/>
        <v>c 900</v>
      </c>
      <c r="J11" s="46" t="str">
        <f t="shared" si="3"/>
        <v>c 928, v "\mp3_ost\kupriyan.mp3"</v>
      </c>
      <c r="K11" s="40" t="str">
        <f t="shared" si="4"/>
        <v>c 930</v>
      </c>
      <c r="L11" s="42" t="str">
        <f t="shared" si="5"/>
        <v>&lt;unit011&gt; "&gt;&gt;ул.Куприянова" {e, p 056, c 900, c 928, v "\mp3_ost\kupriyan.mp3", c 930, d 000, n 012}</v>
      </c>
    </row>
    <row r="12" spans="1:12" x14ac:dyDescent="0.25">
      <c r="B12" s="44">
        <f t="shared" si="6"/>
        <v>12</v>
      </c>
      <c r="C12" s="44" t="s">
        <v>79</v>
      </c>
      <c r="D12" s="39" t="str">
        <f t="shared" si="7"/>
        <v/>
      </c>
      <c r="E12" s="44" t="s">
        <v>271</v>
      </c>
      <c r="G12" s="45">
        <f t="shared" si="0"/>
        <v>13</v>
      </c>
      <c r="H12" s="40" t="str">
        <f t="shared" si="1"/>
        <v>p 056</v>
      </c>
      <c r="I12" s="45" t="str">
        <f t="shared" si="2"/>
        <v>c 902</v>
      </c>
      <c r="J12" s="46" t="str">
        <f t="shared" si="3"/>
        <v>c 928, v "\mp3_ost\kupriyan.mp3"</v>
      </c>
      <c r="K12" s="40" t="str">
        <f t="shared" si="4"/>
        <v/>
      </c>
      <c r="L12" s="42" t="str">
        <f t="shared" si="5"/>
        <v>&lt;unit012&gt; "ул.Куприянова" {e, p 056, c 902, c 928, v "\mp3_ost\kupriyan.mp3", d 000, n 013}</v>
      </c>
    </row>
    <row r="13" spans="1:12" x14ac:dyDescent="0.25">
      <c r="B13" s="44">
        <f t="shared" si="6"/>
        <v>13</v>
      </c>
      <c r="C13" s="44" t="s">
        <v>329</v>
      </c>
      <c r="D13" s="39" t="str">
        <f t="shared" si="7"/>
        <v>&gt;&gt;</v>
      </c>
      <c r="E13" s="44" t="s">
        <v>253</v>
      </c>
      <c r="F13" s="44" t="s">
        <v>381</v>
      </c>
      <c r="G13" s="45">
        <f t="shared" si="0"/>
        <v>14</v>
      </c>
      <c r="H13" s="40" t="str">
        <f t="shared" si="1"/>
        <v>p 042</v>
      </c>
      <c r="I13" s="45" t="str">
        <f t="shared" si="2"/>
        <v>c 900</v>
      </c>
      <c r="J13" s="46" t="str">
        <f t="shared" si="3"/>
        <v>v "\mp3_ost\tec.mp3"</v>
      </c>
      <c r="K13" s="40" t="str">
        <f t="shared" si="4"/>
        <v>c 930</v>
      </c>
      <c r="L13" s="42" t="str">
        <f t="shared" si="5"/>
        <v>&lt;unit013&gt; "&gt;&gt;ТЭЦ" {e, p 042, c 900, v "\mp3_ost\tec.mp3", c 930, d 000, n 014}</v>
      </c>
    </row>
    <row r="14" spans="1:12" x14ac:dyDescent="0.25">
      <c r="B14" s="44">
        <f t="shared" si="6"/>
        <v>14</v>
      </c>
      <c r="C14" s="44" t="s">
        <v>79</v>
      </c>
      <c r="D14" s="39" t="str">
        <f t="shared" si="7"/>
        <v/>
      </c>
      <c r="E14" s="44" t="s">
        <v>253</v>
      </c>
      <c r="G14" s="45">
        <f t="shared" si="0"/>
        <v>15</v>
      </c>
      <c r="H14" s="40" t="str">
        <f t="shared" si="1"/>
        <v>p 042</v>
      </c>
      <c r="I14" s="45" t="str">
        <f t="shared" si="2"/>
        <v>c 902</v>
      </c>
      <c r="J14" s="46" t="str">
        <f t="shared" si="3"/>
        <v>v "\mp3_ost\tec.mp3"</v>
      </c>
      <c r="K14" s="40" t="str">
        <f t="shared" si="4"/>
        <v/>
      </c>
      <c r="L14" s="42" t="str">
        <f t="shared" si="5"/>
        <v>&lt;unit014&gt; "ТЭЦ" {e, p 042, c 902, v "\mp3_ost\tec.mp3", d 000, n 015}</v>
      </c>
    </row>
    <row r="15" spans="1:12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E15" s="44" t="s">
        <v>346</v>
      </c>
      <c r="F15" s="44" t="s">
        <v>381</v>
      </c>
      <c r="G15" s="45">
        <f t="shared" si="0"/>
        <v>16</v>
      </c>
      <c r="H15" s="40" t="str">
        <f t="shared" si="1"/>
        <v>p 054</v>
      </c>
      <c r="I15" s="45" t="str">
        <f t="shared" si="2"/>
        <v>c 900</v>
      </c>
      <c r="J15" s="46" t="str">
        <f t="shared" si="3"/>
        <v>c 928, v "\mp3_ost\zhodinsk.mp3"</v>
      </c>
      <c r="K15" s="40" t="str">
        <f t="shared" si="4"/>
        <v>c 930</v>
      </c>
      <c r="L15" s="42" t="str">
        <f t="shared" si="5"/>
        <v>&lt;unit015&gt; "&gt;&gt;ул.Жодинская" {e, p 054, c 900, c 928, v "\mp3_ost\zhodinsk.mp3", c 930, d 000, n 016}</v>
      </c>
    </row>
    <row r="16" spans="1:12" x14ac:dyDescent="0.25">
      <c r="B16" s="44">
        <f t="shared" si="6"/>
        <v>16</v>
      </c>
      <c r="C16" s="44" t="s">
        <v>79</v>
      </c>
      <c r="D16" s="39" t="str">
        <f t="shared" si="7"/>
        <v/>
      </c>
      <c r="E16" s="44" t="s">
        <v>346</v>
      </c>
      <c r="G16" s="45">
        <f t="shared" si="0"/>
        <v>17</v>
      </c>
      <c r="H16" s="40" t="str">
        <f t="shared" si="1"/>
        <v>p 054</v>
      </c>
      <c r="I16" s="45" t="str">
        <f t="shared" si="2"/>
        <v>c 902</v>
      </c>
      <c r="J16" s="46" t="str">
        <f t="shared" si="3"/>
        <v>c 928, v "\mp3_ost\zhodinsk.mp3"</v>
      </c>
      <c r="K16" s="40" t="str">
        <f t="shared" si="4"/>
        <v/>
      </c>
      <c r="L16" s="42" t="str">
        <f t="shared" si="5"/>
        <v>&lt;unit016&gt; "ул.Жодинская" {e, p 054, c 902, c 928, v "\mp3_ost\zhodinsk.mp3", d 000, n 017}</v>
      </c>
    </row>
    <row r="17" spans="2:12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E17" s="44" t="s">
        <v>163</v>
      </c>
      <c r="F17" s="44" t="s">
        <v>381</v>
      </c>
      <c r="G17" s="45">
        <f t="shared" si="0"/>
        <v>18</v>
      </c>
      <c r="H17" s="40" t="str">
        <f t="shared" si="1"/>
        <v>p 010</v>
      </c>
      <c r="I17" s="45" t="str">
        <f t="shared" si="2"/>
        <v>c 900</v>
      </c>
      <c r="J17" s="46" t="str">
        <f t="shared" si="3"/>
        <v>v "\mp3_ost\jd.mp3"</v>
      </c>
      <c r="K17" s="40" t="str">
        <f t="shared" si="4"/>
        <v>c 930</v>
      </c>
      <c r="L17" s="42" t="str">
        <f t="shared" si="5"/>
        <v>&lt;unit017&gt; "&gt;&gt;ЖД Вокзал" {e, p 010, c 900, v "\mp3_ost\jd.mp3", c 930, d 000, n 018}</v>
      </c>
    </row>
    <row r="18" spans="2:12" x14ac:dyDescent="0.25">
      <c r="B18" s="44">
        <f t="shared" si="6"/>
        <v>18</v>
      </c>
      <c r="C18" s="44" t="s">
        <v>79</v>
      </c>
      <c r="D18" s="39" t="str">
        <f t="shared" si="7"/>
        <v/>
      </c>
      <c r="E18" s="44" t="s">
        <v>163</v>
      </c>
      <c r="G18" s="45">
        <f t="shared" si="0"/>
        <v>19</v>
      </c>
      <c r="H18" s="40" t="str">
        <f t="shared" si="1"/>
        <v>p 010</v>
      </c>
      <c r="I18" s="45" t="str">
        <f t="shared" si="2"/>
        <v>c 902</v>
      </c>
      <c r="J18" s="46" t="str">
        <f t="shared" si="3"/>
        <v>v "\mp3_ost\jd.mp3"</v>
      </c>
      <c r="K18" s="40" t="str">
        <f t="shared" si="4"/>
        <v/>
      </c>
      <c r="L18" s="42" t="str">
        <f t="shared" si="5"/>
        <v>&lt;unit018&gt; "ЖД Вокзал" {e, p 010, c 902, v "\mp3_ost\jd.mp3", d 000, n 019}</v>
      </c>
    </row>
    <row r="19" spans="2:12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E19" s="44" t="s">
        <v>166</v>
      </c>
      <c r="F19" s="44" t="s">
        <v>381</v>
      </c>
      <c r="G19" s="45">
        <f t="shared" si="0"/>
        <v>20</v>
      </c>
      <c r="H19" s="40" t="str">
        <f t="shared" si="1"/>
        <v>p 068</v>
      </c>
      <c r="I19" s="45" t="str">
        <f t="shared" si="2"/>
        <v>c 900</v>
      </c>
      <c r="J19" s="46" t="str">
        <f t="shared" si="3"/>
        <v>c 928, v "\mp3_ost\partizan.mp3"</v>
      </c>
      <c r="K19" s="40" t="str">
        <f t="shared" si="4"/>
        <v>c 930</v>
      </c>
      <c r="L19" s="42" t="str">
        <f t="shared" si="5"/>
        <v>&lt;unit019&gt; "&gt;&gt;ул.Партизанская" {e, p 068, c 900, c 928, v "\mp3_ost\partizan.mp3", c 930, d 000, n 020}</v>
      </c>
    </row>
    <row r="20" spans="2:12" x14ac:dyDescent="0.25">
      <c r="B20" s="44">
        <f t="shared" si="6"/>
        <v>20</v>
      </c>
      <c r="C20" s="44" t="s">
        <v>79</v>
      </c>
      <c r="D20" s="39" t="str">
        <f t="shared" si="7"/>
        <v/>
      </c>
      <c r="E20" s="44" t="s">
        <v>166</v>
      </c>
      <c r="G20" s="45">
        <f t="shared" si="0"/>
        <v>21</v>
      </c>
      <c r="H20" s="40" t="str">
        <f t="shared" si="1"/>
        <v>p 068</v>
      </c>
      <c r="I20" s="45" t="str">
        <f t="shared" si="2"/>
        <v>c 902</v>
      </c>
      <c r="J20" s="46" t="str">
        <f t="shared" si="3"/>
        <v>c 928, v "\mp3_ost\partizan.mp3"</v>
      </c>
      <c r="K20" s="40" t="str">
        <f t="shared" si="4"/>
        <v/>
      </c>
      <c r="L20" s="42" t="str">
        <f t="shared" si="5"/>
        <v>&lt;unit020&gt; "ул.Партизанская" {e, p 068, c 902, c 928, v "\mp3_ost\partizan.mp3", d 000, n 021}</v>
      </c>
    </row>
    <row r="21" spans="2:12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E21" s="44" t="s">
        <v>165</v>
      </c>
      <c r="F21" s="44" t="s">
        <v>381</v>
      </c>
      <c r="G21" s="45">
        <f t="shared" si="0"/>
        <v>22</v>
      </c>
      <c r="H21" s="40" t="str">
        <f t="shared" si="1"/>
        <v>p 064</v>
      </c>
      <c r="I21" s="45" t="str">
        <f t="shared" si="2"/>
        <v>c 900</v>
      </c>
      <c r="J21" s="46" t="str">
        <f t="shared" si="3"/>
        <v>c 928, v "\mp3_ost\moskovsk.mp3"</v>
      </c>
      <c r="K21" s="40" t="str">
        <f t="shared" si="4"/>
        <v>c 930</v>
      </c>
      <c r="L21" s="42" t="str">
        <f t="shared" si="5"/>
        <v>&lt;unit021&gt; "&gt;&gt;ул.Московская" {e, p 064, c 900, c 928, v "\mp3_ost\moskovsk.mp3", c 930, d 000, n 022}</v>
      </c>
    </row>
    <row r="22" spans="2:12" x14ac:dyDescent="0.25">
      <c r="B22" s="44">
        <f t="shared" si="6"/>
        <v>22</v>
      </c>
      <c r="C22" s="44" t="s">
        <v>79</v>
      </c>
      <c r="D22" s="39" t="str">
        <f t="shared" si="7"/>
        <v/>
      </c>
      <c r="E22" s="44" t="s">
        <v>165</v>
      </c>
      <c r="G22" s="45">
        <f t="shared" si="0"/>
        <v>23</v>
      </c>
      <c r="H22" s="40" t="str">
        <f t="shared" si="1"/>
        <v>p 064</v>
      </c>
      <c r="I22" s="45" t="str">
        <f t="shared" si="2"/>
        <v>c 902</v>
      </c>
      <c r="J22" s="46" t="str">
        <f t="shared" si="3"/>
        <v>c 928, v "\mp3_ost\moskovsk.mp3"</v>
      </c>
      <c r="K22" s="40" t="str">
        <f t="shared" si="4"/>
        <v/>
      </c>
      <c r="L22" s="42" t="str">
        <f t="shared" si="5"/>
        <v>&lt;unit022&gt; "ул.Московская" {e, p 064, c 902, c 928, v "\mp3_ost\moskovsk.mp3", d 000, n 023}</v>
      </c>
    </row>
    <row r="23" spans="2:12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E23" s="44" t="s">
        <v>167</v>
      </c>
      <c r="F23" s="44" t="s">
        <v>381</v>
      </c>
      <c r="G23" s="45">
        <f t="shared" si="0"/>
        <v>24</v>
      </c>
      <c r="H23" s="40" t="str">
        <f t="shared" si="1"/>
        <v>p 077</v>
      </c>
      <c r="I23" s="45" t="str">
        <f t="shared" si="2"/>
        <v>c 900</v>
      </c>
      <c r="J23" s="46" t="str">
        <f t="shared" si="3"/>
        <v>c 928, v "\mp3_ost\swrokvas.mp3"</v>
      </c>
      <c r="K23" s="40" t="str">
        <f t="shared" si="4"/>
        <v>c 930</v>
      </c>
      <c r="L23" s="42" t="str">
        <f t="shared" si="5"/>
        <v>&lt;unit023&gt; "&gt;&gt;ул.Сырокваша" {e, p 077, c 900, c 928, v "\mp3_ost\swrokvas.mp3", c 930, d 000, n 024}</v>
      </c>
    </row>
    <row r="24" spans="2:12" x14ac:dyDescent="0.25">
      <c r="B24" s="44">
        <f t="shared" si="6"/>
        <v>24</v>
      </c>
      <c r="C24" s="44" t="s">
        <v>79</v>
      </c>
      <c r="D24" s="39" t="str">
        <f t="shared" si="7"/>
        <v/>
      </c>
      <c r="E24" s="44" t="s">
        <v>167</v>
      </c>
      <c r="G24" s="45">
        <f t="shared" si="0"/>
        <v>25</v>
      </c>
      <c r="H24" s="40" t="str">
        <f t="shared" si="1"/>
        <v>p 077</v>
      </c>
      <c r="I24" s="45" t="str">
        <f t="shared" si="2"/>
        <v>c 902</v>
      </c>
      <c r="J24" s="46" t="str">
        <f t="shared" si="3"/>
        <v>c 928, v "\mp3_ost\swrokvas.mp3"</v>
      </c>
      <c r="K24" s="40" t="str">
        <f t="shared" si="4"/>
        <v/>
      </c>
      <c r="L24" s="42" t="str">
        <f t="shared" si="5"/>
        <v>&lt;unit024&gt; "ул.Сырокваша" {e, p 077, c 902, c 928, v "\mp3_ost\swrokvas.mp3", d 000, n 025}</v>
      </c>
    </row>
    <row r="25" spans="2:12" x14ac:dyDescent="0.25">
      <c r="B25" s="44">
        <f t="shared" si="6"/>
        <v>25</v>
      </c>
      <c r="C25" s="44" t="s">
        <v>329</v>
      </c>
      <c r="D25" s="39" t="str">
        <f t="shared" si="7"/>
        <v>&gt;&gt;</v>
      </c>
      <c r="E25" s="44" t="s">
        <v>168</v>
      </c>
      <c r="F25" s="44" t="s">
        <v>381</v>
      </c>
      <c r="G25" s="45">
        <f t="shared" si="0"/>
        <v>26</v>
      </c>
      <c r="H25" s="40" t="str">
        <f t="shared" si="1"/>
        <v>p 031</v>
      </c>
      <c r="I25" s="45" t="str">
        <f t="shared" si="2"/>
        <v>c 900</v>
      </c>
      <c r="J25" s="46" t="str">
        <f t="shared" si="3"/>
        <v>v "\mp3_ost\mira.mp3"</v>
      </c>
      <c r="K25" s="40" t="str">
        <f t="shared" si="4"/>
        <v>c 930</v>
      </c>
      <c r="L25" s="42" t="str">
        <f t="shared" si="5"/>
        <v>&lt;unit025&gt; "&gt;&gt;пр-т Мира" {e, p 031, c 900, v "\mp3_ost\mira.mp3", c 930, d 000, n 026}</v>
      </c>
    </row>
    <row r="26" spans="2:12" x14ac:dyDescent="0.25">
      <c r="B26" s="44">
        <f t="shared" si="6"/>
        <v>26</v>
      </c>
      <c r="C26" s="44" t="s">
        <v>79</v>
      </c>
      <c r="D26" s="39" t="str">
        <f t="shared" si="7"/>
        <v/>
      </c>
      <c r="E26" s="44" t="s">
        <v>168</v>
      </c>
      <c r="G26" s="45">
        <f t="shared" si="0"/>
        <v>27</v>
      </c>
      <c r="H26" s="40" t="str">
        <f t="shared" si="1"/>
        <v>p 031</v>
      </c>
      <c r="I26" s="45" t="str">
        <f t="shared" si="2"/>
        <v>c 902</v>
      </c>
      <c r="J26" s="46" t="str">
        <f t="shared" si="3"/>
        <v>v "\mp3_ost\mira.mp3"</v>
      </c>
      <c r="K26" s="40" t="str">
        <f t="shared" si="4"/>
        <v/>
      </c>
      <c r="L26" s="42" t="str">
        <f t="shared" si="5"/>
        <v>&lt;unit026&gt; "пр-т Мира" {e, p 031, c 902, v "\mp3_ost\mira.mp3", d 000, n 027}</v>
      </c>
    </row>
    <row r="27" spans="2:12" x14ac:dyDescent="0.25">
      <c r="B27" s="44">
        <f t="shared" si="6"/>
        <v>27</v>
      </c>
      <c r="C27" s="44" t="s">
        <v>329</v>
      </c>
      <c r="D27" s="39" t="str">
        <f t="shared" si="7"/>
        <v>&gt;&gt;</v>
      </c>
      <c r="E27" s="44" t="s">
        <v>266</v>
      </c>
      <c r="F27" s="44" t="s">
        <v>381</v>
      </c>
      <c r="G27" s="45">
        <f t="shared" si="0"/>
        <v>28</v>
      </c>
      <c r="H27" s="40" t="str">
        <f t="shared" si="1"/>
        <v>p 045</v>
      </c>
      <c r="I27" s="45" t="str">
        <f t="shared" si="2"/>
        <v>c 900</v>
      </c>
      <c r="J27" s="46" t="str">
        <f t="shared" si="3"/>
        <v>c 928, v "\mp3_ost\50letokt.mp3"</v>
      </c>
      <c r="K27" s="40" t="str">
        <f t="shared" si="4"/>
        <v>c 930</v>
      </c>
      <c r="L27" s="42" t="str">
        <f t="shared" si="5"/>
        <v>&lt;unit027&gt; "&gt;&gt;ул.50 лет Октяб." {e, p 045, c 900, c 928, v "\mp3_ost\50letokt.mp3", c 930, d 000, n 028}</v>
      </c>
    </row>
    <row r="28" spans="2:12" x14ac:dyDescent="0.25">
      <c r="B28" s="44">
        <f t="shared" si="6"/>
        <v>28</v>
      </c>
      <c r="C28" s="44" t="s">
        <v>79</v>
      </c>
      <c r="D28" s="39" t="str">
        <f t="shared" si="7"/>
        <v/>
      </c>
      <c r="E28" s="44" t="s">
        <v>266</v>
      </c>
      <c r="G28" s="45">
        <f t="shared" si="0"/>
        <v>29</v>
      </c>
      <c r="H28" s="40" t="str">
        <f t="shared" si="1"/>
        <v>p 045</v>
      </c>
      <c r="I28" s="45" t="str">
        <f t="shared" si="2"/>
        <v>c 902</v>
      </c>
      <c r="J28" s="46" t="str">
        <f t="shared" si="3"/>
        <v>c 928, v "\mp3_ost\50letokt.mp3"</v>
      </c>
      <c r="K28" s="40" t="str">
        <f t="shared" si="4"/>
        <v/>
      </c>
      <c r="L28" s="42" t="str">
        <f t="shared" si="5"/>
        <v>&lt;unit028&gt; "ул.50 лет Октяб." {e, p 045, c 902, c 928, v "\mp3_ost\50letokt.mp3", d 000, n 029}</v>
      </c>
    </row>
    <row r="29" spans="2:12" x14ac:dyDescent="0.25">
      <c r="B29" s="44">
        <f t="shared" si="6"/>
        <v>29</v>
      </c>
      <c r="C29" s="44" t="s">
        <v>329</v>
      </c>
      <c r="D29" s="39" t="str">
        <f t="shared" si="7"/>
        <v>&gt;&gt;</v>
      </c>
      <c r="E29" s="44" t="s">
        <v>251</v>
      </c>
      <c r="F29" s="44" t="s">
        <v>381</v>
      </c>
      <c r="G29" s="45">
        <f t="shared" si="0"/>
        <v>30</v>
      </c>
      <c r="H29" s="40" t="str">
        <f t="shared" si="1"/>
        <v>p 040</v>
      </c>
      <c r="I29" s="45" t="str">
        <f t="shared" si="2"/>
        <v>c 900</v>
      </c>
      <c r="J29" s="46" t="str">
        <f t="shared" si="3"/>
        <v>v "\mp3_ost\tc.mp3"</v>
      </c>
      <c r="K29" s="40" t="str">
        <f t="shared" si="4"/>
        <v>c 930</v>
      </c>
      <c r="L29" s="42" t="str">
        <f t="shared" si="5"/>
        <v>&lt;unit029&gt; "&gt;&gt;Торг.центр" {e, p 040, c 900, v "\mp3_ost\tc.mp3", c 930, d 000, n 030}</v>
      </c>
    </row>
    <row r="30" spans="2:12" x14ac:dyDescent="0.25">
      <c r="B30" s="44">
        <f t="shared" si="6"/>
        <v>30</v>
      </c>
      <c r="C30" s="44" t="s">
        <v>79</v>
      </c>
      <c r="D30" s="39" t="str">
        <f t="shared" si="7"/>
        <v/>
      </c>
      <c r="E30" s="44" t="s">
        <v>251</v>
      </c>
      <c r="G30" s="45">
        <f t="shared" si="0"/>
        <v>31</v>
      </c>
      <c r="H30" s="40" t="str">
        <f t="shared" si="1"/>
        <v>p 040</v>
      </c>
      <c r="I30" s="45" t="str">
        <f t="shared" si="2"/>
        <v>c 902</v>
      </c>
      <c r="J30" s="46" t="str">
        <f t="shared" si="3"/>
        <v>v "\mp3_ost\tc.mp3"</v>
      </c>
      <c r="K30" s="40" t="str">
        <f t="shared" si="4"/>
        <v/>
      </c>
      <c r="L30" s="42" t="str">
        <f t="shared" si="5"/>
        <v>&lt;unit030&gt; "Торг.центр" {e, p 040, c 902, v "\mp3_ost\tc.mp3", d 000, n 031}</v>
      </c>
    </row>
    <row r="31" spans="2:12" x14ac:dyDescent="0.25">
      <c r="B31" s="44">
        <f t="shared" si="6"/>
        <v>31</v>
      </c>
      <c r="C31" s="44" t="s">
        <v>329</v>
      </c>
      <c r="D31" s="39" t="str">
        <f t="shared" si="7"/>
        <v>&gt;&gt;</v>
      </c>
      <c r="E31" s="44" t="s">
        <v>361</v>
      </c>
      <c r="F31" s="44" t="s">
        <v>381</v>
      </c>
      <c r="G31" s="45">
        <f t="shared" si="0"/>
        <v>32</v>
      </c>
      <c r="H31" s="40" t="str">
        <f t="shared" si="1"/>
        <v>p 081</v>
      </c>
      <c r="I31" s="45" t="str">
        <f t="shared" si="2"/>
        <v>c 900</v>
      </c>
      <c r="J31" s="46" t="str">
        <f t="shared" si="3"/>
        <v>v "\mp3_ost\univmag.mp3"</v>
      </c>
      <c r="K31" s="40" t="str">
        <f t="shared" si="4"/>
        <v>c 930</v>
      </c>
      <c r="L31" s="42" t="str">
        <f t="shared" si="5"/>
        <v>&lt;unit031&gt; "&gt;&gt;Универмаг" {e, p 081, c 900, v "\mp3_ost\univmag.mp3", c 930, d 000, n 032}</v>
      </c>
    </row>
    <row r="32" spans="2:12" x14ac:dyDescent="0.25">
      <c r="B32" s="44">
        <f t="shared" si="6"/>
        <v>32</v>
      </c>
      <c r="C32" s="44" t="s">
        <v>79</v>
      </c>
      <c r="D32" s="39" t="str">
        <f t="shared" si="7"/>
        <v/>
      </c>
      <c r="E32" s="44" t="s">
        <v>361</v>
      </c>
      <c r="G32" s="45">
        <f t="shared" si="0"/>
        <v>33</v>
      </c>
      <c r="H32" s="40" t="str">
        <f t="shared" si="1"/>
        <v>p 081</v>
      </c>
      <c r="I32" s="45" t="str">
        <f t="shared" si="2"/>
        <v>c 902</v>
      </c>
      <c r="J32" s="46" t="str">
        <f t="shared" si="3"/>
        <v>v "\mp3_ost\univmag.mp3"</v>
      </c>
      <c r="K32" s="40" t="str">
        <f t="shared" si="4"/>
        <v/>
      </c>
      <c r="L32" s="42" t="str">
        <f t="shared" si="5"/>
        <v>&lt;unit032&gt; "Универмаг" {e, p 081, c 902, v "\mp3_ost\univmag.mp3", d 000, n 033}</v>
      </c>
    </row>
    <row r="33" spans="2:12" x14ac:dyDescent="0.25">
      <c r="B33" s="44">
        <f t="shared" si="6"/>
        <v>33</v>
      </c>
      <c r="C33" s="44" t="s">
        <v>329</v>
      </c>
      <c r="D33" s="39" t="str">
        <f t="shared" si="7"/>
        <v>&gt;&gt;</v>
      </c>
      <c r="E33" s="44" t="s">
        <v>260</v>
      </c>
      <c r="F33" s="44" t="s">
        <v>381</v>
      </c>
      <c r="G33" s="45">
        <f t="shared" si="0"/>
        <v>34</v>
      </c>
      <c r="H33" s="40" t="str">
        <f t="shared" si="1"/>
        <v>p 029</v>
      </c>
      <c r="I33" s="45" t="str">
        <f t="shared" si="2"/>
        <v>c 900</v>
      </c>
      <c r="J33" s="46" t="str">
        <f t="shared" si="3"/>
        <v>v "\mp3_ost\venis`e.mp3"</v>
      </c>
      <c r="K33" s="40" t="str">
        <f t="shared" si="4"/>
        <v>c 930</v>
      </c>
      <c r="L33" s="42" t="str">
        <f t="shared" si="5"/>
        <v>&lt;unit033&gt; "&gt;&gt;пр-т Венисье" {e, p 029, c 900, v "\mp3_ost\venis`e.mp3", c 930, d 000, n 034}</v>
      </c>
    </row>
    <row r="34" spans="2:12" x14ac:dyDescent="0.25">
      <c r="B34" s="44">
        <f t="shared" si="6"/>
        <v>34</v>
      </c>
      <c r="C34" s="44" t="s">
        <v>79</v>
      </c>
      <c r="D34" s="39" t="str">
        <f t="shared" si="7"/>
        <v/>
      </c>
      <c r="E34" s="44" t="s">
        <v>260</v>
      </c>
      <c r="G34" s="45">
        <f t="shared" si="0"/>
        <v>35</v>
      </c>
      <c r="H34" s="40" t="str">
        <f t="shared" si="1"/>
        <v>p 029</v>
      </c>
      <c r="I34" s="45" t="str">
        <f t="shared" si="2"/>
        <v>c 902</v>
      </c>
      <c r="J34" s="46" t="str">
        <f t="shared" si="3"/>
        <v>v "\mp3_ost\venis`e.mp3"</v>
      </c>
      <c r="K34" s="40" t="str">
        <f t="shared" si="4"/>
        <v/>
      </c>
      <c r="L34" s="42" t="str">
        <f t="shared" si="5"/>
        <v>&lt;unit034&gt; "пр-т Венисье" {e, p 029, c 902, v "\mp3_ost\venis`e.mp3", d 000, n 035}</v>
      </c>
    </row>
    <row r="35" spans="2:12" x14ac:dyDescent="0.25">
      <c r="B35" s="44">
        <f t="shared" si="6"/>
        <v>35</v>
      </c>
      <c r="C35" s="44" t="s">
        <v>329</v>
      </c>
      <c r="D35" s="39" t="str">
        <f t="shared" si="7"/>
        <v>&gt;&gt;</v>
      </c>
      <c r="E35" s="44" t="s">
        <v>347</v>
      </c>
      <c r="F35" s="44" t="s">
        <v>381</v>
      </c>
      <c r="G35" s="45">
        <f t="shared" si="0"/>
        <v>36</v>
      </c>
      <c r="H35" s="40" t="str">
        <f t="shared" si="1"/>
        <v>p 050</v>
      </c>
      <c r="I35" s="45" t="str">
        <f t="shared" si="2"/>
        <v>c 900</v>
      </c>
      <c r="J35" s="46" t="str">
        <f t="shared" si="3"/>
        <v>c 928, v "\mp3_ost\borovaja.mp3"</v>
      </c>
      <c r="K35" s="40" t="str">
        <f t="shared" si="4"/>
        <v>c 930</v>
      </c>
      <c r="L35" s="42" t="str">
        <f t="shared" si="5"/>
        <v>&lt;unit035&gt; "&gt;&gt;ул.Боровая" {e, p 050, c 900, c 928, v "\mp3_ost\borovaja.mp3", c 930, d 000, n 036}</v>
      </c>
    </row>
    <row r="36" spans="2:12" x14ac:dyDescent="0.25">
      <c r="B36" s="44">
        <f t="shared" si="6"/>
        <v>36</v>
      </c>
      <c r="C36" s="44" t="s">
        <v>79</v>
      </c>
      <c r="D36" s="39" t="str">
        <f t="shared" si="7"/>
        <v/>
      </c>
      <c r="E36" s="44" t="s">
        <v>347</v>
      </c>
      <c r="G36" s="45">
        <f t="shared" si="0"/>
        <v>37</v>
      </c>
      <c r="H36" s="40" t="str">
        <f t="shared" si="1"/>
        <v>p 050</v>
      </c>
      <c r="I36" s="45" t="str">
        <f t="shared" si="2"/>
        <v>c 902</v>
      </c>
      <c r="J36" s="46" t="str">
        <f t="shared" si="3"/>
        <v>c 928, v "\mp3_ost\borovaja.mp3"</v>
      </c>
      <c r="K36" s="40" t="str">
        <f t="shared" si="4"/>
        <v/>
      </c>
      <c r="L36" s="42" t="str">
        <f t="shared" si="5"/>
        <v>&lt;unit036&gt; "ул.Боровая" {e, p 050, c 902, c 928, v "\mp3_ost\borovaja.mp3", d 000, n 037}</v>
      </c>
    </row>
    <row r="37" spans="2:12" x14ac:dyDescent="0.25">
      <c r="B37" s="44">
        <f t="shared" si="6"/>
        <v>37</v>
      </c>
      <c r="C37" s="44" t="s">
        <v>329</v>
      </c>
      <c r="D37" s="39" t="str">
        <f t="shared" si="7"/>
        <v>&gt;&gt;</v>
      </c>
      <c r="E37" s="44" t="s">
        <v>180</v>
      </c>
      <c r="F37" s="44" t="s">
        <v>381</v>
      </c>
      <c r="G37" s="45">
        <f t="shared" si="0"/>
        <v>38</v>
      </c>
      <c r="H37" s="40" t="str">
        <f t="shared" si="1"/>
        <v>p 006</v>
      </c>
      <c r="I37" s="45" t="str">
        <f t="shared" si="2"/>
        <v>c 900</v>
      </c>
      <c r="J37" s="46" t="str">
        <f t="shared" si="3"/>
        <v>v "\mp3_ost\bolnica.mp3"</v>
      </c>
      <c r="K37" s="40" t="str">
        <f t="shared" si="4"/>
        <v>c 930</v>
      </c>
      <c r="L37" s="42" t="str">
        <f t="shared" si="5"/>
        <v>&lt;unit037&gt; "&gt;&gt;Больница" {e, p 006, c 900, v "\mp3_ost\bolnica.mp3", c 930, d 000, n 038}</v>
      </c>
    </row>
    <row r="38" spans="2:12" x14ac:dyDescent="0.25">
      <c r="B38" s="44">
        <f t="shared" si="6"/>
        <v>38</v>
      </c>
      <c r="C38" s="44" t="s">
        <v>79</v>
      </c>
      <c r="D38" s="39" t="str">
        <f t="shared" si="7"/>
        <v/>
      </c>
      <c r="E38" s="44" t="s">
        <v>180</v>
      </c>
      <c r="G38" s="45">
        <f t="shared" si="0"/>
        <v>39</v>
      </c>
      <c r="H38" s="40" t="str">
        <f t="shared" si="1"/>
        <v>p 006</v>
      </c>
      <c r="I38" s="45" t="str">
        <f t="shared" si="2"/>
        <v>c 902</v>
      </c>
      <c r="J38" s="46" t="str">
        <f t="shared" si="3"/>
        <v>v "\mp3_ost\bolnica.mp3"</v>
      </c>
      <c r="K38" s="40" t="str">
        <f t="shared" si="4"/>
        <v/>
      </c>
      <c r="L38" s="42" t="str">
        <f t="shared" si="5"/>
        <v>&lt;unit038&gt; "Больница" {e, p 006, c 902, v "\mp3_ost\bolnica.mp3", d 000, n 039}</v>
      </c>
    </row>
    <row r="39" spans="2:12" x14ac:dyDescent="0.25">
      <c r="B39" s="44">
        <f t="shared" si="6"/>
        <v>39</v>
      </c>
      <c r="C39" s="44" t="s">
        <v>329</v>
      </c>
      <c r="D39" s="39" t="str">
        <f t="shared" si="7"/>
        <v>&gt;&gt;</v>
      </c>
      <c r="E39" s="44" t="s">
        <v>174</v>
      </c>
      <c r="F39" s="44" t="s">
        <v>381</v>
      </c>
      <c r="G39" s="45">
        <f t="shared" si="0"/>
        <v>40</v>
      </c>
      <c r="H39" s="40" t="str">
        <f t="shared" si="1"/>
        <v>p 038</v>
      </c>
      <c r="I39" s="45" t="str">
        <f t="shared" si="2"/>
        <v>c 900</v>
      </c>
      <c r="J39" s="46" t="str">
        <f t="shared" si="3"/>
        <v>v "\mp3_ost\8ssh.mp3"</v>
      </c>
      <c r="K39" s="40" t="str">
        <f t="shared" si="4"/>
        <v>c 930</v>
      </c>
      <c r="L39" s="42" t="str">
        <f t="shared" si="5"/>
        <v>&lt;unit039&gt; "&gt;&gt;СШ № 8" {e, p 038, c 900, v "\mp3_ost\8ssh.mp3", c 930, d 000, n 040}</v>
      </c>
    </row>
    <row r="40" spans="2:12" x14ac:dyDescent="0.25">
      <c r="B40" s="44">
        <f t="shared" si="6"/>
        <v>40</v>
      </c>
      <c r="C40" s="44" t="s">
        <v>79</v>
      </c>
      <c r="D40" s="39" t="str">
        <f t="shared" si="7"/>
        <v/>
      </c>
      <c r="E40" s="44" t="s">
        <v>174</v>
      </c>
      <c r="G40" s="45">
        <f t="shared" si="0"/>
        <v>41</v>
      </c>
      <c r="H40" s="40" t="str">
        <f t="shared" si="1"/>
        <v>p 038</v>
      </c>
      <c r="I40" s="45" t="str">
        <f t="shared" si="2"/>
        <v>c 902</v>
      </c>
      <c r="J40" s="46" t="str">
        <f t="shared" si="3"/>
        <v>v "\mp3_ost\8ssh.mp3"</v>
      </c>
      <c r="K40" s="40" t="str">
        <f t="shared" si="4"/>
        <v/>
      </c>
      <c r="L40" s="42" t="str">
        <f t="shared" ref="L40:L56" si="8">"&lt;unit"&amp;TEXT(B40,"000")&amp;"&gt; """&amp;СцепитьМного(D40:E40,"")&amp;""" {e, "&amp;СцепитьМного(H40:K40,", ")&amp;", d 000, n "&amp;TEXT(G40,"000")&amp;"}"</f>
        <v>&lt;unit040&gt; "СШ № 8" {e, p 038, c 902, v "\mp3_ost\8ssh.mp3", d 000, n 041}</v>
      </c>
    </row>
    <row r="41" spans="2:12" x14ac:dyDescent="0.25">
      <c r="B41" s="44">
        <f t="shared" si="6"/>
        <v>41</v>
      </c>
      <c r="C41" s="44" t="s">
        <v>329</v>
      </c>
      <c r="D41" s="39" t="str">
        <f t="shared" si="7"/>
        <v>&gt;&gt;</v>
      </c>
      <c r="E41" s="44" t="s">
        <v>275</v>
      </c>
      <c r="F41" s="44" t="s">
        <v>381</v>
      </c>
      <c r="G41" s="45">
        <f t="shared" si="0"/>
        <v>42</v>
      </c>
      <c r="H41" s="40" t="str">
        <f t="shared" si="1"/>
        <v>p 063</v>
      </c>
      <c r="I41" s="45" t="str">
        <f t="shared" si="2"/>
        <v>c 900</v>
      </c>
      <c r="J41" s="46" t="str">
        <f t="shared" si="3"/>
        <v>c 928, v "\mp3_ost\magistra.mp3"</v>
      </c>
      <c r="K41" s="40" t="str">
        <f t="shared" si="4"/>
        <v>c 930</v>
      </c>
      <c r="L41" s="42" t="str">
        <f t="shared" si="8"/>
        <v>&lt;unit041&gt; "&gt;&gt;ул.Магистральная" {e, p 063, c 900, c 928, v "\mp3_ost\magistra.mp3", c 930, d 000, n 042}</v>
      </c>
    </row>
    <row r="42" spans="2:12" x14ac:dyDescent="0.25">
      <c r="B42" s="44">
        <f t="shared" si="6"/>
        <v>42</v>
      </c>
      <c r="C42" s="44" t="s">
        <v>79</v>
      </c>
      <c r="D42" s="39" t="str">
        <f t="shared" si="7"/>
        <v/>
      </c>
      <c r="E42" s="44" t="s">
        <v>275</v>
      </c>
      <c r="G42" s="45">
        <f t="shared" si="0"/>
        <v>43</v>
      </c>
      <c r="H42" s="40" t="str">
        <f t="shared" si="1"/>
        <v>p 063</v>
      </c>
      <c r="I42" s="45" t="str">
        <f t="shared" si="2"/>
        <v>c 902</v>
      </c>
      <c r="J42" s="46" t="str">
        <f t="shared" si="3"/>
        <v>c 928, v "\mp3_ost\magistra.mp3"</v>
      </c>
      <c r="K42" s="40" t="str">
        <f t="shared" si="4"/>
        <v/>
      </c>
      <c r="L42" s="42" t="str">
        <f t="shared" si="8"/>
        <v>&lt;unit042&gt; "ул.Магистральная" {e, p 063, c 902, c 928, v "\mp3_ost\magistra.mp3", d 000, n 043}</v>
      </c>
    </row>
    <row r="43" spans="2:12" x14ac:dyDescent="0.25">
      <c r="B43" s="44">
        <f t="shared" si="6"/>
        <v>43</v>
      </c>
      <c r="C43" s="44" t="s">
        <v>329</v>
      </c>
      <c r="E43" s="44" t="s">
        <v>362</v>
      </c>
      <c r="F43" s="44" t="s">
        <v>381</v>
      </c>
      <c r="G43" s="45">
        <f t="shared" si="0"/>
        <v>44</v>
      </c>
      <c r="H43" s="40" t="str">
        <f t="shared" si="1"/>
        <v>p 043</v>
      </c>
      <c r="I43" s="45" t="str">
        <f t="shared" si="2"/>
        <v>c 900</v>
      </c>
      <c r="J43" s="46" t="str">
        <f t="shared" si="3"/>
        <v>v "\mp3_ost\ugli.mp3"</v>
      </c>
      <c r="K43" s="40" t="str">
        <f t="shared" si="4"/>
        <v>c 930</v>
      </c>
      <c r="L43" s="42" t="str">
        <f t="shared" si="8"/>
        <v>&lt;unit043&gt; "Углы" {e, p 043, c 900, v "\mp3_ost\ugli.mp3", c 930, d 000, n 044}</v>
      </c>
    </row>
    <row r="44" spans="2:12" x14ac:dyDescent="0.25">
      <c r="B44" s="44">
        <f t="shared" si="6"/>
        <v>44</v>
      </c>
      <c r="C44" s="44" t="s">
        <v>79</v>
      </c>
      <c r="E44" s="44" t="s">
        <v>362</v>
      </c>
      <c r="G44" s="45">
        <f t="shared" si="0"/>
        <v>45</v>
      </c>
      <c r="H44" s="40" t="str">
        <f t="shared" si="1"/>
        <v>p 043</v>
      </c>
      <c r="I44" s="45" t="str">
        <f t="shared" si="2"/>
        <v>c 902</v>
      </c>
      <c r="J44" s="46" t="str">
        <f t="shared" si="3"/>
        <v>v "\mp3_ost\ugli.mp3"</v>
      </c>
      <c r="K44" s="40" t="str">
        <f t="shared" si="4"/>
        <v/>
      </c>
      <c r="L44" s="42" t="str">
        <f t="shared" si="8"/>
        <v>&lt;unit044&gt; "Углы" {e, p 043, c 902, v "\mp3_ost\ugli.mp3", d 000, n 045}</v>
      </c>
    </row>
    <row r="45" spans="2:12" x14ac:dyDescent="0.25">
      <c r="B45" s="44">
        <f t="shared" si="6"/>
        <v>45</v>
      </c>
      <c r="C45" s="44" t="s">
        <v>329</v>
      </c>
      <c r="E45" s="44" t="s">
        <v>363</v>
      </c>
      <c r="F45" s="44" t="s">
        <v>381</v>
      </c>
      <c r="G45" s="45">
        <f t="shared" si="0"/>
        <v>46</v>
      </c>
      <c r="H45" s="40" t="str">
        <f t="shared" si="1"/>
        <v>p 044</v>
      </c>
      <c r="I45" s="45" t="str">
        <f t="shared" si="2"/>
        <v>c 900</v>
      </c>
      <c r="J45" s="46" t="str">
        <f t="shared" si="3"/>
        <v>v "\mp3_ost\ugli-2.mp3"</v>
      </c>
      <c r="K45" s="40" t="str">
        <f t="shared" si="4"/>
        <v>c 930</v>
      </c>
      <c r="L45" s="42" t="str">
        <f t="shared" si="8"/>
        <v>&lt;unit045&gt; "Углы-2" {e, p 044, c 900, v "\mp3_ost\ugli-2.mp3", c 930, d 000, n 046}</v>
      </c>
    </row>
    <row r="46" spans="2:12" x14ac:dyDescent="0.25">
      <c r="B46" s="44">
        <f t="shared" si="6"/>
        <v>46</v>
      </c>
      <c r="C46" s="44" t="s">
        <v>79</v>
      </c>
      <c r="E46" s="44" t="s">
        <v>363</v>
      </c>
      <c r="G46" s="45">
        <f t="shared" si="0"/>
        <v>47</v>
      </c>
      <c r="H46" s="40" t="str">
        <f t="shared" si="1"/>
        <v>p 044</v>
      </c>
      <c r="I46" s="45" t="str">
        <f t="shared" si="2"/>
        <v>c 902</v>
      </c>
      <c r="J46" s="46" t="str">
        <f t="shared" si="3"/>
        <v>v "\mp3_ost\ugli-2.mp3"</v>
      </c>
      <c r="K46" s="40" t="str">
        <f t="shared" si="4"/>
        <v/>
      </c>
      <c r="L46" s="42" t="str">
        <f t="shared" si="8"/>
        <v>&lt;unit046&gt; "Углы-2" {e, p 044, c 902, v "\mp3_ost\ugli-2.mp3", d 000, n 047}</v>
      </c>
    </row>
    <row r="47" spans="2:12" x14ac:dyDescent="0.25">
      <c r="B47" s="44">
        <f t="shared" si="6"/>
        <v>47</v>
      </c>
      <c r="C47" s="44" t="s">
        <v>329</v>
      </c>
      <c r="E47" s="44" t="s">
        <v>288</v>
      </c>
      <c r="F47" s="44" t="s">
        <v>381</v>
      </c>
      <c r="G47" s="45">
        <f t="shared" si="0"/>
        <v>48</v>
      </c>
      <c r="H47" s="40" t="str">
        <f t="shared" si="1"/>
        <v>p 018</v>
      </c>
      <c r="I47" s="45" t="str">
        <f t="shared" si="2"/>
        <v>c 900</v>
      </c>
      <c r="J47" s="46" t="str">
        <f t="shared" si="3"/>
        <v>v "\mp3_ost\kuzn-3.mp3"</v>
      </c>
      <c r="K47" s="40" t="str">
        <f t="shared" si="4"/>
        <v>c 930</v>
      </c>
      <c r="L47" s="42" t="str">
        <f t="shared" si="8"/>
        <v>&lt;unit047&gt; "Кузнечный-3" {e, p 018, c 900, v "\mp3_ost\kuzn-3.mp3", c 930, d 000, n 048}</v>
      </c>
    </row>
    <row r="48" spans="2:12" x14ac:dyDescent="0.25">
      <c r="B48" s="44">
        <f t="shared" si="6"/>
        <v>48</v>
      </c>
      <c r="C48" s="44" t="s">
        <v>79</v>
      </c>
      <c r="E48" s="44" t="s">
        <v>288</v>
      </c>
      <c r="G48" s="45">
        <f t="shared" si="0"/>
        <v>49</v>
      </c>
      <c r="H48" s="40" t="str">
        <f t="shared" si="1"/>
        <v>p 018</v>
      </c>
      <c r="I48" s="45" t="str">
        <f t="shared" si="2"/>
        <v>c 902</v>
      </c>
      <c r="J48" s="46" t="str">
        <f t="shared" si="3"/>
        <v>v "\mp3_ost\kuzn-3.mp3"</v>
      </c>
      <c r="K48" s="40" t="str">
        <f t="shared" si="4"/>
        <v/>
      </c>
      <c r="L48" s="42" t="str">
        <f t="shared" si="8"/>
        <v>&lt;unit048&gt; "Кузнечный-3" {e, p 018, c 902, v "\mp3_ost\kuzn-3.mp3", d 000, n 049}</v>
      </c>
    </row>
    <row r="49" spans="2:12" x14ac:dyDescent="0.25">
      <c r="B49" s="44">
        <f t="shared" si="6"/>
        <v>49</v>
      </c>
      <c r="C49" s="44" t="s">
        <v>329</v>
      </c>
      <c r="E49" s="44" t="s">
        <v>354</v>
      </c>
      <c r="F49" s="44" t="s">
        <v>381</v>
      </c>
      <c r="G49" s="45">
        <f t="shared" si="0"/>
        <v>50</v>
      </c>
      <c r="H49" s="40" t="str">
        <f t="shared" si="1"/>
        <v>p 074</v>
      </c>
      <c r="I49" s="45" t="str">
        <f t="shared" si="2"/>
        <v>c 900</v>
      </c>
      <c r="J49" s="46" t="str">
        <f t="shared" si="3"/>
        <v>c 928, v "\mp3_ost\soligors.mp3"</v>
      </c>
      <c r="K49" s="40" t="str">
        <f t="shared" si="4"/>
        <v>c 930</v>
      </c>
      <c r="L49" s="42" t="str">
        <f t="shared" si="8"/>
        <v>&lt;unit049&gt; "ул.Солигорская" {e, p 074, c 900, c 928, v "\mp3_ost\soligors.mp3", c 930, d 000, n 050}</v>
      </c>
    </row>
    <row r="50" spans="2:12" x14ac:dyDescent="0.25">
      <c r="B50" s="44">
        <f t="shared" si="6"/>
        <v>50</v>
      </c>
      <c r="C50" s="44" t="s">
        <v>79</v>
      </c>
      <c r="E50" s="44" t="s">
        <v>354</v>
      </c>
      <c r="G50" s="45">
        <f t="shared" si="0"/>
        <v>51</v>
      </c>
      <c r="H50" s="40" t="str">
        <f t="shared" si="1"/>
        <v>p 074</v>
      </c>
      <c r="I50" s="45" t="str">
        <f t="shared" si="2"/>
        <v>c 902</v>
      </c>
      <c r="J50" s="46" t="str">
        <f t="shared" si="3"/>
        <v>c 928, v "\mp3_ost\soligors.mp3"</v>
      </c>
      <c r="K50" s="40" t="str">
        <f t="shared" si="4"/>
        <v/>
      </c>
      <c r="L50" s="42" t="str">
        <f t="shared" si="8"/>
        <v>&lt;unit050&gt; "ул.Солигорская" {e, p 074, c 902, c 928, v "\mp3_ost\soligors.mp3", d 000, n 051}</v>
      </c>
    </row>
    <row r="51" spans="2:12" x14ac:dyDescent="0.25">
      <c r="B51" s="44">
        <f t="shared" si="6"/>
        <v>51</v>
      </c>
      <c r="C51" s="44" t="s">
        <v>329</v>
      </c>
      <c r="E51" s="44" t="s">
        <v>355</v>
      </c>
      <c r="F51" s="44" t="s">
        <v>381</v>
      </c>
      <c r="G51" s="45">
        <f t="shared" si="0"/>
        <v>52</v>
      </c>
      <c r="H51" s="40" t="str">
        <f t="shared" si="1"/>
        <v>p 051</v>
      </c>
      <c r="I51" s="45" t="str">
        <f t="shared" si="2"/>
        <v>c 900</v>
      </c>
      <c r="J51" s="46" t="str">
        <f t="shared" si="3"/>
        <v>c 928, v "\mp3_ost\vitebsk.mp3"</v>
      </c>
      <c r="K51" s="40" t="str">
        <f t="shared" si="4"/>
        <v>c 930</v>
      </c>
      <c r="L51" s="42" t="str">
        <f t="shared" si="8"/>
        <v>&lt;unit051&gt; "ул.Витебская" {e, p 051, c 900, c 928, v "\mp3_ost\vitebsk.mp3", c 930, d 000, n 052}</v>
      </c>
    </row>
    <row r="52" spans="2:12" x14ac:dyDescent="0.25">
      <c r="B52" s="44">
        <f t="shared" si="6"/>
        <v>52</v>
      </c>
      <c r="C52" s="44" t="s">
        <v>79</v>
      </c>
      <c r="E52" s="44" t="s">
        <v>355</v>
      </c>
      <c r="G52" s="45">
        <f t="shared" si="0"/>
        <v>53</v>
      </c>
      <c r="H52" s="40" t="str">
        <f t="shared" si="1"/>
        <v>p 051</v>
      </c>
      <c r="I52" s="45" t="str">
        <f t="shared" si="2"/>
        <v>c 902</v>
      </c>
      <c r="J52" s="46" t="str">
        <f t="shared" si="3"/>
        <v>c 928, v "\mp3_ost\vitebsk.mp3"</v>
      </c>
      <c r="K52" s="40" t="str">
        <f t="shared" si="4"/>
        <v/>
      </c>
      <c r="L52" s="42" t="str">
        <f t="shared" si="8"/>
        <v>&lt;unit052&gt; "ул.Витебская" {e, p 051, c 902, c 928, v "\mp3_ost\vitebsk.mp3", d 000, n 053}</v>
      </c>
    </row>
    <row r="53" spans="2:12" x14ac:dyDescent="0.25">
      <c r="B53" s="44">
        <f t="shared" si="6"/>
        <v>53</v>
      </c>
      <c r="C53" s="44" t="s">
        <v>329</v>
      </c>
      <c r="D53" s="39" t="str">
        <f t="shared" ref="D53:D54" si="9">IF(I53="c 900","&gt;&gt;","")</f>
        <v>&gt;&gt;</v>
      </c>
      <c r="E53" s="44" t="s">
        <v>213</v>
      </c>
      <c r="F53" s="44" t="s">
        <v>381</v>
      </c>
      <c r="G53" s="45">
        <f t="shared" si="0"/>
        <v>54</v>
      </c>
      <c r="H53" s="40" t="str">
        <f t="shared" ref="H53:H54" si="10">IFERROR("p "&amp;VLOOKUP(E53,Tablo_Tab,2,FALSE),"")</f>
        <v>p 014</v>
      </c>
      <c r="I53" s="45" t="str">
        <f t="shared" ref="I53:I54" si="11">IFERROR("c "&amp;VLOOKUP(C53,Punkti,2,FALSE),"")</f>
        <v>c 900</v>
      </c>
      <c r="J53" s="46" t="str">
        <f t="shared" ref="J53:J54" si="12">IFERROR(VLOOKUP(E53,Ostanovki,7,FALSE),"")</f>
        <v>v "\mp3_ost\kztsh.mp3"</v>
      </c>
      <c r="K53" s="40" t="str">
        <f t="shared" ref="K53:K54" si="13">IFERROR("c "&amp;VLOOKUP(F53,Punkti,2,FALSE),"")</f>
        <v>c 930</v>
      </c>
      <c r="L53" s="42" t="str">
        <f t="shared" si="8"/>
        <v>&lt;unit053&gt; "&gt;&gt;КЗТШ" {e, p 014, c 900, v "\mp3_ost\kztsh.mp3", c 930, d 000, n 054}</v>
      </c>
    </row>
    <row r="54" spans="2:12" x14ac:dyDescent="0.25">
      <c r="B54" s="44">
        <f t="shared" si="6"/>
        <v>54</v>
      </c>
      <c r="C54" s="44" t="s">
        <v>79</v>
      </c>
      <c r="D54" s="39" t="str">
        <f t="shared" si="9"/>
        <v/>
      </c>
      <c r="E54" s="44" t="s">
        <v>213</v>
      </c>
      <c r="G54" s="45">
        <f t="shared" si="0"/>
        <v>55</v>
      </c>
      <c r="H54" s="40" t="str">
        <f t="shared" si="10"/>
        <v>p 014</v>
      </c>
      <c r="I54" s="45" t="str">
        <f t="shared" si="11"/>
        <v>c 902</v>
      </c>
      <c r="J54" s="46" t="str">
        <f t="shared" si="12"/>
        <v>v "\mp3_ost\kztsh.mp3"</v>
      </c>
      <c r="K54" s="40" t="str">
        <f t="shared" si="13"/>
        <v/>
      </c>
      <c r="L54" s="42" t="str">
        <f t="shared" si="8"/>
        <v>&lt;unit054&gt; "КЗТШ" {e, p 014, c 902, v "\mp3_ost\kztsh.mp3", d 000, n 055}</v>
      </c>
    </row>
    <row r="55" spans="2:12" x14ac:dyDescent="0.25">
      <c r="B55" s="44">
        <f t="shared" si="6"/>
        <v>55</v>
      </c>
      <c r="C55" s="44" t="s">
        <v>329</v>
      </c>
      <c r="D55" s="39" t="str">
        <f t="shared" si="7"/>
        <v>&gt;&gt;</v>
      </c>
      <c r="E55" s="44" t="s">
        <v>340</v>
      </c>
      <c r="F55" s="44" t="s">
        <v>381</v>
      </c>
      <c r="G55" s="45">
        <f t="shared" si="0"/>
        <v>56</v>
      </c>
      <c r="H55" s="40" t="str">
        <f>IFERROR("p "&amp;VLOOKUP(E55,Tablo_Tab,2,FALSE),"")</f>
        <v>p 015</v>
      </c>
      <c r="I55" s="45" t="str">
        <f t="shared" si="2"/>
        <v>c 900</v>
      </c>
      <c r="J55" s="46" t="str">
        <f>IFERROR(VLOOKUP(E55,Ostanovki,7,FALSE),"")</f>
        <v>v "\mp3_ost\kladbvos.mp3"</v>
      </c>
      <c r="K55" s="40" t="str">
        <f t="shared" si="4"/>
        <v>c 930</v>
      </c>
      <c r="L55" s="42" t="str">
        <f t="shared" si="8"/>
        <v>&lt;unit055&gt; "&gt;&gt;кл. Восточное" {e, p 015, c 900, v "\mp3_ost\kladbvos.mp3", c 930, d 000, n 056}</v>
      </c>
    </row>
    <row r="56" spans="2:12" x14ac:dyDescent="0.25">
      <c r="B56" s="44">
        <f t="shared" si="6"/>
        <v>56</v>
      </c>
      <c r="C56" s="44" t="s">
        <v>79</v>
      </c>
      <c r="D56" s="39" t="str">
        <f t="shared" si="7"/>
        <v/>
      </c>
      <c r="E56" s="44" t="s">
        <v>340</v>
      </c>
      <c r="F56" s="44" t="s">
        <v>331</v>
      </c>
      <c r="G56" s="45">
        <f>B58</f>
        <v>58</v>
      </c>
      <c r="H56" s="40" t="str">
        <f>IFERROR("p "&amp;VLOOKUP(E56,Tablo_Tab,2,FALSE),"")</f>
        <v>p 015</v>
      </c>
      <c r="I56" s="45" t="str">
        <f t="shared" si="2"/>
        <v>c 902</v>
      </c>
      <c r="J56" s="46" t="str">
        <f>IFERROR(VLOOKUP(E56,Ostanovki,7,FALSE),"")</f>
        <v>v "\mp3_ost\kladbvos.mp3"</v>
      </c>
      <c r="K56" s="40" t="str">
        <f t="shared" si="4"/>
        <v>c 903</v>
      </c>
      <c r="L56" s="42" t="str">
        <f t="shared" si="8"/>
        <v>&lt;unit056&gt; "кл. Восточное" {e, p 015, c 902, v "\mp3_ost\kladbvos.mp3", c 903, d 000, n 058}</v>
      </c>
    </row>
    <row r="57" spans="2:12" s="39" customFormat="1" x14ac:dyDescent="0.25">
      <c r="G57" s="40"/>
      <c r="H57" s="40"/>
      <c r="I57" s="40"/>
      <c r="J57" s="40"/>
      <c r="K57" s="40"/>
      <c r="L57" s="42"/>
    </row>
    <row r="58" spans="2:12" s="39" customFormat="1" x14ac:dyDescent="0.25">
      <c r="B58" s="39">
        <f t="shared" ref="B58:B110" si="14">ROW(B58)</f>
        <v>58</v>
      </c>
      <c r="E58" s="43" t="s">
        <v>327</v>
      </c>
      <c r="F58" s="43"/>
      <c r="G58" s="40">
        <f>B60</f>
        <v>60</v>
      </c>
      <c r="H58" s="40"/>
      <c r="I58" s="40"/>
      <c r="J58" s="40"/>
      <c r="K58" s="40"/>
      <c r="L58" s="42" t="str">
        <f>"&lt;unit"&amp;TEXT(B58,"000")&amp;"&gt; """&amp;E58&amp;""" {d 000, n "&amp;TEXT(G58,"000")&amp;"}"</f>
        <v>&lt;unit058&gt; "----- Обратный -----" {d 000, n 060}</v>
      </c>
    </row>
    <row r="59" spans="2:12" s="39" customFormat="1" x14ac:dyDescent="0.25">
      <c r="G59" s="40"/>
      <c r="H59" s="40"/>
      <c r="I59" s="40"/>
      <c r="J59" s="40"/>
      <c r="K59" s="40"/>
      <c r="L59" s="42"/>
    </row>
    <row r="60" spans="2:12" x14ac:dyDescent="0.25">
      <c r="B60" s="44">
        <f t="shared" si="14"/>
        <v>60</v>
      </c>
      <c r="C60" s="44" t="s">
        <v>79</v>
      </c>
      <c r="D60" s="39" t="str">
        <f t="shared" ref="D60:D108" si="15">IF(I60="c 900","&gt;&gt;","")</f>
        <v/>
      </c>
      <c r="E60" s="44" t="s">
        <v>340</v>
      </c>
      <c r="G60" s="45">
        <f>B61</f>
        <v>61</v>
      </c>
      <c r="H60" s="40" t="str">
        <f t="shared" ref="H60:H108" si="16">IFERROR("p "&amp;VLOOKUP(E60,Tablo_Tab,2,FALSE),"")</f>
        <v>p 015</v>
      </c>
      <c r="I60" s="45" t="str">
        <f t="shared" ref="I60:I108" si="17">IFERROR("c "&amp;VLOOKUP(C60,Punkti,2,FALSE),"")</f>
        <v>c 902</v>
      </c>
      <c r="J60" s="46" t="str">
        <f t="shared" ref="J60:J108" si="18">IFERROR(VLOOKUP(E60,Ostanovki,7,FALSE),"")</f>
        <v>v "\mp3_ost\kladbvos.mp3"</v>
      </c>
      <c r="K60" s="40" t="str">
        <f t="shared" ref="K60:K108" si="19">IFERROR("c "&amp;VLOOKUP(F60,Punkti,2,FALSE),"")</f>
        <v/>
      </c>
      <c r="L60" s="42" t="str">
        <f t="shared" ref="L60:L91" si="20">"&lt;unit"&amp;TEXT(B60,"000")&amp;"&gt; """&amp;СцепитьМного(D60:E60,"")&amp;""" {e, "&amp;СцепитьМного(H60:K60,", ")&amp;", d 000, n "&amp;TEXT(G60,"000")&amp;"}"</f>
        <v>&lt;unit060&gt; "кл. Восточное" {e, p 015, c 902, v "\mp3_ost\kladbvos.mp3", d 000, n 061}</v>
      </c>
    </row>
    <row r="61" spans="2:12" x14ac:dyDescent="0.25">
      <c r="B61" s="44">
        <f t="shared" si="14"/>
        <v>61</v>
      </c>
      <c r="C61" s="44" t="s">
        <v>329</v>
      </c>
      <c r="D61" s="39" t="str">
        <f t="shared" si="15"/>
        <v>&gt;&gt;</v>
      </c>
      <c r="E61" s="44" t="s">
        <v>213</v>
      </c>
      <c r="F61" s="44" t="s">
        <v>381</v>
      </c>
      <c r="G61" s="45">
        <f t="shared" ref="G61:G107" si="21">B62</f>
        <v>62</v>
      </c>
      <c r="H61" s="40" t="str">
        <f t="shared" si="16"/>
        <v>p 014</v>
      </c>
      <c r="I61" s="45" t="str">
        <f t="shared" si="17"/>
        <v>c 900</v>
      </c>
      <c r="J61" s="46" t="str">
        <f t="shared" si="18"/>
        <v>v "\mp3_ost\kztsh.mp3"</v>
      </c>
      <c r="K61" s="40" t="str">
        <f t="shared" si="19"/>
        <v>c 930</v>
      </c>
      <c r="L61" s="42" t="str">
        <f t="shared" si="20"/>
        <v>&lt;unit061&gt; "&gt;&gt;КЗТШ" {e, p 014, c 900, v "\mp3_ost\kztsh.mp3", c 930, d 000, n 062}</v>
      </c>
    </row>
    <row r="62" spans="2:12" x14ac:dyDescent="0.25">
      <c r="B62" s="44">
        <f t="shared" si="14"/>
        <v>62</v>
      </c>
      <c r="C62" s="44" t="s">
        <v>79</v>
      </c>
      <c r="D62" s="39" t="str">
        <f t="shared" si="15"/>
        <v/>
      </c>
      <c r="E62" s="44" t="s">
        <v>213</v>
      </c>
      <c r="G62" s="45">
        <f t="shared" si="21"/>
        <v>63</v>
      </c>
      <c r="H62" s="40" t="str">
        <f t="shared" si="16"/>
        <v>p 014</v>
      </c>
      <c r="I62" s="45" t="str">
        <f t="shared" si="17"/>
        <v>c 902</v>
      </c>
      <c r="J62" s="46" t="str">
        <f t="shared" si="18"/>
        <v>v "\mp3_ost\kztsh.mp3"</v>
      </c>
      <c r="K62" s="40" t="str">
        <f t="shared" si="19"/>
        <v/>
      </c>
      <c r="L62" s="42" t="str">
        <f t="shared" si="20"/>
        <v>&lt;unit062&gt; "КЗТШ" {e, p 014, c 902, v "\mp3_ost\kztsh.mp3", d 000, n 063}</v>
      </c>
    </row>
    <row r="63" spans="2:12" x14ac:dyDescent="0.25">
      <c r="B63" s="44">
        <f t="shared" si="14"/>
        <v>63</v>
      </c>
      <c r="C63" s="44" t="s">
        <v>329</v>
      </c>
      <c r="D63" s="39" t="str">
        <f t="shared" si="15"/>
        <v>&gt;&gt;</v>
      </c>
      <c r="E63" s="44" t="s">
        <v>355</v>
      </c>
      <c r="F63" s="44" t="s">
        <v>381</v>
      </c>
      <c r="G63" s="45">
        <f t="shared" si="21"/>
        <v>64</v>
      </c>
      <c r="H63" s="40" t="str">
        <f t="shared" si="16"/>
        <v>p 051</v>
      </c>
      <c r="I63" s="45" t="str">
        <f t="shared" si="17"/>
        <v>c 900</v>
      </c>
      <c r="J63" s="46" t="str">
        <f t="shared" si="18"/>
        <v>c 928, v "\mp3_ost\vitebsk.mp3"</v>
      </c>
      <c r="K63" s="40" t="str">
        <f t="shared" si="19"/>
        <v>c 930</v>
      </c>
      <c r="L63" s="42" t="str">
        <f t="shared" si="20"/>
        <v>&lt;unit063&gt; "&gt;&gt;ул.Витебская" {e, p 051, c 900, c 928, v "\mp3_ost\vitebsk.mp3", c 930, d 000, n 064}</v>
      </c>
    </row>
    <row r="64" spans="2:12" x14ac:dyDescent="0.25">
      <c r="B64" s="44">
        <f t="shared" si="14"/>
        <v>64</v>
      </c>
      <c r="C64" s="44" t="s">
        <v>79</v>
      </c>
      <c r="D64" s="39" t="str">
        <f t="shared" si="15"/>
        <v/>
      </c>
      <c r="E64" s="44" t="s">
        <v>355</v>
      </c>
      <c r="G64" s="45">
        <f t="shared" si="21"/>
        <v>65</v>
      </c>
      <c r="H64" s="40" t="str">
        <f t="shared" si="16"/>
        <v>p 051</v>
      </c>
      <c r="I64" s="45" t="str">
        <f t="shared" si="17"/>
        <v>c 902</v>
      </c>
      <c r="J64" s="46" t="str">
        <f t="shared" si="18"/>
        <v>c 928, v "\mp3_ost\vitebsk.mp3"</v>
      </c>
      <c r="K64" s="40" t="str">
        <f t="shared" si="19"/>
        <v/>
      </c>
      <c r="L64" s="42" t="str">
        <f t="shared" si="20"/>
        <v>&lt;unit064&gt; "ул.Витебская" {e, p 051, c 902, c 928, v "\mp3_ost\vitebsk.mp3", d 000, n 065}</v>
      </c>
    </row>
    <row r="65" spans="2:12" x14ac:dyDescent="0.25">
      <c r="B65" s="44">
        <f t="shared" si="14"/>
        <v>65</v>
      </c>
      <c r="C65" s="44" t="s">
        <v>329</v>
      </c>
      <c r="D65" s="39" t="str">
        <f t="shared" si="15"/>
        <v>&gt;&gt;</v>
      </c>
      <c r="E65" s="44" t="s">
        <v>354</v>
      </c>
      <c r="F65" s="44" t="s">
        <v>381</v>
      </c>
      <c r="G65" s="45">
        <f t="shared" si="21"/>
        <v>66</v>
      </c>
      <c r="H65" s="40" t="str">
        <f t="shared" si="16"/>
        <v>p 074</v>
      </c>
      <c r="I65" s="45" t="str">
        <f t="shared" si="17"/>
        <v>c 900</v>
      </c>
      <c r="J65" s="46" t="str">
        <f t="shared" si="18"/>
        <v>c 928, v "\mp3_ost\soligors.mp3"</v>
      </c>
      <c r="K65" s="40" t="str">
        <f t="shared" si="19"/>
        <v>c 930</v>
      </c>
      <c r="L65" s="42" t="str">
        <f t="shared" si="20"/>
        <v>&lt;unit065&gt; "&gt;&gt;ул.Солигорская" {e, p 074, c 900, c 928, v "\mp3_ost\soligors.mp3", c 930, d 000, n 066}</v>
      </c>
    </row>
    <row r="66" spans="2:12" x14ac:dyDescent="0.25">
      <c r="B66" s="44">
        <f t="shared" si="14"/>
        <v>66</v>
      </c>
      <c r="C66" s="44" t="s">
        <v>79</v>
      </c>
      <c r="D66" s="39" t="str">
        <f t="shared" si="15"/>
        <v/>
      </c>
      <c r="E66" s="44" t="s">
        <v>354</v>
      </c>
      <c r="G66" s="45">
        <f t="shared" si="21"/>
        <v>67</v>
      </c>
      <c r="H66" s="40" t="str">
        <f t="shared" si="16"/>
        <v>p 074</v>
      </c>
      <c r="I66" s="45" t="str">
        <f t="shared" si="17"/>
        <v>c 902</v>
      </c>
      <c r="J66" s="46" t="str">
        <f t="shared" si="18"/>
        <v>c 928, v "\mp3_ost\soligors.mp3"</v>
      </c>
      <c r="K66" s="40" t="str">
        <f t="shared" si="19"/>
        <v/>
      </c>
      <c r="L66" s="42" t="str">
        <f t="shared" si="20"/>
        <v>&lt;unit066&gt; "ул.Солигорская" {e, p 074, c 902, c 928, v "\mp3_ost\soligors.mp3", d 000, n 067}</v>
      </c>
    </row>
    <row r="67" spans="2:12" x14ac:dyDescent="0.25">
      <c r="B67" s="44">
        <f t="shared" si="14"/>
        <v>67</v>
      </c>
      <c r="C67" s="44" t="s">
        <v>329</v>
      </c>
      <c r="D67" s="39" t="str">
        <f t="shared" si="15"/>
        <v>&gt;&gt;</v>
      </c>
      <c r="E67" s="44" t="s">
        <v>356</v>
      </c>
      <c r="F67" s="44" t="s">
        <v>381</v>
      </c>
      <c r="G67" s="45">
        <f t="shared" si="21"/>
        <v>68</v>
      </c>
      <c r="H67" s="40" t="str">
        <f t="shared" si="16"/>
        <v>p 072</v>
      </c>
      <c r="I67" s="45" t="str">
        <f t="shared" si="17"/>
        <v>c 900</v>
      </c>
      <c r="J67" s="46" t="str">
        <f t="shared" si="18"/>
        <v>c 928, v "\mp3_ost\sluchk.mp3"</v>
      </c>
      <c r="K67" s="40" t="str">
        <f t="shared" si="19"/>
        <v>c 930</v>
      </c>
      <c r="L67" s="42" t="str">
        <f t="shared" si="20"/>
        <v>&lt;unit067&gt; "&gt;&gt;ул.Слуцкая" {e, p 072, c 900, c 928, v "\mp3_ost\sluchk.mp3", c 930, d 000, n 068}</v>
      </c>
    </row>
    <row r="68" spans="2:12" x14ac:dyDescent="0.25">
      <c r="B68" s="44">
        <f t="shared" si="14"/>
        <v>68</v>
      </c>
      <c r="C68" s="44" t="s">
        <v>79</v>
      </c>
      <c r="D68" s="39" t="str">
        <f t="shared" si="15"/>
        <v/>
      </c>
      <c r="E68" s="44" t="s">
        <v>356</v>
      </c>
      <c r="G68" s="45">
        <f t="shared" si="21"/>
        <v>69</v>
      </c>
      <c r="H68" s="40" t="str">
        <f t="shared" si="16"/>
        <v>p 072</v>
      </c>
      <c r="I68" s="45" t="str">
        <f t="shared" si="17"/>
        <v>c 902</v>
      </c>
      <c r="J68" s="46" t="str">
        <f t="shared" si="18"/>
        <v>c 928, v "\mp3_ost\sluchk.mp3"</v>
      </c>
      <c r="K68" s="40" t="str">
        <f t="shared" si="19"/>
        <v/>
      </c>
      <c r="L68" s="42" t="str">
        <f t="shared" si="20"/>
        <v>&lt;unit068&gt; "ул.Слуцкая" {e, p 072, c 902, c 928, v "\mp3_ost\sluchk.mp3", d 000, n 069}</v>
      </c>
    </row>
    <row r="69" spans="2:12" x14ac:dyDescent="0.25">
      <c r="B69" s="44">
        <f t="shared" si="14"/>
        <v>69</v>
      </c>
      <c r="C69" s="44" t="s">
        <v>329</v>
      </c>
      <c r="D69" s="39" t="str">
        <f t="shared" si="15"/>
        <v>&gt;&gt;</v>
      </c>
      <c r="E69" s="44" t="s">
        <v>363</v>
      </c>
      <c r="F69" s="44" t="s">
        <v>381</v>
      </c>
      <c r="G69" s="45">
        <f t="shared" si="21"/>
        <v>70</v>
      </c>
      <c r="H69" s="40" t="str">
        <f t="shared" si="16"/>
        <v>p 044</v>
      </c>
      <c r="I69" s="45" t="str">
        <f t="shared" si="17"/>
        <v>c 900</v>
      </c>
      <c r="J69" s="46" t="str">
        <f t="shared" si="18"/>
        <v>v "\mp3_ost\ugli-2.mp3"</v>
      </c>
      <c r="K69" s="40" t="str">
        <f t="shared" si="19"/>
        <v>c 930</v>
      </c>
      <c r="L69" s="42" t="str">
        <f t="shared" si="20"/>
        <v>&lt;unit069&gt; "&gt;&gt;Углы-2" {e, p 044, c 900, v "\mp3_ost\ugli-2.mp3", c 930, d 000, n 070}</v>
      </c>
    </row>
    <row r="70" spans="2:12" x14ac:dyDescent="0.25">
      <c r="B70" s="44">
        <f t="shared" si="14"/>
        <v>70</v>
      </c>
      <c r="C70" s="44" t="s">
        <v>79</v>
      </c>
      <c r="D70" s="39" t="str">
        <f t="shared" si="15"/>
        <v/>
      </c>
      <c r="E70" s="44" t="s">
        <v>363</v>
      </c>
      <c r="G70" s="45">
        <f t="shared" si="21"/>
        <v>71</v>
      </c>
      <c r="H70" s="40" t="str">
        <f t="shared" si="16"/>
        <v>p 044</v>
      </c>
      <c r="I70" s="45" t="str">
        <f t="shared" si="17"/>
        <v>c 902</v>
      </c>
      <c r="J70" s="46" t="str">
        <f t="shared" si="18"/>
        <v>v "\mp3_ost\ugli-2.mp3"</v>
      </c>
      <c r="K70" s="40" t="str">
        <f t="shared" si="19"/>
        <v/>
      </c>
      <c r="L70" s="42" t="str">
        <f t="shared" si="20"/>
        <v>&lt;unit070&gt; "Углы-2" {e, p 044, c 902, v "\mp3_ost\ugli-2.mp3", d 000, n 071}</v>
      </c>
    </row>
    <row r="71" spans="2:12" x14ac:dyDescent="0.25">
      <c r="B71" s="44">
        <f t="shared" si="14"/>
        <v>71</v>
      </c>
      <c r="C71" s="44" t="s">
        <v>329</v>
      </c>
      <c r="D71" s="39" t="str">
        <f t="shared" si="15"/>
        <v>&gt;&gt;</v>
      </c>
      <c r="E71" s="44" t="s">
        <v>275</v>
      </c>
      <c r="F71" s="44" t="s">
        <v>381</v>
      </c>
      <c r="G71" s="45">
        <f t="shared" si="21"/>
        <v>72</v>
      </c>
      <c r="H71" s="40" t="str">
        <f t="shared" si="16"/>
        <v>p 063</v>
      </c>
      <c r="I71" s="45" t="str">
        <f t="shared" si="17"/>
        <v>c 900</v>
      </c>
      <c r="J71" s="46" t="str">
        <f t="shared" si="18"/>
        <v>c 928, v "\mp3_ost\magistra.mp3"</v>
      </c>
      <c r="K71" s="40" t="str">
        <f t="shared" si="19"/>
        <v>c 930</v>
      </c>
      <c r="L71" s="42" t="str">
        <f t="shared" si="20"/>
        <v>&lt;unit071&gt; "&gt;&gt;ул.Магистральная" {e, p 063, c 900, c 928, v "\mp3_ost\magistra.mp3", c 930, d 000, n 072}</v>
      </c>
    </row>
    <row r="72" spans="2:12" x14ac:dyDescent="0.25">
      <c r="B72" s="44">
        <f t="shared" si="14"/>
        <v>72</v>
      </c>
      <c r="C72" s="44" t="s">
        <v>79</v>
      </c>
      <c r="D72" s="39" t="str">
        <f t="shared" si="15"/>
        <v/>
      </c>
      <c r="E72" s="44" t="s">
        <v>275</v>
      </c>
      <c r="G72" s="45">
        <f t="shared" si="21"/>
        <v>73</v>
      </c>
      <c r="H72" s="40" t="str">
        <f t="shared" si="16"/>
        <v>p 063</v>
      </c>
      <c r="I72" s="45" t="str">
        <f t="shared" si="17"/>
        <v>c 902</v>
      </c>
      <c r="J72" s="46" t="str">
        <f t="shared" si="18"/>
        <v>c 928, v "\mp3_ost\magistra.mp3"</v>
      </c>
      <c r="K72" s="40" t="str">
        <f t="shared" si="19"/>
        <v/>
      </c>
      <c r="L72" s="42" t="str">
        <f t="shared" si="20"/>
        <v>&lt;unit072&gt; "ул.Магистральная" {e, p 063, c 902, c 928, v "\mp3_ost\magistra.mp3", d 000, n 073}</v>
      </c>
    </row>
    <row r="73" spans="2:12" x14ac:dyDescent="0.25">
      <c r="B73" s="44">
        <f t="shared" si="14"/>
        <v>73</v>
      </c>
      <c r="C73" s="44" t="s">
        <v>329</v>
      </c>
      <c r="D73" s="39" t="str">
        <f t="shared" si="15"/>
        <v>&gt;&gt;</v>
      </c>
      <c r="E73" s="44" t="s">
        <v>348</v>
      </c>
      <c r="F73" s="44" t="s">
        <v>381</v>
      </c>
      <c r="G73" s="45">
        <f t="shared" si="21"/>
        <v>74</v>
      </c>
      <c r="H73" s="40" t="str">
        <f t="shared" si="16"/>
        <v>p 070</v>
      </c>
      <c r="I73" s="45" t="str">
        <f t="shared" si="17"/>
        <v>c 900</v>
      </c>
      <c r="J73" s="46" t="str">
        <f t="shared" si="18"/>
        <v>c 928, v "\mp3_ost\rodnik.mp3"</v>
      </c>
      <c r="K73" s="40" t="str">
        <f t="shared" si="19"/>
        <v>c 930</v>
      </c>
      <c r="L73" s="42" t="str">
        <f t="shared" si="20"/>
        <v>&lt;unit073&gt; "&gt;&gt;ул.Родниковая" {e, p 070, c 900, c 928, v "\mp3_ost\rodnik.mp3", c 930, d 000, n 074}</v>
      </c>
    </row>
    <row r="74" spans="2:12" x14ac:dyDescent="0.25">
      <c r="B74" s="44">
        <f t="shared" si="14"/>
        <v>74</v>
      </c>
      <c r="C74" s="44" t="s">
        <v>79</v>
      </c>
      <c r="D74" s="39" t="str">
        <f t="shared" si="15"/>
        <v/>
      </c>
      <c r="E74" s="44" t="s">
        <v>348</v>
      </c>
      <c r="G74" s="45">
        <f t="shared" si="21"/>
        <v>75</v>
      </c>
      <c r="H74" s="40" t="str">
        <f t="shared" si="16"/>
        <v>p 070</v>
      </c>
      <c r="I74" s="45" t="str">
        <f t="shared" si="17"/>
        <v>c 902</v>
      </c>
      <c r="J74" s="46" t="str">
        <f t="shared" si="18"/>
        <v>c 928, v "\mp3_ost\rodnik.mp3"</v>
      </c>
      <c r="K74" s="40" t="str">
        <f t="shared" si="19"/>
        <v/>
      </c>
      <c r="L74" s="42" t="str">
        <f t="shared" si="20"/>
        <v>&lt;unit074&gt; "ул.Родниковая" {e, p 070, c 902, c 928, v "\mp3_ost\rodnik.mp3", d 000, n 075}</v>
      </c>
    </row>
    <row r="75" spans="2:12" x14ac:dyDescent="0.25">
      <c r="B75" s="44">
        <f t="shared" si="14"/>
        <v>75</v>
      </c>
      <c r="C75" s="44" t="s">
        <v>329</v>
      </c>
      <c r="D75" s="39" t="str">
        <f t="shared" si="15"/>
        <v>&gt;&gt;</v>
      </c>
      <c r="E75" s="44" t="s">
        <v>174</v>
      </c>
      <c r="F75" s="44" t="s">
        <v>381</v>
      </c>
      <c r="G75" s="45">
        <f t="shared" si="21"/>
        <v>76</v>
      </c>
      <c r="H75" s="40" t="str">
        <f t="shared" si="16"/>
        <v>p 038</v>
      </c>
      <c r="I75" s="45" t="str">
        <f t="shared" si="17"/>
        <v>c 900</v>
      </c>
      <c r="J75" s="46" t="str">
        <f t="shared" si="18"/>
        <v>v "\mp3_ost\8ssh.mp3"</v>
      </c>
      <c r="K75" s="40" t="str">
        <f t="shared" si="19"/>
        <v>c 930</v>
      </c>
      <c r="L75" s="42" t="str">
        <f t="shared" si="20"/>
        <v>&lt;unit075&gt; "&gt;&gt;СШ № 8" {e, p 038, c 900, v "\mp3_ost\8ssh.mp3", c 930, d 000, n 076}</v>
      </c>
    </row>
    <row r="76" spans="2:12" x14ac:dyDescent="0.25">
      <c r="B76" s="44">
        <f t="shared" si="14"/>
        <v>76</v>
      </c>
      <c r="C76" s="44" t="s">
        <v>79</v>
      </c>
      <c r="D76" s="39" t="str">
        <f t="shared" si="15"/>
        <v/>
      </c>
      <c r="E76" s="44" t="s">
        <v>174</v>
      </c>
      <c r="G76" s="45">
        <f t="shared" si="21"/>
        <v>77</v>
      </c>
      <c r="H76" s="40" t="str">
        <f t="shared" si="16"/>
        <v>p 038</v>
      </c>
      <c r="I76" s="45" t="str">
        <f t="shared" si="17"/>
        <v>c 902</v>
      </c>
      <c r="J76" s="46" t="str">
        <f t="shared" si="18"/>
        <v>v "\mp3_ost\8ssh.mp3"</v>
      </c>
      <c r="K76" s="40" t="str">
        <f t="shared" si="19"/>
        <v/>
      </c>
      <c r="L76" s="42" t="str">
        <f t="shared" si="20"/>
        <v>&lt;unit076&gt; "СШ № 8" {e, p 038, c 902, v "\mp3_ost\8ssh.mp3", d 000, n 077}</v>
      </c>
    </row>
    <row r="77" spans="2:12" x14ac:dyDescent="0.25">
      <c r="B77" s="44">
        <f t="shared" si="14"/>
        <v>77</v>
      </c>
      <c r="C77" s="44" t="s">
        <v>329</v>
      </c>
      <c r="D77" s="39" t="str">
        <f t="shared" si="15"/>
        <v>&gt;&gt;</v>
      </c>
      <c r="E77" s="44" t="s">
        <v>180</v>
      </c>
      <c r="F77" s="44" t="s">
        <v>381</v>
      </c>
      <c r="G77" s="45">
        <f t="shared" si="21"/>
        <v>78</v>
      </c>
      <c r="H77" s="40" t="str">
        <f t="shared" si="16"/>
        <v>p 006</v>
      </c>
      <c r="I77" s="45" t="str">
        <f t="shared" si="17"/>
        <v>c 900</v>
      </c>
      <c r="J77" s="46" t="str">
        <f t="shared" si="18"/>
        <v>v "\mp3_ost\bolnica.mp3"</v>
      </c>
      <c r="K77" s="40" t="str">
        <f t="shared" si="19"/>
        <v>c 930</v>
      </c>
      <c r="L77" s="42" t="str">
        <f t="shared" si="20"/>
        <v>&lt;unit077&gt; "&gt;&gt;Больница" {e, p 006, c 900, v "\mp3_ost\bolnica.mp3", c 930, d 000, n 078}</v>
      </c>
    </row>
    <row r="78" spans="2:12" x14ac:dyDescent="0.25">
      <c r="B78" s="44">
        <f t="shared" si="14"/>
        <v>78</v>
      </c>
      <c r="C78" s="44" t="s">
        <v>79</v>
      </c>
      <c r="D78" s="39" t="str">
        <f t="shared" si="15"/>
        <v/>
      </c>
      <c r="E78" s="44" t="s">
        <v>180</v>
      </c>
      <c r="G78" s="45">
        <f t="shared" si="21"/>
        <v>79</v>
      </c>
      <c r="H78" s="40" t="str">
        <f t="shared" si="16"/>
        <v>p 006</v>
      </c>
      <c r="I78" s="45" t="str">
        <f t="shared" si="17"/>
        <v>c 902</v>
      </c>
      <c r="J78" s="46" t="str">
        <f t="shared" si="18"/>
        <v>v "\mp3_ost\bolnica.mp3"</v>
      </c>
      <c r="K78" s="40" t="str">
        <f t="shared" si="19"/>
        <v/>
      </c>
      <c r="L78" s="42" t="str">
        <f t="shared" si="20"/>
        <v>&lt;unit078&gt; "Больница" {e, p 006, c 902, v "\mp3_ost\bolnica.mp3", d 000, n 079}</v>
      </c>
    </row>
    <row r="79" spans="2:12" x14ac:dyDescent="0.25">
      <c r="B79" s="44">
        <f t="shared" si="14"/>
        <v>79</v>
      </c>
      <c r="C79" s="44" t="s">
        <v>329</v>
      </c>
      <c r="D79" s="39" t="str">
        <f t="shared" si="15"/>
        <v>&gt;&gt;</v>
      </c>
      <c r="E79" s="44" t="s">
        <v>347</v>
      </c>
      <c r="F79" s="44" t="s">
        <v>381</v>
      </c>
      <c r="G79" s="45">
        <f t="shared" si="21"/>
        <v>80</v>
      </c>
      <c r="H79" s="40" t="str">
        <f t="shared" si="16"/>
        <v>p 050</v>
      </c>
      <c r="I79" s="45" t="str">
        <f t="shared" si="17"/>
        <v>c 900</v>
      </c>
      <c r="J79" s="46" t="str">
        <f t="shared" si="18"/>
        <v>c 928, v "\mp3_ost\borovaja.mp3"</v>
      </c>
      <c r="K79" s="40" t="str">
        <f t="shared" si="19"/>
        <v>c 930</v>
      </c>
      <c r="L79" s="42" t="str">
        <f t="shared" si="20"/>
        <v>&lt;unit079&gt; "&gt;&gt;ул.Боровая" {e, p 050, c 900, c 928, v "\mp3_ost\borovaja.mp3", c 930, d 000, n 080}</v>
      </c>
    </row>
    <row r="80" spans="2:12" x14ac:dyDescent="0.25">
      <c r="B80" s="44">
        <f t="shared" si="14"/>
        <v>80</v>
      </c>
      <c r="C80" s="44" t="s">
        <v>79</v>
      </c>
      <c r="D80" s="39" t="str">
        <f t="shared" si="15"/>
        <v/>
      </c>
      <c r="E80" s="44" t="s">
        <v>347</v>
      </c>
      <c r="G80" s="45">
        <f t="shared" si="21"/>
        <v>81</v>
      </c>
      <c r="H80" s="40" t="str">
        <f t="shared" si="16"/>
        <v>p 050</v>
      </c>
      <c r="I80" s="45" t="str">
        <f t="shared" si="17"/>
        <v>c 902</v>
      </c>
      <c r="J80" s="46" t="str">
        <f t="shared" si="18"/>
        <v>c 928, v "\mp3_ost\borovaja.mp3"</v>
      </c>
      <c r="K80" s="40" t="str">
        <f t="shared" si="19"/>
        <v/>
      </c>
      <c r="L80" s="42" t="str">
        <f t="shared" si="20"/>
        <v>&lt;unit080&gt; "ул.Боровая" {e, p 050, c 902, c 928, v "\mp3_ost\borovaja.mp3", d 000, n 081}</v>
      </c>
    </row>
    <row r="81" spans="2:12" x14ac:dyDescent="0.25">
      <c r="B81" s="44">
        <f t="shared" si="14"/>
        <v>81</v>
      </c>
      <c r="C81" s="44" t="s">
        <v>329</v>
      </c>
      <c r="D81" s="39" t="str">
        <f t="shared" si="15"/>
        <v>&gt;&gt;</v>
      </c>
      <c r="E81" s="44" t="s">
        <v>260</v>
      </c>
      <c r="F81" s="44" t="s">
        <v>381</v>
      </c>
      <c r="G81" s="45">
        <f t="shared" si="21"/>
        <v>82</v>
      </c>
      <c r="H81" s="40" t="str">
        <f t="shared" si="16"/>
        <v>p 029</v>
      </c>
      <c r="I81" s="45" t="str">
        <f t="shared" si="17"/>
        <v>c 900</v>
      </c>
      <c r="J81" s="46" t="str">
        <f t="shared" si="18"/>
        <v>v "\mp3_ost\venis`e.mp3"</v>
      </c>
      <c r="K81" s="40" t="str">
        <f t="shared" si="19"/>
        <v>c 930</v>
      </c>
      <c r="L81" s="42" t="str">
        <f t="shared" si="20"/>
        <v>&lt;unit081&gt; "&gt;&gt;пр-т Венисье" {e, p 029, c 900, v "\mp3_ost\venis`e.mp3", c 930, d 000, n 082}</v>
      </c>
    </row>
    <row r="82" spans="2:12" x14ac:dyDescent="0.25">
      <c r="B82" s="44">
        <f t="shared" si="14"/>
        <v>82</v>
      </c>
      <c r="C82" s="44" t="s">
        <v>79</v>
      </c>
      <c r="D82" s="39" t="str">
        <f t="shared" si="15"/>
        <v/>
      </c>
      <c r="E82" s="44" t="s">
        <v>260</v>
      </c>
      <c r="G82" s="45">
        <f t="shared" si="21"/>
        <v>83</v>
      </c>
      <c r="H82" s="40" t="str">
        <f t="shared" si="16"/>
        <v>p 029</v>
      </c>
      <c r="I82" s="45" t="str">
        <f t="shared" si="17"/>
        <v>c 902</v>
      </c>
      <c r="J82" s="46" t="str">
        <f t="shared" si="18"/>
        <v>v "\mp3_ost\venis`e.mp3"</v>
      </c>
      <c r="K82" s="40" t="str">
        <f t="shared" si="19"/>
        <v/>
      </c>
      <c r="L82" s="42" t="str">
        <f t="shared" si="20"/>
        <v>&lt;unit082&gt; "пр-т Венисье" {e, p 029, c 902, v "\mp3_ost\venis`e.mp3", d 000, n 083}</v>
      </c>
    </row>
    <row r="83" spans="2:12" x14ac:dyDescent="0.25">
      <c r="B83" s="44">
        <f t="shared" si="14"/>
        <v>83</v>
      </c>
      <c r="C83" s="44" t="s">
        <v>329</v>
      </c>
      <c r="D83" s="39" t="str">
        <f t="shared" si="15"/>
        <v>&gt;&gt;</v>
      </c>
      <c r="E83" s="44" t="s">
        <v>240</v>
      </c>
      <c r="F83" s="44" t="s">
        <v>381</v>
      </c>
      <c r="G83" s="45">
        <f t="shared" si="21"/>
        <v>84</v>
      </c>
      <c r="H83" s="40" t="str">
        <f t="shared" si="16"/>
        <v>p 034</v>
      </c>
      <c r="I83" s="45" t="str">
        <f t="shared" si="17"/>
        <v>c 900</v>
      </c>
      <c r="J83" s="46" t="str">
        <f t="shared" si="18"/>
        <v>v "\mp3_ost\sberbank.mp3"</v>
      </c>
      <c r="K83" s="40" t="str">
        <f t="shared" si="19"/>
        <v>c 930</v>
      </c>
      <c r="L83" s="42" t="str">
        <f t="shared" si="20"/>
        <v>&lt;unit083&gt; "&gt;&gt;Сбербанк" {e, p 034, c 900, v "\mp3_ost\sberbank.mp3", c 930, d 000, n 084}</v>
      </c>
    </row>
    <row r="84" spans="2:12" x14ac:dyDescent="0.25">
      <c r="B84" s="44">
        <f t="shared" si="14"/>
        <v>84</v>
      </c>
      <c r="C84" s="44" t="s">
        <v>79</v>
      </c>
      <c r="D84" s="39" t="str">
        <f t="shared" si="15"/>
        <v/>
      </c>
      <c r="E84" s="44" t="s">
        <v>240</v>
      </c>
      <c r="G84" s="45">
        <f t="shared" si="21"/>
        <v>85</v>
      </c>
      <c r="H84" s="40" t="str">
        <f t="shared" si="16"/>
        <v>p 034</v>
      </c>
      <c r="I84" s="45" t="str">
        <f t="shared" si="17"/>
        <v>c 902</v>
      </c>
      <c r="J84" s="46" t="str">
        <f t="shared" si="18"/>
        <v>v "\mp3_ost\sberbank.mp3"</v>
      </c>
      <c r="K84" s="40" t="str">
        <f t="shared" si="19"/>
        <v/>
      </c>
      <c r="L84" s="42" t="str">
        <f t="shared" si="20"/>
        <v>&lt;unit084&gt; "Сбербанк" {e, p 034, c 902, v "\mp3_ost\sberbank.mp3", d 000, n 085}</v>
      </c>
    </row>
    <row r="85" spans="2:12" x14ac:dyDescent="0.25">
      <c r="B85" s="44">
        <f t="shared" si="14"/>
        <v>85</v>
      </c>
      <c r="C85" s="44" t="s">
        <v>329</v>
      </c>
      <c r="D85" s="39" t="str">
        <f t="shared" si="15"/>
        <v>&gt;&gt;</v>
      </c>
      <c r="E85" s="44" t="s">
        <v>225</v>
      </c>
      <c r="F85" s="44" t="s">
        <v>381</v>
      </c>
      <c r="G85" s="45">
        <f t="shared" si="21"/>
        <v>86</v>
      </c>
      <c r="H85" s="40" t="str">
        <f t="shared" si="16"/>
        <v>p 027</v>
      </c>
      <c r="I85" s="45" t="str">
        <f t="shared" si="17"/>
        <v>c 900</v>
      </c>
      <c r="J85" s="46" t="str">
        <f t="shared" si="18"/>
        <v>v "\mp3_ost\paliklin.mp3"</v>
      </c>
      <c r="K85" s="40" t="str">
        <f t="shared" si="19"/>
        <v>c 930</v>
      </c>
      <c r="L85" s="42" t="str">
        <f t="shared" si="20"/>
        <v>&lt;unit085&gt; "&gt;&gt;Поликлиника" {e, p 027, c 900, v "\mp3_ost\paliklin.mp3", c 930, d 000, n 086}</v>
      </c>
    </row>
    <row r="86" spans="2:12" x14ac:dyDescent="0.25">
      <c r="B86" s="44">
        <f t="shared" si="14"/>
        <v>86</v>
      </c>
      <c r="C86" s="44" t="s">
        <v>79</v>
      </c>
      <c r="D86" s="39" t="str">
        <f t="shared" si="15"/>
        <v/>
      </c>
      <c r="E86" s="44" t="s">
        <v>225</v>
      </c>
      <c r="G86" s="45">
        <f t="shared" si="21"/>
        <v>87</v>
      </c>
      <c r="H86" s="40" t="str">
        <f t="shared" si="16"/>
        <v>p 027</v>
      </c>
      <c r="I86" s="45" t="str">
        <f t="shared" si="17"/>
        <v>c 902</v>
      </c>
      <c r="J86" s="46" t="str">
        <f t="shared" si="18"/>
        <v>v "\mp3_ost\paliklin.mp3"</v>
      </c>
      <c r="K86" s="40" t="str">
        <f t="shared" si="19"/>
        <v/>
      </c>
      <c r="L86" s="42" t="str">
        <f t="shared" si="20"/>
        <v>&lt;unit086&gt; "Поликлиника" {e, p 027, c 902, v "\mp3_ost\paliklin.mp3", d 000, n 087}</v>
      </c>
    </row>
    <row r="87" spans="2:12" x14ac:dyDescent="0.25">
      <c r="B87" s="44">
        <f t="shared" si="14"/>
        <v>87</v>
      </c>
      <c r="C87" s="44" t="s">
        <v>329</v>
      </c>
      <c r="D87" s="39" t="str">
        <f t="shared" si="15"/>
        <v>&gt;&gt;</v>
      </c>
      <c r="E87" s="44" t="s">
        <v>349</v>
      </c>
      <c r="F87" s="44" t="s">
        <v>381</v>
      </c>
      <c r="G87" s="45">
        <f t="shared" si="21"/>
        <v>88</v>
      </c>
      <c r="H87" s="40" t="str">
        <f t="shared" si="16"/>
        <v>p 022</v>
      </c>
      <c r="I87" s="45" t="str">
        <f t="shared" si="17"/>
        <v>c 900</v>
      </c>
      <c r="J87" s="46" t="str">
        <f t="shared" si="18"/>
        <v>v "\mp3_ost\park.mp3"</v>
      </c>
      <c r="K87" s="40" t="str">
        <f t="shared" si="19"/>
        <v>c 930</v>
      </c>
      <c r="L87" s="42" t="str">
        <f t="shared" si="20"/>
        <v>&lt;unit087&gt; "&gt;&gt;Парк культуры" {e, p 022, c 900, v "\mp3_ost\park.mp3", c 930, d 000, n 088}</v>
      </c>
    </row>
    <row r="88" spans="2:12" x14ac:dyDescent="0.25">
      <c r="B88" s="44">
        <f t="shared" si="14"/>
        <v>88</v>
      </c>
      <c r="C88" s="44" t="s">
        <v>79</v>
      </c>
      <c r="D88" s="39" t="str">
        <f t="shared" si="15"/>
        <v/>
      </c>
      <c r="E88" s="44" t="s">
        <v>349</v>
      </c>
      <c r="G88" s="45">
        <f t="shared" si="21"/>
        <v>89</v>
      </c>
      <c r="H88" s="40" t="str">
        <f t="shared" si="16"/>
        <v>p 022</v>
      </c>
      <c r="I88" s="45" t="str">
        <f t="shared" si="17"/>
        <v>c 902</v>
      </c>
      <c r="J88" s="46" t="str">
        <f t="shared" si="18"/>
        <v>v "\mp3_ost\park.mp3"</v>
      </c>
      <c r="K88" s="40" t="str">
        <f t="shared" si="19"/>
        <v/>
      </c>
      <c r="L88" s="42" t="str">
        <f t="shared" si="20"/>
        <v>&lt;unit088&gt; "Парк культуры" {e, p 022, c 902, v "\mp3_ost\park.mp3", d 000, n 089}</v>
      </c>
    </row>
    <row r="89" spans="2:12" x14ac:dyDescent="0.25">
      <c r="B89" s="44">
        <f t="shared" si="14"/>
        <v>89</v>
      </c>
      <c r="C89" s="44" t="s">
        <v>329</v>
      </c>
      <c r="D89" s="39" t="str">
        <f t="shared" si="15"/>
        <v>&gt;&gt;</v>
      </c>
      <c r="E89" s="44" t="s">
        <v>233</v>
      </c>
      <c r="F89" s="44" t="s">
        <v>381</v>
      </c>
      <c r="G89" s="45">
        <f t="shared" si="21"/>
        <v>90</v>
      </c>
      <c r="H89" s="40" t="str">
        <f t="shared" si="16"/>
        <v>p 028</v>
      </c>
      <c r="I89" s="45" t="str">
        <f t="shared" si="17"/>
        <v>c 900</v>
      </c>
      <c r="J89" s="46" t="str">
        <f t="shared" si="18"/>
        <v>v "\mp3_ost\pochta.mp3"</v>
      </c>
      <c r="K89" s="40" t="str">
        <f t="shared" si="19"/>
        <v>c 930</v>
      </c>
      <c r="L89" s="42" t="str">
        <f t="shared" si="20"/>
        <v>&lt;unit089&gt; "&gt;&gt;Почта" {e, p 028, c 900, v "\mp3_ost\pochta.mp3", c 930, d 000, n 090}</v>
      </c>
    </row>
    <row r="90" spans="2:12" x14ac:dyDescent="0.25">
      <c r="B90" s="44">
        <f t="shared" si="14"/>
        <v>90</v>
      </c>
      <c r="C90" s="44" t="s">
        <v>79</v>
      </c>
      <c r="D90" s="39" t="str">
        <f t="shared" si="15"/>
        <v/>
      </c>
      <c r="E90" s="44" t="s">
        <v>233</v>
      </c>
      <c r="G90" s="45">
        <f t="shared" si="21"/>
        <v>91</v>
      </c>
      <c r="H90" s="40" t="str">
        <f t="shared" si="16"/>
        <v>p 028</v>
      </c>
      <c r="I90" s="45" t="str">
        <f t="shared" si="17"/>
        <v>c 902</v>
      </c>
      <c r="J90" s="46" t="str">
        <f t="shared" si="18"/>
        <v>v "\mp3_ost\pochta.mp3"</v>
      </c>
      <c r="K90" s="40" t="str">
        <f t="shared" si="19"/>
        <v/>
      </c>
      <c r="L90" s="42" t="str">
        <f t="shared" si="20"/>
        <v>&lt;unit090&gt; "Почта" {e, p 028, c 902, v "\mp3_ost\pochta.mp3", d 000, n 091}</v>
      </c>
    </row>
    <row r="91" spans="2:12" x14ac:dyDescent="0.25">
      <c r="B91" s="44">
        <f t="shared" si="14"/>
        <v>91</v>
      </c>
      <c r="C91" s="44" t="s">
        <v>329</v>
      </c>
      <c r="D91" s="39" t="str">
        <f t="shared" si="15"/>
        <v>&gt;&gt;</v>
      </c>
      <c r="E91" s="44" t="s">
        <v>167</v>
      </c>
      <c r="F91" s="44" t="s">
        <v>381</v>
      </c>
      <c r="G91" s="45">
        <f t="shared" si="21"/>
        <v>92</v>
      </c>
      <c r="H91" s="40" t="str">
        <f t="shared" si="16"/>
        <v>p 077</v>
      </c>
      <c r="I91" s="45" t="str">
        <f t="shared" si="17"/>
        <v>c 900</v>
      </c>
      <c r="J91" s="46" t="str">
        <f t="shared" si="18"/>
        <v>c 928, v "\mp3_ost\swrokvas.mp3"</v>
      </c>
      <c r="K91" s="40" t="str">
        <f t="shared" si="19"/>
        <v>c 930</v>
      </c>
      <c r="L91" s="42" t="str">
        <f t="shared" si="20"/>
        <v>&lt;unit091&gt; "&gt;&gt;ул.Сырокваша" {e, p 077, c 900, c 928, v "\mp3_ost\swrokvas.mp3", c 930, d 000, n 092}</v>
      </c>
    </row>
    <row r="92" spans="2:12" x14ac:dyDescent="0.25">
      <c r="B92" s="44">
        <f t="shared" si="14"/>
        <v>92</v>
      </c>
      <c r="C92" s="44" t="s">
        <v>79</v>
      </c>
      <c r="D92" s="39" t="str">
        <f t="shared" si="15"/>
        <v/>
      </c>
      <c r="E92" s="44" t="s">
        <v>167</v>
      </c>
      <c r="G92" s="45">
        <f t="shared" si="21"/>
        <v>93</v>
      </c>
      <c r="H92" s="40" t="str">
        <f t="shared" si="16"/>
        <v>p 077</v>
      </c>
      <c r="I92" s="45" t="str">
        <f t="shared" si="17"/>
        <v>c 902</v>
      </c>
      <c r="J92" s="46" t="str">
        <f t="shared" si="18"/>
        <v>c 928, v "\mp3_ost\swrokvas.mp3"</v>
      </c>
      <c r="K92" s="40" t="str">
        <f t="shared" si="19"/>
        <v/>
      </c>
      <c r="L92" s="42" t="str">
        <f t="shared" ref="L92:L108" si="22">"&lt;unit"&amp;TEXT(B92,"000")&amp;"&gt; """&amp;СцепитьМного(D92:E92,"")&amp;""" {e, "&amp;СцепитьМного(H92:K92,", ")&amp;", d 000, n "&amp;TEXT(G92,"000")&amp;"}"</f>
        <v>&lt;unit092&gt; "ул.Сырокваша" {e, p 077, c 902, c 928, v "\mp3_ost\swrokvas.mp3", d 000, n 093}</v>
      </c>
    </row>
    <row r="93" spans="2:12" x14ac:dyDescent="0.25">
      <c r="B93" s="44">
        <f t="shared" si="14"/>
        <v>93</v>
      </c>
      <c r="C93" s="44" t="s">
        <v>329</v>
      </c>
      <c r="D93" s="39" t="str">
        <f t="shared" si="15"/>
        <v>&gt;&gt;</v>
      </c>
      <c r="E93" s="44" t="s">
        <v>165</v>
      </c>
      <c r="F93" s="44" t="s">
        <v>381</v>
      </c>
      <c r="G93" s="45">
        <f t="shared" si="21"/>
        <v>94</v>
      </c>
      <c r="H93" s="40" t="str">
        <f t="shared" si="16"/>
        <v>p 064</v>
      </c>
      <c r="I93" s="45" t="str">
        <f t="shared" si="17"/>
        <v>c 900</v>
      </c>
      <c r="J93" s="46" t="str">
        <f t="shared" si="18"/>
        <v>c 928, v "\mp3_ost\moskovsk.mp3"</v>
      </c>
      <c r="K93" s="40" t="str">
        <f t="shared" si="19"/>
        <v>c 930</v>
      </c>
      <c r="L93" s="42" t="str">
        <f t="shared" si="22"/>
        <v>&lt;unit093&gt; "&gt;&gt;ул.Московская" {e, p 064, c 900, c 928, v "\mp3_ost\moskovsk.mp3", c 930, d 000, n 094}</v>
      </c>
    </row>
    <row r="94" spans="2:12" x14ac:dyDescent="0.25">
      <c r="B94" s="44">
        <f t="shared" si="14"/>
        <v>94</v>
      </c>
      <c r="C94" s="44" t="s">
        <v>79</v>
      </c>
      <c r="D94" s="39" t="str">
        <f t="shared" si="15"/>
        <v/>
      </c>
      <c r="E94" s="44" t="s">
        <v>165</v>
      </c>
      <c r="G94" s="45">
        <f t="shared" si="21"/>
        <v>95</v>
      </c>
      <c r="H94" s="40" t="str">
        <f t="shared" si="16"/>
        <v>p 064</v>
      </c>
      <c r="I94" s="45" t="str">
        <f t="shared" si="17"/>
        <v>c 902</v>
      </c>
      <c r="J94" s="46" t="str">
        <f t="shared" si="18"/>
        <v>c 928, v "\mp3_ost\moskovsk.mp3"</v>
      </c>
      <c r="K94" s="40" t="str">
        <f t="shared" si="19"/>
        <v/>
      </c>
      <c r="L94" s="42" t="str">
        <f t="shared" si="22"/>
        <v>&lt;unit094&gt; "ул.Московская" {e, p 064, c 902, c 928, v "\mp3_ost\moskovsk.mp3", d 000, n 095}</v>
      </c>
    </row>
    <row r="95" spans="2:12" x14ac:dyDescent="0.25">
      <c r="B95" s="44">
        <f t="shared" si="14"/>
        <v>95</v>
      </c>
      <c r="C95" s="44" t="s">
        <v>329</v>
      </c>
      <c r="D95" s="39" t="str">
        <f t="shared" si="15"/>
        <v>&gt;&gt;</v>
      </c>
      <c r="E95" s="44" t="s">
        <v>166</v>
      </c>
      <c r="F95" s="44" t="s">
        <v>381</v>
      </c>
      <c r="G95" s="45">
        <f t="shared" si="21"/>
        <v>96</v>
      </c>
      <c r="H95" s="40" t="str">
        <f t="shared" si="16"/>
        <v>p 068</v>
      </c>
      <c r="I95" s="45" t="str">
        <f t="shared" si="17"/>
        <v>c 900</v>
      </c>
      <c r="J95" s="46" t="str">
        <f t="shared" si="18"/>
        <v>c 928, v "\mp3_ost\partizan.mp3"</v>
      </c>
      <c r="K95" s="40" t="str">
        <f t="shared" si="19"/>
        <v>c 930</v>
      </c>
      <c r="L95" s="42" t="str">
        <f t="shared" si="22"/>
        <v>&lt;unit095&gt; "&gt;&gt;ул.Партизанская" {e, p 068, c 900, c 928, v "\mp3_ost\partizan.mp3", c 930, d 000, n 096}</v>
      </c>
    </row>
    <row r="96" spans="2:12" x14ac:dyDescent="0.25">
      <c r="B96" s="44">
        <f t="shared" si="14"/>
        <v>96</v>
      </c>
      <c r="C96" s="44" t="s">
        <v>79</v>
      </c>
      <c r="D96" s="39" t="str">
        <f t="shared" si="15"/>
        <v/>
      </c>
      <c r="E96" s="44" t="s">
        <v>166</v>
      </c>
      <c r="G96" s="45">
        <f t="shared" si="21"/>
        <v>97</v>
      </c>
      <c r="H96" s="40" t="str">
        <f t="shared" si="16"/>
        <v>p 068</v>
      </c>
      <c r="I96" s="45" t="str">
        <f t="shared" si="17"/>
        <v>c 902</v>
      </c>
      <c r="J96" s="46" t="str">
        <f t="shared" si="18"/>
        <v>c 928, v "\mp3_ost\partizan.mp3"</v>
      </c>
      <c r="K96" s="40" t="str">
        <f t="shared" si="19"/>
        <v/>
      </c>
      <c r="L96" s="42" t="str">
        <f t="shared" si="22"/>
        <v>&lt;unit096&gt; "ул.Партизанская" {e, p 068, c 902, c 928, v "\mp3_ost\partizan.mp3", d 000, n 097}</v>
      </c>
    </row>
    <row r="97" spans="2:12" x14ac:dyDescent="0.25">
      <c r="B97" s="44">
        <f t="shared" si="14"/>
        <v>97</v>
      </c>
      <c r="C97" s="44" t="s">
        <v>329</v>
      </c>
      <c r="D97" s="39" t="str">
        <f t="shared" si="15"/>
        <v>&gt;&gt;</v>
      </c>
      <c r="E97" s="44" t="s">
        <v>163</v>
      </c>
      <c r="F97" s="44" t="s">
        <v>381</v>
      </c>
      <c r="G97" s="45">
        <f t="shared" si="21"/>
        <v>98</v>
      </c>
      <c r="H97" s="40" t="str">
        <f t="shared" si="16"/>
        <v>p 010</v>
      </c>
      <c r="I97" s="45" t="str">
        <f t="shared" si="17"/>
        <v>c 900</v>
      </c>
      <c r="J97" s="46" t="str">
        <f t="shared" si="18"/>
        <v>v "\mp3_ost\jd.mp3"</v>
      </c>
      <c r="K97" s="40" t="str">
        <f t="shared" si="19"/>
        <v>c 930</v>
      </c>
      <c r="L97" s="42" t="str">
        <f t="shared" si="22"/>
        <v>&lt;unit097&gt; "&gt;&gt;ЖД Вокзал" {e, p 010, c 900, v "\mp3_ost\jd.mp3", c 930, d 000, n 098}</v>
      </c>
    </row>
    <row r="98" spans="2:12" x14ac:dyDescent="0.25">
      <c r="B98" s="44">
        <f t="shared" si="14"/>
        <v>98</v>
      </c>
      <c r="C98" s="44" t="s">
        <v>79</v>
      </c>
      <c r="D98" s="39" t="str">
        <f t="shared" si="15"/>
        <v/>
      </c>
      <c r="E98" s="44" t="s">
        <v>163</v>
      </c>
      <c r="G98" s="45">
        <f t="shared" si="21"/>
        <v>99</v>
      </c>
      <c r="H98" s="40" t="str">
        <f t="shared" si="16"/>
        <v>p 010</v>
      </c>
      <c r="I98" s="45" t="str">
        <f t="shared" si="17"/>
        <v>c 902</v>
      </c>
      <c r="J98" s="46" t="str">
        <f t="shared" si="18"/>
        <v>v "\mp3_ost\jd.mp3"</v>
      </c>
      <c r="K98" s="40" t="str">
        <f t="shared" si="19"/>
        <v/>
      </c>
      <c r="L98" s="42" t="str">
        <f t="shared" si="22"/>
        <v>&lt;unit098&gt; "ЖД Вокзал" {e, p 010, c 902, v "\mp3_ost\jd.mp3", d 000, n 099}</v>
      </c>
    </row>
    <row r="99" spans="2:12" x14ac:dyDescent="0.25">
      <c r="B99" s="44">
        <f t="shared" si="14"/>
        <v>99</v>
      </c>
      <c r="C99" s="44" t="s">
        <v>329</v>
      </c>
      <c r="D99" s="39" t="str">
        <f t="shared" si="15"/>
        <v>&gt;&gt;</v>
      </c>
      <c r="E99" s="44" t="s">
        <v>346</v>
      </c>
      <c r="F99" s="44" t="s">
        <v>381</v>
      </c>
      <c r="G99" s="45">
        <f t="shared" si="21"/>
        <v>100</v>
      </c>
      <c r="H99" s="40" t="str">
        <f t="shared" si="16"/>
        <v>p 054</v>
      </c>
      <c r="I99" s="45" t="str">
        <f t="shared" si="17"/>
        <v>c 900</v>
      </c>
      <c r="J99" s="46" t="str">
        <f t="shared" si="18"/>
        <v>c 928, v "\mp3_ost\zhodinsk.mp3"</v>
      </c>
      <c r="K99" s="40" t="str">
        <f t="shared" si="19"/>
        <v>c 930</v>
      </c>
      <c r="L99" s="42" t="str">
        <f t="shared" si="22"/>
        <v>&lt;unit099&gt; "&gt;&gt;ул.Жодинская" {e, p 054, c 900, c 928, v "\mp3_ost\zhodinsk.mp3", c 930, d 000, n 100}</v>
      </c>
    </row>
    <row r="100" spans="2:12" x14ac:dyDescent="0.25">
      <c r="B100" s="44">
        <f t="shared" si="14"/>
        <v>100</v>
      </c>
      <c r="C100" s="44" t="s">
        <v>79</v>
      </c>
      <c r="D100" s="39" t="str">
        <f t="shared" si="15"/>
        <v/>
      </c>
      <c r="E100" s="44" t="s">
        <v>346</v>
      </c>
      <c r="G100" s="45">
        <f t="shared" si="21"/>
        <v>101</v>
      </c>
      <c r="H100" s="40" t="str">
        <f t="shared" si="16"/>
        <v>p 054</v>
      </c>
      <c r="I100" s="45" t="str">
        <f t="shared" si="17"/>
        <v>c 902</v>
      </c>
      <c r="J100" s="46" t="str">
        <f t="shared" si="18"/>
        <v>c 928, v "\mp3_ost\zhodinsk.mp3"</v>
      </c>
      <c r="K100" s="40" t="str">
        <f t="shared" si="19"/>
        <v/>
      </c>
      <c r="L100" s="42" t="str">
        <f t="shared" si="22"/>
        <v>&lt;unit100&gt; "ул.Жодинская" {e, p 054, c 902, c 928, v "\mp3_ost\zhodinsk.mp3", d 000, n 101}</v>
      </c>
    </row>
    <row r="101" spans="2:12" x14ac:dyDescent="0.25">
      <c r="B101" s="44">
        <f t="shared" si="14"/>
        <v>101</v>
      </c>
      <c r="C101" s="44" t="s">
        <v>329</v>
      </c>
      <c r="D101" s="39" t="str">
        <f t="shared" si="15"/>
        <v>&gt;&gt;</v>
      </c>
      <c r="E101" s="44" t="s">
        <v>253</v>
      </c>
      <c r="F101" s="44" t="s">
        <v>381</v>
      </c>
      <c r="G101" s="45">
        <f t="shared" si="21"/>
        <v>102</v>
      </c>
      <c r="H101" s="40" t="str">
        <f t="shared" si="16"/>
        <v>p 042</v>
      </c>
      <c r="I101" s="45" t="str">
        <f t="shared" si="17"/>
        <v>c 900</v>
      </c>
      <c r="J101" s="46" t="str">
        <f t="shared" si="18"/>
        <v>v "\mp3_ost\tec.mp3"</v>
      </c>
      <c r="K101" s="40" t="str">
        <f t="shared" si="19"/>
        <v>c 930</v>
      </c>
      <c r="L101" s="42" t="str">
        <f t="shared" si="22"/>
        <v>&lt;unit101&gt; "&gt;&gt;ТЭЦ" {e, p 042, c 900, v "\mp3_ost\tec.mp3", c 930, d 000, n 102}</v>
      </c>
    </row>
    <row r="102" spans="2:12" x14ac:dyDescent="0.25">
      <c r="B102" s="44">
        <f t="shared" si="14"/>
        <v>102</v>
      </c>
      <c r="C102" s="44" t="s">
        <v>79</v>
      </c>
      <c r="D102" s="39" t="str">
        <f t="shared" si="15"/>
        <v/>
      </c>
      <c r="E102" s="44" t="s">
        <v>253</v>
      </c>
      <c r="G102" s="45">
        <f t="shared" si="21"/>
        <v>103</v>
      </c>
      <c r="H102" s="40" t="str">
        <f t="shared" si="16"/>
        <v>p 042</v>
      </c>
      <c r="I102" s="45" t="str">
        <f t="shared" si="17"/>
        <v>c 902</v>
      </c>
      <c r="J102" s="46" t="str">
        <f t="shared" si="18"/>
        <v>v "\mp3_ost\tec.mp3"</v>
      </c>
      <c r="K102" s="40" t="str">
        <f t="shared" si="19"/>
        <v/>
      </c>
      <c r="L102" s="42" t="str">
        <f t="shared" si="22"/>
        <v>&lt;unit102&gt; "ТЭЦ" {e, p 042, c 902, v "\mp3_ost\tec.mp3", d 000, n 103}</v>
      </c>
    </row>
    <row r="103" spans="2:12" x14ac:dyDescent="0.25">
      <c r="B103" s="44">
        <f t="shared" si="14"/>
        <v>103</v>
      </c>
      <c r="C103" s="44" t="s">
        <v>329</v>
      </c>
      <c r="D103" s="39" t="str">
        <f t="shared" si="15"/>
        <v>&gt;&gt;</v>
      </c>
      <c r="E103" s="44" t="s">
        <v>271</v>
      </c>
      <c r="F103" s="44" t="s">
        <v>381</v>
      </c>
      <c r="G103" s="45">
        <f t="shared" si="21"/>
        <v>104</v>
      </c>
      <c r="H103" s="40" t="str">
        <f t="shared" si="16"/>
        <v>p 056</v>
      </c>
      <c r="I103" s="45" t="str">
        <f t="shared" si="17"/>
        <v>c 900</v>
      </c>
      <c r="J103" s="46" t="str">
        <f t="shared" si="18"/>
        <v>c 928, v "\mp3_ost\kupriyan.mp3"</v>
      </c>
      <c r="K103" s="40" t="str">
        <f t="shared" si="19"/>
        <v>c 930</v>
      </c>
      <c r="L103" s="42" t="str">
        <f t="shared" si="22"/>
        <v>&lt;unit103&gt; "&gt;&gt;ул.Куприянова" {e, p 056, c 900, c 928, v "\mp3_ost\kupriyan.mp3", c 930, d 000, n 104}</v>
      </c>
    </row>
    <row r="104" spans="2:12" x14ac:dyDescent="0.25">
      <c r="B104" s="44">
        <f t="shared" si="14"/>
        <v>104</v>
      </c>
      <c r="C104" s="44" t="s">
        <v>79</v>
      </c>
      <c r="D104" s="39" t="str">
        <f t="shared" si="15"/>
        <v/>
      </c>
      <c r="E104" s="44" t="s">
        <v>271</v>
      </c>
      <c r="G104" s="45">
        <f t="shared" si="21"/>
        <v>105</v>
      </c>
      <c r="H104" s="40" t="str">
        <f t="shared" si="16"/>
        <v>p 056</v>
      </c>
      <c r="I104" s="45" t="str">
        <f t="shared" si="17"/>
        <v>c 902</v>
      </c>
      <c r="J104" s="46" t="str">
        <f t="shared" si="18"/>
        <v>c 928, v "\mp3_ost\kupriyan.mp3"</v>
      </c>
      <c r="K104" s="40" t="str">
        <f t="shared" si="19"/>
        <v/>
      </c>
      <c r="L104" s="42" t="str">
        <f t="shared" si="22"/>
        <v>&lt;unit104&gt; "ул.Куприянова" {e, p 056, c 902, c 928, v "\mp3_ost\kupriyan.mp3", d 000, n 105}</v>
      </c>
    </row>
    <row r="105" spans="2:12" x14ac:dyDescent="0.25">
      <c r="B105" s="44">
        <f t="shared" si="14"/>
        <v>105</v>
      </c>
      <c r="C105" s="44" t="s">
        <v>329</v>
      </c>
      <c r="D105" s="39" t="str">
        <f t="shared" si="15"/>
        <v>&gt;&gt;</v>
      </c>
      <c r="E105" s="44" t="s">
        <v>202</v>
      </c>
      <c r="F105" s="44" t="s">
        <v>381</v>
      </c>
      <c r="G105" s="45">
        <f t="shared" si="21"/>
        <v>106</v>
      </c>
      <c r="H105" s="40" t="str">
        <f t="shared" si="16"/>
        <v>p 083</v>
      </c>
      <c r="I105" s="45" t="str">
        <f t="shared" si="17"/>
        <v>c 900</v>
      </c>
      <c r="J105" s="46" t="str">
        <f t="shared" si="18"/>
        <v>v "\mp3_ost\elseti.mp3"</v>
      </c>
      <c r="K105" s="40" t="str">
        <f t="shared" si="19"/>
        <v>c 930</v>
      </c>
      <c r="L105" s="42" t="str">
        <f t="shared" si="22"/>
        <v>&lt;unit105&gt; "&gt;&gt;Электросети" {e, p 083, c 900, v "\mp3_ost\elseti.mp3", c 930, d 000, n 106}</v>
      </c>
    </row>
    <row r="106" spans="2:12" x14ac:dyDescent="0.25">
      <c r="B106" s="44">
        <f t="shared" si="14"/>
        <v>106</v>
      </c>
      <c r="C106" s="44" t="s">
        <v>79</v>
      </c>
      <c r="D106" s="39" t="str">
        <f t="shared" si="15"/>
        <v/>
      </c>
      <c r="E106" s="44" t="s">
        <v>202</v>
      </c>
      <c r="G106" s="45">
        <f t="shared" si="21"/>
        <v>107</v>
      </c>
      <c r="H106" s="40" t="str">
        <f t="shared" si="16"/>
        <v>p 083</v>
      </c>
      <c r="I106" s="45" t="str">
        <f t="shared" si="17"/>
        <v>c 902</v>
      </c>
      <c r="J106" s="46" t="str">
        <f t="shared" si="18"/>
        <v>v "\mp3_ost\elseti.mp3"</v>
      </c>
      <c r="K106" s="40" t="str">
        <f t="shared" si="19"/>
        <v/>
      </c>
      <c r="L106" s="42" t="str">
        <f t="shared" si="22"/>
        <v>&lt;unit106&gt; "Электросети" {e, p 083, c 902, v "\mp3_ost\elseti.mp3", d 000, n 107}</v>
      </c>
    </row>
    <row r="107" spans="2:12" x14ac:dyDescent="0.25">
      <c r="B107" s="44">
        <f t="shared" si="14"/>
        <v>107</v>
      </c>
      <c r="C107" s="44" t="s">
        <v>329</v>
      </c>
      <c r="D107" s="39" t="str">
        <f t="shared" si="15"/>
        <v>&gt;&gt;</v>
      </c>
      <c r="E107" s="44" t="s">
        <v>279</v>
      </c>
      <c r="F107" s="44" t="s">
        <v>381</v>
      </c>
      <c r="G107" s="45">
        <f t="shared" si="21"/>
        <v>108</v>
      </c>
      <c r="H107" s="40" t="str">
        <f t="shared" si="16"/>
        <v>p 078</v>
      </c>
      <c r="I107" s="45" t="str">
        <f t="shared" si="17"/>
        <v>c 900</v>
      </c>
      <c r="J107" s="46" t="str">
        <f t="shared" si="18"/>
        <v>c 928, v "\mp3_ost\truda.mp3"</v>
      </c>
      <c r="K107" s="40" t="str">
        <f t="shared" si="19"/>
        <v>c 930</v>
      </c>
      <c r="L107" s="42" t="str">
        <f t="shared" si="22"/>
        <v>&lt;unit107&gt; "&gt;&gt;ул.Труда" {e, p 078, c 900, c 928, v "\mp3_ost\truda.mp3", c 930, d 000, n 108}</v>
      </c>
    </row>
    <row r="108" spans="2:12" x14ac:dyDescent="0.25">
      <c r="B108" s="44">
        <f t="shared" si="14"/>
        <v>108</v>
      </c>
      <c r="C108" s="44" t="s">
        <v>79</v>
      </c>
      <c r="D108" s="39" t="str">
        <f t="shared" si="15"/>
        <v/>
      </c>
      <c r="E108" s="44" t="s">
        <v>279</v>
      </c>
      <c r="F108" s="44" t="s">
        <v>331</v>
      </c>
      <c r="G108" s="45">
        <f>B110</f>
        <v>110</v>
      </c>
      <c r="H108" s="40" t="str">
        <f t="shared" si="16"/>
        <v>p 078</v>
      </c>
      <c r="I108" s="45" t="str">
        <f t="shared" si="17"/>
        <v>c 902</v>
      </c>
      <c r="J108" s="46" t="str">
        <f t="shared" si="18"/>
        <v>c 928, v "\mp3_ost\truda.mp3"</v>
      </c>
      <c r="K108" s="40" t="str">
        <f t="shared" si="19"/>
        <v>c 903</v>
      </c>
      <c r="L108" s="42" t="str">
        <f t="shared" si="22"/>
        <v>&lt;unit108&gt; "ул.Труда" {e, p 078, c 902, c 928, v "\mp3_ost\truda.mp3", c 903, d 000, n 110}</v>
      </c>
    </row>
    <row r="109" spans="2:12" s="39" customFormat="1" x14ac:dyDescent="0.25">
      <c r="G109" s="40"/>
      <c r="H109" s="40"/>
      <c r="I109" s="40"/>
      <c r="J109" s="40"/>
      <c r="K109" s="40"/>
      <c r="L109" s="42"/>
    </row>
    <row r="110" spans="2:12" s="39" customFormat="1" x14ac:dyDescent="0.25">
      <c r="B110" s="39">
        <f t="shared" si="14"/>
        <v>110</v>
      </c>
      <c r="E110" s="43" t="s">
        <v>328</v>
      </c>
      <c r="F110" s="43"/>
      <c r="G110" s="40">
        <f>B3</f>
        <v>3</v>
      </c>
      <c r="H110" s="40"/>
      <c r="I110" s="40"/>
      <c r="J110" s="40"/>
      <c r="K110" s="40"/>
      <c r="L110" s="42" t="str">
        <f>"&lt;unit"&amp;TEXT(B110,"000")&amp;"&gt; """&amp;E110&amp;""" {d 000, n "&amp;TEXT(G110,"000")&amp;"}"</f>
        <v>&lt;unit110&gt; "----- Конец -----" {d 000, n 003}</v>
      </c>
    </row>
    <row r="111" spans="2:12" s="39" customFormat="1" x14ac:dyDescent="0.25">
      <c r="G111" s="40"/>
      <c r="H111" s="40"/>
      <c r="I111" s="40"/>
      <c r="J111" s="40"/>
      <c r="K111" s="40"/>
      <c r="L111" s="42"/>
    </row>
    <row r="112" spans="2:12" s="39" customFormat="1" x14ac:dyDescent="0.25">
      <c r="G112" s="40"/>
      <c r="H112" s="40"/>
      <c r="I112" s="40"/>
      <c r="J112" s="40"/>
      <c r="K112" s="40"/>
      <c r="L112" s="42" t="str">
        <f>Константы!D2</f>
        <v>&lt;unit921&gt; "Автовокзал" {v "\mp3_knst\av.mp3"}</v>
      </c>
    </row>
    <row r="113" spans="7:12" s="39" customFormat="1" x14ac:dyDescent="0.25">
      <c r="G113" s="40"/>
      <c r="H113" s="40"/>
      <c r="I113" s="40"/>
      <c r="J113" s="40"/>
      <c r="K113" s="40"/>
      <c r="L113" s="42" t="str">
        <f>Константы!D3</f>
        <v>&lt;unit923&gt; "Гостиница" {v "\mp3_knst\gos.mp3"}</v>
      </c>
    </row>
    <row r="114" spans="7:12" s="39" customFormat="1" x14ac:dyDescent="0.25">
      <c r="G114" s="40"/>
      <c r="H114" s="40"/>
      <c r="I114" s="40"/>
      <c r="J114" s="40"/>
      <c r="K114" s="40"/>
      <c r="L114" s="42" t="str">
        <f>Константы!D4</f>
        <v>&lt;unit922&gt; "Дисп. станция" {v "\mp3_knst\ds.mp3"}</v>
      </c>
    </row>
    <row r="115" spans="7:12" s="39" customFormat="1" x14ac:dyDescent="0.25">
      <c r="G115" s="40"/>
      <c r="H115" s="40"/>
      <c r="I115" s="40"/>
      <c r="J115" s="40"/>
      <c r="K115" s="40"/>
      <c r="L115" s="42" t="str">
        <f>Константы!D5</f>
        <v>&lt;unit903&gt; "Канцавая" {v "\mp3_knst\kanc.mp3"}</v>
      </c>
    </row>
    <row r="116" spans="7:12" s="39" customFormat="1" x14ac:dyDescent="0.25">
      <c r="G116" s="40"/>
      <c r="H116" s="40"/>
      <c r="I116" s="40"/>
      <c r="J116" s="40"/>
      <c r="K116" s="40"/>
      <c r="L116" s="42" t="str">
        <f>Константы!D6</f>
        <v>&lt;unit924&gt; "Конечная" {v "\mp3_knst\ko.mp3"}</v>
      </c>
    </row>
    <row r="117" spans="7:12" s="39" customFormat="1" x14ac:dyDescent="0.25">
      <c r="G117" s="40"/>
      <c r="H117" s="40"/>
      <c r="I117" s="40"/>
      <c r="J117" s="40"/>
      <c r="K117" s="40"/>
      <c r="L117" s="42" t="str">
        <f>Константы!D7</f>
        <v>&lt;unit902&gt; "Остановка" {v "\mp3_knst\ost.mp3"}</v>
      </c>
    </row>
    <row r="118" spans="7:12" s="39" customFormat="1" x14ac:dyDescent="0.25">
      <c r="G118" s="40"/>
      <c r="H118" s="40"/>
      <c r="I118" s="40"/>
      <c r="J118" s="40"/>
      <c r="K118" s="40"/>
      <c r="L118" s="42" t="str">
        <f>Константы!D8</f>
        <v>&lt;unit900&gt; "Дв. закр. След. ост." {v "\mp3_knst\ostor.mp3"}</v>
      </c>
    </row>
    <row r="119" spans="7:12" s="39" customFormat="1" x14ac:dyDescent="0.25">
      <c r="G119" s="40"/>
      <c r="H119" s="40"/>
      <c r="I119" s="40"/>
      <c r="J119" s="40"/>
      <c r="K119" s="40"/>
      <c r="L119" s="42" t="str">
        <f>Константы!D9</f>
        <v>&lt;unit925&gt; "Площадь" {v "\mp3_knst\pl.mp3"}</v>
      </c>
    </row>
    <row r="120" spans="7:12" s="39" customFormat="1" x14ac:dyDescent="0.25">
      <c r="G120" s="40"/>
      <c r="H120" s="40"/>
      <c r="I120" s="40"/>
      <c r="J120" s="40"/>
      <c r="K120" s="40"/>
      <c r="L120" s="42" t="str">
        <f>Константы!D10</f>
        <v>&lt;unit926&gt; "Проспект" {v "\mp3_knst\pr.mp3"}</v>
      </c>
    </row>
    <row r="121" spans="7:12" s="39" customFormat="1" x14ac:dyDescent="0.25">
      <c r="G121" s="40"/>
      <c r="H121" s="40"/>
      <c r="I121" s="40"/>
      <c r="J121" s="40"/>
      <c r="K121" s="40"/>
      <c r="L121" s="42" t="str">
        <f>Константы!D11</f>
        <v>&lt;unit927&gt; "Станция метро" {v "\mp3_knst\sm.mp3"}</v>
      </c>
    </row>
    <row r="122" spans="7:12" s="39" customFormat="1" x14ac:dyDescent="0.25">
      <c r="G122" s="40"/>
      <c r="H122" s="40"/>
      <c r="I122" s="40"/>
      <c r="J122" s="40"/>
      <c r="K122" s="40"/>
      <c r="L122" s="42" t="str">
        <f>Константы!D12</f>
        <v>&lt;unit928&gt; "Улица" {v "\mp3_knst\ul.mp3"}</v>
      </c>
    </row>
    <row r="124" spans="7:12" x14ac:dyDescent="0.25">
      <c r="L124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E8:E56 E60:E108">
      <formula1>Zag_Ost</formula1>
    </dataValidation>
    <dataValidation type="list" allowBlank="1" showInputMessage="1" showErrorMessage="1" sqref="F8:F56 C60:C108 C8:C56 F60:F108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19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zamlinie</v>
      </c>
      <c r="E2" s="16" t="str">
        <f ca="1">"&lt;unit"&amp;NomZagMar&amp;"&gt; """&amp;$A$3&amp;""""&amp;" {i 0, t 002, l "&amp;$A$4&amp;" "&amp;$A$4&amp;", d 000}"</f>
        <v>&lt;unit500&gt; "Замлынье" {i 0, t 002, l 219 219, d 000}</v>
      </c>
    </row>
    <row r="3" spans="1:5" x14ac:dyDescent="0.25">
      <c r="A3" s="15" t="str">
        <f ca="1">INDIRECT(ADDRESS($B$1,2,4,1,"route"))</f>
        <v>Замлынье</v>
      </c>
    </row>
    <row r="4" spans="1:5" x14ac:dyDescent="0.25">
      <c r="A4" s="15" t="str">
        <f ca="1">TEXT(INDIRECT(ADDRESS($B$1,1,4,1,"route")),"000")</f>
        <v>219</v>
      </c>
    </row>
  </sheetData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20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zel_bor</v>
      </c>
      <c r="E2" s="16" t="str">
        <f ca="1">"&lt;unit"&amp;NomZagMar&amp;"&gt; """&amp;$A$3&amp;""""&amp;" {i 0, t 002, l "&amp;$A$4&amp;" "&amp;$A$4&amp;", d 000}"</f>
        <v>&lt;unit500&gt; "Зеленый Бор" {i 0, t 002, l 211 211, d 000}</v>
      </c>
    </row>
    <row r="3" spans="1:5" x14ac:dyDescent="0.25">
      <c r="A3" s="15" t="str">
        <f ca="1">INDIRECT(ADDRESS($B$1,2,4,1,"route"))</f>
        <v>Зеленый Бор</v>
      </c>
    </row>
    <row r="4" spans="1:5" x14ac:dyDescent="0.25">
      <c r="A4" s="15" t="str">
        <f ca="1">TEXT(INDIRECT(ADDRESS($B$1,1,4,1,"route")),"000")</f>
        <v>211</v>
      </c>
    </row>
  </sheetData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logoisk</v>
      </c>
      <c r="E2" s="16" t="str">
        <f ca="1">"&lt;unit"&amp;NomZagMar&amp;"&gt; """&amp;$A$3&amp;""""&amp;" {i 0, t 002, l "&amp;$A$4&amp;" "&amp;$A$4&amp;", d 000}"</f>
        <v>&lt;unit500&gt; "Логойск" {i 0, t 002, l 197 197, d 000}</v>
      </c>
    </row>
    <row r="3" spans="1:5" x14ac:dyDescent="0.25">
      <c r="A3" s="15" t="str">
        <f ca="1">INDIRECT(ADDRESS($B$1,2,4,1,"route"))</f>
        <v>Логойск</v>
      </c>
    </row>
    <row r="4" spans="1:5" x14ac:dyDescent="0.25">
      <c r="A4" s="15" t="str">
        <f ca="1">TEXT(INDIRECT(ADDRESS($B$1,1,4,1,"route")),"000")</f>
        <v>197</v>
      </c>
    </row>
  </sheetData>
  <pageMargins left="0.7" right="0.7" top="0.75" bottom="0.75" header="0.3" footer="0.3"/>
  <pageSetup paperSize="9" orientation="portrait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ljutka</v>
      </c>
      <c r="E2" s="16" t="str">
        <f ca="1">"&lt;unit"&amp;NomZagMar&amp;"&gt; """&amp;$A$3&amp;""""&amp;" {i 0, t 002, l "&amp;$A$4&amp;" "&amp;$A$4&amp;", d 000}"</f>
        <v>&lt;unit500&gt; "Лютка" {i 0, t 002, l 204 204, d 000}</v>
      </c>
    </row>
    <row r="3" spans="1:5" x14ac:dyDescent="0.25">
      <c r="A3" s="15" t="str">
        <f ca="1">INDIRECT(ADDRESS($B$1,2,4,1,"route"))</f>
        <v>Лютка</v>
      </c>
    </row>
    <row r="4" spans="1:5" x14ac:dyDescent="0.25">
      <c r="A4" s="15" t="str">
        <f ca="1">TEXT(INDIRECT(ADDRESS($B$1,1,4,1,"route")),"000")</f>
        <v>204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23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napalki</v>
      </c>
      <c r="E2" s="16" t="str">
        <f ca="1">"&lt;unit"&amp;NomZagMar&amp;"&gt; """&amp;$A$3&amp;""""&amp;" {i 0, t 002, l "&amp;$A$4&amp;" "&amp;$A$4&amp;", d 000}"</f>
        <v>&lt;unit500&gt; "Напалки" {i 0, t 002, l 205 205, d 000}</v>
      </c>
    </row>
    <row r="3" spans="1:5" x14ac:dyDescent="0.25">
      <c r="A3" s="15" t="str">
        <f ca="1">INDIRECT(ADDRESS($B$1,2,4,1,"route"))</f>
        <v>Напалки</v>
      </c>
    </row>
    <row r="4" spans="1:5" x14ac:dyDescent="0.25">
      <c r="A4" s="15" t="str">
        <f ca="1">TEXT(INDIRECT(ADDRESS($B$1,1,4,1,"route")),"000")</f>
        <v>205</v>
      </c>
    </row>
  </sheetData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24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sutoki</v>
      </c>
      <c r="E2" s="16" t="str">
        <f ca="1">"&lt;unit"&amp;NomZagMar&amp;"&gt; """&amp;$A$3&amp;""""&amp;" {i 0, t 002, l "&amp;$A$4&amp;" "&amp;$A$4&amp;", d 000}"</f>
        <v>&lt;unit500&gt; "Сутоки" {i 0, t 002, l 216 216, d 000}</v>
      </c>
    </row>
    <row r="3" spans="1:5" x14ac:dyDescent="0.25">
      <c r="A3" s="15" t="str">
        <f ca="1">INDIRECT(ADDRESS($B$1,2,4,1,"route"))</f>
        <v>Сутоки</v>
      </c>
    </row>
    <row r="4" spans="1:5" x14ac:dyDescent="0.25">
      <c r="A4" s="15" t="str">
        <f ca="1">TEXT(INDIRECT(ADDRESS($B$1,1,4,1,"route")),"000")</f>
        <v>216</v>
      </c>
    </row>
  </sheetData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25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tochil</v>
      </c>
      <c r="E2" s="16" t="str">
        <f ca="1">"&lt;unit"&amp;NomZagMar&amp;"&gt; """&amp;$A$3&amp;""""&amp;" {i 0, t 002, l "&amp;$A$4&amp;" "&amp;$A$4&amp;", d 000}"</f>
        <v>&lt;unit500&gt; "Точилище" {i 0, t 002, l 209 209, d 000}</v>
      </c>
    </row>
    <row r="3" spans="1:5" x14ac:dyDescent="0.25">
      <c r="A3" s="15" t="str">
        <f ca="1">INDIRECT(ADDRESS($B$1,2,4,1,"route"))</f>
        <v>Точилище</v>
      </c>
    </row>
    <row r="4" spans="1:5" x14ac:dyDescent="0.25">
      <c r="A4" s="15" t="str">
        <f ca="1">TEXT(INDIRECT(ADDRESS($B$1,1,4,1,"route")),"000")</f>
        <v>209</v>
      </c>
    </row>
  </sheetData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26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uzefovo</v>
      </c>
      <c r="E2" s="16" t="str">
        <f ca="1">"&lt;unit"&amp;NomZagMar&amp;"&gt; """&amp;$A$3&amp;""""&amp;" {i 0, t 002, l "&amp;$A$4&amp;" "&amp;$A$4&amp;", d 000}"</f>
        <v>&lt;unit500&gt; "Юзефово" {i 0, t 002, l 202 202, d 000}</v>
      </c>
    </row>
    <row r="3" spans="1:5" x14ac:dyDescent="0.25">
      <c r="A3" s="15" t="str">
        <f ca="1">INDIRECT(ADDRESS($B$1,2,4,1,"route"))</f>
        <v>Юзефово</v>
      </c>
    </row>
    <row r="4" spans="1:5" x14ac:dyDescent="0.25">
      <c r="A4" s="15" t="str">
        <f ca="1">TEXT(INDIRECT(ADDRESS($B$1,1,4,1,"route")),"000")</f>
        <v>202</v>
      </c>
    </row>
  </sheetData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27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jalov</v>
      </c>
      <c r="E2" s="16" t="str">
        <f ca="1">"&lt;unit"&amp;NomZagMar&amp;"&gt; """&amp;$A$3&amp;""""&amp;" {i 0, t 002, l "&amp;$A$4&amp;" "&amp;$A$4&amp;", d 000}"</f>
        <v>&lt;unit500&gt; "Яловица" {i 0, t 002, l 210 210, d 000}</v>
      </c>
    </row>
    <row r="3" spans="1:5" x14ac:dyDescent="0.25">
      <c r="A3" s="15" t="str">
        <f ca="1">INDIRECT(ADDRESS($B$1,2,4,1,"route"))</f>
        <v>Яловица</v>
      </c>
    </row>
    <row r="4" spans="1:5" x14ac:dyDescent="0.25">
      <c r="A4" s="15" t="str">
        <f ca="1">TEXT(INDIRECT(ADDRESS($B$1,1,4,1,"route")),"000")</f>
        <v>210</v>
      </c>
    </row>
  </sheetData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28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&lt;unit500&gt;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automob</v>
      </c>
      <c r="E2" s="16" t="str">
        <f ca="1">"&lt;unit"&amp;NomZagMar&amp;"&gt; """&amp;$A$3&amp;""""&amp;" {i 0, t 002, l "&amp;$A$4&amp;" "&amp;$A$4&amp;", d 000}"</f>
        <v>&lt;unit500&gt; "с/т Автомобилист" {i 0, t 002, l 207 207, d 000}</v>
      </c>
    </row>
    <row r="3" spans="1:5" x14ac:dyDescent="0.25">
      <c r="A3" s="15" t="str">
        <f ca="1">INDIRECT(ADDRESS($B$1,2,4,1,"route"))</f>
        <v>с/т Автомобилист</v>
      </c>
    </row>
    <row r="4" spans="1:5" x14ac:dyDescent="0.25">
      <c r="A4" s="15" t="str">
        <f ca="1">TEXT(INDIRECT(ADDRESS($B$1,1,4,1,"route")),"000")</f>
        <v>207</v>
      </c>
    </row>
  </sheetData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31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pov_zur</v>
      </c>
      <c r="E2" s="16" t="str">
        <f ca="1">"&lt;unit"&amp;NomZagMar&amp;"&gt; """&amp;$A$3&amp;""""&amp;" {i 0, t 002, l "&amp;$A$4&amp;" "&amp;$A$4&amp;", d 000}"</f>
        <v>&lt;unit500&gt; "пов. с/т Журавинка" {i 0, t 002, l 614 614, d 000}</v>
      </c>
    </row>
    <row r="3" spans="1:5" x14ac:dyDescent="0.25">
      <c r="A3" s="15" t="str">
        <f ca="1">INDIRECT(ADDRESS($B$1,2,4,1,"route"))</f>
        <v>пов. с/т Журавинка</v>
      </c>
    </row>
    <row r="4" spans="1:5" x14ac:dyDescent="0.25">
      <c r="A4" s="15" t="str">
        <f ca="1">TEXT(INDIRECT(ADDRESS($B$1,1,4,1,"route")),"000")</f>
        <v>614</v>
      </c>
    </row>
  </sheetData>
  <pageMargins left="0.7" right="0.7" top="0.75" bottom="0.75" header="0.3" footer="0.3"/>
  <pageSetup paperSize="9" orientation="portrait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32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raduga</v>
      </c>
      <c r="E2" s="16" t="str">
        <f ca="1">"&lt;unit"&amp;NomZagMar&amp;"&gt; """&amp;$A$3&amp;""""&amp;" {i 0, t 002, l "&amp;$A$4&amp;" "&amp;$A$4&amp;", d 000}"</f>
        <v>&lt;unit500&gt; "с/т Радуга" {i 0, t 002, l 201 201, d 000}</v>
      </c>
    </row>
    <row r="3" spans="1:5" x14ac:dyDescent="0.25">
      <c r="A3" s="15" t="str">
        <f ca="1">INDIRECT(ADDRESS($B$1,2,4,1,"route"))</f>
        <v>с/т Радуга</v>
      </c>
    </row>
    <row r="4" spans="1:5" x14ac:dyDescent="0.25">
      <c r="A4" s="15" t="str">
        <f ca="1">TEXT(INDIRECT(ADDRESS($B$1,1,4,1,"route")),"000")</f>
        <v>201</v>
      </c>
    </row>
  </sheetData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33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rodnik</v>
      </c>
      <c r="E2" s="16" t="str">
        <f ca="1">"&lt;unit"&amp;NomZagMar&amp;"&gt; """&amp;$A$3&amp;""""&amp;" {i 0, t 002, l "&amp;$A$4&amp;" "&amp;$A$4&amp;", d 000}"</f>
        <v>&lt;unit500&gt; "с/т Родничок" {i 0, t 002, l 213 213, d 000}</v>
      </c>
    </row>
    <row r="3" spans="1:5" x14ac:dyDescent="0.25">
      <c r="A3" s="15" t="str">
        <f ca="1">INDIRECT(ADDRESS($B$1,2,4,1,"route"))</f>
        <v>с/т Родничок</v>
      </c>
    </row>
    <row r="4" spans="1:5" x14ac:dyDescent="0.25">
      <c r="A4" s="15" t="str">
        <f ca="1">TEXT(INDIRECT(ADDRESS($B$1,1,4,1,"route")),"000")</f>
        <v>213</v>
      </c>
    </row>
  </sheetData>
  <pageMargins left="0.7" right="0.7" top="0.75" bottom="0.75" header="0.3" footer="0.3"/>
  <pageSetup paperSize="9" orientation="portrait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34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stroit</v>
      </c>
      <c r="E2" s="16" t="str">
        <f ca="1">"&lt;unit"&amp;NomZagMar&amp;"&gt; """&amp;$A$3&amp;""""&amp;" {i 0, t 002, l "&amp;$A$4&amp;" "&amp;$A$4&amp;", d 000}"</f>
        <v>&lt;unit500&gt; "с/т Строитель" {i 0, t 002, l 203 203, d 000}</v>
      </c>
    </row>
    <row r="3" spans="1:5" x14ac:dyDescent="0.25">
      <c r="A3" s="15" t="str">
        <f ca="1">INDIRECT(ADDRESS($B$1,2,4,1,"route"))</f>
        <v>с/т Строитель</v>
      </c>
    </row>
    <row r="4" spans="1:5" x14ac:dyDescent="0.25">
      <c r="A4" s="15" t="str">
        <f ca="1">TEXT(INDIRECT(ADDRESS($B$1,1,4,1,"route")),"000")</f>
        <v>203</v>
      </c>
    </row>
  </sheetData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35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&lt;unit500&gt;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36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sluzhebn</v>
      </c>
      <c r="E2" s="16" t="str">
        <f ca="1">"&lt;unit"&amp;NomZagMar&amp;"&gt; """&amp;$A$3&amp;""""&amp;" {i 0, t 002, l "&amp;$A$4&amp;" "&amp;$A$4&amp;", d 000}"</f>
        <v>&lt;unit500&gt; "СЛУЖЕБНЫЙ" {i 0, t 002, l 100 100, d 000}</v>
      </c>
    </row>
    <row r="3" spans="1:5" x14ac:dyDescent="0.25">
      <c r="A3" s="15" t="str">
        <f ca="1">INDIRECT(ADDRESS($B$1,2,4,1,"route"))</f>
        <v>СЛУЖЕБНЫЙ</v>
      </c>
    </row>
    <row r="4" spans="1:5" x14ac:dyDescent="0.25">
      <c r="A4" s="15" t="str">
        <f ca="1">TEXT(INDIRECT(ADDRESS($B$1,1,4,1,"route")),"000")</f>
        <v>100</v>
      </c>
    </row>
  </sheetData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38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snekpro</v>
      </c>
      <c r="E2" s="16" t="str">
        <f ca="1">"&lt;unit"&amp;NomZagMar&amp;"&gt; """&amp;$A$3&amp;""""&amp;" {i 0, t 002, l "&amp;$A$4&amp;" "&amp;$A$4&amp;", d 000}"</f>
        <v>&lt;unit500&gt; "СНЕКПРО" {i 0, t 002, l 102 102, d 000}</v>
      </c>
    </row>
    <row r="3" spans="1:5" x14ac:dyDescent="0.25">
      <c r="A3" s="15" t="str">
        <f ca="1">INDIRECT(ADDRESS($B$1,2,4,1,"route"))</f>
        <v>СНЕКПРО</v>
      </c>
    </row>
    <row r="4" spans="1:5" x14ac:dyDescent="0.25">
      <c r="A4" s="15" t="str">
        <f ca="1">TEXT(INDIRECT(ADDRESS($B$1,1,4,1,"route")),"000")</f>
        <v>102</v>
      </c>
    </row>
  </sheetData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39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deti</v>
      </c>
      <c r="E2" s="16" t="str">
        <f ca="1">"&lt;unit"&amp;NomZagMar&amp;"&gt; """&amp;$A$3&amp;""""&amp;" {i 0, t 002, l "&amp;$A$4&amp;" "&amp;$A$4&amp;", d 000}"</f>
        <v>&lt;unit500&gt; "ДЕТИ" {i 0, t 002, l 103 103, d 000}</v>
      </c>
    </row>
    <row r="3" spans="1:5" x14ac:dyDescent="0.25">
      <c r="A3" s="15" t="str">
        <f ca="1">INDIRECT(ADDRESS($B$1,2,4,1,"route"))</f>
        <v>ДЕТИ</v>
      </c>
    </row>
    <row r="4" spans="1:5" x14ac:dyDescent="0.25">
      <c r="A4" s="15" t="str">
        <f ca="1">TEXT(INDIRECT(ADDRESS($B$1,1,4,1,"route")),"000")</f>
        <v>103</v>
      </c>
    </row>
  </sheetData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40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v_park</v>
      </c>
      <c r="E2" s="16" t="str">
        <f ca="1">"&lt;unit"&amp;NomZagMar&amp;"&gt; """&amp;$A$3&amp;""""&amp;" {i 0, t 002, l "&amp;$A$4&amp;" "&amp;$A$4&amp;", d 000}"</f>
        <v>&lt;unit500&gt; "В ПАРК" {i 0, t 002, l 104 104, d 000}</v>
      </c>
    </row>
    <row r="3" spans="1:5" x14ac:dyDescent="0.25">
      <c r="A3" s="15" t="str">
        <f ca="1">INDIRECT(ADDRESS($B$1,2,4,1,"route"))</f>
        <v>В ПАРК</v>
      </c>
    </row>
    <row r="4" spans="1:5" x14ac:dyDescent="0.25">
      <c r="A4" s="15" t="str">
        <f ca="1">TEXT(INDIRECT(ADDRESS($B$1,1,4,1,"route")),"000")</f>
        <v>104</v>
      </c>
    </row>
  </sheetData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41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&lt;unit500&gt;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42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&lt;unit500&gt;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39</vt:i4>
      </vt:variant>
      <vt:variant>
        <vt:lpstr>Именованные диапазоны</vt:lpstr>
      </vt:variant>
      <vt:variant>
        <vt:i4>11</vt:i4>
      </vt:variant>
    </vt:vector>
  </HeadingPairs>
  <TitlesOfParts>
    <vt:vector size="50" baseType="lpstr">
      <vt:lpstr>Настройки</vt:lpstr>
      <vt:lpstr>Константы</vt:lpstr>
      <vt:lpstr>Остановки</vt:lpstr>
      <vt:lpstr>Шаблон маршрута</vt:lpstr>
      <vt:lpstr>Табло</vt:lpstr>
      <vt:lpstr>route.txt</vt:lpstr>
      <vt:lpstr>route</vt:lpstr>
      <vt:lpstr>1</vt:lpstr>
      <vt:lpstr>2</vt:lpstr>
      <vt:lpstr>3</vt:lpstr>
      <vt:lpstr>4</vt:lpstr>
      <vt:lpstr>6</vt:lpstr>
      <vt:lpstr>6a</vt:lpstr>
      <vt:lpstr>8</vt:lpstr>
      <vt:lpstr>8a</vt:lpstr>
      <vt:lpstr>9</vt:lpstr>
      <vt:lpstr>11</vt:lpstr>
      <vt:lpstr>barsuki</vt:lpstr>
      <vt:lpstr>budagovo</vt:lpstr>
      <vt:lpstr>zamlinie</vt:lpstr>
      <vt:lpstr>zel_bor</vt:lpstr>
      <vt:lpstr>logoisk</vt:lpstr>
      <vt:lpstr>ljutka</vt:lpstr>
      <vt:lpstr>napalki</vt:lpstr>
      <vt:lpstr>sutoki</vt:lpstr>
      <vt:lpstr>tochil</vt:lpstr>
      <vt:lpstr>uzefovo</vt:lpstr>
      <vt:lpstr>jalov</vt:lpstr>
      <vt:lpstr>automob</vt:lpstr>
      <vt:lpstr>zhurav</vt:lpstr>
      <vt:lpstr>pov_zur</vt:lpstr>
      <vt:lpstr>raduga</vt:lpstr>
      <vt:lpstr>rodnik</vt:lpstr>
      <vt:lpstr>stroit</vt:lpstr>
      <vt:lpstr>sluzhebn</vt:lpstr>
      <vt:lpstr>zakaz</vt:lpstr>
      <vt:lpstr>snekpro</vt:lpstr>
      <vt:lpstr>deti</vt:lpstr>
      <vt:lpstr>v_park</vt:lpstr>
      <vt:lpstr>File_Footer</vt:lpstr>
      <vt:lpstr>mp3_knst</vt:lpstr>
      <vt:lpstr>mp3_ost</vt:lpstr>
      <vt:lpstr>NomZagMar</vt:lpstr>
      <vt:lpstr>NumRoute</vt:lpstr>
      <vt:lpstr>Ostanovki</vt:lpstr>
      <vt:lpstr>Pref_Punktov</vt:lpstr>
      <vt:lpstr>Punkti</vt:lpstr>
      <vt:lpstr>Tablo_Tab</vt:lpstr>
      <vt:lpstr>Tablo_Zag</vt:lpstr>
      <vt:lpstr>Zag_Ost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2019-09-30T08:50:56Z</cp:lastPrinted>
  <dcterms:created xsi:type="dcterms:W3CDTF">2015-06-05T18:19:34Z</dcterms:created>
  <dcterms:modified xsi:type="dcterms:W3CDTF">2019-10-09T06:09:14Z</dcterms:modified>
</cp:coreProperties>
</file>