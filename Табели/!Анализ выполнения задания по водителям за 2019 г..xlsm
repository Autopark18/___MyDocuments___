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4" r:id="rId1"/>
    <sheet name="Февраль 2019" sheetId="5" r:id="rId2"/>
    <sheet name="Данные" sheetId="2" state="hidden" r:id="rId3"/>
  </sheets>
  <functionGroups builtInGroupCount="18"/>
  <definedNames>
    <definedName name="_xlnm._FilterDatabase" localSheetId="1" hidden="1">'Февраль 2019'!$C$2:$AD$67</definedName>
    <definedName name="_xlnm._FilterDatabase" localSheetId="0" hidden="1">'Январь 2019'!$C$2:$AG$64</definedName>
    <definedName name="ULCorner" localSheetId="1">'Февраль 2019'!#REF!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63" i="5" l="1"/>
  <c r="AF63" i="5"/>
  <c r="AG63" i="5" l="1"/>
  <c r="AE38" i="5"/>
  <c r="AF38" i="5"/>
  <c r="AG38" i="5" l="1"/>
  <c r="AF55" i="5"/>
  <c r="AE55" i="5"/>
  <c r="AG55" i="5" l="1"/>
  <c r="AF66" i="5"/>
  <c r="AE66" i="5"/>
  <c r="AF65" i="5"/>
  <c r="AE65" i="5"/>
  <c r="AF64" i="5"/>
  <c r="AE64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6" i="5"/>
  <c r="AE56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9" i="5"/>
  <c r="AE39" i="5"/>
  <c r="AF37" i="5"/>
  <c r="AE37" i="5"/>
  <c r="AF36" i="5"/>
  <c r="AE36" i="5"/>
  <c r="AF35" i="5"/>
  <c r="AE35" i="5"/>
  <c r="AF34" i="5"/>
  <c r="AE34" i="5"/>
  <c r="AF33" i="5"/>
  <c r="AE33" i="5"/>
  <c r="AF32" i="5"/>
  <c r="AE32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3" i="5"/>
  <c r="AG35" i="5"/>
  <c r="AG37" i="5"/>
  <c r="AG40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6" i="5"/>
  <c r="AG57" i="5"/>
  <c r="AG58" i="5"/>
  <c r="AG59" i="5"/>
  <c r="AG60" i="5"/>
  <c r="AG61" i="5"/>
  <c r="AG62" i="5"/>
  <c r="AG64" i="5"/>
  <c r="AG65" i="5"/>
  <c r="AG66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2" i="5"/>
  <c r="AG34" i="5"/>
  <c r="AG36" i="5"/>
  <c r="AG39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<sst xmlns="http://schemas.openxmlformats.org/spreadsheetml/2006/main" count="3628" uniqueCount="69">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</sst>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1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I6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/>
      <c r="AE4" s="7">
        <f t="shared" ref="AE4:AE35" si="0">COUNTIF(C4:AD4,"+")</f>
        <v>23</v>
      </c>
      <c r="AF4" s="25">
        <f t="shared" ref="AF4:AF35" si="1">COUNTIF(C4:AD4,"-")</f>
        <v>4</v>
      </c>
      <c r="AG4" s="29">
        <f t="shared" ref="AG4:AG56" si="2">SUM(AE4:AF4)</f>
        <v>27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/>
      <c r="AE5" s="7">
        <f t="shared" si="0"/>
        <v>19</v>
      </c>
      <c r="AF5" s="25">
        <f t="shared" si="1"/>
        <v>8</v>
      </c>
      <c r="AG5" s="29">
        <f t="shared" si="2"/>
        <v>27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/>
      <c r="AE6" s="7">
        <f t="shared" si="0"/>
        <v>18</v>
      </c>
      <c r="AF6" s="25">
        <f t="shared" si="1"/>
        <v>9</v>
      </c>
      <c r="AG6" s="29">
        <f t="shared" si="2"/>
        <v>27</v>
      </c>
    </row>
    <row r="7" spans="1:35" x14ac:dyDescent="0.25">
      <c r="A7" s="15">
        <f t="shared" ref="A7:A66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/>
      <c r="AE7" s="21">
        <f t="shared" si="0"/>
        <v>20</v>
      </c>
      <c r="AF7" s="23">
        <f t="shared" si="1"/>
        <v>7</v>
      </c>
      <c r="AG7" s="30">
        <f t="shared" si="2"/>
        <v>27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/>
      <c r="AE8" s="21">
        <f t="shared" si="0"/>
        <v>20</v>
      </c>
      <c r="AF8" s="23">
        <f t="shared" si="1"/>
        <v>7</v>
      </c>
      <c r="AG8" s="30">
        <f t="shared" si="2"/>
        <v>27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/>
      <c r="AE9" s="21">
        <f t="shared" si="0"/>
        <v>20</v>
      </c>
      <c r="AF9" s="23">
        <f t="shared" si="1"/>
        <v>7</v>
      </c>
      <c r="AG9" s="30">
        <f t="shared" si="2"/>
        <v>27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6"/>
      <c r="AE10" s="21">
        <f t="shared" si="0"/>
        <v>10</v>
      </c>
      <c r="AF10" s="23">
        <f t="shared" si="1"/>
        <v>17</v>
      </c>
      <c r="AG10" s="30">
        <f t="shared" si="2"/>
        <v>27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/>
      <c r="AE11" s="21">
        <f t="shared" si="0"/>
        <v>23</v>
      </c>
      <c r="AF11" s="23">
        <f t="shared" si="1"/>
        <v>4</v>
      </c>
      <c r="AG11" s="30">
        <f t="shared" si="2"/>
        <v>27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/>
      <c r="AE12" s="21">
        <f t="shared" si="0"/>
        <v>0</v>
      </c>
      <c r="AF12" s="23">
        <f t="shared" si="1"/>
        <v>27</v>
      </c>
      <c r="AG12" s="30">
        <f t="shared" si="2"/>
        <v>27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/>
      <c r="AE13" s="21">
        <f t="shared" si="0"/>
        <v>0</v>
      </c>
      <c r="AF13" s="23">
        <f t="shared" si="1"/>
        <v>27</v>
      </c>
      <c r="AG13" s="30">
        <f t="shared" si="2"/>
        <v>27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/>
      <c r="AE14" s="21">
        <f t="shared" si="0"/>
        <v>17</v>
      </c>
      <c r="AF14" s="23">
        <f t="shared" si="1"/>
        <v>10</v>
      </c>
      <c r="AG14" s="30">
        <f t="shared" si="2"/>
        <v>27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/>
      <c r="AE15" s="21">
        <f t="shared" si="0"/>
        <v>22</v>
      </c>
      <c r="AF15" s="23">
        <f t="shared" si="1"/>
        <v>5</v>
      </c>
      <c r="AG15" s="30">
        <f t="shared" si="2"/>
        <v>27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/>
      <c r="AE16" s="21">
        <f t="shared" si="0"/>
        <v>20</v>
      </c>
      <c r="AF16" s="23">
        <f t="shared" si="1"/>
        <v>7</v>
      </c>
      <c r="AG16" s="30">
        <f t="shared" si="2"/>
        <v>27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/>
      <c r="AE17" s="21">
        <f t="shared" si="0"/>
        <v>24</v>
      </c>
      <c r="AF17" s="23">
        <f t="shared" si="1"/>
        <v>3</v>
      </c>
      <c r="AG17" s="30">
        <f t="shared" si="2"/>
        <v>27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/>
      <c r="AE18" s="21">
        <f t="shared" si="0"/>
        <v>21</v>
      </c>
      <c r="AF18" s="23">
        <f t="shared" si="1"/>
        <v>6</v>
      </c>
      <c r="AG18" s="30">
        <f t="shared" si="2"/>
        <v>27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/>
      <c r="AE19" s="21">
        <f t="shared" si="0"/>
        <v>23</v>
      </c>
      <c r="AF19" s="23">
        <f t="shared" si="1"/>
        <v>4</v>
      </c>
      <c r="AG19" s="30">
        <f t="shared" si="2"/>
        <v>27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/>
      <c r="AE20" s="21">
        <f t="shared" si="0"/>
        <v>26</v>
      </c>
      <c r="AF20" s="23">
        <f t="shared" si="1"/>
        <v>1</v>
      </c>
      <c r="AG20" s="30">
        <f t="shared" si="2"/>
        <v>27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/>
      <c r="AE21" s="21">
        <f t="shared" si="0"/>
        <v>24</v>
      </c>
      <c r="AF21" s="23">
        <f t="shared" si="1"/>
        <v>3</v>
      </c>
      <c r="AG21" s="30">
        <f t="shared" si="2"/>
        <v>27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6"/>
      <c r="AE22" s="21">
        <f t="shared" si="0"/>
        <v>19</v>
      </c>
      <c r="AF22" s="23">
        <f t="shared" si="1"/>
        <v>8</v>
      </c>
      <c r="AG22" s="30">
        <f t="shared" si="2"/>
        <v>27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/>
      <c r="AE23" s="21">
        <f t="shared" si="0"/>
        <v>19</v>
      </c>
      <c r="AF23" s="23">
        <f t="shared" si="1"/>
        <v>8</v>
      </c>
      <c r="AG23" s="30">
        <f t="shared" si="2"/>
        <v>27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/>
      <c r="AE24" s="21">
        <f t="shared" si="0"/>
        <v>0</v>
      </c>
      <c r="AF24" s="23">
        <f t="shared" si="1"/>
        <v>27</v>
      </c>
      <c r="AG24" s="30">
        <f t="shared" si="2"/>
        <v>27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/>
      <c r="AE25" s="21">
        <f t="shared" si="0"/>
        <v>21</v>
      </c>
      <c r="AF25" s="23">
        <f t="shared" si="1"/>
        <v>6</v>
      </c>
      <c r="AG25" s="30">
        <f t="shared" si="2"/>
        <v>27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/>
      <c r="AE26" s="21">
        <f t="shared" si="0"/>
        <v>19</v>
      </c>
      <c r="AF26" s="23">
        <f t="shared" si="1"/>
        <v>8</v>
      </c>
      <c r="AG26" s="30">
        <f t="shared" ref="AG26" si="4">SUM(AE26:AF26)</f>
        <v>27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/>
      <c r="AE27" s="21">
        <f t="shared" si="0"/>
        <v>0</v>
      </c>
      <c r="AF27" s="23">
        <f t="shared" si="1"/>
        <v>27</v>
      </c>
      <c r="AG27" s="30">
        <f t="shared" si="2"/>
        <v>27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/>
      <c r="AE28" s="21">
        <f t="shared" si="0"/>
        <v>20</v>
      </c>
      <c r="AF28" s="23">
        <f t="shared" si="1"/>
        <v>7</v>
      </c>
      <c r="AG28" s="30">
        <f t="shared" si="2"/>
        <v>27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/>
      <c r="AE29" s="21">
        <f t="shared" si="0"/>
        <v>18</v>
      </c>
      <c r="AF29" s="23">
        <f t="shared" si="1"/>
        <v>9</v>
      </c>
      <c r="AG29" s="30">
        <f t="shared" si="2"/>
        <v>27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/>
      <c r="AE30" s="21">
        <f t="shared" si="0"/>
        <v>25</v>
      </c>
      <c r="AF30" s="23">
        <f t="shared" si="1"/>
        <v>2</v>
      </c>
      <c r="AG30" s="30">
        <f t="shared" si="2"/>
        <v>27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/>
      <c r="AE31" s="21">
        <f t="shared" si="0"/>
        <v>20</v>
      </c>
      <c r="AF31" s="23">
        <f t="shared" si="1"/>
        <v>7</v>
      </c>
      <c r="AG31" s="30">
        <f t="shared" si="2"/>
        <v>27</v>
      </c>
    </row>
    <row r="32" spans="1:33" x14ac:dyDescent="0.25">
      <c r="A32" s="15">
        <f t="shared" si="3"/>
        <v>29</v>
      </c>
      <c r="B32" s="17" t="s">
        <v>60</v>
      </c>
      <c r="C32" s="3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6" t="s">
        <v>48</v>
      </c>
      <c r="I32" s="4" t="s">
        <v>48</v>
      </c>
      <c r="J32" s="6" t="s">
        <v>48</v>
      </c>
      <c r="K32" s="4" t="s">
        <v>48</v>
      </c>
      <c r="L32" s="6" t="s">
        <v>48</v>
      </c>
      <c r="M32" s="6" t="s">
        <v>48</v>
      </c>
      <c r="N32" s="4" t="s">
        <v>48</v>
      </c>
      <c r="O32" s="6" t="s">
        <v>48</v>
      </c>
      <c r="P32" s="4" t="s">
        <v>48</v>
      </c>
      <c r="Q32" s="6" t="s">
        <v>48</v>
      </c>
      <c r="R32" s="6" t="s">
        <v>48</v>
      </c>
      <c r="S32" s="4" t="s">
        <v>48</v>
      </c>
      <c r="T32" s="4" t="s">
        <v>48</v>
      </c>
      <c r="U32" s="6" t="s">
        <v>48</v>
      </c>
      <c r="V32" s="4" t="s">
        <v>48</v>
      </c>
      <c r="W32" s="6" t="s">
        <v>48</v>
      </c>
      <c r="X32" s="6" t="s">
        <v>48</v>
      </c>
      <c r="Y32" s="6" t="s">
        <v>48</v>
      </c>
      <c r="Z32" s="6" t="s">
        <v>48</v>
      </c>
      <c r="AA32" s="6" t="s">
        <v>48</v>
      </c>
      <c r="AB32" s="4" t="s">
        <v>48</v>
      </c>
      <c r="AC32" s="4" t="s">
        <v>48</v>
      </c>
      <c r="AD32" s="4"/>
      <c r="AE32" s="21">
        <f t="shared" si="0"/>
        <v>0</v>
      </c>
      <c r="AF32" s="23">
        <f t="shared" si="1"/>
        <v>27</v>
      </c>
      <c r="AG32" s="30">
        <f t="shared" ref="AG32" si="5">SUM(AE32:AF32)</f>
        <v>27</v>
      </c>
    </row>
    <row r="33" spans="1:33" x14ac:dyDescent="0.25">
      <c r="A33" s="15">
        <f t="shared" si="3"/>
        <v>30</v>
      </c>
      <c r="B33" s="17" t="s">
        <v>16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47</v>
      </c>
      <c r="R33" s="6" t="s">
        <v>48</v>
      </c>
      <c r="S33" s="6" t="s">
        <v>47</v>
      </c>
      <c r="T33" s="6" t="s">
        <v>47</v>
      </c>
      <c r="U33" s="6" t="s">
        <v>47</v>
      </c>
      <c r="V33" s="6" t="s">
        <v>47</v>
      </c>
      <c r="W33" s="6" t="s">
        <v>47</v>
      </c>
      <c r="X33" s="6" t="s">
        <v>48</v>
      </c>
      <c r="Y33" s="4" t="s">
        <v>47</v>
      </c>
      <c r="Z33" s="6" t="s">
        <v>47</v>
      </c>
      <c r="AA33" s="6" t="s">
        <v>48</v>
      </c>
      <c r="AB33" s="6" t="s">
        <v>47</v>
      </c>
      <c r="AC33" s="6" t="s">
        <v>47</v>
      </c>
      <c r="AD33" s="6"/>
      <c r="AE33" s="21">
        <f t="shared" si="0"/>
        <v>18</v>
      </c>
      <c r="AF33" s="23">
        <f t="shared" si="1"/>
        <v>9</v>
      </c>
      <c r="AG33" s="30">
        <f t="shared" si="2"/>
        <v>27</v>
      </c>
    </row>
    <row r="34" spans="1:33" x14ac:dyDescent="0.25">
      <c r="A34" s="15">
        <f t="shared" si="3"/>
        <v>31</v>
      </c>
      <c r="B34" s="16" t="s">
        <v>42</v>
      </c>
      <c r="C34" s="5" t="s">
        <v>47</v>
      </c>
      <c r="D34" s="6" t="s">
        <v>47</v>
      </c>
      <c r="E34" s="6" t="s">
        <v>48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48</v>
      </c>
      <c r="K34" s="6" t="s">
        <v>48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48</v>
      </c>
      <c r="T34" s="6" t="s">
        <v>47</v>
      </c>
      <c r="U34" s="6" t="s">
        <v>47</v>
      </c>
      <c r="V34" s="4" t="s">
        <v>48</v>
      </c>
      <c r="W34" s="6" t="s">
        <v>47</v>
      </c>
      <c r="X34" s="6" t="s">
        <v>47</v>
      </c>
      <c r="Y34" s="6" t="s">
        <v>48</v>
      </c>
      <c r="Z34" s="6" t="s">
        <v>48</v>
      </c>
      <c r="AA34" s="6" t="s">
        <v>47</v>
      </c>
      <c r="AB34" s="6" t="s">
        <v>47</v>
      </c>
      <c r="AC34" s="6" t="s">
        <v>47</v>
      </c>
      <c r="AD34" s="6"/>
      <c r="AE34" s="21">
        <f t="shared" si="0"/>
        <v>20</v>
      </c>
      <c r="AF34" s="23">
        <f t="shared" si="1"/>
        <v>7</v>
      </c>
      <c r="AG34" s="30">
        <f t="shared" si="2"/>
        <v>27</v>
      </c>
    </row>
    <row r="35" spans="1:33" x14ac:dyDescent="0.25">
      <c r="A35" s="15">
        <f t="shared" si="3"/>
        <v>32</v>
      </c>
      <c r="B35" s="17" t="s">
        <v>17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47</v>
      </c>
      <c r="K35" s="6" t="s">
        <v>47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47</v>
      </c>
      <c r="AD35" s="6"/>
      <c r="AE35" s="21">
        <f t="shared" si="0"/>
        <v>27</v>
      </c>
      <c r="AF35" s="23">
        <f t="shared" si="1"/>
        <v>0</v>
      </c>
      <c r="AG35" s="30">
        <f t="shared" si="2"/>
        <v>27</v>
      </c>
    </row>
    <row r="36" spans="1:33" x14ac:dyDescent="0.25">
      <c r="A36" s="15">
        <f t="shared" si="3"/>
        <v>33</v>
      </c>
      <c r="B36" s="17" t="s">
        <v>63</v>
      </c>
      <c r="C36" s="3" t="s">
        <v>48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47</v>
      </c>
      <c r="Q36" s="6" t="s">
        <v>47</v>
      </c>
      <c r="R36" s="6" t="s">
        <v>47</v>
      </c>
      <c r="S36" s="4" t="s">
        <v>48</v>
      </c>
      <c r="T36" s="6" t="s">
        <v>48</v>
      </c>
      <c r="U36" s="6" t="s">
        <v>47</v>
      </c>
      <c r="V36" s="6" t="s">
        <v>47</v>
      </c>
      <c r="W36" s="6" t="s">
        <v>48</v>
      </c>
      <c r="X36" s="6" t="s">
        <v>47</v>
      </c>
      <c r="Y36" s="4" t="s">
        <v>47</v>
      </c>
      <c r="Z36" s="6" t="s">
        <v>47</v>
      </c>
      <c r="AA36" s="6" t="s">
        <v>47</v>
      </c>
      <c r="AB36" s="4" t="s">
        <v>48</v>
      </c>
      <c r="AC36" s="4" t="s">
        <v>48</v>
      </c>
      <c r="AD36" s="6"/>
      <c r="AE36" s="21">
        <f t="shared" ref="AE36:AE66" si="6">COUNTIF(C36:AD36,"+")</f>
        <v>17</v>
      </c>
      <c r="AF36" s="23">
        <f t="shared" ref="AF36:AF66" si="7">COUNTIF(C36:AD36,"-")</f>
        <v>10</v>
      </c>
      <c r="AG36" s="30">
        <f t="shared" ref="AG36" si="8">SUM(AE36:AF36)</f>
        <v>27</v>
      </c>
    </row>
    <row r="37" spans="1:33" x14ac:dyDescent="0.25">
      <c r="A37" s="15">
        <f t="shared" si="3"/>
        <v>34</v>
      </c>
      <c r="B37" s="17" t="s">
        <v>18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48</v>
      </c>
      <c r="H37" s="6" t="s">
        <v>48</v>
      </c>
      <c r="I37" s="6" t="s">
        <v>48</v>
      </c>
      <c r="J37" s="6" t="s">
        <v>48</v>
      </c>
      <c r="K37" s="6" t="s">
        <v>48</v>
      </c>
      <c r="L37" s="6" t="s">
        <v>48</v>
      </c>
      <c r="M37" s="6" t="s">
        <v>48</v>
      </c>
      <c r="N37" s="4" t="s">
        <v>48</v>
      </c>
      <c r="O37" s="6" t="s">
        <v>48</v>
      </c>
      <c r="P37" s="4" t="s">
        <v>48</v>
      </c>
      <c r="Q37" s="4" t="s">
        <v>47</v>
      </c>
      <c r="R37" s="6" t="s">
        <v>47</v>
      </c>
      <c r="S37" s="6" t="s">
        <v>47</v>
      </c>
      <c r="T37" s="6" t="s">
        <v>47</v>
      </c>
      <c r="U37" s="6" t="s">
        <v>48</v>
      </c>
      <c r="V37" s="6" t="s">
        <v>47</v>
      </c>
      <c r="W37" s="6" t="s">
        <v>47</v>
      </c>
      <c r="X37" s="6" t="s">
        <v>47</v>
      </c>
      <c r="Y37" s="4" t="s">
        <v>47</v>
      </c>
      <c r="Z37" s="6" t="s">
        <v>48</v>
      </c>
      <c r="AA37" s="6" t="s">
        <v>48</v>
      </c>
      <c r="AB37" s="6" t="s">
        <v>47</v>
      </c>
      <c r="AC37" s="4" t="s">
        <v>48</v>
      </c>
      <c r="AD37" s="6"/>
      <c r="AE37" s="21">
        <f t="shared" si="6"/>
        <v>9</v>
      </c>
      <c r="AF37" s="23">
        <f t="shared" si="7"/>
        <v>18</v>
      </c>
      <c r="AG37" s="30">
        <f t="shared" si="2"/>
        <v>27</v>
      </c>
    </row>
    <row r="38" spans="1:33" x14ac:dyDescent="0.25">
      <c r="A38" s="15">
        <f t="shared" si="3"/>
        <v>35</v>
      </c>
      <c r="B38" s="17" t="s">
        <v>67</v>
      </c>
      <c r="C38" s="5"/>
      <c r="D38" s="6"/>
      <c r="E38" s="6"/>
      <c r="F38" s="6"/>
      <c r="G38" s="6"/>
      <c r="H38" s="6"/>
      <c r="I38" s="4"/>
      <c r="J38" s="6"/>
      <c r="K38" s="6"/>
      <c r="L38" s="6"/>
      <c r="M38" s="6"/>
      <c r="N38" s="4"/>
      <c r="O38" s="6"/>
      <c r="P38" s="6" t="s">
        <v>47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6" t="s">
        <v>47</v>
      </c>
      <c r="W38" s="6" t="s">
        <v>47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/>
      <c r="AE38" s="21">
        <f t="shared" ref="AE38" si="9">COUNTIF(C38:AD38,"+")</f>
        <v>14</v>
      </c>
      <c r="AF38" s="23">
        <f t="shared" ref="AF38" si="10">COUNTIF(C38:AD38,"-")</f>
        <v>0</v>
      </c>
      <c r="AG38" s="30">
        <f t="shared" ref="AG38" si="11">SUM(AE38:AF38)</f>
        <v>14</v>
      </c>
    </row>
    <row r="39" spans="1:33" x14ac:dyDescent="0.25">
      <c r="A39" s="15">
        <f t="shared" si="3"/>
        <v>36</v>
      </c>
      <c r="B39" s="17" t="s">
        <v>19</v>
      </c>
      <c r="C39" s="5" t="s">
        <v>47</v>
      </c>
      <c r="D39" s="6" t="s">
        <v>47</v>
      </c>
      <c r="E39" s="6" t="s">
        <v>47</v>
      </c>
      <c r="F39" s="6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48</v>
      </c>
      <c r="X39" s="6" t="s">
        <v>47</v>
      </c>
      <c r="Y39" s="6" t="s">
        <v>48</v>
      </c>
      <c r="Z39" s="4" t="s">
        <v>48</v>
      </c>
      <c r="AA39" s="6" t="s">
        <v>48</v>
      </c>
      <c r="AB39" s="6" t="s">
        <v>47</v>
      </c>
      <c r="AC39" s="6" t="s">
        <v>47</v>
      </c>
      <c r="AD39" s="6"/>
      <c r="AE39" s="21">
        <f t="shared" si="6"/>
        <v>20</v>
      </c>
      <c r="AF39" s="23">
        <f t="shared" si="7"/>
        <v>7</v>
      </c>
      <c r="AG39" s="30">
        <f t="shared" si="2"/>
        <v>27</v>
      </c>
    </row>
    <row r="40" spans="1:33" x14ac:dyDescent="0.25">
      <c r="A40" s="15">
        <f t="shared" si="3"/>
        <v>37</v>
      </c>
      <c r="B40" s="17" t="s">
        <v>20</v>
      </c>
      <c r="C40" s="5" t="s">
        <v>47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48</v>
      </c>
      <c r="L40" s="6" t="s">
        <v>48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6" t="s">
        <v>48</v>
      </c>
      <c r="Z40" s="6" t="s">
        <v>48</v>
      </c>
      <c r="AA40" s="6" t="s">
        <v>47</v>
      </c>
      <c r="AB40" s="6" t="s">
        <v>47</v>
      </c>
      <c r="AC40" s="6" t="s">
        <v>47</v>
      </c>
      <c r="AD40" s="6"/>
      <c r="AE40" s="21">
        <f t="shared" si="6"/>
        <v>21</v>
      </c>
      <c r="AF40" s="23">
        <f t="shared" si="7"/>
        <v>6</v>
      </c>
      <c r="AG40" s="30">
        <f t="shared" si="2"/>
        <v>27</v>
      </c>
    </row>
    <row r="41" spans="1:33" x14ac:dyDescent="0.25">
      <c r="A41" s="15">
        <f t="shared" si="3"/>
        <v>38</v>
      </c>
      <c r="B41" s="17" t="s">
        <v>21</v>
      </c>
      <c r="C41" s="3" t="s">
        <v>48</v>
      </c>
      <c r="D41" s="6" t="s">
        <v>48</v>
      </c>
      <c r="E41" s="6" t="s">
        <v>48</v>
      </c>
      <c r="F41" s="6" t="s">
        <v>48</v>
      </c>
      <c r="G41" s="6" t="s">
        <v>48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47</v>
      </c>
      <c r="S41" s="6" t="s">
        <v>47</v>
      </c>
      <c r="T41" s="6" t="s">
        <v>48</v>
      </c>
      <c r="U41" s="6" t="s">
        <v>48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48</v>
      </c>
      <c r="AC41" s="6" t="s">
        <v>47</v>
      </c>
      <c r="AD41" s="4"/>
      <c r="AE41" s="21">
        <f t="shared" si="6"/>
        <v>19</v>
      </c>
      <c r="AF41" s="23">
        <f t="shared" si="7"/>
        <v>8</v>
      </c>
      <c r="AG41" s="30">
        <f t="shared" si="2"/>
        <v>27</v>
      </c>
    </row>
    <row r="42" spans="1:33" x14ac:dyDescent="0.25">
      <c r="A42" s="15">
        <f t="shared" si="3"/>
        <v>39</v>
      </c>
      <c r="B42" s="16" t="s">
        <v>22</v>
      </c>
      <c r="C42" s="5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48</v>
      </c>
      <c r="I42" s="4" t="s">
        <v>48</v>
      </c>
      <c r="J42" s="6" t="s">
        <v>48</v>
      </c>
      <c r="K42" s="6" t="s">
        <v>48</v>
      </c>
      <c r="L42" s="6" t="s">
        <v>48</v>
      </c>
      <c r="M42" s="6" t="s">
        <v>48</v>
      </c>
      <c r="N42" s="4" t="s">
        <v>48</v>
      </c>
      <c r="O42" s="6" t="s">
        <v>48</v>
      </c>
      <c r="P42" s="4" t="s">
        <v>48</v>
      </c>
      <c r="Q42" s="6" t="s">
        <v>48</v>
      </c>
      <c r="R42" s="6" t="s">
        <v>48</v>
      </c>
      <c r="S42" s="6" t="s">
        <v>48</v>
      </c>
      <c r="T42" s="6" t="s">
        <v>48</v>
      </c>
      <c r="U42" s="6" t="s">
        <v>48</v>
      </c>
      <c r="V42" s="4" t="s">
        <v>48</v>
      </c>
      <c r="W42" s="6" t="s">
        <v>48</v>
      </c>
      <c r="X42" s="6" t="s">
        <v>48</v>
      </c>
      <c r="Y42" s="6" t="s">
        <v>48</v>
      </c>
      <c r="Z42" s="6" t="s">
        <v>48</v>
      </c>
      <c r="AA42" s="6" t="s">
        <v>48</v>
      </c>
      <c r="AB42" s="6" t="s">
        <v>48</v>
      </c>
      <c r="AC42" s="6" t="s">
        <v>48</v>
      </c>
      <c r="AD42" s="6" t="s">
        <v>48</v>
      </c>
      <c r="AE42" s="21">
        <f t="shared" si="6"/>
        <v>0</v>
      </c>
      <c r="AF42" s="23">
        <f t="shared" si="7"/>
        <v>28</v>
      </c>
      <c r="AG42" s="30">
        <f t="shared" si="2"/>
        <v>28</v>
      </c>
    </row>
    <row r="43" spans="1:33" x14ac:dyDescent="0.25">
      <c r="A43" s="15">
        <f t="shared" si="3"/>
        <v>40</v>
      </c>
      <c r="B43" s="18" t="s">
        <v>23</v>
      </c>
      <c r="C43" s="3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4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4" t="s">
        <v>48</v>
      </c>
      <c r="AC43" s="4" t="s">
        <v>48</v>
      </c>
      <c r="AD43" s="4"/>
      <c r="AE43" s="21">
        <f t="shared" si="6"/>
        <v>0</v>
      </c>
      <c r="AF43" s="23">
        <f t="shared" si="7"/>
        <v>27</v>
      </c>
      <c r="AG43" s="30">
        <f t="shared" si="2"/>
        <v>27</v>
      </c>
    </row>
    <row r="44" spans="1:33" x14ac:dyDescent="0.25">
      <c r="A44" s="15">
        <f t="shared" si="3"/>
        <v>41</v>
      </c>
      <c r="B44" s="16" t="s">
        <v>41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6" t="s">
        <v>48</v>
      </c>
      <c r="J44" s="6" t="s">
        <v>48</v>
      </c>
      <c r="K44" s="6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6" t="s">
        <v>48</v>
      </c>
      <c r="S44" s="6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4" t="s">
        <v>48</v>
      </c>
      <c r="Z44" s="6" t="s">
        <v>48</v>
      </c>
      <c r="AA44" s="6" t="s">
        <v>48</v>
      </c>
      <c r="AB44" s="4" t="s">
        <v>48</v>
      </c>
      <c r="AC44" s="6" t="s">
        <v>48</v>
      </c>
      <c r="AD44" s="6" t="s">
        <v>48</v>
      </c>
      <c r="AE44" s="21">
        <f t="shared" si="6"/>
        <v>0</v>
      </c>
      <c r="AF44" s="23">
        <f t="shared" si="7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54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47</v>
      </c>
      <c r="S45" s="6" t="s">
        <v>47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4"/>
      <c r="AE45" s="21">
        <f t="shared" si="6"/>
        <v>27</v>
      </c>
      <c r="AF45" s="23">
        <f t="shared" si="7"/>
        <v>0</v>
      </c>
      <c r="AG45" s="30">
        <f t="shared" si="2"/>
        <v>27</v>
      </c>
    </row>
    <row r="46" spans="1:33" x14ac:dyDescent="0.25">
      <c r="A46" s="15">
        <f t="shared" si="3"/>
        <v>43</v>
      </c>
      <c r="B46" s="16" t="s">
        <v>38</v>
      </c>
      <c r="C46" s="5" t="s">
        <v>47</v>
      </c>
      <c r="D46" s="6" t="s">
        <v>47</v>
      </c>
      <c r="E46" s="6" t="s">
        <v>47</v>
      </c>
      <c r="F46" s="6" t="s">
        <v>48</v>
      </c>
      <c r="G46" s="6" t="s">
        <v>48</v>
      </c>
      <c r="H46" s="6" t="s">
        <v>48</v>
      </c>
      <c r="I46" s="6" t="s">
        <v>48</v>
      </c>
      <c r="J46" s="6" t="s">
        <v>48</v>
      </c>
      <c r="K46" s="6" t="s">
        <v>48</v>
      </c>
      <c r="L46" s="6" t="s">
        <v>48</v>
      </c>
      <c r="M46" s="6" t="s">
        <v>48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48</v>
      </c>
      <c r="T46" s="6" t="s">
        <v>48</v>
      </c>
      <c r="U46" s="6" t="s">
        <v>48</v>
      </c>
      <c r="V46" s="4" t="s">
        <v>48</v>
      </c>
      <c r="W46" s="6" t="s">
        <v>47</v>
      </c>
      <c r="X46" s="6" t="s">
        <v>48</v>
      </c>
      <c r="Y46" s="6" t="s">
        <v>47</v>
      </c>
      <c r="Z46" s="6" t="s">
        <v>48</v>
      </c>
      <c r="AA46" s="6" t="s">
        <v>48</v>
      </c>
      <c r="AB46" s="4" t="s">
        <v>48</v>
      </c>
      <c r="AC46" s="6" t="s">
        <v>47</v>
      </c>
      <c r="AD46" s="6"/>
      <c r="AE46" s="21">
        <f t="shared" si="6"/>
        <v>11</v>
      </c>
      <c r="AF46" s="23">
        <f t="shared" si="7"/>
        <v>16</v>
      </c>
      <c r="AG46" s="30">
        <f t="shared" si="2"/>
        <v>27</v>
      </c>
    </row>
    <row r="47" spans="1:33" x14ac:dyDescent="0.25">
      <c r="A47" s="15">
        <f t="shared" si="3"/>
        <v>44</v>
      </c>
      <c r="B47" s="16" t="s">
        <v>24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6" t="s">
        <v>48</v>
      </c>
      <c r="L47" s="6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48</v>
      </c>
      <c r="Z47" s="6" t="s">
        <v>48</v>
      </c>
      <c r="AA47" s="6" t="s">
        <v>47</v>
      </c>
      <c r="AB47" s="6" t="s">
        <v>47</v>
      </c>
      <c r="AC47" s="6" t="s">
        <v>47</v>
      </c>
      <c r="AD47" s="6"/>
      <c r="AE47" s="21">
        <f t="shared" si="6"/>
        <v>23</v>
      </c>
      <c r="AF47" s="23">
        <f t="shared" si="7"/>
        <v>4</v>
      </c>
      <c r="AG47" s="30">
        <f t="shared" si="2"/>
        <v>27</v>
      </c>
    </row>
    <row r="48" spans="1:33" x14ac:dyDescent="0.25">
      <c r="A48" s="15">
        <f t="shared" si="3"/>
        <v>45</v>
      </c>
      <c r="B48" s="16" t="s">
        <v>25</v>
      </c>
      <c r="C48" s="5" t="s">
        <v>47</v>
      </c>
      <c r="D48" s="6" t="s">
        <v>47</v>
      </c>
      <c r="E48" s="6" t="s">
        <v>48</v>
      </c>
      <c r="F48" s="6" t="s">
        <v>48</v>
      </c>
      <c r="G48" s="6" t="s">
        <v>47</v>
      </c>
      <c r="H48" s="4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48</v>
      </c>
      <c r="R48" s="6" t="s">
        <v>48</v>
      </c>
      <c r="S48" s="6" t="s">
        <v>48</v>
      </c>
      <c r="T48" s="6" t="s">
        <v>48</v>
      </c>
      <c r="U48" s="6" t="s">
        <v>48</v>
      </c>
      <c r="V48" s="4" t="s">
        <v>48</v>
      </c>
      <c r="W48" s="6" t="s">
        <v>48</v>
      </c>
      <c r="X48" s="6" t="s">
        <v>48</v>
      </c>
      <c r="Y48" s="6" t="s">
        <v>48</v>
      </c>
      <c r="Z48" s="6" t="s">
        <v>48</v>
      </c>
      <c r="AA48" s="6" t="s">
        <v>48</v>
      </c>
      <c r="AB48" s="6" t="s">
        <v>48</v>
      </c>
      <c r="AC48" s="6" t="s">
        <v>48</v>
      </c>
      <c r="AD48" s="6" t="s">
        <v>48</v>
      </c>
      <c r="AE48" s="21">
        <f t="shared" si="6"/>
        <v>12</v>
      </c>
      <c r="AF48" s="23">
        <f t="shared" si="7"/>
        <v>16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26</v>
      </c>
      <c r="C49" s="5" t="s">
        <v>47</v>
      </c>
      <c r="D49" s="6" t="s">
        <v>48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48</v>
      </c>
      <c r="L49" s="6" t="s">
        <v>47</v>
      </c>
      <c r="M49" s="6" t="s">
        <v>47</v>
      </c>
      <c r="N49" s="6" t="s">
        <v>47</v>
      </c>
      <c r="O49" s="6" t="s">
        <v>48</v>
      </c>
      <c r="P49" s="6" t="s">
        <v>47</v>
      </c>
      <c r="Q49" s="6" t="s">
        <v>47</v>
      </c>
      <c r="R49" s="6" t="s">
        <v>48</v>
      </c>
      <c r="S49" s="6" t="s">
        <v>48</v>
      </c>
      <c r="T49" s="6" t="s">
        <v>47</v>
      </c>
      <c r="U49" s="6" t="s">
        <v>47</v>
      </c>
      <c r="V49" s="6" t="s">
        <v>47</v>
      </c>
      <c r="W49" s="6" t="s">
        <v>47</v>
      </c>
      <c r="X49" s="6" t="s">
        <v>47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47</v>
      </c>
      <c r="AD49" s="6"/>
      <c r="AE49" s="21">
        <f t="shared" si="6"/>
        <v>21</v>
      </c>
      <c r="AF49" s="23">
        <f t="shared" si="7"/>
        <v>6</v>
      </c>
      <c r="AG49" s="30">
        <f t="shared" si="2"/>
        <v>27</v>
      </c>
    </row>
    <row r="50" spans="1:33" x14ac:dyDescent="0.25">
      <c r="A50" s="15">
        <f t="shared" si="3"/>
        <v>47</v>
      </c>
      <c r="B50" s="16" t="s">
        <v>27</v>
      </c>
      <c r="C50" s="3" t="s">
        <v>48</v>
      </c>
      <c r="D50" s="6" t="s">
        <v>48</v>
      </c>
      <c r="E50" s="6" t="s">
        <v>48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47</v>
      </c>
      <c r="P50" s="4" t="s">
        <v>48</v>
      </c>
      <c r="Q50" s="6" t="s">
        <v>48</v>
      </c>
      <c r="R50" s="6" t="s">
        <v>48</v>
      </c>
      <c r="S50" s="6" t="s">
        <v>47</v>
      </c>
      <c r="T50" s="4" t="s">
        <v>48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48</v>
      </c>
      <c r="AA50" s="6" t="s">
        <v>47</v>
      </c>
      <c r="AB50" s="6" t="s">
        <v>47</v>
      </c>
      <c r="AC50" s="6" t="s">
        <v>47</v>
      </c>
      <c r="AD50" s="6"/>
      <c r="AE50" s="21">
        <f t="shared" si="6"/>
        <v>17</v>
      </c>
      <c r="AF50" s="23">
        <f t="shared" si="7"/>
        <v>10</v>
      </c>
      <c r="AG50" s="30">
        <f t="shared" si="2"/>
        <v>27</v>
      </c>
    </row>
    <row r="51" spans="1:33" x14ac:dyDescent="0.25">
      <c r="A51" s="15">
        <f t="shared" si="3"/>
        <v>48</v>
      </c>
      <c r="B51" s="16" t="s">
        <v>28</v>
      </c>
      <c r="C51" s="5" t="s">
        <v>47</v>
      </c>
      <c r="D51" s="6" t="s">
        <v>47</v>
      </c>
      <c r="E51" s="6" t="s">
        <v>48</v>
      </c>
      <c r="F51" s="6" t="s">
        <v>48</v>
      </c>
      <c r="G51" s="6" t="s">
        <v>48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47</v>
      </c>
      <c r="M51" s="6" t="s">
        <v>47</v>
      </c>
      <c r="N51" s="4" t="s">
        <v>48</v>
      </c>
      <c r="O51" s="6" t="s">
        <v>48</v>
      </c>
      <c r="P51" s="4" t="s">
        <v>48</v>
      </c>
      <c r="Q51" s="6" t="s">
        <v>48</v>
      </c>
      <c r="R51" s="6" t="s">
        <v>48</v>
      </c>
      <c r="S51" s="6" t="s">
        <v>48</v>
      </c>
      <c r="T51" s="6" t="s">
        <v>47</v>
      </c>
      <c r="U51" s="6" t="s">
        <v>47</v>
      </c>
      <c r="V51" s="6" t="s">
        <v>47</v>
      </c>
      <c r="W51" s="6" t="s">
        <v>48</v>
      </c>
      <c r="X51" s="6" t="s">
        <v>47</v>
      </c>
      <c r="Y51" s="6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6"/>
      <c r="AE51" s="21">
        <f t="shared" si="6"/>
        <v>15</v>
      </c>
      <c r="AF51" s="23">
        <f t="shared" si="7"/>
        <v>12</v>
      </c>
      <c r="AG51" s="30">
        <f t="shared" si="2"/>
        <v>27</v>
      </c>
    </row>
    <row r="52" spans="1:33" x14ac:dyDescent="0.25">
      <c r="A52" s="15">
        <f t="shared" si="3"/>
        <v>49</v>
      </c>
      <c r="B52" s="16" t="s">
        <v>29</v>
      </c>
      <c r="C52" s="5" t="s">
        <v>47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6" t="s">
        <v>47</v>
      </c>
      <c r="Q52" s="6" t="s">
        <v>47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47</v>
      </c>
      <c r="X52" s="6" t="s">
        <v>47</v>
      </c>
      <c r="Y52" s="6" t="s">
        <v>47</v>
      </c>
      <c r="Z52" s="6" t="s">
        <v>47</v>
      </c>
      <c r="AA52" s="6" t="s">
        <v>47</v>
      </c>
      <c r="AB52" s="6" t="s">
        <v>47</v>
      </c>
      <c r="AC52" s="6" t="s">
        <v>47</v>
      </c>
      <c r="AD52" s="6"/>
      <c r="AE52" s="21">
        <f t="shared" si="6"/>
        <v>23</v>
      </c>
      <c r="AF52" s="23">
        <f t="shared" si="7"/>
        <v>4</v>
      </c>
      <c r="AG52" s="30">
        <f t="shared" si="2"/>
        <v>27</v>
      </c>
    </row>
    <row r="53" spans="1:33" x14ac:dyDescent="0.25">
      <c r="A53" s="15">
        <f t="shared" si="3"/>
        <v>50</v>
      </c>
      <c r="B53" s="16" t="s">
        <v>30</v>
      </c>
      <c r="C53" s="3" t="s">
        <v>48</v>
      </c>
      <c r="D53" s="6" t="s">
        <v>48</v>
      </c>
      <c r="E53" s="6" t="s">
        <v>48</v>
      </c>
      <c r="F53" s="6" t="s">
        <v>48</v>
      </c>
      <c r="G53" s="6" t="s">
        <v>48</v>
      </c>
      <c r="H53" s="6" t="s">
        <v>48</v>
      </c>
      <c r="I53" s="4" t="s">
        <v>48</v>
      </c>
      <c r="J53" s="6" t="s">
        <v>48</v>
      </c>
      <c r="K53" s="4" t="s">
        <v>48</v>
      </c>
      <c r="L53" s="6" t="s">
        <v>48</v>
      </c>
      <c r="M53" s="6" t="s">
        <v>48</v>
      </c>
      <c r="N53" s="4" t="s">
        <v>48</v>
      </c>
      <c r="O53" s="6" t="s">
        <v>48</v>
      </c>
      <c r="P53" s="4" t="s">
        <v>48</v>
      </c>
      <c r="Q53" s="6" t="s">
        <v>48</v>
      </c>
      <c r="R53" s="6" t="s">
        <v>48</v>
      </c>
      <c r="S53" s="4" t="s">
        <v>48</v>
      </c>
      <c r="T53" s="4" t="s">
        <v>48</v>
      </c>
      <c r="U53" s="6" t="s">
        <v>48</v>
      </c>
      <c r="V53" s="4" t="s">
        <v>48</v>
      </c>
      <c r="W53" s="6" t="s">
        <v>48</v>
      </c>
      <c r="X53" s="6" t="s">
        <v>48</v>
      </c>
      <c r="Y53" s="6" t="s">
        <v>48</v>
      </c>
      <c r="Z53" s="6" t="s">
        <v>48</v>
      </c>
      <c r="AA53" s="6" t="s">
        <v>48</v>
      </c>
      <c r="AB53" s="4" t="s">
        <v>48</v>
      </c>
      <c r="AC53" s="4" t="s">
        <v>48</v>
      </c>
      <c r="AD53" s="4"/>
      <c r="AE53" s="21">
        <f t="shared" si="6"/>
        <v>0</v>
      </c>
      <c r="AF53" s="23">
        <f t="shared" si="7"/>
        <v>27</v>
      </c>
      <c r="AG53" s="30">
        <f t="shared" si="2"/>
        <v>27</v>
      </c>
    </row>
    <row r="54" spans="1:33" x14ac:dyDescent="0.25">
      <c r="A54" s="15">
        <f t="shared" si="3"/>
        <v>51</v>
      </c>
      <c r="B54" s="16" t="s">
        <v>31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48</v>
      </c>
      <c r="H54" s="6" t="s">
        <v>47</v>
      </c>
      <c r="I54" s="6" t="s">
        <v>47</v>
      </c>
      <c r="J54" s="6" t="s">
        <v>47</v>
      </c>
      <c r="K54" s="6" t="s">
        <v>47</v>
      </c>
      <c r="L54" s="6" t="s">
        <v>47</v>
      </c>
      <c r="M54" s="6" t="s">
        <v>47</v>
      </c>
      <c r="N54" s="6" t="s">
        <v>47</v>
      </c>
      <c r="O54" s="6" t="s">
        <v>47</v>
      </c>
      <c r="P54" s="4" t="s">
        <v>48</v>
      </c>
      <c r="Q54" s="4" t="s">
        <v>47</v>
      </c>
      <c r="R54" s="6" t="s">
        <v>47</v>
      </c>
      <c r="S54" s="6" t="s">
        <v>48</v>
      </c>
      <c r="T54" s="6" t="s">
        <v>47</v>
      </c>
      <c r="U54" s="6" t="s">
        <v>48</v>
      </c>
      <c r="V54" s="6" t="s">
        <v>47</v>
      </c>
      <c r="W54" s="6" t="s">
        <v>47</v>
      </c>
      <c r="X54" s="6" t="s">
        <v>47</v>
      </c>
      <c r="Y54" s="4" t="s">
        <v>47</v>
      </c>
      <c r="Z54" s="4" t="s">
        <v>48</v>
      </c>
      <c r="AA54" s="6" t="s">
        <v>48</v>
      </c>
      <c r="AB54" s="4" t="s">
        <v>48</v>
      </c>
      <c r="AC54" s="4" t="s">
        <v>48</v>
      </c>
      <c r="AD54" s="6"/>
      <c r="AE54" s="21">
        <f t="shared" si="6"/>
        <v>19</v>
      </c>
      <c r="AF54" s="23">
        <f t="shared" si="7"/>
        <v>8</v>
      </c>
      <c r="AG54" s="30">
        <f t="shared" si="2"/>
        <v>27</v>
      </c>
    </row>
    <row r="55" spans="1:33" x14ac:dyDescent="0.25">
      <c r="A55" s="15">
        <f t="shared" si="3"/>
        <v>52</v>
      </c>
      <c r="B55" s="16" t="s">
        <v>66</v>
      </c>
      <c r="C55" s="3"/>
      <c r="D55" s="6" t="s">
        <v>47</v>
      </c>
      <c r="E55" s="6" t="s">
        <v>48</v>
      </c>
      <c r="F55" s="6" t="s">
        <v>48</v>
      </c>
      <c r="G55" s="6" t="s">
        <v>48</v>
      </c>
      <c r="H55" s="6" t="s">
        <v>48</v>
      </c>
      <c r="I55" s="4" t="s">
        <v>48</v>
      </c>
      <c r="J55" s="6" t="s">
        <v>48</v>
      </c>
      <c r="K55" s="6" t="s">
        <v>47</v>
      </c>
      <c r="L55" s="6" t="s">
        <v>47</v>
      </c>
      <c r="M55" s="6" t="s">
        <v>48</v>
      </c>
      <c r="N55" s="4" t="s">
        <v>48</v>
      </c>
      <c r="O55" s="6" t="s">
        <v>48</v>
      </c>
      <c r="P55" s="4" t="s">
        <v>48</v>
      </c>
      <c r="Q55" s="6" t="s">
        <v>48</v>
      </c>
      <c r="R55" s="4" t="s">
        <v>47</v>
      </c>
      <c r="S55" s="6" t="s">
        <v>47</v>
      </c>
      <c r="T55" s="4" t="s">
        <v>48</v>
      </c>
      <c r="U55" s="6" t="s">
        <v>48</v>
      </c>
      <c r="V55" s="4" t="s">
        <v>48</v>
      </c>
      <c r="W55" s="6" t="s">
        <v>48</v>
      </c>
      <c r="X55" s="6" t="s">
        <v>48</v>
      </c>
      <c r="Y55" s="6" t="s">
        <v>48</v>
      </c>
      <c r="Z55" s="4" t="s">
        <v>47</v>
      </c>
      <c r="AA55" s="6" t="s">
        <v>48</v>
      </c>
      <c r="AB55" s="4" t="s">
        <v>48</v>
      </c>
      <c r="AC55" s="4" t="s">
        <v>48</v>
      </c>
      <c r="AD55" s="4"/>
      <c r="AE55" s="21">
        <f t="shared" ref="AE55" si="12">COUNTIF(C55:AD55,"+")</f>
        <v>6</v>
      </c>
      <c r="AF55" s="23">
        <f t="shared" ref="AF55" si="13">COUNTIF(C55:AD55,"-")</f>
        <v>20</v>
      </c>
      <c r="AG55" s="30">
        <f t="shared" ref="AG55" si="14">SUM(AE55:AF55)</f>
        <v>26</v>
      </c>
    </row>
    <row r="56" spans="1:33" x14ac:dyDescent="0.25">
      <c r="A56" s="15">
        <f t="shared" si="3"/>
        <v>53</v>
      </c>
      <c r="B56" s="16" t="s">
        <v>32</v>
      </c>
      <c r="C56" s="3" t="s">
        <v>48</v>
      </c>
      <c r="D56" s="6" t="s">
        <v>48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47</v>
      </c>
      <c r="K56" s="4" t="s">
        <v>48</v>
      </c>
      <c r="L56" s="6" t="s">
        <v>48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47</v>
      </c>
      <c r="R56" s="6" t="s">
        <v>48</v>
      </c>
      <c r="S56" s="4" t="s">
        <v>48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47</v>
      </c>
      <c r="Y56" s="6" t="s">
        <v>48</v>
      </c>
      <c r="Z56" s="6" t="s">
        <v>48</v>
      </c>
      <c r="AA56" s="6" t="s">
        <v>48</v>
      </c>
      <c r="AB56" s="4" t="s">
        <v>48</v>
      </c>
      <c r="AC56" s="4" t="s">
        <v>48</v>
      </c>
      <c r="AD56" s="4"/>
      <c r="AE56" s="21">
        <f t="shared" si="6"/>
        <v>3</v>
      </c>
      <c r="AF56" s="23">
        <f t="shared" si="7"/>
        <v>24</v>
      </c>
      <c r="AG56" s="30">
        <f t="shared" si="2"/>
        <v>27</v>
      </c>
    </row>
    <row r="57" spans="1:33" x14ac:dyDescent="0.25">
      <c r="A57" s="15">
        <f t="shared" si="3"/>
        <v>54</v>
      </c>
      <c r="B57" s="16" t="s">
        <v>33</v>
      </c>
      <c r="C57" s="5" t="s">
        <v>47</v>
      </c>
      <c r="D57" s="6" t="s">
        <v>48</v>
      </c>
      <c r="E57" s="5" t="s">
        <v>48</v>
      </c>
      <c r="F57" s="5" t="s">
        <v>47</v>
      </c>
      <c r="G57" s="5" t="s">
        <v>47</v>
      </c>
      <c r="H57" s="5" t="s">
        <v>47</v>
      </c>
      <c r="I57" s="5" t="s">
        <v>47</v>
      </c>
      <c r="J57" s="5" t="s">
        <v>47</v>
      </c>
      <c r="K57" s="5" t="s">
        <v>48</v>
      </c>
      <c r="L57" s="5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48</v>
      </c>
      <c r="R57" s="5" t="s">
        <v>48</v>
      </c>
      <c r="S57" s="4" t="s">
        <v>48</v>
      </c>
      <c r="T57" s="5" t="s">
        <v>47</v>
      </c>
      <c r="U57" s="5" t="s">
        <v>47</v>
      </c>
      <c r="V57" s="4" t="s">
        <v>48</v>
      </c>
      <c r="W57" s="5" t="s">
        <v>47</v>
      </c>
      <c r="X57" s="5" t="s">
        <v>47</v>
      </c>
      <c r="Y57" s="5" t="s">
        <v>47</v>
      </c>
      <c r="Z57" s="5" t="s">
        <v>47</v>
      </c>
      <c r="AA57" s="6" t="s">
        <v>47</v>
      </c>
      <c r="AB57" s="5" t="s">
        <v>47</v>
      </c>
      <c r="AC57" s="5" t="s">
        <v>47</v>
      </c>
      <c r="AD57" s="5"/>
      <c r="AE57" s="21">
        <f t="shared" si="6"/>
        <v>15</v>
      </c>
      <c r="AF57" s="23">
        <f t="shared" si="7"/>
        <v>12</v>
      </c>
      <c r="AG57" s="30">
        <f>SUM(AE57:AF57)</f>
        <v>27</v>
      </c>
    </row>
    <row r="58" spans="1:33" x14ac:dyDescent="0.25">
      <c r="A58" s="15">
        <f t="shared" si="3"/>
        <v>55</v>
      </c>
      <c r="B58" s="16" t="s">
        <v>44</v>
      </c>
      <c r="C58" s="5" t="s">
        <v>47</v>
      </c>
      <c r="D58" s="6" t="s">
        <v>48</v>
      </c>
      <c r="E58" s="6" t="s">
        <v>48</v>
      </c>
      <c r="F58" s="6" t="s">
        <v>47</v>
      </c>
      <c r="G58" s="6" t="s">
        <v>47</v>
      </c>
      <c r="H58" s="6" t="s">
        <v>47</v>
      </c>
      <c r="I58" s="6" t="s">
        <v>47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4" t="s">
        <v>47</v>
      </c>
      <c r="P58" s="6" t="s">
        <v>47</v>
      </c>
      <c r="Q58" s="6" t="s">
        <v>47</v>
      </c>
      <c r="R58" s="4" t="s">
        <v>48</v>
      </c>
      <c r="S58" s="4" t="s">
        <v>47</v>
      </c>
      <c r="T58" s="6" t="s">
        <v>48</v>
      </c>
      <c r="U58" s="6" t="s">
        <v>47</v>
      </c>
      <c r="V58" s="4" t="s">
        <v>48</v>
      </c>
      <c r="W58" s="6" t="s">
        <v>48</v>
      </c>
      <c r="X58" s="6" t="s">
        <v>47</v>
      </c>
      <c r="Y58" s="6" t="s">
        <v>47</v>
      </c>
      <c r="Z58" s="4" t="s">
        <v>47</v>
      </c>
      <c r="AA58" s="6" t="s">
        <v>47</v>
      </c>
      <c r="AB58" s="4" t="s">
        <v>48</v>
      </c>
      <c r="AC58" s="6" t="s">
        <v>47</v>
      </c>
      <c r="AD58" s="4" t="s">
        <v>48</v>
      </c>
      <c r="AE58" s="21">
        <f t="shared" si="6"/>
        <v>19</v>
      </c>
      <c r="AF58" s="23">
        <f t="shared" si="7"/>
        <v>9</v>
      </c>
      <c r="AG58" s="30">
        <f t="shared" ref="AG58:AG66" si="15">SUM(AE58:AF58)</f>
        <v>28</v>
      </c>
    </row>
    <row r="59" spans="1:33" x14ac:dyDescent="0.25">
      <c r="A59" s="15">
        <f t="shared" si="3"/>
        <v>56</v>
      </c>
      <c r="B59" s="16" t="s">
        <v>57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48</v>
      </c>
      <c r="H59" s="6" t="s">
        <v>47</v>
      </c>
      <c r="I59" s="6" t="s">
        <v>47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6" t="s">
        <v>48</v>
      </c>
      <c r="P59" s="4" t="s">
        <v>48</v>
      </c>
      <c r="Q59" s="6" t="s">
        <v>48</v>
      </c>
      <c r="R59" s="6" t="s">
        <v>48</v>
      </c>
      <c r="S59" s="4" t="s">
        <v>48</v>
      </c>
      <c r="T59" s="4" t="s">
        <v>48</v>
      </c>
      <c r="U59" s="6" t="s">
        <v>48</v>
      </c>
      <c r="V59" s="4" t="s">
        <v>48</v>
      </c>
      <c r="W59" s="6" t="s">
        <v>48</v>
      </c>
      <c r="X59" s="6" t="s">
        <v>48</v>
      </c>
      <c r="Y59" s="6" t="s">
        <v>48</v>
      </c>
      <c r="Z59" s="6" t="s">
        <v>48</v>
      </c>
      <c r="AA59" s="6" t="s">
        <v>48</v>
      </c>
      <c r="AB59" s="4" t="s">
        <v>48</v>
      </c>
      <c r="AC59" s="4" t="s">
        <v>48</v>
      </c>
      <c r="AD59" s="6"/>
      <c r="AE59" s="21">
        <f t="shared" si="6"/>
        <v>4</v>
      </c>
      <c r="AF59" s="23">
        <f t="shared" si="7"/>
        <v>23</v>
      </c>
      <c r="AG59" s="30">
        <f t="shared" si="15"/>
        <v>27</v>
      </c>
    </row>
    <row r="60" spans="1:33" x14ac:dyDescent="0.25">
      <c r="A60" s="15">
        <f t="shared" si="3"/>
        <v>57</v>
      </c>
      <c r="B60" s="16" t="s">
        <v>34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47</v>
      </c>
      <c r="I60" s="6" t="s">
        <v>47</v>
      </c>
      <c r="J60" s="6" t="s">
        <v>47</v>
      </c>
      <c r="K60" s="6" t="s">
        <v>48</v>
      </c>
      <c r="L60" s="6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47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48</v>
      </c>
      <c r="X60" s="6" t="s">
        <v>47</v>
      </c>
      <c r="Y60" s="6" t="s">
        <v>47</v>
      </c>
      <c r="Z60" s="6" t="s">
        <v>48</v>
      </c>
      <c r="AA60" s="6" t="s">
        <v>47</v>
      </c>
      <c r="AB60" s="4" t="s">
        <v>48</v>
      </c>
      <c r="AC60" s="4" t="s">
        <v>48</v>
      </c>
      <c r="AD60" s="6"/>
      <c r="AE60" s="21">
        <f t="shared" si="6"/>
        <v>20</v>
      </c>
      <c r="AF60" s="23">
        <f t="shared" si="7"/>
        <v>7</v>
      </c>
      <c r="AG60" s="30">
        <f t="shared" si="15"/>
        <v>27</v>
      </c>
    </row>
    <row r="61" spans="1:33" x14ac:dyDescent="0.25">
      <c r="A61" s="15">
        <f t="shared" si="3"/>
        <v>58</v>
      </c>
      <c r="B61" s="16" t="s">
        <v>43</v>
      </c>
      <c r="C61" s="5" t="s">
        <v>47</v>
      </c>
      <c r="D61" s="6" t="s">
        <v>48</v>
      </c>
      <c r="E61" s="6" t="s">
        <v>48</v>
      </c>
      <c r="F61" s="6" t="s">
        <v>48</v>
      </c>
      <c r="G61" s="6" t="s">
        <v>47</v>
      </c>
      <c r="H61" s="4" t="s">
        <v>47</v>
      </c>
      <c r="I61" s="6" t="s">
        <v>47</v>
      </c>
      <c r="J61" s="6" t="s">
        <v>47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47</v>
      </c>
      <c r="P61" s="4" t="s">
        <v>47</v>
      </c>
      <c r="Q61" s="6" t="s">
        <v>47</v>
      </c>
      <c r="R61" s="6" t="s">
        <v>47</v>
      </c>
      <c r="S61" s="4" t="s">
        <v>47</v>
      </c>
      <c r="T61" s="6" t="s">
        <v>47</v>
      </c>
      <c r="U61" s="6" t="s">
        <v>47</v>
      </c>
      <c r="V61" s="6" t="s">
        <v>47</v>
      </c>
      <c r="W61" s="6" t="s">
        <v>47</v>
      </c>
      <c r="X61" s="6" t="s">
        <v>47</v>
      </c>
      <c r="Y61" s="6" t="s">
        <v>47</v>
      </c>
      <c r="Z61" s="4" t="s">
        <v>47</v>
      </c>
      <c r="AA61" s="6" t="s">
        <v>47</v>
      </c>
      <c r="AB61" s="6" t="s">
        <v>47</v>
      </c>
      <c r="AC61" s="6" t="s">
        <v>47</v>
      </c>
      <c r="AD61" s="4"/>
      <c r="AE61" s="21">
        <f t="shared" si="6"/>
        <v>24</v>
      </c>
      <c r="AF61" s="23">
        <f t="shared" si="7"/>
        <v>3</v>
      </c>
      <c r="AG61" s="30">
        <f t="shared" si="15"/>
        <v>27</v>
      </c>
    </row>
    <row r="62" spans="1:33" x14ac:dyDescent="0.25">
      <c r="A62" s="15">
        <f t="shared" si="3"/>
        <v>59</v>
      </c>
      <c r="B62" s="16" t="s">
        <v>35</v>
      </c>
      <c r="C62" s="5" t="s">
        <v>47</v>
      </c>
      <c r="D62" s="6" t="s">
        <v>48</v>
      </c>
      <c r="E62" s="6" t="s">
        <v>48</v>
      </c>
      <c r="F62" s="6" t="s">
        <v>47</v>
      </c>
      <c r="G62" s="6" t="s">
        <v>47</v>
      </c>
      <c r="H62" s="6" t="s">
        <v>47</v>
      </c>
      <c r="I62" s="6" t="s">
        <v>47</v>
      </c>
      <c r="J62" s="6" t="s">
        <v>47</v>
      </c>
      <c r="K62" s="4" t="s">
        <v>48</v>
      </c>
      <c r="L62" s="6" t="s">
        <v>48</v>
      </c>
      <c r="M62" s="6" t="s">
        <v>48</v>
      </c>
      <c r="N62" s="4" t="s">
        <v>48</v>
      </c>
      <c r="O62" s="6" t="s">
        <v>48</v>
      </c>
      <c r="P62" s="6" t="s">
        <v>47</v>
      </c>
      <c r="Q62" s="6" t="s">
        <v>47</v>
      </c>
      <c r="R62" s="6" t="s">
        <v>47</v>
      </c>
      <c r="S62" s="6" t="s">
        <v>47</v>
      </c>
      <c r="T62" s="6" t="s">
        <v>47</v>
      </c>
      <c r="U62" s="6" t="s">
        <v>47</v>
      </c>
      <c r="V62" s="6" t="s">
        <v>47</v>
      </c>
      <c r="W62" s="6" t="s">
        <v>48</v>
      </c>
      <c r="X62" s="6" t="s">
        <v>48</v>
      </c>
      <c r="Y62" s="6" t="s">
        <v>47</v>
      </c>
      <c r="Z62" s="6" t="s">
        <v>47</v>
      </c>
      <c r="AA62" s="6" t="s">
        <v>47</v>
      </c>
      <c r="AB62" s="6" t="s">
        <v>47</v>
      </c>
      <c r="AC62" s="6" t="s">
        <v>47</v>
      </c>
      <c r="AD62" s="6"/>
      <c r="AE62" s="21">
        <f t="shared" si="6"/>
        <v>18</v>
      </c>
      <c r="AF62" s="23">
        <f t="shared" si="7"/>
        <v>9</v>
      </c>
      <c r="AG62" s="30">
        <f t="shared" si="15"/>
        <v>27</v>
      </c>
    </row>
    <row r="63" spans="1:33" x14ac:dyDescent="0.25">
      <c r="A63" s="15">
        <f t="shared" si="3"/>
        <v>60</v>
      </c>
      <c r="B63" s="16" t="s">
        <v>68</v>
      </c>
      <c r="C63" s="5"/>
      <c r="D63" s="6"/>
      <c r="E63" s="6"/>
      <c r="F63" s="6"/>
      <c r="G63" s="6"/>
      <c r="H63" s="4"/>
      <c r="I63" s="6"/>
      <c r="J63" s="6"/>
      <c r="K63" s="4"/>
      <c r="L63" s="6"/>
      <c r="M63" s="6"/>
      <c r="N63" s="4"/>
      <c r="O63" s="6"/>
      <c r="P63" s="6"/>
      <c r="Q63" s="4"/>
      <c r="R63" s="6"/>
      <c r="S63" s="4"/>
      <c r="T63" s="6"/>
      <c r="U63" s="6"/>
      <c r="V63" s="6"/>
      <c r="W63" s="6"/>
      <c r="X63" s="6"/>
      <c r="Y63" s="4"/>
      <c r="Z63" s="6"/>
      <c r="AA63" s="6"/>
      <c r="AB63" s="6" t="s">
        <v>47</v>
      </c>
      <c r="AC63" s="6" t="s">
        <v>47</v>
      </c>
      <c r="AD63" s="6"/>
      <c r="AE63" s="21">
        <f t="shared" ref="AE63" si="16">COUNTIF(C63:AD63,"+")</f>
        <v>2</v>
      </c>
      <c r="AF63" s="23">
        <f t="shared" ref="AF63" si="17">COUNTIF(C63:AD63,"-")</f>
        <v>0</v>
      </c>
      <c r="AG63" s="30">
        <f t="shared" ref="AG63" si="18">SUM(AE63:AF63)</f>
        <v>2</v>
      </c>
    </row>
    <row r="64" spans="1:33" x14ac:dyDescent="0.25">
      <c r="A64" s="15">
        <f t="shared" si="3"/>
        <v>61</v>
      </c>
      <c r="B64" s="16" t="s">
        <v>36</v>
      </c>
      <c r="C64" s="5" t="s">
        <v>47</v>
      </c>
      <c r="D64" s="6" t="s">
        <v>47</v>
      </c>
      <c r="E64" s="6" t="s">
        <v>48</v>
      </c>
      <c r="F64" s="6" t="s">
        <v>47</v>
      </c>
      <c r="G64" s="6" t="s">
        <v>47</v>
      </c>
      <c r="H64" s="4" t="s">
        <v>47</v>
      </c>
      <c r="I64" s="6" t="s">
        <v>47</v>
      </c>
      <c r="J64" s="6" t="s">
        <v>47</v>
      </c>
      <c r="K64" s="6" t="s">
        <v>47</v>
      </c>
      <c r="L64" s="6" t="s">
        <v>48</v>
      </c>
      <c r="M64" s="6" t="s">
        <v>47</v>
      </c>
      <c r="N64" s="6" t="s">
        <v>47</v>
      </c>
      <c r="O64" s="6" t="s">
        <v>47</v>
      </c>
      <c r="P64" s="6" t="s">
        <v>47</v>
      </c>
      <c r="Q64" s="4" t="s">
        <v>47</v>
      </c>
      <c r="R64" s="6" t="s">
        <v>47</v>
      </c>
      <c r="S64" s="4" t="s">
        <v>48</v>
      </c>
      <c r="T64" s="6" t="s">
        <v>47</v>
      </c>
      <c r="U64" s="6" t="s">
        <v>47</v>
      </c>
      <c r="V64" s="6" t="s">
        <v>47</v>
      </c>
      <c r="W64" s="4" t="s">
        <v>47</v>
      </c>
      <c r="X64" s="6" t="s">
        <v>47</v>
      </c>
      <c r="Y64" s="4" t="s">
        <v>48</v>
      </c>
      <c r="Z64" s="6" t="s">
        <v>48</v>
      </c>
      <c r="AA64" s="6" t="s">
        <v>47</v>
      </c>
      <c r="AB64" s="6" t="s">
        <v>47</v>
      </c>
      <c r="AC64" s="6" t="s">
        <v>47</v>
      </c>
      <c r="AD64" s="6"/>
      <c r="AE64" s="21">
        <f t="shared" si="6"/>
        <v>22</v>
      </c>
      <c r="AF64" s="23">
        <f t="shared" si="7"/>
        <v>5</v>
      </c>
      <c r="AG64" s="30">
        <f t="shared" si="15"/>
        <v>27</v>
      </c>
    </row>
    <row r="65" spans="1:33" x14ac:dyDescent="0.25">
      <c r="A65" s="15">
        <f t="shared" si="3"/>
        <v>62</v>
      </c>
      <c r="B65" s="33" t="s">
        <v>62</v>
      </c>
      <c r="C65" s="3" t="s">
        <v>48</v>
      </c>
      <c r="D65" s="34" t="s">
        <v>48</v>
      </c>
      <c r="E65" s="34" t="s">
        <v>48</v>
      </c>
      <c r="F65" s="6" t="s">
        <v>48</v>
      </c>
      <c r="G65" s="6" t="s">
        <v>48</v>
      </c>
      <c r="H65" s="6" t="s">
        <v>48</v>
      </c>
      <c r="I65" s="6" t="s">
        <v>48</v>
      </c>
      <c r="J65" s="6" t="s">
        <v>48</v>
      </c>
      <c r="K65" s="6" t="s">
        <v>48</v>
      </c>
      <c r="L65" s="34" t="s">
        <v>48</v>
      </c>
      <c r="M65" s="6" t="s">
        <v>48</v>
      </c>
      <c r="N65" s="34" t="s">
        <v>47</v>
      </c>
      <c r="O65" s="34" t="s">
        <v>47</v>
      </c>
      <c r="P65" s="34" t="s">
        <v>47</v>
      </c>
      <c r="Q65" s="6" t="s">
        <v>48</v>
      </c>
      <c r="R65" s="6" t="s">
        <v>48</v>
      </c>
      <c r="S65" s="4" t="s">
        <v>48</v>
      </c>
      <c r="T65" s="6" t="s">
        <v>47</v>
      </c>
      <c r="U65" s="34" t="s">
        <v>47</v>
      </c>
      <c r="V65" s="34" t="s">
        <v>47</v>
      </c>
      <c r="W65" s="4" t="s">
        <v>47</v>
      </c>
      <c r="X65" s="34" t="s">
        <v>47</v>
      </c>
      <c r="Y65" s="4" t="s">
        <v>48</v>
      </c>
      <c r="Z65" s="4" t="s">
        <v>48</v>
      </c>
      <c r="AA65" s="6" t="s">
        <v>47</v>
      </c>
      <c r="AB65" s="34" t="s">
        <v>47</v>
      </c>
      <c r="AC65" s="34" t="s">
        <v>47</v>
      </c>
      <c r="AD65" s="4"/>
      <c r="AE65" s="21">
        <f t="shared" si="6"/>
        <v>11</v>
      </c>
      <c r="AF65" s="23">
        <f t="shared" si="7"/>
        <v>16</v>
      </c>
      <c r="AG65" s="30">
        <f t="shared" ref="AG65" si="19">SUM(AE65:AF65)</f>
        <v>27</v>
      </c>
    </row>
    <row r="66" spans="1:33" ht="16.3" thickBot="1" x14ac:dyDescent="0.3">
      <c r="A66" s="15">
        <f t="shared" si="3"/>
        <v>63</v>
      </c>
      <c r="B66" s="19" t="s">
        <v>37</v>
      </c>
      <c r="C66" s="5" t="s">
        <v>47</v>
      </c>
      <c r="D66" s="20" t="s">
        <v>48</v>
      </c>
      <c r="E66" s="20" t="s">
        <v>48</v>
      </c>
      <c r="F66" s="6" t="s">
        <v>47</v>
      </c>
      <c r="G66" s="20" t="s">
        <v>47</v>
      </c>
      <c r="H66" s="6" t="s">
        <v>47</v>
      </c>
      <c r="I66" s="6" t="s">
        <v>47</v>
      </c>
      <c r="J66" s="6" t="s">
        <v>47</v>
      </c>
      <c r="K66" s="6" t="s">
        <v>48</v>
      </c>
      <c r="L66" s="20" t="s">
        <v>48</v>
      </c>
      <c r="M66" s="20" t="s">
        <v>47</v>
      </c>
      <c r="N66" s="20" t="s">
        <v>47</v>
      </c>
      <c r="O66" s="20" t="s">
        <v>47</v>
      </c>
      <c r="P66" s="20" t="s">
        <v>47</v>
      </c>
      <c r="Q66" s="4" t="s">
        <v>47</v>
      </c>
      <c r="R66" s="4" t="s">
        <v>48</v>
      </c>
      <c r="S66" s="6" t="s">
        <v>48</v>
      </c>
      <c r="T66" s="20" t="s">
        <v>47</v>
      </c>
      <c r="U66" s="20" t="s">
        <v>47</v>
      </c>
      <c r="V66" s="20" t="s">
        <v>47</v>
      </c>
      <c r="W66" s="6" t="s">
        <v>47</v>
      </c>
      <c r="X66" s="20" t="s">
        <v>47</v>
      </c>
      <c r="Y66" s="20" t="s">
        <v>48</v>
      </c>
      <c r="Z66" s="6" t="s">
        <v>48</v>
      </c>
      <c r="AA66" s="20" t="s">
        <v>47</v>
      </c>
      <c r="AB66" s="20" t="s">
        <v>47</v>
      </c>
      <c r="AC66" s="20" t="s">
        <v>47</v>
      </c>
      <c r="AD66" s="20"/>
      <c r="AE66" s="22">
        <f t="shared" si="6"/>
        <v>19</v>
      </c>
      <c r="AF66" s="24">
        <f t="shared" si="7"/>
        <v>8</v>
      </c>
      <c r="AG66" s="31">
        <f t="shared" si="15"/>
        <v>27</v>
      </c>
    </row>
    <row r="67" spans="1:33" x14ac:dyDescent="0.25">
      <c r="A67" s="35" t="s">
        <v>53</v>
      </c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</row>
  </sheetData>
  <autoFilter ref="C2:AD67"/>
  <mergeCells count="2">
    <mergeCell ref="A1:AG1"/>
    <mergeCell ref="A67:AG67"/>
  </mergeCells>
  <conditionalFormatting sqref="C4:AD66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  <ignoredErrors>
    <ignoredError sqref="AG6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Январь 2019</vt:lpstr>
      <vt:lpstr>Февраль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2019-02-04T05:16:50Z</cp:lastPrinted>
  <dcterms:created xsi:type="dcterms:W3CDTF">2018-09-27T16:52:37Z</dcterms:created>
  <dcterms:modified xsi:type="dcterms:W3CDTF">2019-03-01T10:51:58Z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