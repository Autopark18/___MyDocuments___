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Данные" sheetId="2" state="hidden" r:id="rId10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8" hidden="1">'Сентябрь 2019'!$C$2:$AF$63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2" i="12" l="1"/>
  <c r="AH32" i="12"/>
  <c r="AI32" i="12" l="1"/>
  <c r="AG37" i="12"/>
  <c r="AH37" i="12"/>
  <c r="AI37" i="12" l="1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41" i="12"/>
  <c r="AG41" i="12"/>
  <c r="AH40" i="12"/>
  <c r="AG40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0" i="12"/>
  <c r="AI41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J43" i="11" l="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<sst xmlns="http://schemas.openxmlformats.org/spreadsheetml/2006/main" count="15727" uniqueCount="83">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</sst>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8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5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3" priority="2">
      <formula>LEN(TRIM(C4))=0</formula>
    </cfRule>
  </conditionalFormatting>
  <conditionalFormatting sqref="C10:AD10 AF10:AG10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V4" sqref="V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6" si="0">COUNTIF(C4:AF4,"+")</f>
        <v>16</v>
      </c>
      <c r="AH4" s="25">
        <f t="shared" ref="AH4:AH36" si="1">COUNTIF(C4:AF4,"-")</f>
        <v>4</v>
      </c>
      <c r="AI4" s="29">
        <f t="shared" ref="AI4:AI50" si="2">SUM(AG4:AH4)</f>
        <v>20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47</v>
      </c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13</v>
      </c>
      <c r="AH5" s="25">
        <f t="shared" si="1"/>
        <v>7</v>
      </c>
      <c r="AI5" s="29">
        <f t="shared" si="2"/>
        <v>20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/>
      <c r="X6" s="4"/>
      <c r="Y6" s="4"/>
      <c r="Z6" s="4"/>
      <c r="AA6" s="4"/>
      <c r="AB6" s="4"/>
      <c r="AC6" s="4"/>
      <c r="AD6" s="4"/>
      <c r="AE6" s="4"/>
      <c r="AF6" s="4"/>
      <c r="AG6" s="21">
        <f t="shared" si="0"/>
        <v>13</v>
      </c>
      <c r="AH6" s="23">
        <f t="shared" si="1"/>
        <v>7</v>
      </c>
      <c r="AI6" s="30">
        <f t="shared" si="2"/>
        <v>20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 t="s">
        <v>47</v>
      </c>
      <c r="V7" s="4" t="s">
        <v>48</v>
      </c>
      <c r="W7" s="4"/>
      <c r="X7" s="4"/>
      <c r="Y7" s="4"/>
      <c r="Z7" s="4"/>
      <c r="AA7" s="4"/>
      <c r="AB7" s="6"/>
      <c r="AC7" s="6"/>
      <c r="AD7" s="4"/>
      <c r="AE7" s="4"/>
      <c r="AF7" s="4"/>
      <c r="AG7" s="21">
        <f t="shared" si="0"/>
        <v>15</v>
      </c>
      <c r="AH7" s="23">
        <f t="shared" si="1"/>
        <v>5</v>
      </c>
      <c r="AI7" s="30">
        <f t="shared" si="2"/>
        <v>20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 t="s">
        <v>47</v>
      </c>
      <c r="V8" s="4" t="s">
        <v>47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21">
        <f t="shared" si="0"/>
        <v>17</v>
      </c>
      <c r="AH8" s="23">
        <f t="shared" si="1"/>
        <v>3</v>
      </c>
      <c r="AI8" s="30">
        <f t="shared" si="2"/>
        <v>20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48</v>
      </c>
      <c r="W9" s="4"/>
      <c r="X9" s="6"/>
      <c r="Y9" s="4"/>
      <c r="Z9" s="4"/>
      <c r="AA9" s="4"/>
      <c r="AB9" s="4"/>
      <c r="AC9" s="4"/>
      <c r="AD9" s="4"/>
      <c r="AE9" s="4"/>
      <c r="AF9" s="4"/>
      <c r="AG9" s="21">
        <f t="shared" si="0"/>
        <v>17</v>
      </c>
      <c r="AH9" s="23">
        <f t="shared" si="1"/>
        <v>3</v>
      </c>
      <c r="AI9" s="30">
        <f t="shared" si="2"/>
        <v>20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 t="s">
        <v>48</v>
      </c>
      <c r="V10" s="4" t="s">
        <v>48</v>
      </c>
      <c r="W10" s="4"/>
      <c r="X10" s="6"/>
      <c r="Y10" s="4"/>
      <c r="Z10" s="4"/>
      <c r="AA10" s="4"/>
      <c r="AB10" s="6"/>
      <c r="AC10" s="6"/>
      <c r="AD10" s="4"/>
      <c r="AE10" s="4"/>
      <c r="AF10" s="4"/>
      <c r="AG10" s="21">
        <f t="shared" si="0"/>
        <v>13</v>
      </c>
      <c r="AH10" s="23">
        <f t="shared" si="1"/>
        <v>7</v>
      </c>
      <c r="AI10" s="30">
        <f t="shared" si="2"/>
        <v>20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/>
      <c r="X11" s="4"/>
      <c r="Y11" s="4"/>
      <c r="Z11" s="4"/>
      <c r="AA11" s="4"/>
      <c r="AB11" s="6"/>
      <c r="AC11" s="6"/>
      <c r="AD11" s="4"/>
      <c r="AE11" s="4"/>
      <c r="AF11" s="4"/>
      <c r="AG11" s="21">
        <f t="shared" si="0"/>
        <v>0</v>
      </c>
      <c r="AH11" s="23">
        <f t="shared" si="1"/>
        <v>20</v>
      </c>
      <c r="AI11" s="30">
        <f t="shared" si="2"/>
        <v>20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 t="s">
        <v>48</v>
      </c>
      <c r="V12" s="4" t="s">
        <v>48</v>
      </c>
      <c r="W12" s="4"/>
      <c r="X12" s="4"/>
      <c r="Y12" s="4"/>
      <c r="Z12" s="4"/>
      <c r="AA12" s="4"/>
      <c r="AB12" s="6"/>
      <c r="AC12" s="6"/>
      <c r="AD12" s="4"/>
      <c r="AE12" s="4"/>
      <c r="AF12" s="4"/>
      <c r="AG12" s="21">
        <f t="shared" si="0"/>
        <v>0</v>
      </c>
      <c r="AH12" s="23">
        <f t="shared" si="1"/>
        <v>20</v>
      </c>
      <c r="AI12" s="30">
        <f>SUM(AG12:AH12)</f>
        <v>20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/>
      <c r="X13" s="4"/>
      <c r="Y13" s="4"/>
      <c r="Z13" s="4"/>
      <c r="AA13" s="4"/>
      <c r="AB13" s="6"/>
      <c r="AC13" s="4"/>
      <c r="AD13" s="4"/>
      <c r="AE13" s="6"/>
      <c r="AF13" s="6"/>
      <c r="AG13" s="21">
        <f t="shared" si="0"/>
        <v>18</v>
      </c>
      <c r="AH13" s="23">
        <f t="shared" si="1"/>
        <v>2</v>
      </c>
      <c r="AI13" s="30">
        <f t="shared" si="2"/>
        <v>20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 t="s">
        <v>48</v>
      </c>
      <c r="V14" s="4" t="s">
        <v>48</v>
      </c>
      <c r="W14" s="6"/>
      <c r="X14" s="6"/>
      <c r="Y14" s="4"/>
      <c r="Z14" s="6"/>
      <c r="AA14" s="4"/>
      <c r="AB14" s="6"/>
      <c r="AC14" s="6"/>
      <c r="AD14" s="4"/>
      <c r="AE14" s="4"/>
      <c r="AF14" s="4"/>
      <c r="AG14" s="21">
        <f t="shared" si="0"/>
        <v>0</v>
      </c>
      <c r="AH14" s="23">
        <f t="shared" si="1"/>
        <v>20</v>
      </c>
      <c r="AI14" s="30">
        <f t="shared" si="2"/>
        <v>20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/>
      <c r="X15" s="6"/>
      <c r="Y15" s="6"/>
      <c r="Z15" s="6"/>
      <c r="AA15" s="4"/>
      <c r="AB15" s="4"/>
      <c r="AC15" s="6"/>
      <c r="AD15" s="4"/>
      <c r="AE15" s="6"/>
      <c r="AF15" s="4"/>
      <c r="AG15" s="21">
        <f t="shared" si="0"/>
        <v>16</v>
      </c>
      <c r="AH15" s="23">
        <f t="shared" si="1"/>
        <v>4</v>
      </c>
      <c r="AI15" s="30">
        <f t="shared" si="2"/>
        <v>20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 t="s">
        <v>47</v>
      </c>
      <c r="V16" s="4" t="s">
        <v>47</v>
      </c>
      <c r="W16" s="4"/>
      <c r="X16" s="4"/>
      <c r="Y16" s="4"/>
      <c r="Z16" s="4"/>
      <c r="AA16" s="4"/>
      <c r="AB16" s="4"/>
      <c r="AC16" s="4"/>
      <c r="AD16" s="4"/>
      <c r="AE16" s="4"/>
      <c r="AF16" s="4"/>
      <c r="AG16" s="21">
        <f t="shared" si="0"/>
        <v>20</v>
      </c>
      <c r="AH16" s="23">
        <f t="shared" si="1"/>
        <v>0</v>
      </c>
      <c r="AI16" s="30">
        <f t="shared" si="2"/>
        <v>20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 t="s">
        <v>48</v>
      </c>
      <c r="V17" s="4" t="s">
        <v>48</v>
      </c>
      <c r="W17" s="4"/>
      <c r="X17" s="4"/>
      <c r="Y17" s="4"/>
      <c r="Z17" s="4"/>
      <c r="AA17" s="4"/>
      <c r="AB17" s="6"/>
      <c r="AC17" s="6"/>
      <c r="AD17" s="4"/>
      <c r="AE17" s="4"/>
      <c r="AF17" s="4"/>
      <c r="AG17" s="21">
        <f t="shared" si="0"/>
        <v>5</v>
      </c>
      <c r="AH17" s="23">
        <f t="shared" si="1"/>
        <v>15</v>
      </c>
      <c r="AI17" s="30">
        <f t="shared" si="2"/>
        <v>20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 t="s">
        <v>47</v>
      </c>
      <c r="V18" s="4" t="s">
        <v>48</v>
      </c>
      <c r="W18" s="4"/>
      <c r="X18" s="4"/>
      <c r="Y18" s="4"/>
      <c r="Z18" s="4"/>
      <c r="AA18" s="4"/>
      <c r="AB18" s="6"/>
      <c r="AC18" s="4"/>
      <c r="AD18" s="4"/>
      <c r="AE18" s="4"/>
      <c r="AF18" s="4"/>
      <c r="AG18" s="21">
        <f t="shared" si="0"/>
        <v>13</v>
      </c>
      <c r="AH18" s="23">
        <f t="shared" si="1"/>
        <v>7</v>
      </c>
      <c r="AI18" s="30">
        <f t="shared" si="2"/>
        <v>20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 t="s">
        <v>48</v>
      </c>
      <c r="V19" s="4" t="s">
        <v>47</v>
      </c>
      <c r="W19" s="4"/>
      <c r="X19" s="4"/>
      <c r="Y19" s="4"/>
      <c r="Z19" s="4"/>
      <c r="AA19" s="4"/>
      <c r="AB19" s="4"/>
      <c r="AC19" s="4"/>
      <c r="AD19" s="4"/>
      <c r="AE19" s="6"/>
      <c r="AF19" s="4"/>
      <c r="AG19" s="21">
        <f t="shared" si="0"/>
        <v>13</v>
      </c>
      <c r="AH19" s="23">
        <f t="shared" si="1"/>
        <v>7</v>
      </c>
      <c r="AI19" s="30">
        <f t="shared" si="2"/>
        <v>20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/>
      <c r="X20" s="6"/>
      <c r="Y20" s="4"/>
      <c r="Z20" s="4"/>
      <c r="AA20" s="4"/>
      <c r="AB20" s="6"/>
      <c r="AC20" s="6"/>
      <c r="AD20" s="4"/>
      <c r="AE20" s="4"/>
      <c r="AF20" s="4"/>
      <c r="AG20" s="21">
        <f t="shared" si="0"/>
        <v>12</v>
      </c>
      <c r="AH20" s="23">
        <f t="shared" si="1"/>
        <v>8</v>
      </c>
      <c r="AI20" s="30">
        <f t="shared" si="2"/>
        <v>20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48</v>
      </c>
      <c r="V21" s="4" t="s">
        <v>47</v>
      </c>
      <c r="W21" s="4"/>
      <c r="X21" s="4"/>
      <c r="Y21" s="4"/>
      <c r="Z21" s="4"/>
      <c r="AA21" s="4"/>
      <c r="AB21" s="4"/>
      <c r="AC21" s="4"/>
      <c r="AD21" s="4"/>
      <c r="AE21" s="4"/>
      <c r="AF21" s="4"/>
      <c r="AG21" s="21">
        <f t="shared" si="0"/>
        <v>16</v>
      </c>
      <c r="AH21" s="23">
        <f t="shared" si="1"/>
        <v>4</v>
      </c>
      <c r="AI21" s="30">
        <f>SUM(AG21:AH21)</f>
        <v>20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21">
        <f t="shared" si="0"/>
        <v>0</v>
      </c>
      <c r="AH22" s="23">
        <f t="shared" si="1"/>
        <v>20</v>
      </c>
      <c r="AI22" s="30">
        <f t="shared" si="2"/>
        <v>20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/>
      <c r="X23" s="6"/>
      <c r="Y23" s="4"/>
      <c r="Z23" s="4"/>
      <c r="AA23" s="4"/>
      <c r="AB23" s="6"/>
      <c r="AC23" s="4"/>
      <c r="AD23" s="4"/>
      <c r="AE23" s="6"/>
      <c r="AF23" s="6"/>
      <c r="AG23" s="21">
        <f t="shared" si="0"/>
        <v>20</v>
      </c>
      <c r="AH23" s="23">
        <f t="shared" si="1"/>
        <v>0</v>
      </c>
      <c r="AI23" s="30">
        <f t="shared" si="2"/>
        <v>20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4" t="s">
        <v>47</v>
      </c>
      <c r="W24" s="4"/>
      <c r="X24" s="6"/>
      <c r="Y24" s="4"/>
      <c r="Z24" s="4"/>
      <c r="AA24" s="4"/>
      <c r="AB24" s="4"/>
      <c r="AC24" s="4"/>
      <c r="AD24" s="4"/>
      <c r="AE24" s="4"/>
      <c r="AF24" s="4"/>
      <c r="AG24" s="21">
        <f t="shared" si="0"/>
        <v>19</v>
      </c>
      <c r="AH24" s="23">
        <f t="shared" si="1"/>
        <v>1</v>
      </c>
      <c r="AI24" s="30">
        <f t="shared" si="2"/>
        <v>20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4" t="s">
        <v>47</v>
      </c>
      <c r="W25" s="4"/>
      <c r="X25" s="6"/>
      <c r="Y25" s="4"/>
      <c r="Z25" s="4"/>
      <c r="AA25" s="4"/>
      <c r="AB25" s="4"/>
      <c r="AC25" s="4"/>
      <c r="AD25" s="4"/>
      <c r="AE25" s="4"/>
      <c r="AF25" s="4"/>
      <c r="AG25" s="21">
        <f t="shared" si="0"/>
        <v>17</v>
      </c>
      <c r="AH25" s="23">
        <f t="shared" si="1"/>
        <v>3</v>
      </c>
      <c r="AI25" s="30">
        <f t="shared" si="2"/>
        <v>20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 t="s">
        <v>47</v>
      </c>
      <c r="V26" s="4" t="s">
        <v>47</v>
      </c>
      <c r="W26" s="4"/>
      <c r="X26" s="6"/>
      <c r="Y26" s="4"/>
      <c r="Z26" s="4"/>
      <c r="AA26" s="4"/>
      <c r="AB26" s="6"/>
      <c r="AC26" s="6"/>
      <c r="AD26" s="4"/>
      <c r="AE26" s="4"/>
      <c r="AF26" s="4"/>
      <c r="AG26" s="21">
        <f t="shared" si="0"/>
        <v>15</v>
      </c>
      <c r="AH26" s="23">
        <f t="shared" si="1"/>
        <v>5</v>
      </c>
      <c r="AI26" s="30">
        <f t="shared" si="2"/>
        <v>20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 t="s">
        <v>47</v>
      </c>
      <c r="V27" s="4" t="s">
        <v>47</v>
      </c>
      <c r="W27" s="4"/>
      <c r="X27" s="4"/>
      <c r="Y27" s="4"/>
      <c r="Z27" s="4"/>
      <c r="AA27" s="4"/>
      <c r="AB27" s="4"/>
      <c r="AC27" s="4"/>
      <c r="AD27" s="4"/>
      <c r="AE27" s="4"/>
      <c r="AF27" s="4"/>
      <c r="AG27" s="21">
        <f t="shared" si="0"/>
        <v>17</v>
      </c>
      <c r="AH27" s="23">
        <f t="shared" si="1"/>
        <v>3</v>
      </c>
      <c r="AI27" s="30">
        <f t="shared" si="2"/>
        <v>20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4" t="s">
        <v>48</v>
      </c>
      <c r="V28" s="4" t="s">
        <v>48</v>
      </c>
      <c r="W28" s="6"/>
      <c r="X28" s="4"/>
      <c r="Y28" s="4"/>
      <c r="Z28" s="6"/>
      <c r="AA28" s="6"/>
      <c r="AB28" s="6"/>
      <c r="AC28" s="6"/>
      <c r="AD28" s="6"/>
      <c r="AE28" s="6"/>
      <c r="AF28" s="6"/>
      <c r="AG28" s="21">
        <f t="shared" si="0"/>
        <v>18</v>
      </c>
      <c r="AH28" s="23">
        <f t="shared" si="1"/>
        <v>2</v>
      </c>
      <c r="AI28" s="30">
        <f t="shared" si="2"/>
        <v>20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 t="s">
        <v>47</v>
      </c>
      <c r="V29" s="4" t="s">
        <v>47</v>
      </c>
      <c r="W29" s="4"/>
      <c r="X29" s="6"/>
      <c r="Y29" s="4"/>
      <c r="Z29" s="6"/>
      <c r="AA29" s="4"/>
      <c r="AB29" s="6"/>
      <c r="AC29" s="4"/>
      <c r="AD29" s="4"/>
      <c r="AE29" s="4"/>
      <c r="AF29" s="4"/>
      <c r="AG29" s="21">
        <f t="shared" si="0"/>
        <v>14</v>
      </c>
      <c r="AH29" s="23">
        <f t="shared" si="1"/>
        <v>6</v>
      </c>
      <c r="AI29" s="30">
        <f t="shared" si="2"/>
        <v>20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 t="s">
        <v>47</v>
      </c>
      <c r="V30" s="4" t="s">
        <v>48</v>
      </c>
      <c r="W30" s="6"/>
      <c r="X30" s="6"/>
      <c r="Y30" s="4"/>
      <c r="Z30" s="4"/>
      <c r="AA30" s="6"/>
      <c r="AB30" s="6"/>
      <c r="AC30" s="6"/>
      <c r="AD30" s="4"/>
      <c r="AE30" s="6"/>
      <c r="AF30" s="4"/>
      <c r="AG30" s="21">
        <f t="shared" si="0"/>
        <v>16</v>
      </c>
      <c r="AH30" s="23">
        <f t="shared" si="1"/>
        <v>4</v>
      </c>
      <c r="AI30" s="30">
        <f t="shared" si="2"/>
        <v>20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 t="s">
        <v>47</v>
      </c>
      <c r="V31" s="4" t="s">
        <v>47</v>
      </c>
      <c r="W31" s="4"/>
      <c r="X31" s="6"/>
      <c r="Y31" s="4"/>
      <c r="Z31" s="4"/>
      <c r="AA31" s="4"/>
      <c r="AB31" s="4"/>
      <c r="AC31" s="4"/>
      <c r="AD31" s="6"/>
      <c r="AE31" s="6"/>
      <c r="AF31" s="4"/>
      <c r="AG31" s="21">
        <f t="shared" si="0"/>
        <v>18</v>
      </c>
      <c r="AH31" s="23">
        <f t="shared" si="1"/>
        <v>2</v>
      </c>
      <c r="AI31" s="30">
        <f t="shared" si="2"/>
        <v>20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21">
        <f t="shared" ref="AG32" si="4">COUNTIF(C32:AF32,"+")</f>
        <v>6</v>
      </c>
      <c r="AH32" s="23">
        <f t="shared" ref="AH32" si="5">COUNTIF(C32:AF32,"-")</f>
        <v>0</v>
      </c>
      <c r="AI32" s="30">
        <f t="shared" ref="AI32" si="6">SUM(AG32:AH32)</f>
        <v>6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/>
      <c r="X33" s="4"/>
      <c r="Y33" s="4"/>
      <c r="Z33" s="4"/>
      <c r="AA33" s="4"/>
      <c r="AB33" s="6"/>
      <c r="AC33" s="6"/>
      <c r="AD33" s="4"/>
      <c r="AE33" s="4"/>
      <c r="AF33" s="4"/>
      <c r="AG33" s="21">
        <f t="shared" si="0"/>
        <v>0</v>
      </c>
      <c r="AH33" s="23">
        <f t="shared" si="1"/>
        <v>20</v>
      </c>
      <c r="AI33" s="30">
        <f t="shared" si="2"/>
        <v>20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48</v>
      </c>
      <c r="V34" s="4" t="s">
        <v>48</v>
      </c>
      <c r="W34" s="4"/>
      <c r="X34" s="6"/>
      <c r="Y34" s="4"/>
      <c r="Z34" s="6"/>
      <c r="AA34" s="4"/>
      <c r="AB34" s="4"/>
      <c r="AC34" s="4"/>
      <c r="AD34" s="4"/>
      <c r="AE34" s="4"/>
      <c r="AF34" s="4"/>
      <c r="AG34" s="21">
        <f t="shared" si="0"/>
        <v>16</v>
      </c>
      <c r="AH34" s="23">
        <f t="shared" si="1"/>
        <v>4</v>
      </c>
      <c r="AI34" s="30">
        <f t="shared" si="2"/>
        <v>20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 t="s">
        <v>47</v>
      </c>
      <c r="V35" s="4" t="s">
        <v>47</v>
      </c>
      <c r="W35" s="6"/>
      <c r="X35" s="6"/>
      <c r="Y35" s="4"/>
      <c r="Z35" s="4"/>
      <c r="AA35" s="6"/>
      <c r="AB35" s="6"/>
      <c r="AC35" s="4"/>
      <c r="AD35" s="4"/>
      <c r="AE35" s="4"/>
      <c r="AF35" s="4"/>
      <c r="AG35" s="21">
        <f t="shared" si="0"/>
        <v>18</v>
      </c>
      <c r="AH35" s="23">
        <f t="shared" si="1"/>
        <v>2</v>
      </c>
      <c r="AI35" s="30">
        <f t="shared" si="2"/>
        <v>20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 t="s">
        <v>47</v>
      </c>
      <c r="V36" s="4" t="s">
        <v>47</v>
      </c>
      <c r="W36" s="4"/>
      <c r="X36" s="4"/>
      <c r="Y36" s="4"/>
      <c r="Z36" s="4"/>
      <c r="AA36" s="4"/>
      <c r="AB36" s="6"/>
      <c r="AC36" s="6"/>
      <c r="AD36" s="4"/>
      <c r="AE36" s="4"/>
      <c r="AF36" s="4"/>
      <c r="AG36" s="21">
        <f t="shared" si="0"/>
        <v>4</v>
      </c>
      <c r="AH36" s="23">
        <f t="shared" si="1"/>
        <v>16</v>
      </c>
      <c r="AI36" s="30">
        <f>SUM(AG36:AH36)</f>
        <v>20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 t="s">
        <v>48</v>
      </c>
      <c r="V37" s="4" t="s">
        <v>47</v>
      </c>
      <c r="W37" s="4"/>
      <c r="X37" s="4"/>
      <c r="Y37" s="4"/>
      <c r="Z37" s="4"/>
      <c r="AA37" s="4"/>
      <c r="AB37" s="4"/>
      <c r="AC37" s="4"/>
      <c r="AD37" s="4"/>
      <c r="AE37" s="4"/>
      <c r="AF37" s="4"/>
      <c r="AG37" s="21">
        <f t="shared" ref="AG37" si="7">COUNTIF(C37:AF37,"+")</f>
        <v>4</v>
      </c>
      <c r="AH37" s="23">
        <f t="shared" ref="AH37" si="8">COUNTIF(C37:AF37,"-")</f>
        <v>11</v>
      </c>
      <c r="AI37" s="30">
        <f>SUM(AG37:AH37)</f>
        <v>15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/>
      <c r="X38" s="6"/>
      <c r="Y38" s="4"/>
      <c r="Z38" s="4"/>
      <c r="AA38" s="4"/>
      <c r="AB38" s="4"/>
      <c r="AC38" s="4"/>
      <c r="AD38" s="6"/>
      <c r="AE38" s="4"/>
      <c r="AF38" s="4"/>
      <c r="AG38" s="21">
        <f t="shared" ref="AG38:AG61" si="9">COUNTIF(C38:AF38,"+")</f>
        <v>18</v>
      </c>
      <c r="AH38" s="23">
        <f t="shared" ref="AH38:AH61" si="10">COUNTIF(C38:AF38,"-")</f>
        <v>2</v>
      </c>
      <c r="AI38" s="30">
        <f t="shared" si="2"/>
        <v>20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 t="s">
        <v>47</v>
      </c>
      <c r="V39" s="4" t="s">
        <v>47</v>
      </c>
      <c r="W39" s="4"/>
      <c r="X39" s="4"/>
      <c r="Y39" s="4"/>
      <c r="Z39" s="4"/>
      <c r="AA39" s="4"/>
      <c r="AB39" s="6"/>
      <c r="AC39" s="6"/>
      <c r="AD39" s="4"/>
      <c r="AE39" s="6"/>
      <c r="AF39" s="6"/>
      <c r="AG39" s="21">
        <f t="shared" si="9"/>
        <v>20</v>
      </c>
      <c r="AH39" s="23">
        <f t="shared" si="10"/>
        <v>0</v>
      </c>
      <c r="AI39" s="30">
        <f t="shared" si="2"/>
        <v>20</v>
      </c>
    </row>
    <row r="40" spans="1:35" x14ac:dyDescent="0.25">
      <c r="A40" s="15">
        <f t="shared" si="3"/>
        <v>37</v>
      </c>
      <c r="B40" s="16" t="s">
        <v>81</v>
      </c>
      <c r="C40" s="5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47</v>
      </c>
      <c r="I40" s="4" t="s">
        <v>47</v>
      </c>
      <c r="J40" s="6" t="s">
        <v>47</v>
      </c>
      <c r="K40" s="4" t="s">
        <v>47</v>
      </c>
      <c r="L40" s="6" t="s">
        <v>47</v>
      </c>
      <c r="M40" s="4" t="s">
        <v>47</v>
      </c>
      <c r="N40" s="6" t="s">
        <v>47</v>
      </c>
      <c r="O40" s="4" t="s">
        <v>47</v>
      </c>
      <c r="P40" s="4" t="s">
        <v>48</v>
      </c>
      <c r="Q40" s="4" t="s">
        <v>47</v>
      </c>
      <c r="R40" s="4" t="s">
        <v>47</v>
      </c>
      <c r="S40" s="4" t="s">
        <v>47</v>
      </c>
      <c r="T40" s="4" t="s">
        <v>47</v>
      </c>
      <c r="U40" s="4" t="s">
        <v>47</v>
      </c>
      <c r="V40" s="4" t="s">
        <v>48</v>
      </c>
      <c r="W40" s="4"/>
      <c r="X40" s="4"/>
      <c r="Y40" s="4"/>
      <c r="Z40" s="4"/>
      <c r="AA40" s="4"/>
      <c r="AB40" s="4"/>
      <c r="AC40" s="4"/>
      <c r="AD40" s="4"/>
      <c r="AE40" s="4"/>
      <c r="AF40" s="4"/>
      <c r="AG40" s="21">
        <f t="shared" si="9"/>
        <v>16</v>
      </c>
      <c r="AH40" s="23">
        <f t="shared" si="10"/>
        <v>4</v>
      </c>
      <c r="AI40" s="30">
        <f t="shared" si="2"/>
        <v>20</v>
      </c>
    </row>
    <row r="41" spans="1:35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48</v>
      </c>
      <c r="H41" s="4" t="s">
        <v>48</v>
      </c>
      <c r="I41" s="4" t="s">
        <v>48</v>
      </c>
      <c r="J41" s="6" t="s">
        <v>48</v>
      </c>
      <c r="K41" s="6" t="s">
        <v>48</v>
      </c>
      <c r="L41" s="6" t="s">
        <v>48</v>
      </c>
      <c r="M41" s="4" t="s">
        <v>47</v>
      </c>
      <c r="N41" s="6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/>
      <c r="X41" s="6"/>
      <c r="Y41" s="4"/>
      <c r="Z41" s="4"/>
      <c r="AA41" s="4"/>
      <c r="AB41" s="6"/>
      <c r="AC41" s="4"/>
      <c r="AD41" s="4"/>
      <c r="AE41" s="4"/>
      <c r="AF41" s="4"/>
      <c r="AG41" s="21">
        <f t="shared" si="9"/>
        <v>14</v>
      </c>
      <c r="AH41" s="23">
        <f t="shared" si="10"/>
        <v>6</v>
      </c>
      <c r="AI41" s="30">
        <f t="shared" si="2"/>
        <v>20</v>
      </c>
    </row>
    <row r="42" spans="1:35" x14ac:dyDescent="0.25">
      <c r="A42" s="15">
        <f t="shared" si="3"/>
        <v>39</v>
      </c>
      <c r="B42" s="16" t="s">
        <v>25</v>
      </c>
      <c r="C42" s="3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48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47</v>
      </c>
      <c r="W42" s="4"/>
      <c r="X42" s="6"/>
      <c r="Y42" s="4"/>
      <c r="Z42" s="4"/>
      <c r="AA42" s="4"/>
      <c r="AB42" s="4"/>
      <c r="AC42" s="4"/>
      <c r="AD42" s="4"/>
      <c r="AE42" s="6"/>
      <c r="AF42" s="6"/>
      <c r="AG42" s="21">
        <f t="shared" si="9"/>
        <v>17</v>
      </c>
      <c r="AH42" s="23">
        <f t="shared" si="10"/>
        <v>3</v>
      </c>
      <c r="AI42" s="30">
        <f t="shared" si="2"/>
        <v>20</v>
      </c>
    </row>
    <row r="43" spans="1:35" x14ac:dyDescent="0.25">
      <c r="A43" s="15">
        <f t="shared" si="3"/>
        <v>40</v>
      </c>
      <c r="B43" s="16" t="s">
        <v>26</v>
      </c>
      <c r="C43" s="3" t="s">
        <v>47</v>
      </c>
      <c r="D43" s="4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4" t="s">
        <v>47</v>
      </c>
      <c r="N43" s="4" t="s">
        <v>47</v>
      </c>
      <c r="O43" s="4" t="s">
        <v>47</v>
      </c>
      <c r="P43" s="4" t="s">
        <v>47</v>
      </c>
      <c r="Q43" s="4" t="s">
        <v>48</v>
      </c>
      <c r="R43" s="4" t="s">
        <v>47</v>
      </c>
      <c r="S43" s="6" t="s">
        <v>48</v>
      </c>
      <c r="T43" s="4" t="s">
        <v>47</v>
      </c>
      <c r="U43" s="4" t="s">
        <v>47</v>
      </c>
      <c r="V43" s="4" t="s">
        <v>47</v>
      </c>
      <c r="W43" s="4"/>
      <c r="X43" s="6"/>
      <c r="Y43" s="4"/>
      <c r="Z43" s="4"/>
      <c r="AA43" s="4"/>
      <c r="AB43" s="4"/>
      <c r="AC43" s="4"/>
      <c r="AD43" s="4"/>
      <c r="AE43" s="4"/>
      <c r="AF43" s="4"/>
      <c r="AG43" s="21">
        <f t="shared" si="9"/>
        <v>16</v>
      </c>
      <c r="AH43" s="23">
        <f t="shared" si="10"/>
        <v>4</v>
      </c>
      <c r="AI43" s="30">
        <f t="shared" si="2"/>
        <v>20</v>
      </c>
    </row>
    <row r="44" spans="1:35" x14ac:dyDescent="0.25">
      <c r="A44" s="15">
        <f t="shared" si="3"/>
        <v>41</v>
      </c>
      <c r="B44" s="16" t="s">
        <v>29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4" t="s">
        <v>48</v>
      </c>
      <c r="J44" s="6" t="s">
        <v>48</v>
      </c>
      <c r="K44" s="4" t="s">
        <v>47</v>
      </c>
      <c r="L44" s="4" t="s">
        <v>47</v>
      </c>
      <c r="M44" s="6" t="s">
        <v>47</v>
      </c>
      <c r="N44" s="6" t="s">
        <v>47</v>
      </c>
      <c r="O44" s="4" t="s">
        <v>47</v>
      </c>
      <c r="P44" s="6" t="s">
        <v>47</v>
      </c>
      <c r="Q44" s="4" t="s">
        <v>48</v>
      </c>
      <c r="R44" s="4" t="s">
        <v>48</v>
      </c>
      <c r="S44" s="6" t="s">
        <v>48</v>
      </c>
      <c r="T44" s="4" t="s">
        <v>48</v>
      </c>
      <c r="U44" s="4" t="s">
        <v>48</v>
      </c>
      <c r="V44" s="4" t="s">
        <v>48</v>
      </c>
      <c r="W44" s="4"/>
      <c r="X44" s="6"/>
      <c r="Y44" s="4"/>
      <c r="Z44" s="6"/>
      <c r="AA44" s="4"/>
      <c r="AB44" s="4"/>
      <c r="AC44" s="6"/>
      <c r="AD44" s="6"/>
      <c r="AE44" s="6"/>
      <c r="AF44" s="4"/>
      <c r="AG44" s="21">
        <f t="shared" si="9"/>
        <v>12</v>
      </c>
      <c r="AH44" s="23">
        <f t="shared" si="10"/>
        <v>8</v>
      </c>
      <c r="AI44" s="30">
        <f t="shared" si="2"/>
        <v>20</v>
      </c>
    </row>
    <row r="45" spans="1:35" x14ac:dyDescent="0.25">
      <c r="A45" s="15">
        <f t="shared" si="3"/>
        <v>42</v>
      </c>
      <c r="B45" s="16" t="s">
        <v>77</v>
      </c>
      <c r="C45" s="3" t="s">
        <v>48</v>
      </c>
      <c r="D45" s="4" t="s">
        <v>47</v>
      </c>
      <c r="E45" s="4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47</v>
      </c>
      <c r="K45" s="4" t="s">
        <v>47</v>
      </c>
      <c r="L45" s="4" t="s">
        <v>47</v>
      </c>
      <c r="M45" s="4" t="s">
        <v>47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6" t="s">
        <v>48</v>
      </c>
      <c r="T45" s="4" t="s">
        <v>48</v>
      </c>
      <c r="U45" s="4" t="s">
        <v>48</v>
      </c>
      <c r="V45" s="4" t="s">
        <v>47</v>
      </c>
      <c r="W45" s="4"/>
      <c r="X45" s="6"/>
      <c r="Y45" s="4"/>
      <c r="Z45" s="4"/>
      <c r="AA45" s="4"/>
      <c r="AB45" s="4"/>
      <c r="AC45" s="4"/>
      <c r="AD45" s="4"/>
      <c r="AE45" s="4"/>
      <c r="AF45" s="4"/>
      <c r="AG45" s="21">
        <f t="shared" si="9"/>
        <v>11</v>
      </c>
      <c r="AH45" s="23">
        <f t="shared" si="10"/>
        <v>9</v>
      </c>
      <c r="AI45" s="30">
        <f t="shared" si="2"/>
        <v>20</v>
      </c>
    </row>
    <row r="46" spans="1:35" x14ac:dyDescent="0.25">
      <c r="A46" s="15">
        <f t="shared" si="3"/>
        <v>43</v>
      </c>
      <c r="B46" s="16" t="s">
        <v>31</v>
      </c>
      <c r="C46" s="3" t="s">
        <v>48</v>
      </c>
      <c r="D46" s="4" t="s">
        <v>48</v>
      </c>
      <c r="E46" s="4" t="s">
        <v>48</v>
      </c>
      <c r="F46" s="6" t="s">
        <v>48</v>
      </c>
      <c r="G46" s="4" t="s">
        <v>48</v>
      </c>
      <c r="H46" s="4" t="s">
        <v>48</v>
      </c>
      <c r="I46" s="4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4" t="s">
        <v>48</v>
      </c>
      <c r="O46" s="4" t="s">
        <v>48</v>
      </c>
      <c r="P46" s="4" t="s">
        <v>48</v>
      </c>
      <c r="Q46" s="4" t="s">
        <v>48</v>
      </c>
      <c r="R46" s="4" t="s">
        <v>48</v>
      </c>
      <c r="S46" s="6" t="s">
        <v>48</v>
      </c>
      <c r="T46" s="4" t="s">
        <v>48</v>
      </c>
      <c r="U46" s="4" t="s">
        <v>48</v>
      </c>
      <c r="V46" s="4" t="s">
        <v>48</v>
      </c>
      <c r="W46" s="4"/>
      <c r="X46" s="4"/>
      <c r="Y46" s="4"/>
      <c r="Z46" s="4"/>
      <c r="AA46" s="4"/>
      <c r="AB46" s="6"/>
      <c r="AC46" s="6"/>
      <c r="AD46" s="4"/>
      <c r="AE46" s="4"/>
      <c r="AF46" s="4"/>
      <c r="AG46" s="21">
        <f t="shared" si="9"/>
        <v>0</v>
      </c>
      <c r="AH46" s="23">
        <f t="shared" si="10"/>
        <v>20</v>
      </c>
      <c r="AI46" s="30">
        <f t="shared" si="2"/>
        <v>20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4" t="s">
        <v>48</v>
      </c>
      <c r="O47" s="4" t="s">
        <v>48</v>
      </c>
      <c r="P47" s="4" t="s">
        <v>47</v>
      </c>
      <c r="Q47" s="4" t="s">
        <v>48</v>
      </c>
      <c r="R47" s="4" t="s">
        <v>48</v>
      </c>
      <c r="S47" s="6" t="s">
        <v>48</v>
      </c>
      <c r="T47" s="4" t="s">
        <v>48</v>
      </c>
      <c r="U47" s="4" t="s">
        <v>48</v>
      </c>
      <c r="V47" s="4" t="s">
        <v>47</v>
      </c>
      <c r="W47" s="4"/>
      <c r="X47" s="4"/>
      <c r="Y47" s="4"/>
      <c r="Z47" s="4"/>
      <c r="AA47" s="4"/>
      <c r="AB47" s="6"/>
      <c r="AC47" s="6"/>
      <c r="AD47" s="4"/>
      <c r="AE47" s="4"/>
      <c r="AF47" s="4"/>
      <c r="AG47" s="21">
        <f t="shared" si="9"/>
        <v>2</v>
      </c>
      <c r="AH47" s="23">
        <f t="shared" si="10"/>
        <v>18</v>
      </c>
      <c r="AI47" s="30">
        <f t="shared" si="2"/>
        <v>20</v>
      </c>
    </row>
    <row r="48" spans="1:35" x14ac:dyDescent="0.25">
      <c r="A48" s="15">
        <f t="shared" si="3"/>
        <v>45</v>
      </c>
      <c r="B48" s="16" t="s">
        <v>78</v>
      </c>
      <c r="C48" s="5" t="s">
        <v>47</v>
      </c>
      <c r="D48" s="4" t="s">
        <v>48</v>
      </c>
      <c r="E48" s="4" t="s">
        <v>48</v>
      </c>
      <c r="F48" s="6" t="s">
        <v>47</v>
      </c>
      <c r="G48" s="4" t="s">
        <v>47</v>
      </c>
      <c r="H48" s="4" t="s">
        <v>47</v>
      </c>
      <c r="I48" s="4" t="s">
        <v>47</v>
      </c>
      <c r="J48" s="4" t="s">
        <v>47</v>
      </c>
      <c r="K48" s="4" t="s">
        <v>47</v>
      </c>
      <c r="L48" s="4" t="s">
        <v>47</v>
      </c>
      <c r="M48" s="6" t="s">
        <v>48</v>
      </c>
      <c r="N48" s="4" t="s">
        <v>48</v>
      </c>
      <c r="O48" s="4" t="s">
        <v>47</v>
      </c>
      <c r="P48" s="4" t="s">
        <v>47</v>
      </c>
      <c r="Q48" s="4" t="s">
        <v>47</v>
      </c>
      <c r="R48" s="4" t="s">
        <v>47</v>
      </c>
      <c r="S48" s="6" t="s">
        <v>48</v>
      </c>
      <c r="T48" s="4" t="s">
        <v>47</v>
      </c>
      <c r="U48" s="4" t="s">
        <v>47</v>
      </c>
      <c r="V48" s="4" t="s">
        <v>47</v>
      </c>
      <c r="W48" s="4"/>
      <c r="X48" s="6"/>
      <c r="Y48" s="4"/>
      <c r="Z48" s="4"/>
      <c r="AA48" s="4"/>
      <c r="AB48" s="6"/>
      <c r="AC48" s="4"/>
      <c r="AD48" s="4"/>
      <c r="AE48" s="4"/>
      <c r="AF48" s="4"/>
      <c r="AG48" s="21">
        <f t="shared" si="9"/>
        <v>15</v>
      </c>
      <c r="AH48" s="23">
        <f t="shared" si="10"/>
        <v>5</v>
      </c>
      <c r="AI48" s="30">
        <f t="shared" si="2"/>
        <v>20</v>
      </c>
    </row>
    <row r="49" spans="1:35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48</v>
      </c>
      <c r="J49" s="6" t="s">
        <v>48</v>
      </c>
      <c r="K49" s="4" t="s">
        <v>47</v>
      </c>
      <c r="L49" s="4" t="s">
        <v>47</v>
      </c>
      <c r="M49" s="4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/>
      <c r="X49" s="6"/>
      <c r="Y49" s="4"/>
      <c r="Z49" s="4"/>
      <c r="AA49" s="4"/>
      <c r="AB49" s="4"/>
      <c r="AC49" s="6"/>
      <c r="AD49" s="4"/>
      <c r="AE49" s="4"/>
      <c r="AF49" s="4"/>
      <c r="AG49" s="21">
        <f t="shared" si="9"/>
        <v>18</v>
      </c>
      <c r="AH49" s="23">
        <f t="shared" si="10"/>
        <v>2</v>
      </c>
      <c r="AI49" s="30">
        <f t="shared" si="2"/>
        <v>20</v>
      </c>
    </row>
    <row r="50" spans="1:35" x14ac:dyDescent="0.25">
      <c r="A50" s="15">
        <f t="shared" si="3"/>
        <v>47</v>
      </c>
      <c r="B50" s="16" t="s">
        <v>32</v>
      </c>
      <c r="C50" s="3" t="s">
        <v>48</v>
      </c>
      <c r="D50" s="6" t="s">
        <v>47</v>
      </c>
      <c r="E50" s="6" t="s">
        <v>47</v>
      </c>
      <c r="F50" s="6" t="s">
        <v>47</v>
      </c>
      <c r="G50" s="4" t="s">
        <v>47</v>
      </c>
      <c r="H50" s="4" t="s">
        <v>47</v>
      </c>
      <c r="I50" s="4" t="s">
        <v>48</v>
      </c>
      <c r="J50" s="6" t="s">
        <v>48</v>
      </c>
      <c r="K50" s="4" t="s">
        <v>47</v>
      </c>
      <c r="L50" s="4" t="s">
        <v>47</v>
      </c>
      <c r="M50" s="4" t="s">
        <v>47</v>
      </c>
      <c r="N50" s="6" t="s">
        <v>47</v>
      </c>
      <c r="O50" s="4" t="s">
        <v>47</v>
      </c>
      <c r="P50" s="4" t="s">
        <v>48</v>
      </c>
      <c r="Q50" s="4" t="s">
        <v>48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47</v>
      </c>
      <c r="W50" s="4"/>
      <c r="X50" s="6"/>
      <c r="Y50" s="4"/>
      <c r="Z50" s="4"/>
      <c r="AA50" s="4"/>
      <c r="AB50" s="4"/>
      <c r="AC50" s="4"/>
      <c r="AD50" s="4"/>
      <c r="AE50" s="4"/>
      <c r="AF50" s="4"/>
      <c r="AG50" s="21">
        <f t="shared" si="9"/>
        <v>15</v>
      </c>
      <c r="AH50" s="23">
        <f t="shared" si="10"/>
        <v>5</v>
      </c>
      <c r="AI50" s="30">
        <f t="shared" si="2"/>
        <v>20</v>
      </c>
    </row>
    <row r="51" spans="1:35" x14ac:dyDescent="0.25">
      <c r="A51" s="15">
        <f t="shared" si="3"/>
        <v>48</v>
      </c>
      <c r="B51" s="16" t="s">
        <v>33</v>
      </c>
      <c r="C51" s="3" t="s">
        <v>48</v>
      </c>
      <c r="D51" s="4" t="s">
        <v>47</v>
      </c>
      <c r="E51" s="4" t="s">
        <v>48</v>
      </c>
      <c r="F51" s="6" t="s">
        <v>48</v>
      </c>
      <c r="G51" s="4" t="s">
        <v>47</v>
      </c>
      <c r="H51" s="4" t="s">
        <v>47</v>
      </c>
      <c r="I51" s="4" t="s">
        <v>47</v>
      </c>
      <c r="J51" s="4" t="s">
        <v>47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48</v>
      </c>
      <c r="Q51" s="4" t="s">
        <v>48</v>
      </c>
      <c r="R51" s="4" t="s">
        <v>48</v>
      </c>
      <c r="S51" s="4" t="s">
        <v>47</v>
      </c>
      <c r="T51" s="4" t="s">
        <v>47</v>
      </c>
      <c r="U51" s="4" t="s">
        <v>47</v>
      </c>
      <c r="V51" s="4" t="s">
        <v>47</v>
      </c>
      <c r="W51" s="4"/>
      <c r="X51" s="4"/>
      <c r="Y51" s="4"/>
      <c r="Z51" s="4"/>
      <c r="AA51" s="4"/>
      <c r="AB51" s="6"/>
      <c r="AC51" s="6"/>
      <c r="AD51" s="4"/>
      <c r="AE51" s="4"/>
      <c r="AF51" s="4"/>
      <c r="AG51" s="21">
        <f t="shared" si="9"/>
        <v>14</v>
      </c>
      <c r="AH51" s="23">
        <f t="shared" si="10"/>
        <v>6</v>
      </c>
      <c r="AI51" s="30">
        <f>SUM(AG51:AH51)</f>
        <v>20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4" t="s">
        <v>48</v>
      </c>
      <c r="E52" s="4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4" t="s">
        <v>48</v>
      </c>
      <c r="S52" s="6" t="s">
        <v>48</v>
      </c>
      <c r="T52" s="4" t="s">
        <v>48</v>
      </c>
      <c r="U52" s="4" t="s">
        <v>48</v>
      </c>
      <c r="V52" s="4" t="s">
        <v>48</v>
      </c>
      <c r="W52" s="4"/>
      <c r="X52" s="4"/>
      <c r="Y52" s="4"/>
      <c r="Z52" s="4"/>
      <c r="AA52" s="4"/>
      <c r="AB52" s="4"/>
      <c r="AC52" s="4"/>
      <c r="AD52" s="4"/>
      <c r="AE52" s="4"/>
      <c r="AF52" s="4"/>
      <c r="AG52" s="21">
        <f t="shared" si="9"/>
        <v>0</v>
      </c>
      <c r="AH52" s="23">
        <f t="shared" si="10"/>
        <v>20</v>
      </c>
      <c r="AI52" s="30">
        <f>SUM(AG52:AH52)</f>
        <v>20</v>
      </c>
    </row>
    <row r="53" spans="1:35" x14ac:dyDescent="0.25">
      <c r="A53" s="15">
        <f t="shared" si="3"/>
        <v>50</v>
      </c>
      <c r="B53" s="16" t="s">
        <v>72</v>
      </c>
      <c r="C53" s="3" t="s">
        <v>47</v>
      </c>
      <c r="D53" s="4" t="s">
        <v>47</v>
      </c>
      <c r="E53" s="4" t="s">
        <v>47</v>
      </c>
      <c r="F53" s="6" t="s">
        <v>48</v>
      </c>
      <c r="G53" s="4" t="s">
        <v>48</v>
      </c>
      <c r="H53" s="4" t="s">
        <v>47</v>
      </c>
      <c r="I53" s="4" t="s">
        <v>47</v>
      </c>
      <c r="J53" s="6" t="s">
        <v>47</v>
      </c>
      <c r="K53" s="4" t="s">
        <v>47</v>
      </c>
      <c r="L53" s="6" t="s">
        <v>47</v>
      </c>
      <c r="M53" s="4" t="s">
        <v>47</v>
      </c>
      <c r="N53" s="4" t="s">
        <v>48</v>
      </c>
      <c r="O53" s="4" t="s">
        <v>47</v>
      </c>
      <c r="P53" s="4" t="s">
        <v>47</v>
      </c>
      <c r="Q53" s="6" t="s">
        <v>47</v>
      </c>
      <c r="R53" s="4" t="s">
        <v>47</v>
      </c>
      <c r="S53" s="4" t="s">
        <v>47</v>
      </c>
      <c r="T53" s="4" t="s">
        <v>47</v>
      </c>
      <c r="U53" s="4" t="s">
        <v>48</v>
      </c>
      <c r="V53" s="4" t="s">
        <v>48</v>
      </c>
      <c r="W53" s="4"/>
      <c r="X53" s="6"/>
      <c r="Y53" s="6"/>
      <c r="Z53" s="4"/>
      <c r="AA53" s="4"/>
      <c r="AB53" s="6"/>
      <c r="AC53" s="4"/>
      <c r="AD53" s="4"/>
      <c r="AE53" s="4"/>
      <c r="AF53" s="4"/>
      <c r="AG53" s="21">
        <f t="shared" si="9"/>
        <v>15</v>
      </c>
      <c r="AH53" s="23">
        <f t="shared" si="10"/>
        <v>5</v>
      </c>
      <c r="AI53" s="30">
        <f t="shared" ref="AI53:AI61" si="11">SUM(AG53:AH53)</f>
        <v>20</v>
      </c>
    </row>
    <row r="54" spans="1:35" x14ac:dyDescent="0.25">
      <c r="A54" s="15">
        <f t="shared" si="3"/>
        <v>51</v>
      </c>
      <c r="B54" s="16" t="s">
        <v>34</v>
      </c>
      <c r="C54" s="3" t="s">
        <v>47</v>
      </c>
      <c r="D54" s="4" t="s">
        <v>47</v>
      </c>
      <c r="E54" s="6" t="s">
        <v>47</v>
      </c>
      <c r="F54" s="6" t="s">
        <v>47</v>
      </c>
      <c r="G54" s="4" t="s">
        <v>47</v>
      </c>
      <c r="H54" s="4" t="s">
        <v>47</v>
      </c>
      <c r="I54" s="4" t="s">
        <v>48</v>
      </c>
      <c r="J54" s="6" t="s">
        <v>48</v>
      </c>
      <c r="K54" s="4" t="s">
        <v>47</v>
      </c>
      <c r="L54" s="4" t="s">
        <v>47</v>
      </c>
      <c r="M54" s="4" t="s">
        <v>47</v>
      </c>
      <c r="N54" s="6" t="s">
        <v>47</v>
      </c>
      <c r="O54" s="4" t="s">
        <v>47</v>
      </c>
      <c r="P54" s="4" t="s">
        <v>47</v>
      </c>
      <c r="Q54" s="4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47</v>
      </c>
      <c r="W54" s="4"/>
      <c r="X54" s="6"/>
      <c r="Y54" s="4"/>
      <c r="Z54" s="4"/>
      <c r="AA54" s="4"/>
      <c r="AB54" s="4"/>
      <c r="AC54" s="4"/>
      <c r="AD54" s="4"/>
      <c r="AE54" s="4"/>
      <c r="AF54" s="4"/>
      <c r="AG54" s="21">
        <f t="shared" si="9"/>
        <v>18</v>
      </c>
      <c r="AH54" s="23">
        <f t="shared" si="10"/>
        <v>2</v>
      </c>
      <c r="AI54" s="30">
        <f t="shared" si="11"/>
        <v>20</v>
      </c>
    </row>
    <row r="55" spans="1:35" x14ac:dyDescent="0.25">
      <c r="A55" s="15">
        <f t="shared" si="3"/>
        <v>52</v>
      </c>
      <c r="B55" s="16" t="s">
        <v>76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4" t="s">
        <v>47</v>
      </c>
      <c r="O55" s="4" t="s">
        <v>47</v>
      </c>
      <c r="P55" s="4" t="s">
        <v>48</v>
      </c>
      <c r="Q55" s="4" t="s">
        <v>48</v>
      </c>
      <c r="R55" s="4" t="s">
        <v>47</v>
      </c>
      <c r="S55" s="4" t="s">
        <v>47</v>
      </c>
      <c r="T55" s="4" t="s">
        <v>47</v>
      </c>
      <c r="U55" s="4" t="s">
        <v>47</v>
      </c>
      <c r="V55" s="4" t="s">
        <v>47</v>
      </c>
      <c r="W55" s="4"/>
      <c r="X55" s="4"/>
      <c r="Y55" s="4"/>
      <c r="Z55" s="4"/>
      <c r="AA55" s="4"/>
      <c r="AB55" s="4"/>
      <c r="AC55" s="4"/>
      <c r="AD55" s="4"/>
      <c r="AE55" s="4"/>
      <c r="AF55" s="4"/>
      <c r="AG55" s="21">
        <f t="shared" si="9"/>
        <v>18</v>
      </c>
      <c r="AH55" s="23">
        <f t="shared" si="10"/>
        <v>2</v>
      </c>
      <c r="AI55" s="30">
        <f t="shared" si="11"/>
        <v>20</v>
      </c>
    </row>
    <row r="56" spans="1:35" x14ac:dyDescent="0.25">
      <c r="A56" s="15">
        <f t="shared" si="3"/>
        <v>53</v>
      </c>
      <c r="B56" s="16" t="s">
        <v>74</v>
      </c>
      <c r="C56" s="3" t="s">
        <v>48</v>
      </c>
      <c r="D56" s="4" t="s">
        <v>48</v>
      </c>
      <c r="E56" s="4" t="s">
        <v>48</v>
      </c>
      <c r="F56" s="6" t="s">
        <v>48</v>
      </c>
      <c r="G56" s="4" t="s">
        <v>48</v>
      </c>
      <c r="H56" s="4" t="s">
        <v>48</v>
      </c>
      <c r="I56" s="4" t="s">
        <v>48</v>
      </c>
      <c r="J56" s="6" t="s">
        <v>48</v>
      </c>
      <c r="K56" s="6" t="s">
        <v>48</v>
      </c>
      <c r="L56" s="6" t="s">
        <v>48</v>
      </c>
      <c r="M56" s="6" t="s">
        <v>48</v>
      </c>
      <c r="N56" s="4" t="s">
        <v>48</v>
      </c>
      <c r="O56" s="4" t="s">
        <v>48</v>
      </c>
      <c r="P56" s="4" t="s">
        <v>48</v>
      </c>
      <c r="Q56" s="4" t="s">
        <v>48</v>
      </c>
      <c r="R56" s="4" t="s">
        <v>48</v>
      </c>
      <c r="S56" s="6" t="s">
        <v>48</v>
      </c>
      <c r="T56" s="4" t="s">
        <v>48</v>
      </c>
      <c r="U56" s="4" t="s">
        <v>48</v>
      </c>
      <c r="V56" s="4" t="s">
        <v>48</v>
      </c>
      <c r="W56" s="4"/>
      <c r="X56" s="4"/>
      <c r="Y56" s="4"/>
      <c r="Z56" s="4"/>
      <c r="AA56" s="4"/>
      <c r="AB56" s="6"/>
      <c r="AC56" s="6"/>
      <c r="AD56" s="4"/>
      <c r="AE56" s="4"/>
      <c r="AF56" s="4"/>
      <c r="AG56" s="21">
        <f t="shared" si="9"/>
        <v>0</v>
      </c>
      <c r="AH56" s="23">
        <f t="shared" si="10"/>
        <v>20</v>
      </c>
      <c r="AI56" s="30">
        <f t="shared" si="11"/>
        <v>20</v>
      </c>
    </row>
    <row r="57" spans="1:35" x14ac:dyDescent="0.25">
      <c r="A57" s="15">
        <f t="shared" si="3"/>
        <v>54</v>
      </c>
      <c r="B57" s="16" t="s">
        <v>43</v>
      </c>
      <c r="C57" s="3" t="s">
        <v>48</v>
      </c>
      <c r="D57" s="4" t="s">
        <v>48</v>
      </c>
      <c r="E57" s="4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6" t="s">
        <v>48</v>
      </c>
      <c r="L57" s="6" t="s">
        <v>48</v>
      </c>
      <c r="M57" s="6" t="s">
        <v>48</v>
      </c>
      <c r="N57" s="4" t="s">
        <v>48</v>
      </c>
      <c r="O57" s="4" t="s">
        <v>48</v>
      </c>
      <c r="P57" s="4" t="s">
        <v>48</v>
      </c>
      <c r="Q57" s="4" t="s">
        <v>48</v>
      </c>
      <c r="R57" s="4" t="s">
        <v>48</v>
      </c>
      <c r="S57" s="6" t="s">
        <v>48</v>
      </c>
      <c r="T57" s="4" t="s">
        <v>48</v>
      </c>
      <c r="U57" s="4" t="s">
        <v>48</v>
      </c>
      <c r="V57" s="4" t="s">
        <v>48</v>
      </c>
      <c r="W57" s="4"/>
      <c r="X57" s="6"/>
      <c r="Y57" s="5"/>
      <c r="Z57" s="4"/>
      <c r="AA57" s="6"/>
      <c r="AB57" s="5"/>
      <c r="AC57" s="4"/>
      <c r="AD57" s="6"/>
      <c r="AE57" s="5"/>
      <c r="AF57" s="4"/>
      <c r="AG57" s="21">
        <f t="shared" si="9"/>
        <v>0</v>
      </c>
      <c r="AH57" s="23">
        <f t="shared" si="10"/>
        <v>20</v>
      </c>
      <c r="AI57" s="30">
        <f t="shared" si="11"/>
        <v>20</v>
      </c>
    </row>
    <row r="58" spans="1:35" x14ac:dyDescent="0.25">
      <c r="A58" s="15">
        <f t="shared" si="3"/>
        <v>55</v>
      </c>
      <c r="B58" s="16" t="s">
        <v>35</v>
      </c>
      <c r="C58" s="3" t="s">
        <v>48</v>
      </c>
      <c r="D58" s="6" t="s">
        <v>47</v>
      </c>
      <c r="E58" s="4" t="s">
        <v>48</v>
      </c>
      <c r="F58" s="6" t="s">
        <v>47</v>
      </c>
      <c r="G58" s="4" t="s">
        <v>47</v>
      </c>
      <c r="H58" s="4" t="s">
        <v>47</v>
      </c>
      <c r="I58" s="4" t="s">
        <v>47</v>
      </c>
      <c r="J58" s="6" t="s">
        <v>47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48</v>
      </c>
      <c r="V58" s="4" t="s">
        <v>48</v>
      </c>
      <c r="W58" s="4"/>
      <c r="X58" s="6"/>
      <c r="Y58" s="4"/>
      <c r="Z58" s="4"/>
      <c r="AA58" s="4"/>
      <c r="AB58" s="4"/>
      <c r="AC58" s="4"/>
      <c r="AD58" s="4"/>
      <c r="AE58" s="4"/>
      <c r="AF58" s="4"/>
      <c r="AG58" s="21">
        <f t="shared" si="9"/>
        <v>11</v>
      </c>
      <c r="AH58" s="23">
        <f t="shared" si="10"/>
        <v>9</v>
      </c>
      <c r="AI58" s="30">
        <f t="shared" si="11"/>
        <v>20</v>
      </c>
    </row>
    <row r="59" spans="1:35" x14ac:dyDescent="0.25">
      <c r="A59" s="15">
        <f t="shared" si="3"/>
        <v>56</v>
      </c>
      <c r="B59" s="16" t="s">
        <v>36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47</v>
      </c>
      <c r="V59" s="4" t="s">
        <v>47</v>
      </c>
      <c r="W59" s="4"/>
      <c r="X59" s="4"/>
      <c r="Y59" s="4"/>
      <c r="Z59" s="4"/>
      <c r="AA59" s="4"/>
      <c r="AB59" s="6"/>
      <c r="AC59" s="6"/>
      <c r="AD59" s="4"/>
      <c r="AE59" s="4"/>
      <c r="AF59" s="4"/>
      <c r="AG59" s="21">
        <f t="shared" si="9"/>
        <v>6</v>
      </c>
      <c r="AH59" s="23">
        <f t="shared" si="10"/>
        <v>14</v>
      </c>
      <c r="AI59" s="30">
        <f t="shared" si="11"/>
        <v>20</v>
      </c>
    </row>
    <row r="60" spans="1:35" x14ac:dyDescent="0.25">
      <c r="A60" s="15">
        <f t="shared" si="3"/>
        <v>57</v>
      </c>
      <c r="B60" s="33" t="s">
        <v>62</v>
      </c>
      <c r="C60" s="3" t="s">
        <v>48</v>
      </c>
      <c r="D60" s="4" t="s">
        <v>47</v>
      </c>
      <c r="E60" s="4" t="s">
        <v>47</v>
      </c>
      <c r="F60" s="6" t="s">
        <v>47</v>
      </c>
      <c r="G60" s="4" t="s">
        <v>47</v>
      </c>
      <c r="H60" s="4" t="s">
        <v>47</v>
      </c>
      <c r="I60" s="4" t="s">
        <v>48</v>
      </c>
      <c r="J60" s="6" t="s">
        <v>48</v>
      </c>
      <c r="K60" s="4" t="s">
        <v>47</v>
      </c>
      <c r="L60" s="6" t="s">
        <v>47</v>
      </c>
      <c r="M60" s="4" t="s">
        <v>47</v>
      </c>
      <c r="N60" s="4" t="s">
        <v>47</v>
      </c>
      <c r="O60" s="4" t="s">
        <v>47</v>
      </c>
      <c r="P60" s="4" t="s">
        <v>48</v>
      </c>
      <c r="Q60" s="4" t="s">
        <v>47</v>
      </c>
      <c r="R60" s="4" t="s">
        <v>47</v>
      </c>
      <c r="S60" s="4" t="s">
        <v>47</v>
      </c>
      <c r="T60" s="4" t="s">
        <v>47</v>
      </c>
      <c r="U60" s="4" t="s">
        <v>47</v>
      </c>
      <c r="V60" s="4" t="s">
        <v>47</v>
      </c>
      <c r="W60" s="4"/>
      <c r="X60" s="6"/>
      <c r="Y60" s="4"/>
      <c r="Z60" s="4"/>
      <c r="AA60" s="4"/>
      <c r="AB60" s="4"/>
      <c r="AC60" s="4"/>
      <c r="AD60" s="4"/>
      <c r="AE60" s="6"/>
      <c r="AF60" s="6"/>
      <c r="AG60" s="21">
        <f t="shared" si="9"/>
        <v>16</v>
      </c>
      <c r="AH60" s="23">
        <f t="shared" si="10"/>
        <v>4</v>
      </c>
      <c r="AI60" s="30">
        <f t="shared" si="11"/>
        <v>20</v>
      </c>
    </row>
    <row r="61" spans="1:35" ht="16.3" thickBot="1" x14ac:dyDescent="0.3">
      <c r="A61" s="35">
        <f t="shared" si="3"/>
        <v>58</v>
      </c>
      <c r="B61" s="19" t="s">
        <v>37</v>
      </c>
      <c r="C61" s="3" t="s">
        <v>47</v>
      </c>
      <c r="D61" s="6" t="s">
        <v>47</v>
      </c>
      <c r="E61" s="6" t="s">
        <v>47</v>
      </c>
      <c r="F61" s="6" t="s">
        <v>47</v>
      </c>
      <c r="G61" s="4" t="s">
        <v>47</v>
      </c>
      <c r="H61" s="4" t="s">
        <v>47</v>
      </c>
      <c r="I61" s="4" t="s">
        <v>47</v>
      </c>
      <c r="J61" s="4" t="s">
        <v>47</v>
      </c>
      <c r="K61" s="4" t="s">
        <v>47</v>
      </c>
      <c r="L61" s="6" t="s">
        <v>47</v>
      </c>
      <c r="M61" s="6" t="s">
        <v>47</v>
      </c>
      <c r="N61" s="6" t="s">
        <v>47</v>
      </c>
      <c r="O61" s="4" t="s">
        <v>47</v>
      </c>
      <c r="P61" s="4" t="s">
        <v>48</v>
      </c>
      <c r="Q61" s="4" t="s">
        <v>48</v>
      </c>
      <c r="R61" s="4" t="s">
        <v>47</v>
      </c>
      <c r="S61" s="6" t="s">
        <v>47</v>
      </c>
      <c r="T61" s="4" t="s">
        <v>47</v>
      </c>
      <c r="U61" s="4" t="s">
        <v>47</v>
      </c>
      <c r="V61" s="4" t="s">
        <v>47</v>
      </c>
      <c r="W61" s="4"/>
      <c r="X61" s="6"/>
      <c r="Y61" s="4"/>
      <c r="Z61" s="4"/>
      <c r="AA61" s="4"/>
      <c r="AB61" s="4"/>
      <c r="AC61" s="4"/>
      <c r="AD61" s="4"/>
      <c r="AE61" s="4"/>
      <c r="AF61" s="4"/>
      <c r="AG61" s="22">
        <f t="shared" si="9"/>
        <v>18</v>
      </c>
      <c r="AH61" s="24">
        <f t="shared" si="10"/>
        <v>2</v>
      </c>
      <c r="AI61" s="31">
        <f t="shared" si="11"/>
        <v>20</v>
      </c>
    </row>
    <row r="62" spans="1:35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8"/>
      <c r="AH62" s="38"/>
      <c r="AI62" s="39"/>
    </row>
    <row r="63" spans="1:35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</sheetData>
  <autoFilter ref="C2:AF63"/>
  <mergeCells count="2">
    <mergeCell ref="A1:AI1"/>
    <mergeCell ref="A63:AI63"/>
  </mergeCells>
  <conditionalFormatting sqref="AE10:AE12 AF11:AF12 C13:AF13 C11:E12 C14:E14 C17:E17 C22:E22 C26:E26 C30:E30 C34:T34 C33:E33 C38:AF39 C36:E37 C40:E40 C49:AF49 C46:E47 C51:E53 C56:E57 C60:O61 C59:E59 G10:G12 C18:F18 C41:F41 G46:L47 C48:L48 H11:M12 M46:M48 C23:AF25 C45:M45 N10:O12 G36:O37 G53:T53 C58:S58 C35:O35 C42:P44 G51:O52 C50:O50 G59:O59 N45:P47 P59:AF61 Q42:AF42 P11:S12 C15:AF16 G17:S18 C20:T21 G26:AF26 C31:AF32 G33:S33 Q43:R47 S43:AF43 P50:AF51 C54:AF55 W11:AD12 G14:S14 C19:S19 G22:S22 C29:S29 U29:AF29 N48:AF48 S44:S47 P52:S52 G56:S57 C4:AF8 U10:U12 P35:AF37 C9:U9 W9:AF9 V9:V12 U14:AF14 U17:AF22 C27:AF28 G30:AF30 U33:AF34 G40:AF41 U44:AF47 U52:AF53 U56:AF58">
    <cfRule type="containsBlanks" dxfId="1" priority="2">
      <formula>LEN(TRIM(C4))=0</formula>
    </cfRule>
  </conditionalFormatting>
  <conditionalFormatting sqref="C10:F10 AF10 F11:F12 F14 F17 F22 F26 F30 F33 F36:F37 F40 F46:F47 F51:F53 F56:F57 F59 H10:M10 P10:T10 T11:T12 T14 T17:T19 T22 T29 T33 T44:T47 T52 T56:T58 W10:AD10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2019-09-20T06:24:43Z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