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2019'!$C$2:$AD$66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8" i="5" l="1"/>
  <c r="AF38" i="5"/>
  <c r="AG38" i="5" s="1"/>
  <c r="AF55" i="5" l="1"/>
  <c r="AE55" i="5"/>
  <c r="AG55" i="5" s="1"/>
  <c r="AF65" i="5" l="1"/>
  <c r="AE65" i="5"/>
  <c r="AF64" i="5"/>
  <c r="AE64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6" i="5"/>
  <c r="AG57" i="5"/>
  <c r="AG58" i="5"/>
  <c r="AG59" i="5"/>
  <c r="AG60" i="5"/>
  <c r="AG61" i="5"/>
  <c r="AG62" i="5"/>
  <c r="AG63" i="5"/>
  <c r="AG64" i="5"/>
  <c r="AG65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9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<sst xmlns="http://schemas.openxmlformats.org/spreadsheetml/2006/main" count="2875" uniqueCount="68">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</sst>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Q4" sqref="Q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10</v>
      </c>
      <c r="AF4" s="25">
        <f t="shared" ref="AF4:AF35" si="1">COUNTIF(C4:AD4,"-")</f>
        <v>4</v>
      </c>
      <c r="AG4" s="29">
        <f t="shared" ref="AG4:AG56" si="2">SUM(AE4:AF4)</f>
        <v>14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7">
        <f t="shared" si="0"/>
        <v>11</v>
      </c>
      <c r="AF5" s="25">
        <f t="shared" si="1"/>
        <v>3</v>
      </c>
      <c r="AG5" s="29">
        <f t="shared" si="2"/>
        <v>14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7">
        <f t="shared" si="0"/>
        <v>8</v>
      </c>
      <c r="AF6" s="25">
        <f t="shared" si="1"/>
        <v>6</v>
      </c>
      <c r="AG6" s="29">
        <f t="shared" si="2"/>
        <v>14</v>
      </c>
    </row>
    <row r="7" spans="1:35" x14ac:dyDescent="0.25">
      <c r="A7" s="15">
        <f t="shared" ref="A7:A65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21">
        <f t="shared" si="0"/>
        <v>10</v>
      </c>
      <c r="AF7" s="23">
        <f t="shared" si="1"/>
        <v>4</v>
      </c>
      <c r="AG7" s="30">
        <f t="shared" si="2"/>
        <v>14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6"/>
      <c r="U8" s="6"/>
      <c r="V8" s="6"/>
      <c r="W8" s="4"/>
      <c r="X8" s="6"/>
      <c r="Y8" s="6"/>
      <c r="Z8" s="6"/>
      <c r="AA8" s="6"/>
      <c r="AB8" s="6"/>
      <c r="AC8" s="6"/>
      <c r="AD8" s="6"/>
      <c r="AE8" s="21">
        <f t="shared" si="0"/>
        <v>11</v>
      </c>
      <c r="AF8" s="23">
        <f t="shared" si="1"/>
        <v>6</v>
      </c>
      <c r="AG8" s="30">
        <f t="shared" si="2"/>
        <v>17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21">
        <f t="shared" si="0"/>
        <v>10</v>
      </c>
      <c r="AF9" s="23">
        <f t="shared" si="1"/>
        <v>5</v>
      </c>
      <c r="AG9" s="30">
        <f t="shared" si="2"/>
        <v>15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/>
      <c r="R10" s="6" t="s">
        <v>48</v>
      </c>
      <c r="S10" s="6" t="s">
        <v>48</v>
      </c>
      <c r="T10" s="6"/>
      <c r="U10" s="6"/>
      <c r="V10" s="6"/>
      <c r="W10" s="6"/>
      <c r="X10" s="6"/>
      <c r="Y10" s="4"/>
      <c r="Z10" s="4"/>
      <c r="AA10" s="6"/>
      <c r="AB10" s="6"/>
      <c r="AC10" s="6"/>
      <c r="AD10" s="6"/>
      <c r="AE10" s="21">
        <f t="shared" si="0"/>
        <v>8</v>
      </c>
      <c r="AF10" s="23">
        <f t="shared" si="1"/>
        <v>8</v>
      </c>
      <c r="AG10" s="30">
        <f t="shared" si="2"/>
        <v>16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21">
        <f t="shared" si="0"/>
        <v>12</v>
      </c>
      <c r="AF11" s="23">
        <f t="shared" si="1"/>
        <v>2</v>
      </c>
      <c r="AG11" s="30">
        <f t="shared" si="2"/>
        <v>14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4"/>
      <c r="R12" s="6"/>
      <c r="S12" s="4"/>
      <c r="T12" s="6"/>
      <c r="U12" s="6"/>
      <c r="V12" s="6"/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14</v>
      </c>
      <c r="AG12" s="30">
        <f t="shared" si="2"/>
        <v>14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4"/>
      <c r="R13" s="6"/>
      <c r="S13" s="4"/>
      <c r="T13" s="6"/>
      <c r="U13" s="6"/>
      <c r="V13" s="6"/>
      <c r="W13" s="4"/>
      <c r="X13" s="6"/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14</v>
      </c>
      <c r="AG13" s="30">
        <f t="shared" si="2"/>
        <v>14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/>
      <c r="S14" s="6"/>
      <c r="T14" s="6"/>
      <c r="U14" s="6"/>
      <c r="V14" s="6"/>
      <c r="W14" s="6"/>
      <c r="X14" s="6"/>
      <c r="Y14" s="4"/>
      <c r="Z14" s="6"/>
      <c r="AA14" s="6"/>
      <c r="AB14" s="6"/>
      <c r="AC14" s="6"/>
      <c r="AD14" s="6"/>
      <c r="AE14" s="21">
        <f t="shared" si="0"/>
        <v>8</v>
      </c>
      <c r="AF14" s="23">
        <f t="shared" si="1"/>
        <v>7</v>
      </c>
      <c r="AG14" s="30">
        <f t="shared" si="2"/>
        <v>15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21">
        <f t="shared" si="0"/>
        <v>11</v>
      </c>
      <c r="AF15" s="23">
        <f t="shared" si="1"/>
        <v>3</v>
      </c>
      <c r="AG15" s="30">
        <f t="shared" si="2"/>
        <v>14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/>
      <c r="R16" s="6" t="s">
        <v>48</v>
      </c>
      <c r="S16" s="6" t="s">
        <v>48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21">
        <f t="shared" si="0"/>
        <v>12</v>
      </c>
      <c r="AF16" s="23">
        <f t="shared" si="1"/>
        <v>4</v>
      </c>
      <c r="AG16" s="30">
        <f t="shared" si="2"/>
        <v>16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/>
      <c r="R17" s="6"/>
      <c r="S17" s="6" t="s">
        <v>48</v>
      </c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21">
        <f t="shared" si="0"/>
        <v>13</v>
      </c>
      <c r="AF17" s="23">
        <f t="shared" si="1"/>
        <v>2</v>
      </c>
      <c r="AG17" s="30">
        <f t="shared" si="2"/>
        <v>15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/>
      <c r="R18" s="4"/>
      <c r="S18" s="6"/>
      <c r="T18" s="6" t="s">
        <v>48</v>
      </c>
      <c r="U18" s="6"/>
      <c r="V18" s="6"/>
      <c r="W18" s="6"/>
      <c r="X18" s="6"/>
      <c r="Y18" s="6"/>
      <c r="Z18" s="6"/>
      <c r="AA18" s="6"/>
      <c r="AB18" s="6"/>
      <c r="AC18" s="6"/>
      <c r="AD18" s="4"/>
      <c r="AE18" s="21">
        <f t="shared" si="0"/>
        <v>11</v>
      </c>
      <c r="AF18" s="23">
        <f t="shared" si="1"/>
        <v>4</v>
      </c>
      <c r="AG18" s="30">
        <f t="shared" si="2"/>
        <v>15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/>
      <c r="R19" s="6" t="s">
        <v>48</v>
      </c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21">
        <f t="shared" si="0"/>
        <v>12</v>
      </c>
      <c r="AF19" s="23">
        <f t="shared" si="1"/>
        <v>3</v>
      </c>
      <c r="AG19" s="30">
        <f t="shared" si="2"/>
        <v>15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21">
        <f t="shared" si="0"/>
        <v>13</v>
      </c>
      <c r="AF20" s="23">
        <f t="shared" si="1"/>
        <v>1</v>
      </c>
      <c r="AG20" s="30">
        <f t="shared" si="2"/>
        <v>14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/>
      <c r="R21" s="6"/>
      <c r="S21" s="4"/>
      <c r="T21" s="6"/>
      <c r="U21" s="6"/>
      <c r="V21" s="6"/>
      <c r="W21" s="4"/>
      <c r="X21" s="6"/>
      <c r="Y21" s="6"/>
      <c r="Z21" s="6"/>
      <c r="AA21" s="6"/>
      <c r="AB21" s="6"/>
      <c r="AC21" s="6"/>
      <c r="AD21" s="6"/>
      <c r="AE21" s="21">
        <f t="shared" si="0"/>
        <v>13</v>
      </c>
      <c r="AF21" s="23">
        <f t="shared" si="1"/>
        <v>1</v>
      </c>
      <c r="AG21" s="30">
        <f t="shared" si="2"/>
        <v>14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/>
      <c r="R22" s="6"/>
      <c r="S22" s="6" t="s">
        <v>48</v>
      </c>
      <c r="T22" s="6" t="s">
        <v>48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21">
        <f t="shared" si="0"/>
        <v>9</v>
      </c>
      <c r="AF22" s="23">
        <f t="shared" si="1"/>
        <v>7</v>
      </c>
      <c r="AG22" s="30">
        <f t="shared" si="2"/>
        <v>16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/>
      <c r="R23" s="6" t="s">
        <v>48</v>
      </c>
      <c r="S23" s="6" t="s">
        <v>48</v>
      </c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21">
        <f t="shared" si="0"/>
        <v>9</v>
      </c>
      <c r="AF23" s="23">
        <f t="shared" si="1"/>
        <v>7</v>
      </c>
      <c r="AG23" s="30">
        <f t="shared" si="2"/>
        <v>16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4"/>
      <c r="R24" s="6"/>
      <c r="S24" s="4"/>
      <c r="T24" s="6"/>
      <c r="U24" s="6"/>
      <c r="V24" s="6"/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14</v>
      </c>
      <c r="AG24" s="30">
        <f t="shared" si="2"/>
        <v>14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/>
      <c r="R25" s="4" t="s">
        <v>48</v>
      </c>
      <c r="S25" s="6"/>
      <c r="T25" s="6"/>
      <c r="U25" s="6"/>
      <c r="V25" s="6"/>
      <c r="W25" s="4"/>
      <c r="X25" s="6"/>
      <c r="Y25" s="6"/>
      <c r="Z25" s="6"/>
      <c r="AA25" s="6"/>
      <c r="AB25" s="6"/>
      <c r="AC25" s="6"/>
      <c r="AD25" s="6"/>
      <c r="AE25" s="21">
        <f t="shared" si="0"/>
        <v>14</v>
      </c>
      <c r="AF25" s="23">
        <f t="shared" si="1"/>
        <v>1</v>
      </c>
      <c r="AG25" s="30">
        <f t="shared" si="2"/>
        <v>15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/>
      <c r="R26" s="6"/>
      <c r="S26" s="6" t="s">
        <v>48</v>
      </c>
      <c r="T26" s="6" t="s">
        <v>48</v>
      </c>
      <c r="U26" s="6"/>
      <c r="V26" s="6"/>
      <c r="W26" s="6"/>
      <c r="X26" s="6"/>
      <c r="Y26" s="6"/>
      <c r="Z26" s="4"/>
      <c r="AA26" s="6"/>
      <c r="AB26" s="6"/>
      <c r="AC26" s="6"/>
      <c r="AD26" s="4"/>
      <c r="AE26" s="21">
        <f t="shared" si="0"/>
        <v>9</v>
      </c>
      <c r="AF26" s="23">
        <f t="shared" si="1"/>
        <v>7</v>
      </c>
      <c r="AG26" s="30">
        <f t="shared" ref="AG26" si="4">SUM(AE26:AF26)</f>
        <v>16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4"/>
      <c r="R27" s="6"/>
      <c r="S27" s="4"/>
      <c r="T27" s="6"/>
      <c r="U27" s="6"/>
      <c r="V27" s="6"/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14</v>
      </c>
      <c r="AG27" s="30">
        <f t="shared" si="2"/>
        <v>14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/>
      <c r="R28" s="6" t="s">
        <v>48</v>
      </c>
      <c r="S28" s="6" t="s">
        <v>48</v>
      </c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21">
        <f t="shared" si="0"/>
        <v>9</v>
      </c>
      <c r="AF28" s="23">
        <f t="shared" si="1"/>
        <v>7</v>
      </c>
      <c r="AG28" s="30">
        <f t="shared" si="2"/>
        <v>16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/>
      <c r="R29" s="6" t="s">
        <v>48</v>
      </c>
      <c r="S29" s="6" t="s">
        <v>48</v>
      </c>
      <c r="T29" s="6"/>
      <c r="U29" s="6"/>
      <c r="V29" s="6"/>
      <c r="W29" s="6"/>
      <c r="X29" s="6"/>
      <c r="Y29" s="6"/>
      <c r="Z29" s="6"/>
      <c r="AA29" s="6"/>
      <c r="AB29" s="6"/>
      <c r="AC29" s="6"/>
      <c r="AD29" s="4"/>
      <c r="AE29" s="21">
        <f t="shared" si="0"/>
        <v>9</v>
      </c>
      <c r="AF29" s="23">
        <f t="shared" si="1"/>
        <v>7</v>
      </c>
      <c r="AG29" s="30">
        <f t="shared" si="2"/>
        <v>16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/>
      <c r="R30" s="6" t="s">
        <v>48</v>
      </c>
      <c r="S30" s="6" t="s">
        <v>48</v>
      </c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21">
        <f t="shared" si="0"/>
        <v>14</v>
      </c>
      <c r="AF30" s="23">
        <f t="shared" si="1"/>
        <v>2</v>
      </c>
      <c r="AG30" s="30">
        <f t="shared" si="2"/>
        <v>16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/>
      <c r="R31" s="6" t="s">
        <v>48</v>
      </c>
      <c r="S31" s="6" t="s">
        <v>48</v>
      </c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21">
        <f t="shared" si="0"/>
        <v>10</v>
      </c>
      <c r="AF31" s="23">
        <f t="shared" si="1"/>
        <v>6</v>
      </c>
      <c r="AG31" s="30">
        <f t="shared" si="2"/>
        <v>16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4" t="s">
        <v>48</v>
      </c>
      <c r="O32" s="6" t="s">
        <v>48</v>
      </c>
      <c r="P32" s="4" t="s">
        <v>48</v>
      </c>
      <c r="Q32" s="4"/>
      <c r="R32" s="6"/>
      <c r="S32" s="4"/>
      <c r="T32" s="6"/>
      <c r="U32" s="6"/>
      <c r="V32" s="6"/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14</v>
      </c>
      <c r="AG32" s="30">
        <f t="shared" ref="AG32" si="5">SUM(AE32:AF32)</f>
        <v>14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/>
      <c r="R33" s="6" t="s">
        <v>48</v>
      </c>
      <c r="S33" s="6"/>
      <c r="T33" s="6"/>
      <c r="U33" s="6"/>
      <c r="V33" s="6"/>
      <c r="W33" s="6"/>
      <c r="X33" s="6"/>
      <c r="Y33" s="4"/>
      <c r="Z33" s="6"/>
      <c r="AA33" s="6"/>
      <c r="AB33" s="6"/>
      <c r="AC33" s="6"/>
      <c r="AD33" s="6"/>
      <c r="AE33" s="21">
        <f t="shared" si="0"/>
        <v>8</v>
      </c>
      <c r="AF33" s="23">
        <f t="shared" si="1"/>
        <v>7</v>
      </c>
      <c r="AG33" s="30">
        <f t="shared" si="2"/>
        <v>15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/>
      <c r="R34" s="6"/>
      <c r="S34" s="6" t="s">
        <v>48</v>
      </c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21">
        <f t="shared" si="0"/>
        <v>11</v>
      </c>
      <c r="AF34" s="23">
        <f t="shared" si="1"/>
        <v>4</v>
      </c>
      <c r="AG34" s="30">
        <f t="shared" si="2"/>
        <v>15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47</v>
      </c>
      <c r="K35" s="6" t="s">
        <v>47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21">
        <f t="shared" si="0"/>
        <v>14</v>
      </c>
      <c r="AF35" s="23">
        <f t="shared" si="1"/>
        <v>0</v>
      </c>
      <c r="AG35" s="30">
        <f t="shared" si="2"/>
        <v>14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47</v>
      </c>
      <c r="Q36" s="6"/>
      <c r="R36" s="6"/>
      <c r="S36" s="4" t="s">
        <v>48</v>
      </c>
      <c r="T36" s="6" t="s">
        <v>48</v>
      </c>
      <c r="U36" s="6"/>
      <c r="V36" s="6"/>
      <c r="W36" s="4"/>
      <c r="X36" s="6"/>
      <c r="Y36" s="4"/>
      <c r="Z36" s="6"/>
      <c r="AA36" s="6"/>
      <c r="AB36" s="6"/>
      <c r="AC36" s="6"/>
      <c r="AD36" s="6"/>
      <c r="AE36" s="21">
        <f t="shared" ref="AE36:AE65" si="6">COUNTIF(C36:AD36,"+")</f>
        <v>9</v>
      </c>
      <c r="AF36" s="23">
        <f t="shared" ref="AF36:AF65" si="7">COUNTIF(C36:AD36,"-")</f>
        <v>7</v>
      </c>
      <c r="AG36" s="30">
        <f t="shared" ref="AG36" si="8">SUM(AE36:AF36)</f>
        <v>16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4" t="s">
        <v>48</v>
      </c>
      <c r="O37" s="6" t="s">
        <v>48</v>
      </c>
      <c r="P37" s="4" t="s">
        <v>48</v>
      </c>
      <c r="Q37" s="4"/>
      <c r="R37" s="6"/>
      <c r="S37" s="6"/>
      <c r="T37" s="6"/>
      <c r="U37" s="6"/>
      <c r="V37" s="6"/>
      <c r="W37" s="6"/>
      <c r="X37" s="6"/>
      <c r="Y37" s="4"/>
      <c r="Z37" s="6"/>
      <c r="AA37" s="6"/>
      <c r="AB37" s="6"/>
      <c r="AC37" s="6"/>
      <c r="AD37" s="6"/>
      <c r="AE37" s="21">
        <f t="shared" si="6"/>
        <v>0</v>
      </c>
      <c r="AF37" s="23">
        <f t="shared" si="7"/>
        <v>14</v>
      </c>
      <c r="AG37" s="30">
        <f t="shared" si="2"/>
        <v>14</v>
      </c>
    </row>
    <row r="38" spans="1:33" x14ac:dyDescent="0.25">
      <c r="A38" s="15">
        <f t="shared" si="3"/>
        <v>35</v>
      </c>
      <c r="B38" s="17" t="s">
        <v>67</v>
      </c>
      <c r="C38" s="5"/>
      <c r="D38" s="6"/>
      <c r="E38" s="6"/>
      <c r="F38" s="6"/>
      <c r="G38" s="6"/>
      <c r="H38" s="6"/>
      <c r="I38" s="4"/>
      <c r="J38" s="6"/>
      <c r="K38" s="6"/>
      <c r="L38" s="6"/>
      <c r="M38" s="6"/>
      <c r="N38" s="4"/>
      <c r="O38" s="6"/>
      <c r="P38" s="6" t="s">
        <v>47</v>
      </c>
      <c r="Q38" s="4"/>
      <c r="R38" s="6"/>
      <c r="S38" s="6"/>
      <c r="T38" s="6"/>
      <c r="U38" s="6"/>
      <c r="V38" s="6"/>
      <c r="W38" s="6"/>
      <c r="X38" s="6"/>
      <c r="Y38" s="4"/>
      <c r="Z38" s="4"/>
      <c r="AA38" s="6"/>
      <c r="AB38" s="6"/>
      <c r="AC38" s="6"/>
      <c r="AD38" s="6"/>
      <c r="AE38" s="21">
        <f t="shared" ref="AE38" si="9">COUNTIF(C38:AD38,"+")</f>
        <v>1</v>
      </c>
      <c r="AF38" s="23">
        <f t="shared" ref="AF38" si="10">COUNTIF(C38:AD38,"-")</f>
        <v>0</v>
      </c>
      <c r="AG38" s="30">
        <f t="shared" ref="AG38" si="11">SUM(AE38:AF38)</f>
        <v>1</v>
      </c>
    </row>
    <row r="39" spans="1:33" x14ac:dyDescent="0.25">
      <c r="A39" s="15">
        <f t="shared" si="3"/>
        <v>36</v>
      </c>
      <c r="B39" s="17" t="s">
        <v>19</v>
      </c>
      <c r="C39" s="5" t="s">
        <v>47</v>
      </c>
      <c r="D39" s="6" t="s">
        <v>47</v>
      </c>
      <c r="E39" s="6" t="s">
        <v>47</v>
      </c>
      <c r="F39" s="6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6" t="s">
        <v>47</v>
      </c>
      <c r="Q39" s="6"/>
      <c r="R39" s="6"/>
      <c r="S39" s="6" t="s">
        <v>48</v>
      </c>
      <c r="T39" s="6"/>
      <c r="U39" s="6"/>
      <c r="V39" s="6"/>
      <c r="W39" s="6"/>
      <c r="X39" s="6"/>
      <c r="Y39" s="6"/>
      <c r="Z39" s="4"/>
      <c r="AA39" s="6"/>
      <c r="AB39" s="6"/>
      <c r="AC39" s="6"/>
      <c r="AD39" s="6"/>
      <c r="AE39" s="21">
        <f t="shared" si="6"/>
        <v>11</v>
      </c>
      <c r="AF39" s="23">
        <f t="shared" si="7"/>
        <v>4</v>
      </c>
      <c r="AG39" s="30">
        <f t="shared" si="2"/>
        <v>15</v>
      </c>
    </row>
    <row r="40" spans="1:33" x14ac:dyDescent="0.25">
      <c r="A40" s="15">
        <f t="shared" si="3"/>
        <v>37</v>
      </c>
      <c r="B40" s="17" t="s">
        <v>20</v>
      </c>
      <c r="C40" s="5" t="s">
        <v>47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48</v>
      </c>
      <c r="L40" s="6" t="s">
        <v>48</v>
      </c>
      <c r="M40" s="6" t="s">
        <v>47</v>
      </c>
      <c r="N40" s="6" t="s">
        <v>47</v>
      </c>
      <c r="O40" s="6" t="s">
        <v>47</v>
      </c>
      <c r="P40" s="6" t="s">
        <v>47</v>
      </c>
      <c r="Q40" s="6"/>
      <c r="R40" s="6" t="s">
        <v>48</v>
      </c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21">
        <f t="shared" si="6"/>
        <v>11</v>
      </c>
      <c r="AF40" s="23">
        <f t="shared" si="7"/>
        <v>4</v>
      </c>
      <c r="AG40" s="30">
        <f t="shared" si="2"/>
        <v>15</v>
      </c>
    </row>
    <row r="41" spans="1:33" x14ac:dyDescent="0.25">
      <c r="A41" s="15">
        <f t="shared" si="3"/>
        <v>38</v>
      </c>
      <c r="B41" s="17" t="s">
        <v>21</v>
      </c>
      <c r="C41" s="3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/>
      <c r="R41" s="6"/>
      <c r="S41" s="6"/>
      <c r="T41" s="6" t="s">
        <v>48</v>
      </c>
      <c r="U41" s="6"/>
      <c r="V41" s="6"/>
      <c r="W41" s="6"/>
      <c r="X41" s="6"/>
      <c r="Y41" s="6"/>
      <c r="Z41" s="6"/>
      <c r="AA41" s="6"/>
      <c r="AB41" s="6"/>
      <c r="AC41" s="6"/>
      <c r="AD41" s="4"/>
      <c r="AE41" s="21">
        <f t="shared" si="6"/>
        <v>9</v>
      </c>
      <c r="AF41" s="23">
        <f t="shared" si="7"/>
        <v>6</v>
      </c>
      <c r="AG41" s="30">
        <f t="shared" si="2"/>
        <v>15</v>
      </c>
    </row>
    <row r="42" spans="1:33" x14ac:dyDescent="0.25">
      <c r="A42" s="15">
        <f t="shared" si="3"/>
        <v>39</v>
      </c>
      <c r="B42" s="16" t="s">
        <v>22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 t="s">
        <v>48</v>
      </c>
      <c r="K42" s="6" t="s">
        <v>48</v>
      </c>
      <c r="L42" s="6" t="s">
        <v>48</v>
      </c>
      <c r="M42" s="6" t="s">
        <v>48</v>
      </c>
      <c r="N42" s="4" t="s">
        <v>48</v>
      </c>
      <c r="O42" s="6" t="s">
        <v>48</v>
      </c>
      <c r="P42" s="4" t="s">
        <v>48</v>
      </c>
      <c r="Q42" s="6"/>
      <c r="R42" s="6" t="s">
        <v>48</v>
      </c>
      <c r="S42" s="6" t="s">
        <v>48</v>
      </c>
      <c r="T42" s="6" t="s">
        <v>48</v>
      </c>
      <c r="U42" s="6"/>
      <c r="V42" s="6"/>
      <c r="W42" s="6"/>
      <c r="X42" s="6"/>
      <c r="Y42" s="6"/>
      <c r="Z42" s="6"/>
      <c r="AA42" s="6"/>
      <c r="AB42" s="6"/>
      <c r="AC42" s="6"/>
      <c r="AD42" s="6"/>
      <c r="AE42" s="21">
        <f t="shared" si="6"/>
        <v>0</v>
      </c>
      <c r="AF42" s="23">
        <f t="shared" si="7"/>
        <v>17</v>
      </c>
      <c r="AG42" s="30">
        <f t="shared" si="2"/>
        <v>17</v>
      </c>
    </row>
    <row r="43" spans="1:33" x14ac:dyDescent="0.25">
      <c r="A43" s="15">
        <f t="shared" si="3"/>
        <v>40</v>
      </c>
      <c r="B43" s="18" t="s">
        <v>23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4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4"/>
      <c r="AE43" s="21">
        <f t="shared" si="6"/>
        <v>0</v>
      </c>
      <c r="AF43" s="23">
        <f t="shared" si="7"/>
        <v>14</v>
      </c>
      <c r="AG43" s="30">
        <f t="shared" si="2"/>
        <v>14</v>
      </c>
    </row>
    <row r="44" spans="1:33" x14ac:dyDescent="0.25">
      <c r="A44" s="15">
        <f t="shared" si="3"/>
        <v>41</v>
      </c>
      <c r="B44" s="16" t="s">
        <v>41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6" t="s">
        <v>48</v>
      </c>
      <c r="J44" s="6" t="s">
        <v>48</v>
      </c>
      <c r="K44" s="6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6" t="s">
        <v>48</v>
      </c>
      <c r="S44" s="6" t="s">
        <v>48</v>
      </c>
      <c r="T44" s="6"/>
      <c r="U44" s="6"/>
      <c r="V44" s="6"/>
      <c r="W44" s="6"/>
      <c r="X44" s="6"/>
      <c r="Y44" s="4"/>
      <c r="Z44" s="6"/>
      <c r="AA44" s="6"/>
      <c r="AB44" s="6"/>
      <c r="AC44" s="6"/>
      <c r="AD44" s="6"/>
      <c r="AE44" s="21">
        <f t="shared" si="6"/>
        <v>0</v>
      </c>
      <c r="AF44" s="23">
        <f t="shared" si="7"/>
        <v>17</v>
      </c>
      <c r="AG44" s="30">
        <f t="shared" si="2"/>
        <v>17</v>
      </c>
    </row>
    <row r="45" spans="1:33" x14ac:dyDescent="0.25">
      <c r="A45" s="15">
        <f t="shared" si="3"/>
        <v>42</v>
      </c>
      <c r="B45" s="16" t="s">
        <v>54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6" t="s">
        <v>47</v>
      </c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4"/>
      <c r="AE45" s="21">
        <f t="shared" si="6"/>
        <v>14</v>
      </c>
      <c r="AF45" s="23">
        <f t="shared" si="7"/>
        <v>0</v>
      </c>
      <c r="AG45" s="30">
        <f t="shared" si="2"/>
        <v>14</v>
      </c>
    </row>
    <row r="46" spans="1:33" x14ac:dyDescent="0.25">
      <c r="A46" s="15">
        <f t="shared" si="3"/>
        <v>43</v>
      </c>
      <c r="B46" s="16" t="s">
        <v>38</v>
      </c>
      <c r="C46" s="5" t="s">
        <v>47</v>
      </c>
      <c r="D46" s="6" t="s">
        <v>47</v>
      </c>
      <c r="E46" s="6" t="s">
        <v>47</v>
      </c>
      <c r="F46" s="6" t="s">
        <v>48</v>
      </c>
      <c r="G46" s="6" t="s">
        <v>48</v>
      </c>
      <c r="H46" s="6" t="s">
        <v>48</v>
      </c>
      <c r="I46" s="6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6" t="s">
        <v>47</v>
      </c>
      <c r="O46" s="6" t="s">
        <v>47</v>
      </c>
      <c r="P46" s="6" t="s">
        <v>47</v>
      </c>
      <c r="Q46" s="6"/>
      <c r="R46" s="6"/>
      <c r="S46" s="6" t="s">
        <v>48</v>
      </c>
      <c r="T46" s="6" t="s">
        <v>48</v>
      </c>
      <c r="U46" s="6"/>
      <c r="V46" s="6"/>
      <c r="W46" s="6"/>
      <c r="X46" s="6"/>
      <c r="Y46" s="6"/>
      <c r="Z46" s="6"/>
      <c r="AA46" s="6"/>
      <c r="AB46" s="6"/>
      <c r="AC46" s="6"/>
      <c r="AD46" s="6"/>
      <c r="AE46" s="21">
        <f t="shared" si="6"/>
        <v>6</v>
      </c>
      <c r="AF46" s="23">
        <f t="shared" si="7"/>
        <v>10</v>
      </c>
      <c r="AG46" s="30">
        <f t="shared" si="2"/>
        <v>16</v>
      </c>
    </row>
    <row r="47" spans="1:33" x14ac:dyDescent="0.25">
      <c r="A47" s="15">
        <f t="shared" si="3"/>
        <v>44</v>
      </c>
      <c r="B47" s="16" t="s">
        <v>24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6" t="s">
        <v>48</v>
      </c>
      <c r="L47" s="6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21">
        <f t="shared" si="6"/>
        <v>12</v>
      </c>
      <c r="AF47" s="23">
        <f t="shared" si="7"/>
        <v>2</v>
      </c>
      <c r="AG47" s="30">
        <f t="shared" si="2"/>
        <v>14</v>
      </c>
    </row>
    <row r="48" spans="1:33" x14ac:dyDescent="0.25">
      <c r="A48" s="15">
        <f t="shared" si="3"/>
        <v>45</v>
      </c>
      <c r="B48" s="16" t="s">
        <v>25</v>
      </c>
      <c r="C48" s="5" t="s">
        <v>47</v>
      </c>
      <c r="D48" s="6" t="s">
        <v>47</v>
      </c>
      <c r="E48" s="6" t="s">
        <v>48</v>
      </c>
      <c r="F48" s="6" t="s">
        <v>48</v>
      </c>
      <c r="G48" s="6" t="s">
        <v>47</v>
      </c>
      <c r="H48" s="4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48</v>
      </c>
      <c r="R48" s="6" t="s">
        <v>48</v>
      </c>
      <c r="S48" s="6" t="s">
        <v>48</v>
      </c>
      <c r="T48" s="6" t="s">
        <v>48</v>
      </c>
      <c r="U48" s="6"/>
      <c r="V48" s="6"/>
      <c r="W48" s="6"/>
      <c r="X48" s="6"/>
      <c r="Y48" s="6"/>
      <c r="Z48" s="6"/>
      <c r="AA48" s="6"/>
      <c r="AB48" s="6"/>
      <c r="AC48" s="6"/>
      <c r="AD48" s="6"/>
      <c r="AE48" s="21">
        <f t="shared" si="6"/>
        <v>12</v>
      </c>
      <c r="AF48" s="23">
        <f t="shared" si="7"/>
        <v>6</v>
      </c>
      <c r="AG48" s="30">
        <f t="shared" si="2"/>
        <v>18</v>
      </c>
    </row>
    <row r="49" spans="1:33" x14ac:dyDescent="0.25">
      <c r="A49" s="15">
        <f t="shared" si="3"/>
        <v>46</v>
      </c>
      <c r="B49" s="16" t="s">
        <v>26</v>
      </c>
      <c r="C49" s="5" t="s">
        <v>47</v>
      </c>
      <c r="D49" s="6" t="s">
        <v>48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48</v>
      </c>
      <c r="L49" s="6" t="s">
        <v>47</v>
      </c>
      <c r="M49" s="6" t="s">
        <v>47</v>
      </c>
      <c r="N49" s="6" t="s">
        <v>47</v>
      </c>
      <c r="O49" s="6" t="s">
        <v>48</v>
      </c>
      <c r="P49" s="6" t="s">
        <v>47</v>
      </c>
      <c r="Q49" s="6"/>
      <c r="R49" s="6" t="s">
        <v>48</v>
      </c>
      <c r="S49" s="6" t="s">
        <v>48</v>
      </c>
      <c r="T49" s="6"/>
      <c r="U49" s="6"/>
      <c r="V49" s="6"/>
      <c r="W49" s="6"/>
      <c r="X49" s="6"/>
      <c r="Y49" s="4"/>
      <c r="Z49" s="6"/>
      <c r="AA49" s="6"/>
      <c r="AB49" s="6"/>
      <c r="AC49" s="6"/>
      <c r="AD49" s="6"/>
      <c r="AE49" s="21">
        <f t="shared" si="6"/>
        <v>11</v>
      </c>
      <c r="AF49" s="23">
        <f t="shared" si="7"/>
        <v>5</v>
      </c>
      <c r="AG49" s="30">
        <f t="shared" si="2"/>
        <v>16</v>
      </c>
    </row>
    <row r="50" spans="1:33" x14ac:dyDescent="0.25">
      <c r="A50" s="15">
        <f t="shared" si="3"/>
        <v>47</v>
      </c>
      <c r="B50" s="16" t="s">
        <v>27</v>
      </c>
      <c r="C50" s="3" t="s">
        <v>48</v>
      </c>
      <c r="D50" s="6" t="s">
        <v>48</v>
      </c>
      <c r="E50" s="6" t="s">
        <v>48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47</v>
      </c>
      <c r="P50" s="4" t="s">
        <v>48</v>
      </c>
      <c r="Q50" s="6"/>
      <c r="R50" s="6"/>
      <c r="S50" s="6"/>
      <c r="T50" s="6"/>
      <c r="U50" s="6"/>
      <c r="V50" s="6"/>
      <c r="W50" s="6"/>
      <c r="X50" s="6"/>
      <c r="Y50" s="4"/>
      <c r="Z50" s="6"/>
      <c r="AA50" s="6"/>
      <c r="AB50" s="6"/>
      <c r="AC50" s="6"/>
      <c r="AD50" s="6"/>
      <c r="AE50" s="21">
        <f t="shared" si="6"/>
        <v>9</v>
      </c>
      <c r="AF50" s="23">
        <f t="shared" si="7"/>
        <v>5</v>
      </c>
      <c r="AG50" s="30">
        <f t="shared" si="2"/>
        <v>14</v>
      </c>
    </row>
    <row r="51" spans="1:33" x14ac:dyDescent="0.25">
      <c r="A51" s="15">
        <f t="shared" si="3"/>
        <v>48</v>
      </c>
      <c r="B51" s="16" t="s">
        <v>28</v>
      </c>
      <c r="C51" s="5" t="s">
        <v>47</v>
      </c>
      <c r="D51" s="6" t="s">
        <v>47</v>
      </c>
      <c r="E51" s="6" t="s">
        <v>48</v>
      </c>
      <c r="F51" s="6" t="s">
        <v>48</v>
      </c>
      <c r="G51" s="6" t="s">
        <v>48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47</v>
      </c>
      <c r="M51" s="6" t="s">
        <v>47</v>
      </c>
      <c r="N51" s="4" t="s">
        <v>48</v>
      </c>
      <c r="O51" s="6" t="s">
        <v>48</v>
      </c>
      <c r="P51" s="4" t="s">
        <v>48</v>
      </c>
      <c r="Q51" s="6" t="s">
        <v>48</v>
      </c>
      <c r="R51" s="6" t="s">
        <v>48</v>
      </c>
      <c r="S51" s="6" t="s">
        <v>48</v>
      </c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21">
        <f t="shared" si="6"/>
        <v>8</v>
      </c>
      <c r="AF51" s="23">
        <f t="shared" si="7"/>
        <v>9</v>
      </c>
      <c r="AG51" s="30">
        <f t="shared" si="2"/>
        <v>17</v>
      </c>
    </row>
    <row r="52" spans="1:33" x14ac:dyDescent="0.25">
      <c r="A52" s="15">
        <f t="shared" si="3"/>
        <v>49</v>
      </c>
      <c r="B52" s="16" t="s">
        <v>29</v>
      </c>
      <c r="C52" s="5" t="s">
        <v>47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6" t="s">
        <v>47</v>
      </c>
      <c r="Q52" s="6"/>
      <c r="R52" s="6" t="s">
        <v>48</v>
      </c>
      <c r="S52" s="6" t="s">
        <v>48</v>
      </c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21">
        <f t="shared" si="6"/>
        <v>12</v>
      </c>
      <c r="AF52" s="23">
        <f t="shared" si="7"/>
        <v>4</v>
      </c>
      <c r="AG52" s="30">
        <f t="shared" si="2"/>
        <v>16</v>
      </c>
    </row>
    <row r="53" spans="1:33" x14ac:dyDescent="0.25">
      <c r="A53" s="15">
        <f t="shared" si="3"/>
        <v>50</v>
      </c>
      <c r="B53" s="16" t="s">
        <v>30</v>
      </c>
      <c r="C53" s="3" t="s">
        <v>48</v>
      </c>
      <c r="D53" s="6" t="s">
        <v>48</v>
      </c>
      <c r="E53" s="6" t="s">
        <v>48</v>
      </c>
      <c r="F53" s="6" t="s">
        <v>48</v>
      </c>
      <c r="G53" s="6" t="s">
        <v>48</v>
      </c>
      <c r="H53" s="6" t="s">
        <v>48</v>
      </c>
      <c r="I53" s="4" t="s">
        <v>48</v>
      </c>
      <c r="J53" s="6" t="s">
        <v>48</v>
      </c>
      <c r="K53" s="4" t="s">
        <v>48</v>
      </c>
      <c r="L53" s="6" t="s">
        <v>48</v>
      </c>
      <c r="M53" s="6" t="s">
        <v>48</v>
      </c>
      <c r="N53" s="4" t="s">
        <v>48</v>
      </c>
      <c r="O53" s="6" t="s">
        <v>48</v>
      </c>
      <c r="P53" s="4" t="s">
        <v>48</v>
      </c>
      <c r="Q53" s="4"/>
      <c r="R53" s="6"/>
      <c r="S53" s="4"/>
      <c r="T53" s="6"/>
      <c r="U53" s="6"/>
      <c r="V53" s="6"/>
      <c r="W53" s="4"/>
      <c r="X53" s="6"/>
      <c r="Y53" s="4"/>
      <c r="Z53" s="4"/>
      <c r="AA53" s="6"/>
      <c r="AB53" s="6"/>
      <c r="AC53" s="6"/>
      <c r="AD53" s="4"/>
      <c r="AE53" s="21">
        <f t="shared" si="6"/>
        <v>0</v>
      </c>
      <c r="AF53" s="23">
        <f t="shared" si="7"/>
        <v>14</v>
      </c>
      <c r="AG53" s="30">
        <f t="shared" si="2"/>
        <v>14</v>
      </c>
    </row>
    <row r="54" spans="1:33" x14ac:dyDescent="0.25">
      <c r="A54" s="15">
        <f t="shared" si="3"/>
        <v>51</v>
      </c>
      <c r="B54" s="16" t="s">
        <v>31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48</v>
      </c>
      <c r="H54" s="6" t="s">
        <v>47</v>
      </c>
      <c r="I54" s="6" t="s">
        <v>47</v>
      </c>
      <c r="J54" s="6" t="s">
        <v>47</v>
      </c>
      <c r="K54" s="6" t="s">
        <v>47</v>
      </c>
      <c r="L54" s="6" t="s">
        <v>47</v>
      </c>
      <c r="M54" s="6" t="s">
        <v>47</v>
      </c>
      <c r="N54" s="6" t="s">
        <v>47</v>
      </c>
      <c r="O54" s="6" t="s">
        <v>47</v>
      </c>
      <c r="P54" s="4" t="s">
        <v>48</v>
      </c>
      <c r="Q54" s="4"/>
      <c r="R54" s="6"/>
      <c r="S54" s="6" t="s">
        <v>48</v>
      </c>
      <c r="T54" s="6"/>
      <c r="U54" s="6"/>
      <c r="V54" s="6"/>
      <c r="W54" s="6"/>
      <c r="X54" s="6"/>
      <c r="Y54" s="4"/>
      <c r="Z54" s="4"/>
      <c r="AA54" s="6"/>
      <c r="AB54" s="6"/>
      <c r="AC54" s="6"/>
      <c r="AD54" s="6"/>
      <c r="AE54" s="21">
        <f t="shared" si="6"/>
        <v>12</v>
      </c>
      <c r="AF54" s="23">
        <f t="shared" si="7"/>
        <v>3</v>
      </c>
      <c r="AG54" s="30">
        <f t="shared" si="2"/>
        <v>15</v>
      </c>
    </row>
    <row r="55" spans="1:33" x14ac:dyDescent="0.25">
      <c r="A55" s="15">
        <f t="shared" si="3"/>
        <v>52</v>
      </c>
      <c r="B55" s="16" t="s">
        <v>66</v>
      </c>
      <c r="C55" s="3"/>
      <c r="D55" s="6" t="s">
        <v>47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 t="s">
        <v>48</v>
      </c>
      <c r="K55" s="6" t="s">
        <v>47</v>
      </c>
      <c r="L55" s="6" t="s">
        <v>47</v>
      </c>
      <c r="M55" s="6" t="s">
        <v>48</v>
      </c>
      <c r="N55" s="4" t="s">
        <v>48</v>
      </c>
      <c r="O55" s="6" t="s">
        <v>48</v>
      </c>
      <c r="P55" s="4" t="s">
        <v>48</v>
      </c>
      <c r="Q55" s="4"/>
      <c r="R55" s="4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4"/>
      <c r="AE55" s="21">
        <f t="shared" ref="AE55" si="12">COUNTIF(C55:AD55,"+")</f>
        <v>3</v>
      </c>
      <c r="AF55" s="23">
        <f t="shared" ref="AF55" si="13">COUNTIF(C55:AD55,"-")</f>
        <v>10</v>
      </c>
      <c r="AG55" s="30">
        <f t="shared" ref="AG55" si="14">SUM(AE55:AF55)</f>
        <v>13</v>
      </c>
    </row>
    <row r="56" spans="1:33" x14ac:dyDescent="0.25">
      <c r="A56" s="15">
        <f t="shared" si="3"/>
        <v>53</v>
      </c>
      <c r="B56" s="16" t="s">
        <v>32</v>
      </c>
      <c r="C56" s="3" t="s">
        <v>48</v>
      </c>
      <c r="D56" s="6" t="s">
        <v>48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47</v>
      </c>
      <c r="K56" s="4" t="s">
        <v>48</v>
      </c>
      <c r="L56" s="6" t="s">
        <v>48</v>
      </c>
      <c r="M56" s="6" t="s">
        <v>48</v>
      </c>
      <c r="N56" s="4" t="s">
        <v>48</v>
      </c>
      <c r="O56" s="6" t="s">
        <v>48</v>
      </c>
      <c r="P56" s="4" t="s">
        <v>48</v>
      </c>
      <c r="Q56" s="6"/>
      <c r="R56" s="4"/>
      <c r="S56" s="6"/>
      <c r="T56" s="6"/>
      <c r="U56" s="6"/>
      <c r="V56" s="6"/>
      <c r="W56" s="6"/>
      <c r="X56" s="6"/>
      <c r="Y56" s="4"/>
      <c r="Z56" s="4"/>
      <c r="AA56" s="6"/>
      <c r="AB56" s="6"/>
      <c r="AC56" s="6"/>
      <c r="AD56" s="4"/>
      <c r="AE56" s="21">
        <f t="shared" si="6"/>
        <v>1</v>
      </c>
      <c r="AF56" s="23">
        <f t="shared" si="7"/>
        <v>13</v>
      </c>
      <c r="AG56" s="30">
        <f t="shared" si="2"/>
        <v>14</v>
      </c>
    </row>
    <row r="57" spans="1:33" x14ac:dyDescent="0.25">
      <c r="A57" s="15">
        <f t="shared" si="3"/>
        <v>54</v>
      </c>
      <c r="B57" s="16" t="s">
        <v>33</v>
      </c>
      <c r="C57" s="5" t="s">
        <v>47</v>
      </c>
      <c r="D57" s="6" t="s">
        <v>48</v>
      </c>
      <c r="E57" s="5" t="s">
        <v>48</v>
      </c>
      <c r="F57" s="5" t="s">
        <v>47</v>
      </c>
      <c r="G57" s="5" t="s">
        <v>47</v>
      </c>
      <c r="H57" s="5" t="s">
        <v>47</v>
      </c>
      <c r="I57" s="5" t="s">
        <v>47</v>
      </c>
      <c r="J57" s="5" t="s">
        <v>47</v>
      </c>
      <c r="K57" s="5" t="s">
        <v>48</v>
      </c>
      <c r="L57" s="5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5"/>
      <c r="R57" s="5" t="s">
        <v>48</v>
      </c>
      <c r="S57" s="5"/>
      <c r="T57" s="5"/>
      <c r="U57" s="5"/>
      <c r="V57" s="6"/>
      <c r="W57" s="5"/>
      <c r="X57" s="5"/>
      <c r="Y57" s="5"/>
      <c r="Z57" s="5"/>
      <c r="AA57" s="6"/>
      <c r="AB57" s="5"/>
      <c r="AC57" s="5"/>
      <c r="AD57" s="5"/>
      <c r="AE57" s="21">
        <f t="shared" si="6"/>
        <v>6</v>
      </c>
      <c r="AF57" s="23">
        <f t="shared" si="7"/>
        <v>9</v>
      </c>
      <c r="AG57" s="30">
        <f>SUM(AE57:AF57)</f>
        <v>15</v>
      </c>
    </row>
    <row r="58" spans="1:33" x14ac:dyDescent="0.25">
      <c r="A58" s="15">
        <f t="shared" si="3"/>
        <v>55</v>
      </c>
      <c r="B58" s="16" t="s">
        <v>44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47</v>
      </c>
      <c r="H58" s="6" t="s">
        <v>47</v>
      </c>
      <c r="I58" s="6" t="s">
        <v>47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4" t="s">
        <v>47</v>
      </c>
      <c r="P58" s="6" t="s">
        <v>47</v>
      </c>
      <c r="Q58" s="6"/>
      <c r="R58" s="4" t="s">
        <v>48</v>
      </c>
      <c r="S58" s="4"/>
      <c r="T58" s="6"/>
      <c r="U58" s="6"/>
      <c r="V58" s="6"/>
      <c r="W58" s="6"/>
      <c r="X58" s="6"/>
      <c r="Y58" s="6"/>
      <c r="Z58" s="4"/>
      <c r="AA58" s="6"/>
      <c r="AB58" s="6"/>
      <c r="AC58" s="6"/>
      <c r="AD58" s="4"/>
      <c r="AE58" s="21">
        <f t="shared" si="6"/>
        <v>11</v>
      </c>
      <c r="AF58" s="23">
        <f t="shared" si="7"/>
        <v>4</v>
      </c>
      <c r="AG58" s="30">
        <f t="shared" ref="AG58:AG65" si="15">SUM(AE58:AF58)</f>
        <v>15</v>
      </c>
    </row>
    <row r="59" spans="1:33" x14ac:dyDescent="0.25">
      <c r="A59" s="15">
        <f t="shared" si="3"/>
        <v>56</v>
      </c>
      <c r="B59" s="16" t="s">
        <v>57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48</v>
      </c>
      <c r="H59" s="6" t="s">
        <v>47</v>
      </c>
      <c r="I59" s="6" t="s">
        <v>47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6" t="s">
        <v>48</v>
      </c>
      <c r="P59" s="4" t="s">
        <v>48</v>
      </c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21">
        <f t="shared" si="6"/>
        <v>4</v>
      </c>
      <c r="AF59" s="23">
        <f t="shared" si="7"/>
        <v>10</v>
      </c>
      <c r="AG59" s="30">
        <f t="shared" si="15"/>
        <v>14</v>
      </c>
    </row>
    <row r="60" spans="1:33" x14ac:dyDescent="0.25">
      <c r="A60" s="15">
        <f t="shared" si="3"/>
        <v>57</v>
      </c>
      <c r="B60" s="16" t="s">
        <v>34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47</v>
      </c>
      <c r="I60" s="6" t="s">
        <v>47</v>
      </c>
      <c r="J60" s="6" t="s">
        <v>47</v>
      </c>
      <c r="K60" s="6" t="s">
        <v>48</v>
      </c>
      <c r="L60" s="6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/>
      <c r="R60" s="6"/>
      <c r="S60" s="6" t="s">
        <v>48</v>
      </c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21">
        <f t="shared" si="6"/>
        <v>12</v>
      </c>
      <c r="AF60" s="23">
        <f t="shared" si="7"/>
        <v>3</v>
      </c>
      <c r="AG60" s="30">
        <f t="shared" si="15"/>
        <v>15</v>
      </c>
    </row>
    <row r="61" spans="1:33" x14ac:dyDescent="0.25">
      <c r="A61" s="15">
        <f t="shared" si="3"/>
        <v>58</v>
      </c>
      <c r="B61" s="16" t="s">
        <v>43</v>
      </c>
      <c r="C61" s="5" t="s">
        <v>47</v>
      </c>
      <c r="D61" s="6" t="s">
        <v>48</v>
      </c>
      <c r="E61" s="6" t="s">
        <v>48</v>
      </c>
      <c r="F61" s="6" t="s">
        <v>48</v>
      </c>
      <c r="G61" s="6" t="s">
        <v>47</v>
      </c>
      <c r="H61" s="4" t="s">
        <v>47</v>
      </c>
      <c r="I61" s="6" t="s">
        <v>47</v>
      </c>
      <c r="J61" s="6" t="s">
        <v>47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47</v>
      </c>
      <c r="P61" s="4" t="s">
        <v>47</v>
      </c>
      <c r="Q61" s="6"/>
      <c r="R61" s="6"/>
      <c r="S61" s="4"/>
      <c r="T61" s="6"/>
      <c r="U61" s="6"/>
      <c r="V61" s="6"/>
      <c r="W61" s="6"/>
      <c r="X61" s="6"/>
      <c r="Y61" s="6"/>
      <c r="Z61" s="4"/>
      <c r="AA61" s="6"/>
      <c r="AB61" s="6"/>
      <c r="AC61" s="6"/>
      <c r="AD61" s="4"/>
      <c r="AE61" s="21">
        <f t="shared" si="6"/>
        <v>11</v>
      </c>
      <c r="AF61" s="23">
        <f t="shared" si="7"/>
        <v>3</v>
      </c>
      <c r="AG61" s="30">
        <f t="shared" si="15"/>
        <v>14</v>
      </c>
    </row>
    <row r="62" spans="1:33" x14ac:dyDescent="0.25">
      <c r="A62" s="15">
        <f t="shared" si="3"/>
        <v>59</v>
      </c>
      <c r="B62" s="16" t="s">
        <v>35</v>
      </c>
      <c r="C62" s="5" t="s">
        <v>47</v>
      </c>
      <c r="D62" s="6" t="s">
        <v>48</v>
      </c>
      <c r="E62" s="6" t="s">
        <v>48</v>
      </c>
      <c r="F62" s="6" t="s">
        <v>47</v>
      </c>
      <c r="G62" s="6" t="s">
        <v>47</v>
      </c>
      <c r="H62" s="6" t="s">
        <v>47</v>
      </c>
      <c r="I62" s="6" t="s">
        <v>47</v>
      </c>
      <c r="J62" s="6" t="s">
        <v>47</v>
      </c>
      <c r="K62" s="4" t="s">
        <v>48</v>
      </c>
      <c r="L62" s="6" t="s">
        <v>48</v>
      </c>
      <c r="M62" s="6" t="s">
        <v>48</v>
      </c>
      <c r="N62" s="4" t="s">
        <v>48</v>
      </c>
      <c r="O62" s="6" t="s">
        <v>48</v>
      </c>
      <c r="P62" s="6" t="s">
        <v>47</v>
      </c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21">
        <f t="shared" si="6"/>
        <v>7</v>
      </c>
      <c r="AF62" s="23">
        <f t="shared" si="7"/>
        <v>7</v>
      </c>
      <c r="AG62" s="30">
        <f t="shared" si="15"/>
        <v>14</v>
      </c>
    </row>
    <row r="63" spans="1:33" x14ac:dyDescent="0.25">
      <c r="A63" s="15">
        <f t="shared" si="3"/>
        <v>60</v>
      </c>
      <c r="B63" s="16" t="s">
        <v>36</v>
      </c>
      <c r="C63" s="5" t="s">
        <v>47</v>
      </c>
      <c r="D63" s="6" t="s">
        <v>47</v>
      </c>
      <c r="E63" s="6" t="s">
        <v>48</v>
      </c>
      <c r="F63" s="6" t="s">
        <v>47</v>
      </c>
      <c r="G63" s="6" t="s">
        <v>47</v>
      </c>
      <c r="H63" s="4" t="s">
        <v>47</v>
      </c>
      <c r="I63" s="6" t="s">
        <v>47</v>
      </c>
      <c r="J63" s="6" t="s">
        <v>47</v>
      </c>
      <c r="K63" s="6" t="s">
        <v>47</v>
      </c>
      <c r="L63" s="6" t="s">
        <v>48</v>
      </c>
      <c r="M63" s="6" t="s">
        <v>47</v>
      </c>
      <c r="N63" s="6" t="s">
        <v>47</v>
      </c>
      <c r="O63" s="6" t="s">
        <v>47</v>
      </c>
      <c r="P63" s="6" t="s">
        <v>47</v>
      </c>
      <c r="Q63" s="4"/>
      <c r="R63" s="6"/>
      <c r="S63" s="4" t="s">
        <v>48</v>
      </c>
      <c r="T63" s="6"/>
      <c r="U63" s="6"/>
      <c r="V63" s="6"/>
      <c r="W63" s="4"/>
      <c r="X63" s="6"/>
      <c r="Y63" s="4"/>
      <c r="Z63" s="6"/>
      <c r="AA63" s="6"/>
      <c r="AB63" s="6"/>
      <c r="AC63" s="6"/>
      <c r="AD63" s="6"/>
      <c r="AE63" s="21">
        <f t="shared" si="6"/>
        <v>12</v>
      </c>
      <c r="AF63" s="23">
        <f t="shared" si="7"/>
        <v>3</v>
      </c>
      <c r="AG63" s="30">
        <f t="shared" si="15"/>
        <v>15</v>
      </c>
    </row>
    <row r="64" spans="1:33" x14ac:dyDescent="0.25">
      <c r="A64" s="15">
        <f t="shared" si="3"/>
        <v>61</v>
      </c>
      <c r="B64" s="33" t="s">
        <v>62</v>
      </c>
      <c r="C64" s="3" t="s">
        <v>48</v>
      </c>
      <c r="D64" s="34" t="s">
        <v>48</v>
      </c>
      <c r="E64" s="34" t="s">
        <v>48</v>
      </c>
      <c r="F64" s="6" t="s">
        <v>48</v>
      </c>
      <c r="G64" s="6" t="s">
        <v>48</v>
      </c>
      <c r="H64" s="6" t="s">
        <v>48</v>
      </c>
      <c r="I64" s="6" t="s">
        <v>48</v>
      </c>
      <c r="J64" s="6" t="s">
        <v>48</v>
      </c>
      <c r="K64" s="6" t="s">
        <v>48</v>
      </c>
      <c r="L64" s="34" t="s">
        <v>48</v>
      </c>
      <c r="M64" s="6" t="s">
        <v>48</v>
      </c>
      <c r="N64" s="34" t="s">
        <v>47</v>
      </c>
      <c r="O64" s="34" t="s">
        <v>47</v>
      </c>
      <c r="P64" s="34" t="s">
        <v>47</v>
      </c>
      <c r="Q64" s="4"/>
      <c r="R64" s="6"/>
      <c r="S64" s="4"/>
      <c r="T64" s="6"/>
      <c r="U64" s="34"/>
      <c r="V64" s="34"/>
      <c r="W64" s="4"/>
      <c r="X64" s="34"/>
      <c r="Y64" s="4"/>
      <c r="Z64" s="4"/>
      <c r="AA64" s="6"/>
      <c r="AB64" s="34"/>
      <c r="AC64" s="34"/>
      <c r="AD64" s="4"/>
      <c r="AE64" s="21">
        <f t="shared" si="6"/>
        <v>3</v>
      </c>
      <c r="AF64" s="23">
        <f t="shared" si="7"/>
        <v>11</v>
      </c>
      <c r="AG64" s="30">
        <f t="shared" ref="AG64" si="16">SUM(AE64:AF64)</f>
        <v>14</v>
      </c>
    </row>
    <row r="65" spans="1:33" ht="16.3" thickBot="1" x14ac:dyDescent="0.3">
      <c r="A65" s="15">
        <f t="shared" si="3"/>
        <v>62</v>
      </c>
      <c r="B65" s="19" t="s">
        <v>37</v>
      </c>
      <c r="C65" s="5" t="s">
        <v>47</v>
      </c>
      <c r="D65" s="20" t="s">
        <v>48</v>
      </c>
      <c r="E65" s="20" t="s">
        <v>48</v>
      </c>
      <c r="F65" s="6" t="s">
        <v>47</v>
      </c>
      <c r="G65" s="20" t="s">
        <v>47</v>
      </c>
      <c r="H65" s="6" t="s">
        <v>47</v>
      </c>
      <c r="I65" s="6" t="s">
        <v>47</v>
      </c>
      <c r="J65" s="6" t="s">
        <v>47</v>
      </c>
      <c r="K65" s="6" t="s">
        <v>48</v>
      </c>
      <c r="L65" s="20" t="s">
        <v>48</v>
      </c>
      <c r="M65" s="20" t="s">
        <v>47</v>
      </c>
      <c r="N65" s="20" t="s">
        <v>47</v>
      </c>
      <c r="O65" s="20" t="s">
        <v>47</v>
      </c>
      <c r="P65" s="20" t="s">
        <v>47</v>
      </c>
      <c r="Q65" s="4"/>
      <c r="R65" s="4" t="s">
        <v>48</v>
      </c>
      <c r="S65" s="6" t="s">
        <v>48</v>
      </c>
      <c r="T65" s="20"/>
      <c r="U65" s="20"/>
      <c r="V65" s="20"/>
      <c r="W65" s="6"/>
      <c r="X65" s="20"/>
      <c r="Y65" s="20"/>
      <c r="Z65" s="6"/>
      <c r="AA65" s="20"/>
      <c r="AB65" s="20"/>
      <c r="AC65" s="20"/>
      <c r="AD65" s="20"/>
      <c r="AE65" s="22">
        <f t="shared" si="6"/>
        <v>10</v>
      </c>
      <c r="AF65" s="24">
        <f t="shared" si="7"/>
        <v>6</v>
      </c>
      <c r="AG65" s="31">
        <f t="shared" si="15"/>
        <v>16</v>
      </c>
    </row>
    <row r="66" spans="1:33" x14ac:dyDescent="0.25">
      <c r="A66" s="35" t="s">
        <v>53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</row>
  </sheetData>
  <autoFilter ref="C2:AD66"/>
  <mergeCells count="2">
    <mergeCell ref="A1:AG1"/>
    <mergeCell ref="A66:AG66"/>
  </mergeCells>
  <conditionalFormatting sqref="C4:AD65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2019-02-18T08:10:30Z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