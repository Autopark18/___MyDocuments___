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4" r:id="rId1"/>
    <sheet name="Февраль 2019" sheetId="5" r:id="rId2"/>
    <sheet name="Март 2019" sheetId="6" r:id="rId3"/>
    <sheet name="Данные" sheetId="2" state="hidden" r:id="rId4"/>
  </sheets>
  <functionGroups builtInGroupCount="18"/>
  <definedNames>
    <definedName name="_xlnm._FilterDatabase" localSheetId="2" hidden="1">'Март 2019'!$C$2:$AG$62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38" i="6" l="1"/>
  <c r="AI38" i="6"/>
  <c r="AH52" i="6"/>
  <c r="AI52" i="6"/>
  <c r="AJ52" i="6" l="1"/>
  <c r="AJ38" i="6"/>
  <c r="AI61" i="6"/>
  <c r="AH61" i="6"/>
  <c r="AI60" i="6"/>
  <c r="AH60" i="6"/>
  <c r="AI59" i="6"/>
  <c r="AH59" i="6"/>
  <c r="AI58" i="6"/>
  <c r="AH58" i="6"/>
  <c r="AI57" i="6"/>
  <c r="AH57" i="6"/>
  <c r="AI56" i="6"/>
  <c r="AH56" i="6"/>
  <c r="AI55" i="6"/>
  <c r="AH55" i="6"/>
  <c r="AI54" i="6"/>
  <c r="AH54" i="6"/>
  <c r="AI53" i="6"/>
  <c r="AH53" i="6"/>
  <c r="AI51" i="6"/>
  <c r="AH51" i="6"/>
  <c r="AI50" i="6"/>
  <c r="AH50" i="6"/>
  <c r="AI49" i="6"/>
  <c r="AH49" i="6"/>
  <c r="AI48" i="6"/>
  <c r="AH48" i="6"/>
  <c r="AI47" i="6"/>
  <c r="AH47" i="6"/>
  <c r="AI46" i="6"/>
  <c r="AH46" i="6"/>
  <c r="AI45" i="6"/>
  <c r="AH45" i="6"/>
  <c r="AI44" i="6"/>
  <c r="AH44" i="6"/>
  <c r="AI43" i="6"/>
  <c r="AH43" i="6"/>
  <c r="AI42" i="6"/>
  <c r="AH42" i="6"/>
  <c r="AI41" i="6"/>
  <c r="AH41" i="6"/>
  <c r="AI40" i="6"/>
  <c r="AH40" i="6"/>
  <c r="AI39" i="6"/>
  <c r="AH39" i="6"/>
  <c r="AI37" i="6"/>
  <c r="AH37" i="6"/>
  <c r="AI36" i="6"/>
  <c r="AH36" i="6"/>
  <c r="AI35" i="6"/>
  <c r="AH35" i="6"/>
  <c r="AI34" i="6"/>
  <c r="AH34" i="6"/>
  <c r="AI33" i="6"/>
  <c r="AH33" i="6"/>
  <c r="AI32" i="6"/>
  <c r="AH32" i="6"/>
  <c r="AI31" i="6"/>
  <c r="AH31" i="6"/>
  <c r="AI30" i="6"/>
  <c r="AH30" i="6"/>
  <c r="AI29" i="6"/>
  <c r="AH29" i="6"/>
  <c r="AI28" i="6"/>
  <c r="AH28" i="6"/>
  <c r="AI27" i="6"/>
  <c r="AH27" i="6"/>
  <c r="AI26" i="6"/>
  <c r="AH26" i="6"/>
  <c r="AI25" i="6"/>
  <c r="AH25" i="6"/>
  <c r="AI24" i="6"/>
  <c r="AH24" i="6"/>
  <c r="AI23" i="6"/>
  <c r="AH23" i="6"/>
  <c r="AI22" i="6"/>
  <c r="AH22" i="6"/>
  <c r="AI21" i="6"/>
  <c r="AH21" i="6"/>
  <c r="AI20" i="6"/>
  <c r="AH20" i="6"/>
  <c r="AI19" i="6"/>
  <c r="AH19" i="6"/>
  <c r="AI18" i="6"/>
  <c r="AH18" i="6"/>
  <c r="AI17" i="6"/>
  <c r="AH17" i="6"/>
  <c r="AI16" i="6"/>
  <c r="AH16" i="6"/>
  <c r="AI15" i="6"/>
  <c r="AH15" i="6"/>
  <c r="AI14" i="6"/>
  <c r="AH14" i="6"/>
  <c r="AI13" i="6"/>
  <c r="AH13" i="6"/>
  <c r="AI12" i="6"/>
  <c r="AH12" i="6"/>
  <c r="AI11" i="6"/>
  <c r="AH11" i="6"/>
  <c r="AI10" i="6"/>
  <c r="AH10" i="6"/>
  <c r="AI9" i="6"/>
  <c r="AH9" i="6"/>
  <c r="AI8" i="6"/>
  <c r="AH8" i="6"/>
  <c r="AI7" i="6"/>
  <c r="AH7" i="6"/>
  <c r="AI6" i="6"/>
  <c r="AH6" i="6"/>
  <c r="AI5" i="6"/>
  <c r="AH5" i="6"/>
  <c r="A5" i="6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J9" i="6" l="1"/>
  <c r="AJ10" i="6"/>
  <c r="AJ7" i="6"/>
  <c r="AJ6" i="6"/>
  <c r="AJ8" i="6"/>
  <c r="AJ5" i="6"/>
  <c r="AJ12" i="6"/>
  <c r="AJ11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3" i="6"/>
  <c r="AJ54" i="6"/>
  <c r="AJ55" i="6"/>
  <c r="AJ56" i="6"/>
  <c r="AJ57" i="6"/>
  <c r="AJ58" i="6"/>
  <c r="AJ59" i="6"/>
  <c r="AJ60" i="6"/>
  <c r="AJ61" i="6"/>
  <c r="AJ4" i="6"/>
  <c r="AE32" i="5"/>
  <c r="AF32" i="5"/>
  <c r="AG32" i="5" l="1"/>
  <c r="AE64" i="5"/>
  <c r="AF64" i="5"/>
  <c r="AG64" i="5" l="1"/>
  <c r="AE39" i="5"/>
  <c r="AF39" i="5"/>
  <c r="AG39" i="5" l="1"/>
  <c r="AF56" i="5"/>
  <c r="AE56" i="5"/>
  <c r="AG56" i="5" l="1"/>
  <c r="AF67" i="5"/>
  <c r="AE67" i="5"/>
  <c r="AF66" i="5"/>
  <c r="AE66" i="5"/>
  <c r="AF65" i="5"/>
  <c r="AE65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5" i="5"/>
  <c r="AE55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4" i="5"/>
  <c r="AG36" i="5"/>
  <c r="AG38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7" i="5"/>
  <c r="AG58" i="5"/>
  <c r="AG59" i="5"/>
  <c r="AG60" i="5"/>
  <c r="AG61" i="5"/>
  <c r="AG62" i="5"/>
  <c r="AG63" i="5"/>
  <c r="AG65" i="5"/>
  <c r="AG66" i="5"/>
  <c r="AG67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3" i="5"/>
  <c r="AG35" i="5"/>
  <c r="AG37" i="5"/>
  <c r="AG40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<sst xmlns="http://schemas.openxmlformats.org/spreadsheetml/2006/main" count="4955" uniqueCount="72">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</sst>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 t="shared" ref="AG26" si="4"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 t="shared" ref="AE32" si="5">COUNTIF(C32:AD32,"+")</f>
        <v>1</v>
      </c>
      <c r="AF32" s="23">
        <f t="shared" ref="AF32" si="6">COUNTIF(C32:AD32,"-")</f>
        <v>0</v>
      </c>
      <c r="AG32" s="30">
        <f t="shared" ref="AG32" si="7"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 t="shared" ref="AG33" si="8"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9">COUNTIF(C37:AD37,"+")</f>
        <v>18</v>
      </c>
      <c r="AF37" s="23">
        <f t="shared" ref="AF37:AF67" si="10">COUNTIF(C37:AD37,"-")</f>
        <v>10</v>
      </c>
      <c r="AG37" s="30">
        <f t="shared" ref="AG37" si="11"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9"/>
        <v>10</v>
      </c>
      <c r="AF38" s="23">
        <f t="shared" si="10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 t="shared" ref="AE39" si="12">COUNTIF(C39:AD39,"+")</f>
        <v>14</v>
      </c>
      <c r="AF39" s="23">
        <f t="shared" ref="AF39" si="13">COUNTIF(C39:AD39,"-")</f>
        <v>1</v>
      </c>
      <c r="AG39" s="30">
        <f t="shared" ref="AG39" si="14"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9"/>
        <v>21</v>
      </c>
      <c r="AF40" s="23">
        <f t="shared" si="10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9"/>
        <v>22</v>
      </c>
      <c r="AF41" s="23">
        <f t="shared" si="10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9"/>
        <v>20</v>
      </c>
      <c r="AF42" s="23">
        <f t="shared" si="10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9"/>
        <v>0</v>
      </c>
      <c r="AF43" s="23">
        <f t="shared" si="10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9"/>
        <v>0</v>
      </c>
      <c r="AF44" s="23">
        <f t="shared" si="10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9"/>
        <v>0</v>
      </c>
      <c r="AF45" s="23">
        <f t="shared" si="10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9"/>
        <v>28</v>
      </c>
      <c r="AF46" s="23">
        <f t="shared" si="10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9"/>
        <v>12</v>
      </c>
      <c r="AF47" s="23">
        <f t="shared" si="10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9"/>
        <v>24</v>
      </c>
      <c r="AF48" s="23">
        <f t="shared" si="10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9"/>
        <v>12</v>
      </c>
      <c r="AF49" s="23">
        <f t="shared" si="10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9"/>
        <v>22</v>
      </c>
      <c r="AF50" s="23">
        <f t="shared" si="10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9"/>
        <v>17</v>
      </c>
      <c r="AF51" s="23">
        <f t="shared" si="10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9"/>
        <v>16</v>
      </c>
      <c r="AF52" s="23">
        <f t="shared" si="10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9"/>
        <v>24</v>
      </c>
      <c r="AF53" s="23">
        <f t="shared" si="10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9"/>
        <v>0</v>
      </c>
      <c r="AF54" s="23">
        <f t="shared" si="10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9"/>
        <v>20</v>
      </c>
      <c r="AF55" s="23">
        <f t="shared" si="10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 t="shared" ref="AE56" si="15">COUNTIF(C56:AD56,"+")</f>
        <v>6</v>
      </c>
      <c r="AF56" s="23">
        <f t="shared" ref="AF56" si="16">COUNTIF(C56:AD56,"-")</f>
        <v>21</v>
      </c>
      <c r="AG56" s="30">
        <f t="shared" ref="AG56" si="17"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9"/>
        <v>3</v>
      </c>
      <c r="AF57" s="23">
        <f t="shared" si="10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9"/>
        <v>16</v>
      </c>
      <c r="AF58" s="23">
        <f t="shared" si="10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9"/>
        <v>19</v>
      </c>
      <c r="AF59" s="23">
        <f t="shared" si="10"/>
        <v>9</v>
      </c>
      <c r="AG59" s="30">
        <f t="shared" ref="AG59:AG67" si="18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9"/>
        <v>4</v>
      </c>
      <c r="AF60" s="23">
        <f t="shared" si="10"/>
        <v>24</v>
      </c>
      <c r="AG60" s="30">
        <f t="shared" si="18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9"/>
        <v>20</v>
      </c>
      <c r="AF61" s="23">
        <f t="shared" si="10"/>
        <v>8</v>
      </c>
      <c r="AG61" s="30">
        <f t="shared" si="18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9"/>
        <v>25</v>
      </c>
      <c r="AF62" s="23">
        <f t="shared" si="10"/>
        <v>3</v>
      </c>
      <c r="AG62" s="30">
        <f t="shared" si="18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9"/>
        <v>19</v>
      </c>
      <c r="AF63" s="23">
        <f t="shared" si="10"/>
        <v>9</v>
      </c>
      <c r="AG63" s="30">
        <f t="shared" si="18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 t="shared" ref="AE64" si="19">COUNTIF(C64:AD64,"+")</f>
        <v>3</v>
      </c>
      <c r="AF64" s="23">
        <f t="shared" ref="AF64" si="20">COUNTIF(C64:AD64,"-")</f>
        <v>0</v>
      </c>
      <c r="AG64" s="30">
        <f t="shared" ref="AG64" si="21"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9"/>
        <v>23</v>
      </c>
      <c r="AF65" s="23">
        <f t="shared" si="10"/>
        <v>5</v>
      </c>
      <c r="AG65" s="30">
        <f t="shared" si="18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9"/>
        <v>12</v>
      </c>
      <c r="AF66" s="23">
        <f t="shared" si="10"/>
        <v>16</v>
      </c>
      <c r="AG66" s="30">
        <f t="shared" ref="AG66" si="22"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9"/>
        <v>20</v>
      </c>
      <c r="AF67" s="24">
        <f t="shared" si="10"/>
        <v>8</v>
      </c>
      <c r="AG67" s="31">
        <f t="shared" si="18"/>
        <v>28</v>
      </c>
    </row>
    <row r="68" spans="1:33" x14ac:dyDescent="0.25">
      <c r="A68" s="35" t="s">
        <v>53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</row>
  </sheetData>
  <autoFilter ref="C2:AD68"/>
  <mergeCells count="2">
    <mergeCell ref="A1:AG1"/>
    <mergeCell ref="A68:AG68"/>
  </mergeCells>
  <conditionalFormatting sqref="C4:AD67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X4" sqref="X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1" si="0">COUNTIF(C4:AG4,"+")</f>
        <v>13</v>
      </c>
      <c r="AI4" s="25">
        <f t="shared" ref="AI4:AI61" si="1">COUNTIF(C4:AG4,"-")</f>
        <v>8</v>
      </c>
      <c r="AJ4" s="29">
        <f t="shared" ref="AJ4:AJ50" si="2">SUM(AH4:AI4)</f>
        <v>21</v>
      </c>
    </row>
    <row r="5" spans="1:38" x14ac:dyDescent="0.25">
      <c r="A5" s="15">
        <f>A4+1</f>
        <v>2</v>
      </c>
      <c r="B5" s="14" t="s">
        <v>59</v>
      </c>
      <c r="C5" s="3" t="s">
        <v>48</v>
      </c>
      <c r="D5" s="4" t="s">
        <v>48</v>
      </c>
      <c r="E5" s="4" t="s">
        <v>48</v>
      </c>
      <c r="F5" s="4" t="s">
        <v>48</v>
      </c>
      <c r="G5" s="4" t="s">
        <v>48</v>
      </c>
      <c r="H5" s="4" t="s">
        <v>48</v>
      </c>
      <c r="I5" s="4" t="s">
        <v>48</v>
      </c>
      <c r="J5" s="4" t="s">
        <v>48</v>
      </c>
      <c r="K5" s="4" t="s">
        <v>48</v>
      </c>
      <c r="L5" s="4" t="s">
        <v>48</v>
      </c>
      <c r="M5" s="4" t="s">
        <v>48</v>
      </c>
      <c r="N5" s="4" t="s">
        <v>48</v>
      </c>
      <c r="O5" s="4" t="s">
        <v>48</v>
      </c>
      <c r="P5" s="4" t="s">
        <v>48</v>
      </c>
      <c r="Q5" s="4" t="s">
        <v>48</v>
      </c>
      <c r="R5" s="4" t="s">
        <v>48</v>
      </c>
      <c r="S5" s="4" t="s">
        <v>48</v>
      </c>
      <c r="T5" s="4" t="s">
        <v>48</v>
      </c>
      <c r="U5" s="4" t="s">
        <v>48</v>
      </c>
      <c r="V5" s="4" t="s">
        <v>48</v>
      </c>
      <c r="W5" s="4" t="s">
        <v>48</v>
      </c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0</v>
      </c>
      <c r="AI5" s="25">
        <f t="shared" si="1"/>
        <v>21</v>
      </c>
      <c r="AJ5" s="29">
        <f t="shared" si="2"/>
        <v>21</v>
      </c>
    </row>
    <row r="6" spans="1:38" x14ac:dyDescent="0.25">
      <c r="A6" s="15">
        <f>A5+1</f>
        <v>3</v>
      </c>
      <c r="B6" s="14" t="s">
        <v>65</v>
      </c>
      <c r="C6" s="3" t="s">
        <v>48</v>
      </c>
      <c r="D6" s="4" t="s">
        <v>47</v>
      </c>
      <c r="E6" s="4" t="s">
        <v>47</v>
      </c>
      <c r="F6" s="4" t="s">
        <v>47</v>
      </c>
      <c r="G6" s="4" t="s">
        <v>47</v>
      </c>
      <c r="H6" s="4" t="s">
        <v>48</v>
      </c>
      <c r="I6" s="4" t="s">
        <v>47</v>
      </c>
      <c r="J6" s="4" t="s">
        <v>47</v>
      </c>
      <c r="K6" s="4" t="s">
        <v>47</v>
      </c>
      <c r="L6" s="4" t="s">
        <v>48</v>
      </c>
      <c r="M6" s="4" t="s">
        <v>47</v>
      </c>
      <c r="N6" s="4" t="s">
        <v>47</v>
      </c>
      <c r="O6" s="4" t="s">
        <v>47</v>
      </c>
      <c r="P6" s="4" t="s">
        <v>47</v>
      </c>
      <c r="Q6" s="4" t="s">
        <v>47</v>
      </c>
      <c r="R6" s="4" t="s">
        <v>47</v>
      </c>
      <c r="S6" s="4" t="s">
        <v>48</v>
      </c>
      <c r="T6" s="4" t="s">
        <v>48</v>
      </c>
      <c r="U6" s="4" t="s">
        <v>47</v>
      </c>
      <c r="V6" s="4" t="s">
        <v>47</v>
      </c>
      <c r="W6" s="4" t="s">
        <v>47</v>
      </c>
      <c r="X6" s="4"/>
      <c r="Y6" s="4"/>
      <c r="Z6" s="4"/>
      <c r="AA6" s="4"/>
      <c r="AB6" s="4"/>
      <c r="AC6" s="4"/>
      <c r="AD6" s="4"/>
      <c r="AE6" s="4"/>
      <c r="AF6" s="4"/>
      <c r="AG6" s="4"/>
      <c r="AH6" s="7">
        <f t="shared" si="0"/>
        <v>16</v>
      </c>
      <c r="AI6" s="25">
        <f t="shared" si="1"/>
        <v>5</v>
      </c>
      <c r="AJ6" s="29">
        <f t="shared" si="2"/>
        <v>21</v>
      </c>
    </row>
    <row r="7" spans="1:38" x14ac:dyDescent="0.25">
      <c r="A7" s="15">
        <f t="shared" ref="A7:A61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47</v>
      </c>
      <c r="J7" s="6" t="s">
        <v>47</v>
      </c>
      <c r="K7" s="6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/>
      <c r="Y7" s="6"/>
      <c r="Z7" s="6"/>
      <c r="AA7" s="6"/>
      <c r="AB7" s="6"/>
      <c r="AC7" s="6"/>
      <c r="AD7" s="6"/>
      <c r="AE7" s="6"/>
      <c r="AF7" s="6"/>
      <c r="AG7" s="6"/>
      <c r="AH7" s="21">
        <f t="shared" si="0"/>
        <v>21</v>
      </c>
      <c r="AI7" s="23">
        <f t="shared" si="1"/>
        <v>0</v>
      </c>
      <c r="AJ7" s="30">
        <f t="shared" si="2"/>
        <v>21</v>
      </c>
    </row>
    <row r="8" spans="1:38" x14ac:dyDescent="0.25">
      <c r="A8" s="15">
        <f t="shared" si="3"/>
        <v>5</v>
      </c>
      <c r="B8" s="16" t="s">
        <v>50</v>
      </c>
      <c r="C8" s="5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47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48</v>
      </c>
      <c r="R8" s="4" t="s">
        <v>48</v>
      </c>
      <c r="S8" s="6" t="s">
        <v>47</v>
      </c>
      <c r="T8" s="4" t="s">
        <v>48</v>
      </c>
      <c r="U8" s="6" t="s">
        <v>47</v>
      </c>
      <c r="V8" s="6" t="s">
        <v>47</v>
      </c>
      <c r="W8" s="4" t="s">
        <v>47</v>
      </c>
      <c r="X8" s="6"/>
      <c r="Y8" s="6"/>
      <c r="Z8" s="6"/>
      <c r="AA8" s="6"/>
      <c r="AB8" s="6"/>
      <c r="AC8" s="6"/>
      <c r="AD8" s="6"/>
      <c r="AE8" s="6"/>
      <c r="AF8" s="6"/>
      <c r="AG8" s="6"/>
      <c r="AH8" s="21">
        <f t="shared" si="0"/>
        <v>16</v>
      </c>
      <c r="AI8" s="23">
        <f t="shared" si="1"/>
        <v>5</v>
      </c>
      <c r="AJ8" s="30">
        <f t="shared" si="2"/>
        <v>21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48</v>
      </c>
      <c r="J9" s="4" t="s">
        <v>48</v>
      </c>
      <c r="K9" s="4" t="s">
        <v>48</v>
      </c>
      <c r="L9" s="6" t="s">
        <v>47</v>
      </c>
      <c r="M9" s="6" t="s">
        <v>47</v>
      </c>
      <c r="N9" s="6" t="s">
        <v>47</v>
      </c>
      <c r="O9" s="6" t="s">
        <v>47</v>
      </c>
      <c r="P9" s="4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4" t="s">
        <v>48</v>
      </c>
      <c r="V9" s="4" t="s">
        <v>48</v>
      </c>
      <c r="W9" s="4" t="s">
        <v>48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21">
        <f t="shared" si="0"/>
        <v>15</v>
      </c>
      <c r="AI9" s="23">
        <f t="shared" si="1"/>
        <v>6</v>
      </c>
      <c r="AJ9" s="30">
        <f t="shared" si="2"/>
        <v>21</v>
      </c>
    </row>
    <row r="10" spans="1:38" x14ac:dyDescent="0.25">
      <c r="A10" s="15">
        <f t="shared" si="3"/>
        <v>7</v>
      </c>
      <c r="B10" s="16" t="s">
        <v>1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47</v>
      </c>
      <c r="I10" s="6" t="s">
        <v>47</v>
      </c>
      <c r="J10" s="4" t="s">
        <v>48</v>
      </c>
      <c r="K10" s="4" t="s">
        <v>48</v>
      </c>
      <c r="L10" s="4" t="s">
        <v>48</v>
      </c>
      <c r="M10" s="4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47</v>
      </c>
      <c r="S10" s="4" t="s">
        <v>48</v>
      </c>
      <c r="T10" s="4" t="s">
        <v>47</v>
      </c>
      <c r="U10" s="6" t="s">
        <v>47</v>
      </c>
      <c r="V10" s="4" t="s">
        <v>47</v>
      </c>
      <c r="W10" s="4" t="s">
        <v>48</v>
      </c>
      <c r="X10" s="6"/>
      <c r="Y10" s="4"/>
      <c r="Z10" s="4"/>
      <c r="AA10" s="4"/>
      <c r="AB10" s="4"/>
      <c r="AC10" s="4"/>
      <c r="AD10" s="6"/>
      <c r="AE10" s="4"/>
      <c r="AF10" s="4"/>
      <c r="AG10" s="4"/>
      <c r="AH10" s="21">
        <f t="shared" si="0"/>
        <v>12</v>
      </c>
      <c r="AI10" s="23">
        <f t="shared" si="1"/>
        <v>9</v>
      </c>
      <c r="AJ10" s="30">
        <f t="shared" si="2"/>
        <v>21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48</v>
      </c>
      <c r="E11" s="6" t="s">
        <v>48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4" t="s">
        <v>48</v>
      </c>
      <c r="S11" s="4" t="s">
        <v>48</v>
      </c>
      <c r="T11" s="6" t="s">
        <v>47</v>
      </c>
      <c r="U11" s="6" t="s">
        <v>47</v>
      </c>
      <c r="V11" s="6" t="s">
        <v>47</v>
      </c>
      <c r="W11" s="6" t="s">
        <v>47</v>
      </c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21">
        <f t="shared" si="0"/>
        <v>17</v>
      </c>
      <c r="AI11" s="23">
        <f t="shared" si="1"/>
        <v>4</v>
      </c>
      <c r="AJ11" s="30">
        <f t="shared" si="2"/>
        <v>21</v>
      </c>
    </row>
    <row r="12" spans="1:38" x14ac:dyDescent="0.25">
      <c r="A12" s="15">
        <f t="shared" si="3"/>
        <v>9</v>
      </c>
      <c r="B12" s="16" t="s">
        <v>56</v>
      </c>
      <c r="C12" s="5" t="s">
        <v>47</v>
      </c>
      <c r="D12" s="6" t="s">
        <v>47</v>
      </c>
      <c r="E12" s="6" t="s">
        <v>48</v>
      </c>
      <c r="F12" s="6" t="s">
        <v>48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4" t="s">
        <v>48</v>
      </c>
      <c r="N12" s="4" t="s">
        <v>48</v>
      </c>
      <c r="O12" s="6" t="s">
        <v>47</v>
      </c>
      <c r="P12" s="4" t="s">
        <v>47</v>
      </c>
      <c r="Q12" s="6" t="s">
        <v>47</v>
      </c>
      <c r="R12" s="6" t="s">
        <v>47</v>
      </c>
      <c r="S12" s="4" t="s">
        <v>48</v>
      </c>
      <c r="T12" s="4" t="s">
        <v>48</v>
      </c>
      <c r="U12" s="4" t="s">
        <v>48</v>
      </c>
      <c r="V12" s="6" t="s">
        <v>47</v>
      </c>
      <c r="W12" s="6" t="s">
        <v>47</v>
      </c>
      <c r="X12" s="6"/>
      <c r="Y12" s="4"/>
      <c r="Z12" s="6"/>
      <c r="AA12" s="6"/>
      <c r="AB12" s="6"/>
      <c r="AC12" s="6"/>
      <c r="AD12" s="6"/>
      <c r="AE12" s="6"/>
      <c r="AF12" s="6"/>
      <c r="AG12" s="4"/>
      <c r="AH12" s="21">
        <f t="shared" si="0"/>
        <v>14</v>
      </c>
      <c r="AI12" s="23">
        <f t="shared" si="1"/>
        <v>7</v>
      </c>
      <c r="AJ12" s="30">
        <f t="shared" si="2"/>
        <v>21</v>
      </c>
    </row>
    <row r="13" spans="1:38" x14ac:dyDescent="0.25">
      <c r="A13" s="15">
        <f t="shared" si="3"/>
        <v>10</v>
      </c>
      <c r="B13" s="16" t="s">
        <v>40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4" t="s">
        <v>48</v>
      </c>
      <c r="K13" s="6" t="s">
        <v>47</v>
      </c>
      <c r="L13" s="6" t="s">
        <v>47</v>
      </c>
      <c r="M13" s="6" t="s">
        <v>47</v>
      </c>
      <c r="N13" s="4" t="s">
        <v>47</v>
      </c>
      <c r="O13" s="4" t="s">
        <v>48</v>
      </c>
      <c r="P13" s="4" t="s">
        <v>48</v>
      </c>
      <c r="Q13" s="4" t="s">
        <v>47</v>
      </c>
      <c r="R13" s="6" t="s">
        <v>47</v>
      </c>
      <c r="S13" s="6" t="s">
        <v>47</v>
      </c>
      <c r="T13" s="4" t="s">
        <v>48</v>
      </c>
      <c r="U13" s="4" t="s">
        <v>48</v>
      </c>
      <c r="V13" s="6" t="s">
        <v>47</v>
      </c>
      <c r="W13" s="6" t="s">
        <v>47</v>
      </c>
      <c r="X13" s="6"/>
      <c r="Y13" s="4"/>
      <c r="Z13" s="6"/>
      <c r="AA13" s="6"/>
      <c r="AB13" s="6"/>
      <c r="AC13" s="6"/>
      <c r="AD13" s="6"/>
      <c r="AE13" s="6"/>
      <c r="AF13" s="6"/>
      <c r="AG13" s="6"/>
      <c r="AH13" s="21">
        <f t="shared" si="0"/>
        <v>16</v>
      </c>
      <c r="AI13" s="23">
        <f t="shared" si="1"/>
        <v>5</v>
      </c>
      <c r="AJ13" s="30">
        <f t="shared" si="2"/>
        <v>21</v>
      </c>
    </row>
    <row r="14" spans="1:38" x14ac:dyDescent="0.25">
      <c r="A14" s="15">
        <f t="shared" si="3"/>
        <v>11</v>
      </c>
      <c r="B14" s="16" t="s">
        <v>4</v>
      </c>
      <c r="C14" s="5" t="s">
        <v>47</v>
      </c>
      <c r="D14" s="6" t="s">
        <v>47</v>
      </c>
      <c r="E14" s="6" t="s">
        <v>48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4" t="s">
        <v>48</v>
      </c>
      <c r="L14" s="4" t="s">
        <v>48</v>
      </c>
      <c r="M14" s="6" t="s">
        <v>47</v>
      </c>
      <c r="N14" s="6" t="s">
        <v>47</v>
      </c>
      <c r="O14" s="6" t="s">
        <v>47</v>
      </c>
      <c r="P14" s="4" t="s">
        <v>47</v>
      </c>
      <c r="Q14" s="6" t="s">
        <v>47</v>
      </c>
      <c r="R14" s="6" t="s">
        <v>47</v>
      </c>
      <c r="S14" s="6" t="s">
        <v>47</v>
      </c>
      <c r="T14" s="6" t="s">
        <v>47</v>
      </c>
      <c r="U14" s="4" t="s">
        <v>48</v>
      </c>
      <c r="V14" s="4" t="s">
        <v>48</v>
      </c>
      <c r="W14" s="6" t="s">
        <v>47</v>
      </c>
      <c r="X14" s="6"/>
      <c r="Y14" s="6"/>
      <c r="Z14" s="6"/>
      <c r="AA14" s="6"/>
      <c r="AB14" s="6"/>
      <c r="AC14" s="6"/>
      <c r="AD14" s="6"/>
      <c r="AE14" s="6"/>
      <c r="AF14" s="4"/>
      <c r="AG14" s="4"/>
      <c r="AH14" s="21">
        <f t="shared" si="0"/>
        <v>16</v>
      </c>
      <c r="AI14" s="23">
        <f t="shared" si="1"/>
        <v>5</v>
      </c>
      <c r="AJ14" s="30">
        <f t="shared" si="2"/>
        <v>21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21">
        <f t="shared" si="0"/>
        <v>15</v>
      </c>
      <c r="AI15" s="23">
        <f t="shared" si="1"/>
        <v>6</v>
      </c>
      <c r="AJ15" s="30">
        <f t="shared" si="2"/>
        <v>21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/>
      <c r="Y16" s="6"/>
      <c r="Z16" s="6"/>
      <c r="AA16" s="6"/>
      <c r="AB16" s="6"/>
      <c r="AC16" s="6"/>
      <c r="AD16" s="6"/>
      <c r="AE16" s="6"/>
      <c r="AF16" s="6"/>
      <c r="AG16" s="4"/>
      <c r="AH16" s="21">
        <f t="shared" si="0"/>
        <v>14</v>
      </c>
      <c r="AI16" s="23">
        <f t="shared" si="1"/>
        <v>7</v>
      </c>
      <c r="AJ16" s="30">
        <f t="shared" si="2"/>
        <v>21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21">
        <f t="shared" si="0"/>
        <v>16</v>
      </c>
      <c r="AI17" s="23">
        <f t="shared" si="1"/>
        <v>5</v>
      </c>
      <c r="AJ17" s="30">
        <f t="shared" si="2"/>
        <v>21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21">
        <f t="shared" si="0"/>
        <v>21</v>
      </c>
      <c r="AI18" s="23">
        <f t="shared" si="1"/>
        <v>0</v>
      </c>
      <c r="AJ18" s="30">
        <f t="shared" si="2"/>
        <v>21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21">
        <f t="shared" si="0"/>
        <v>15</v>
      </c>
      <c r="AI19" s="23">
        <f t="shared" si="1"/>
        <v>6</v>
      </c>
      <c r="AJ19" s="30">
        <f t="shared" si="2"/>
        <v>21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5</v>
      </c>
      <c r="AI20" s="23">
        <f t="shared" si="1"/>
        <v>16</v>
      </c>
      <c r="AJ20" s="30">
        <f t="shared" si="2"/>
        <v>21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/>
      <c r="Y21" s="6"/>
      <c r="Z21" s="6"/>
      <c r="AA21" s="6"/>
      <c r="AB21" s="6"/>
      <c r="AC21" s="6"/>
      <c r="AD21" s="6"/>
      <c r="AE21" s="6"/>
      <c r="AF21" s="4"/>
      <c r="AG21" s="6"/>
      <c r="AH21" s="21">
        <f t="shared" si="0"/>
        <v>16</v>
      </c>
      <c r="AI21" s="23">
        <f t="shared" si="1"/>
        <v>5</v>
      </c>
      <c r="AJ21" s="30">
        <f t="shared" si="2"/>
        <v>21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/>
      <c r="Y22" s="6"/>
      <c r="Z22" s="4"/>
      <c r="AA22" s="4"/>
      <c r="AB22" s="4"/>
      <c r="AC22" s="4"/>
      <c r="AD22" s="6"/>
      <c r="AE22" s="6"/>
      <c r="AF22" s="6"/>
      <c r="AG22" s="4"/>
      <c r="AH22" s="21">
        <f t="shared" si="0"/>
        <v>16</v>
      </c>
      <c r="AI22" s="23">
        <f t="shared" si="1"/>
        <v>5</v>
      </c>
      <c r="AJ22" s="30">
        <f t="shared" ref="AJ22" si="4">SUM(AH22:AI22)</f>
        <v>21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6"/>
      <c r="Y23" s="6"/>
      <c r="Z23" s="6"/>
      <c r="AA23" s="6"/>
      <c r="AB23" s="6"/>
      <c r="AC23" s="6"/>
      <c r="AD23" s="6"/>
      <c r="AE23" s="6"/>
      <c r="AF23" s="6"/>
      <c r="AG23" s="4"/>
      <c r="AH23" s="21">
        <f t="shared" si="0"/>
        <v>3</v>
      </c>
      <c r="AI23" s="23">
        <f t="shared" si="1"/>
        <v>18</v>
      </c>
      <c r="AJ23" s="30">
        <f t="shared" si="2"/>
        <v>21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/>
      <c r="Y24" s="6"/>
      <c r="Z24" s="6"/>
      <c r="AA24" s="6"/>
      <c r="AB24" s="6"/>
      <c r="AC24" s="6"/>
      <c r="AD24" s="6"/>
      <c r="AE24" s="4"/>
      <c r="AF24" s="6"/>
      <c r="AG24" s="4"/>
      <c r="AH24" s="21">
        <f t="shared" si="0"/>
        <v>16</v>
      </c>
      <c r="AI24" s="23">
        <f t="shared" si="1"/>
        <v>5</v>
      </c>
      <c r="AJ24" s="30">
        <f t="shared" si="2"/>
        <v>21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/>
      <c r="Y25" s="4"/>
      <c r="Z25" s="6"/>
      <c r="AA25" s="6"/>
      <c r="AB25" s="6"/>
      <c r="AC25" s="6"/>
      <c r="AD25" s="6"/>
      <c r="AE25" s="6"/>
      <c r="AF25" s="6"/>
      <c r="AG25" s="4"/>
      <c r="AH25" s="21">
        <f t="shared" si="0"/>
        <v>21</v>
      </c>
      <c r="AI25" s="23">
        <f t="shared" si="1"/>
        <v>0</v>
      </c>
      <c r="AJ25" s="30">
        <f t="shared" si="2"/>
        <v>21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21">
        <f t="shared" si="0"/>
        <v>14</v>
      </c>
      <c r="AI26" s="23">
        <f t="shared" si="1"/>
        <v>7</v>
      </c>
      <c r="AJ26" s="30">
        <f t="shared" si="2"/>
        <v>21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/>
      <c r="Y27" s="6"/>
      <c r="Z27" s="6"/>
      <c r="AA27" s="6"/>
      <c r="AB27" s="6"/>
      <c r="AC27" s="6"/>
      <c r="AD27" s="6"/>
      <c r="AE27" s="4"/>
      <c r="AF27" s="4"/>
      <c r="AG27" s="4"/>
      <c r="AH27" s="21">
        <f t="shared" si="0"/>
        <v>15</v>
      </c>
      <c r="AI27" s="23">
        <f t="shared" si="1"/>
        <v>6</v>
      </c>
      <c r="AJ27" s="30">
        <f t="shared" si="2"/>
        <v>21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6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16</v>
      </c>
      <c r="AI28" s="23">
        <f t="shared" si="1"/>
        <v>5</v>
      </c>
      <c r="AJ28" s="30">
        <f t="shared" si="2"/>
        <v>21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21">
        <f t="shared" si="0"/>
        <v>14</v>
      </c>
      <c r="AI29" s="23">
        <f t="shared" si="1"/>
        <v>7</v>
      </c>
      <c r="AJ29" s="30">
        <f t="shared" si="2"/>
        <v>21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21">
        <f t="shared" si="0"/>
        <v>14</v>
      </c>
      <c r="AI30" s="23">
        <f t="shared" si="1"/>
        <v>7</v>
      </c>
      <c r="AJ30" s="30">
        <f t="shared" si="2"/>
        <v>21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6"/>
      <c r="Y31" s="4"/>
      <c r="Z31" s="6"/>
      <c r="AA31" s="6"/>
      <c r="AB31" s="6"/>
      <c r="AC31" s="6"/>
      <c r="AD31" s="6"/>
      <c r="AE31" s="4"/>
      <c r="AF31" s="4"/>
      <c r="AG31" s="6"/>
      <c r="AH31" s="21">
        <f t="shared" si="0"/>
        <v>14</v>
      </c>
      <c r="AI31" s="23">
        <f t="shared" si="1"/>
        <v>7</v>
      </c>
      <c r="AJ31" s="30">
        <f t="shared" si="2"/>
        <v>21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/>
      <c r="Y32" s="4"/>
      <c r="Z32" s="6"/>
      <c r="AA32" s="6"/>
      <c r="AB32" s="6"/>
      <c r="AC32" s="6"/>
      <c r="AD32" s="6"/>
      <c r="AE32" s="6"/>
      <c r="AF32" s="4"/>
      <c r="AG32" s="6"/>
      <c r="AH32" s="21">
        <f t="shared" si="0"/>
        <v>16</v>
      </c>
      <c r="AI32" s="23">
        <f t="shared" si="1"/>
        <v>5</v>
      </c>
      <c r="AJ32" s="30">
        <f t="shared" si="2"/>
        <v>21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/>
      <c r="Y33" s="4"/>
      <c r="Z33" s="4"/>
      <c r="AA33" s="4"/>
      <c r="AB33" s="4"/>
      <c r="AC33" s="4"/>
      <c r="AD33" s="6"/>
      <c r="AE33" s="6"/>
      <c r="AF33" s="6"/>
      <c r="AG33" s="4"/>
      <c r="AH33" s="21">
        <f t="shared" si="0"/>
        <v>12</v>
      </c>
      <c r="AI33" s="23">
        <f t="shared" si="1"/>
        <v>9</v>
      </c>
      <c r="AJ33" s="30">
        <f t="shared" si="2"/>
        <v>21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/>
      <c r="Y34" s="6"/>
      <c r="Z34" s="4"/>
      <c r="AA34" s="4"/>
      <c r="AB34" s="4"/>
      <c r="AC34" s="4"/>
      <c r="AD34" s="6"/>
      <c r="AE34" s="6"/>
      <c r="AF34" s="6"/>
      <c r="AG34" s="6"/>
      <c r="AH34" s="21">
        <f t="shared" si="0"/>
        <v>15</v>
      </c>
      <c r="AI34" s="23">
        <f t="shared" si="1"/>
        <v>6</v>
      </c>
      <c r="AJ34" s="30">
        <f t="shared" si="2"/>
        <v>21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21">
        <f t="shared" si="0"/>
        <v>4</v>
      </c>
      <c r="AI35" s="23">
        <f t="shared" si="1"/>
        <v>17</v>
      </c>
      <c r="AJ35" s="30">
        <f t="shared" si="2"/>
        <v>21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/>
      <c r="Y36" s="6"/>
      <c r="Z36" s="6"/>
      <c r="AA36" s="6"/>
      <c r="AB36" s="6"/>
      <c r="AC36" s="6"/>
      <c r="AD36" s="6"/>
      <c r="AE36" s="6"/>
      <c r="AF36" s="6"/>
      <c r="AG36" s="4"/>
      <c r="AH36" s="21">
        <f t="shared" si="0"/>
        <v>8</v>
      </c>
      <c r="AI36" s="23">
        <f t="shared" si="1"/>
        <v>13</v>
      </c>
      <c r="AJ36" s="30">
        <f t="shared" si="2"/>
        <v>21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21">
        <f t="shared" si="0"/>
        <v>16</v>
      </c>
      <c r="AI37" s="23">
        <f t="shared" si="1"/>
        <v>5</v>
      </c>
      <c r="AJ37" s="30">
        <f t="shared" si="2"/>
        <v>21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6"/>
      <c r="Y38" s="4"/>
      <c r="Z38" s="6"/>
      <c r="AA38" s="6"/>
      <c r="AB38" s="6"/>
      <c r="AC38" s="6"/>
      <c r="AD38" s="6"/>
      <c r="AE38" s="4"/>
      <c r="AF38" s="6"/>
      <c r="AG38" s="6"/>
      <c r="AH38" s="21">
        <f t="shared" ref="AH38" si="5">COUNTIF(C38:AG38,"+")</f>
        <v>7</v>
      </c>
      <c r="AI38" s="23">
        <f t="shared" ref="AI38" si="6">COUNTIF(C38:AG38,"-")</f>
        <v>3</v>
      </c>
      <c r="AJ38" s="30">
        <f t="shared" ref="AJ38" si="7">SUM(AH38:AI38)</f>
        <v>10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/>
      <c r="Y39" s="4"/>
      <c r="Z39" s="6"/>
      <c r="AA39" s="6"/>
      <c r="AB39" s="6"/>
      <c r="AC39" s="6"/>
      <c r="AD39" s="6"/>
      <c r="AE39" s="4"/>
      <c r="AF39" s="6"/>
      <c r="AG39" s="6"/>
      <c r="AH39" s="21">
        <f t="shared" si="0"/>
        <v>15</v>
      </c>
      <c r="AI39" s="23">
        <f t="shared" si="1"/>
        <v>6</v>
      </c>
      <c r="AJ39" s="30">
        <f t="shared" si="2"/>
        <v>21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/>
      <c r="Y40" s="6"/>
      <c r="Z40" s="6"/>
      <c r="AA40" s="6"/>
      <c r="AB40" s="6"/>
      <c r="AC40" s="6"/>
      <c r="AD40" s="6"/>
      <c r="AE40" s="6"/>
      <c r="AF40" s="6"/>
      <c r="AG40" s="4"/>
      <c r="AH40" s="21">
        <f t="shared" si="0"/>
        <v>18</v>
      </c>
      <c r="AI40" s="23">
        <f t="shared" si="1"/>
        <v>3</v>
      </c>
      <c r="AJ40" s="30">
        <f t="shared" si="2"/>
        <v>21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6"/>
      <c r="Y41" s="6"/>
      <c r="Z41" s="6"/>
      <c r="AA41" s="6"/>
      <c r="AB41" s="6"/>
      <c r="AC41" s="6"/>
      <c r="AD41" s="6"/>
      <c r="AE41" s="4"/>
      <c r="AF41" s="6"/>
      <c r="AG41" s="6"/>
      <c r="AH41" s="21">
        <f t="shared" si="0"/>
        <v>13</v>
      </c>
      <c r="AI41" s="23">
        <f t="shared" si="1"/>
        <v>8</v>
      </c>
      <c r="AJ41" s="30">
        <f t="shared" si="2"/>
        <v>21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21">
        <f t="shared" si="0"/>
        <v>16</v>
      </c>
      <c r="AI42" s="23">
        <f t="shared" si="1"/>
        <v>5</v>
      </c>
      <c r="AJ42" s="30">
        <f t="shared" si="2"/>
        <v>21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21">
        <f t="shared" si="0"/>
        <v>2</v>
      </c>
      <c r="AI43" s="23">
        <f t="shared" si="1"/>
        <v>19</v>
      </c>
      <c r="AJ43" s="30">
        <f t="shared" si="2"/>
        <v>21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/>
      <c r="Y44" s="4"/>
      <c r="Z44" s="6"/>
      <c r="AA44" s="6"/>
      <c r="AB44" s="6"/>
      <c r="AC44" s="6"/>
      <c r="AD44" s="6"/>
      <c r="AE44" s="6"/>
      <c r="AF44" s="6"/>
      <c r="AG44" s="6"/>
      <c r="AH44" s="21">
        <f t="shared" si="0"/>
        <v>16</v>
      </c>
      <c r="AI44" s="23">
        <f t="shared" si="1"/>
        <v>5</v>
      </c>
      <c r="AJ44" s="30">
        <f t="shared" si="2"/>
        <v>21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/>
      <c r="Y45" s="4"/>
      <c r="Z45" s="6"/>
      <c r="AA45" s="6"/>
      <c r="AB45" s="6"/>
      <c r="AC45" s="6"/>
      <c r="AD45" s="6"/>
      <c r="AE45" s="6"/>
      <c r="AF45" s="6"/>
      <c r="AG45" s="4"/>
      <c r="AH45" s="21">
        <f t="shared" si="0"/>
        <v>17</v>
      </c>
      <c r="AI45" s="23">
        <f t="shared" si="1"/>
        <v>4</v>
      </c>
      <c r="AJ45" s="30">
        <f t="shared" si="2"/>
        <v>21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21">
        <f t="shared" si="0"/>
        <v>12</v>
      </c>
      <c r="AI46" s="23">
        <f t="shared" si="1"/>
        <v>9</v>
      </c>
      <c r="AJ46" s="30">
        <f t="shared" si="2"/>
        <v>21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21">
        <f t="shared" si="0"/>
        <v>18</v>
      </c>
      <c r="AI47" s="23">
        <f t="shared" si="1"/>
        <v>3</v>
      </c>
      <c r="AJ47" s="30">
        <f t="shared" si="2"/>
        <v>21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/>
      <c r="Y48" s="4"/>
      <c r="Z48" s="4"/>
      <c r="AA48" s="4"/>
      <c r="AB48" s="4"/>
      <c r="AC48" s="4"/>
      <c r="AD48" s="6"/>
      <c r="AE48" s="4"/>
      <c r="AF48" s="4"/>
      <c r="AG48" s="6"/>
      <c r="AH48" s="21">
        <f t="shared" si="0"/>
        <v>16</v>
      </c>
      <c r="AI48" s="23">
        <f t="shared" si="1"/>
        <v>5</v>
      </c>
      <c r="AJ48" s="30">
        <f t="shared" si="2"/>
        <v>21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6"/>
      <c r="Y49" s="6"/>
      <c r="Z49" s="4"/>
      <c r="AA49" s="4"/>
      <c r="AB49" s="4"/>
      <c r="AC49" s="4"/>
      <c r="AD49" s="6"/>
      <c r="AE49" s="4"/>
      <c r="AF49" s="4"/>
      <c r="AG49" s="4"/>
      <c r="AH49" s="21">
        <f t="shared" si="0"/>
        <v>5</v>
      </c>
      <c r="AI49" s="23">
        <f t="shared" si="1"/>
        <v>16</v>
      </c>
      <c r="AJ49" s="30">
        <f t="shared" si="2"/>
        <v>21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/>
      <c r="Y50" s="6"/>
      <c r="Z50" s="6"/>
      <c r="AA50" s="6"/>
      <c r="AB50" s="6"/>
      <c r="AC50" s="6"/>
      <c r="AD50" s="6"/>
      <c r="AE50" s="4"/>
      <c r="AF50" s="4"/>
      <c r="AG50" s="4"/>
      <c r="AH50" s="21">
        <f t="shared" si="0"/>
        <v>6</v>
      </c>
      <c r="AI50" s="23">
        <f t="shared" si="1"/>
        <v>15</v>
      </c>
      <c r="AJ50" s="30">
        <f t="shared" si="2"/>
        <v>21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/>
      <c r="Y51" s="5"/>
      <c r="Z51" s="5"/>
      <c r="AA51" s="5"/>
      <c r="AB51" s="5"/>
      <c r="AC51" s="5"/>
      <c r="AD51" s="6"/>
      <c r="AE51" s="5"/>
      <c r="AF51" s="5"/>
      <c r="AG51" s="5"/>
      <c r="AH51" s="21">
        <f t="shared" si="0"/>
        <v>19</v>
      </c>
      <c r="AI51" s="23">
        <f t="shared" si="1"/>
        <v>2</v>
      </c>
      <c r="AJ51" s="30">
        <f>SUM(AH51:AI51)</f>
        <v>21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5"/>
      <c r="Y52" s="5"/>
      <c r="Z52" s="3"/>
      <c r="AA52" s="3"/>
      <c r="AB52" s="3"/>
      <c r="AC52" s="3"/>
      <c r="AD52" s="6"/>
      <c r="AE52" s="3"/>
      <c r="AF52" s="5"/>
      <c r="AG52" s="3"/>
      <c r="AH52" s="21">
        <f t="shared" ref="AH52" si="8">COUNTIF(C52:AG52,"+")</f>
        <v>9</v>
      </c>
      <c r="AI52" s="23">
        <f t="shared" ref="AI52" si="9">COUNTIF(C52:AG52,"-")</f>
        <v>7</v>
      </c>
      <c r="AJ52" s="30">
        <f>SUM(AH52:AI52)</f>
        <v>16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/>
      <c r="Y53" s="6"/>
      <c r="Z53" s="4"/>
      <c r="AA53" s="4"/>
      <c r="AB53" s="4"/>
      <c r="AC53" s="4"/>
      <c r="AD53" s="6"/>
      <c r="AE53" s="4"/>
      <c r="AF53" s="6"/>
      <c r="AG53" s="4"/>
      <c r="AH53" s="21">
        <f t="shared" si="0"/>
        <v>12</v>
      </c>
      <c r="AI53" s="23">
        <f t="shared" si="1"/>
        <v>9</v>
      </c>
      <c r="AJ53" s="30">
        <f t="shared" ref="AJ53:AJ61" si="10">SUM(AH53:AI53)</f>
        <v>21</v>
      </c>
    </row>
    <row r="54" spans="1:36" x14ac:dyDescent="0.25">
      <c r="A54" s="15">
        <f t="shared" si="3"/>
        <v>51</v>
      </c>
      <c r="B54" s="16" t="s">
        <v>57</v>
      </c>
      <c r="C54" s="3" t="s">
        <v>48</v>
      </c>
      <c r="D54" s="4" t="s">
        <v>48</v>
      </c>
      <c r="E54" s="4" t="s">
        <v>48</v>
      </c>
      <c r="F54" s="4" t="s">
        <v>48</v>
      </c>
      <c r="G54" s="4" t="s">
        <v>48</v>
      </c>
      <c r="H54" s="4" t="s">
        <v>48</v>
      </c>
      <c r="I54" s="4" t="s">
        <v>48</v>
      </c>
      <c r="J54" s="4" t="s">
        <v>48</v>
      </c>
      <c r="K54" s="4" t="s">
        <v>48</v>
      </c>
      <c r="L54" s="4" t="s">
        <v>48</v>
      </c>
      <c r="M54" s="4" t="s">
        <v>48</v>
      </c>
      <c r="N54" s="4" t="s">
        <v>48</v>
      </c>
      <c r="O54" s="4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4" t="s">
        <v>48</v>
      </c>
      <c r="V54" s="4" t="s">
        <v>48</v>
      </c>
      <c r="W54" s="4" t="s">
        <v>48</v>
      </c>
      <c r="X54" s="6"/>
      <c r="Y54" s="6"/>
      <c r="Z54" s="6"/>
      <c r="AA54" s="6"/>
      <c r="AB54" s="6"/>
      <c r="AC54" s="6"/>
      <c r="AD54" s="6"/>
      <c r="AE54" s="4"/>
      <c r="AF54" s="4"/>
      <c r="AG54" s="4"/>
      <c r="AH54" s="21">
        <f t="shared" si="0"/>
        <v>0</v>
      </c>
      <c r="AI54" s="23">
        <f t="shared" si="1"/>
        <v>21</v>
      </c>
      <c r="AJ54" s="30">
        <f t="shared" si="10"/>
        <v>21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/>
      <c r="Y55" s="6"/>
      <c r="Z55" s="6"/>
      <c r="AA55" s="6"/>
      <c r="AB55" s="6"/>
      <c r="AC55" s="6"/>
      <c r="AD55" s="6"/>
      <c r="AE55" s="4"/>
      <c r="AF55" s="4"/>
      <c r="AG55" s="4"/>
      <c r="AH55" s="21">
        <f t="shared" si="0"/>
        <v>19</v>
      </c>
      <c r="AI55" s="23">
        <f t="shared" si="1"/>
        <v>2</v>
      </c>
      <c r="AJ55" s="30">
        <f t="shared" si="10"/>
        <v>21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/>
      <c r="Y56" s="6"/>
      <c r="Z56" s="4"/>
      <c r="AA56" s="4"/>
      <c r="AB56" s="4"/>
      <c r="AC56" s="4"/>
      <c r="AD56" s="6"/>
      <c r="AE56" s="6"/>
      <c r="AF56" s="6"/>
      <c r="AG56" s="4"/>
      <c r="AH56" s="21">
        <f t="shared" si="0"/>
        <v>16</v>
      </c>
      <c r="AI56" s="23">
        <f t="shared" si="1"/>
        <v>5</v>
      </c>
      <c r="AJ56" s="30">
        <f t="shared" si="10"/>
        <v>21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21">
        <f t="shared" si="0"/>
        <v>12</v>
      </c>
      <c r="AI57" s="23">
        <f t="shared" si="1"/>
        <v>9</v>
      </c>
      <c r="AJ57" s="30">
        <f t="shared" si="10"/>
        <v>21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/>
      <c r="Y58" s="4"/>
      <c r="Z58" s="6"/>
      <c r="AA58" s="6"/>
      <c r="AB58" s="6"/>
      <c r="AC58" s="6"/>
      <c r="AD58" s="6"/>
      <c r="AE58" s="6"/>
      <c r="AF58" s="6"/>
      <c r="AG58" s="6"/>
      <c r="AH58" s="21">
        <f t="shared" si="0"/>
        <v>15</v>
      </c>
      <c r="AI58" s="23">
        <f t="shared" si="1"/>
        <v>6</v>
      </c>
      <c r="AJ58" s="30">
        <f t="shared" ref="AJ58" si="11">SUM(AH58:AI58)</f>
        <v>21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/>
      <c r="Y59" s="4"/>
      <c r="Z59" s="6"/>
      <c r="AA59" s="6"/>
      <c r="AB59" s="6"/>
      <c r="AC59" s="6"/>
      <c r="AD59" s="6"/>
      <c r="AE59" s="6"/>
      <c r="AF59" s="6"/>
      <c r="AG59" s="6"/>
      <c r="AH59" s="21">
        <f t="shared" si="0"/>
        <v>17</v>
      </c>
      <c r="AI59" s="23">
        <f t="shared" si="1"/>
        <v>4</v>
      </c>
      <c r="AJ59" s="30">
        <f t="shared" si="10"/>
        <v>21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34" t="s">
        <v>47</v>
      </c>
      <c r="O60" s="34" t="s">
        <v>47</v>
      </c>
      <c r="P60" s="34" t="s">
        <v>47</v>
      </c>
      <c r="Q60" s="6" t="s">
        <v>47</v>
      </c>
      <c r="R60" s="6" t="s">
        <v>48</v>
      </c>
      <c r="S60" s="4" t="s">
        <v>48</v>
      </c>
      <c r="T60" s="6" t="s">
        <v>47</v>
      </c>
      <c r="U60" s="34" t="s">
        <v>47</v>
      </c>
      <c r="V60" s="34" t="s">
        <v>47</v>
      </c>
      <c r="W60" s="4" t="s">
        <v>47</v>
      </c>
      <c r="X60" s="34"/>
      <c r="Y60" s="4"/>
      <c r="Z60" s="4"/>
      <c r="AA60" s="4"/>
      <c r="AB60" s="4"/>
      <c r="AC60" s="4"/>
      <c r="AD60" s="6"/>
      <c r="AE60" s="34"/>
      <c r="AF60" s="34"/>
      <c r="AG60" s="4"/>
      <c r="AH60" s="21">
        <f t="shared" si="0"/>
        <v>13</v>
      </c>
      <c r="AI60" s="23">
        <f t="shared" si="1"/>
        <v>8</v>
      </c>
      <c r="AJ60" s="30">
        <f t="shared" si="10"/>
        <v>21</v>
      </c>
    </row>
    <row r="61" spans="1:36" ht="16.3" thickBot="1" x14ac:dyDescent="0.3">
      <c r="A61" s="15">
        <f t="shared" si="3"/>
        <v>58</v>
      </c>
      <c r="B61" s="19" t="s">
        <v>37</v>
      </c>
      <c r="C61" s="3" t="s">
        <v>48</v>
      </c>
      <c r="D61" s="20" t="s">
        <v>48</v>
      </c>
      <c r="E61" s="20" t="s">
        <v>48</v>
      </c>
      <c r="F61" s="4" t="s">
        <v>48</v>
      </c>
      <c r="G61" s="20" t="s">
        <v>47</v>
      </c>
      <c r="H61" s="4" t="s">
        <v>48</v>
      </c>
      <c r="I61" s="4" t="s">
        <v>48</v>
      </c>
      <c r="J61" s="4" t="s">
        <v>48</v>
      </c>
      <c r="K61" s="4" t="s">
        <v>48</v>
      </c>
      <c r="L61" s="4" t="s">
        <v>48</v>
      </c>
      <c r="M61" s="4" t="s">
        <v>48</v>
      </c>
      <c r="N61" s="4" t="s">
        <v>48</v>
      </c>
      <c r="O61" s="4" t="s">
        <v>48</v>
      </c>
      <c r="P61" s="4" t="s">
        <v>48</v>
      </c>
      <c r="Q61" s="6" t="s">
        <v>48</v>
      </c>
      <c r="R61" s="6" t="s">
        <v>48</v>
      </c>
      <c r="S61" s="4" t="s">
        <v>48</v>
      </c>
      <c r="T61" s="4" t="s">
        <v>48</v>
      </c>
      <c r="U61" s="4" t="s">
        <v>48</v>
      </c>
      <c r="V61" s="4" t="s">
        <v>48</v>
      </c>
      <c r="W61" s="6" t="s">
        <v>47</v>
      </c>
      <c r="X61" s="20"/>
      <c r="Y61" s="20"/>
      <c r="Z61" s="6"/>
      <c r="AA61" s="34"/>
      <c r="AB61" s="34"/>
      <c r="AC61" s="34"/>
      <c r="AD61" s="20"/>
      <c r="AE61" s="20"/>
      <c r="AF61" s="20"/>
      <c r="AG61" s="20"/>
      <c r="AH61" s="22">
        <f t="shared" si="0"/>
        <v>2</v>
      </c>
      <c r="AI61" s="24">
        <f t="shared" si="1"/>
        <v>19</v>
      </c>
      <c r="AJ61" s="31">
        <f t="shared" si="10"/>
        <v>21</v>
      </c>
    </row>
    <row r="62" spans="1:36" x14ac:dyDescent="0.25">
      <c r="A62" s="35" t="s">
        <v>53</v>
      </c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</row>
  </sheetData>
  <autoFilter ref="C2:AG62"/>
  <mergeCells count="2">
    <mergeCell ref="A1:AJ1"/>
    <mergeCell ref="A62:AJ62"/>
  </mergeCells>
  <conditionalFormatting sqref="C4:AG61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2019-03-01T11:49:20Z</cp:lastPrinted>
  <dcterms:created xsi:type="dcterms:W3CDTF">2018-09-27T16:52:37Z</dcterms:created>
  <dcterms:modified xsi:type="dcterms:W3CDTF">2019-03-25T12:05:11Z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