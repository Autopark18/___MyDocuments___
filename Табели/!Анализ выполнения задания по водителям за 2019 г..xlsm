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3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Данные" sheetId="2" state="hidden" r:id="rId5"/>
  </sheets>
  <functionGroups builtInGroupCount="18"/>
  <definedNames>
    <definedName name="_xlnm._FilterDatabase" localSheetId="3" hidden="1">'Апрель 2019'!$C$2:$AF$64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7" l="1"/>
  <c r="A5" i="6"/>
  <c r="AH62" i="7" l="1"/>
  <c r="AG62" i="7"/>
  <c r="AH61" i="7"/>
  <c r="AG61" i="7"/>
  <c r="AH60" i="7"/>
  <c r="AG60" i="7"/>
  <c r="AH59" i="7"/>
  <c r="AG59" i="7"/>
  <c r="AH58" i="7"/>
  <c r="AG58" i="7"/>
  <c r="AH57" i="7"/>
  <c r="AG57" i="7"/>
  <c r="AH55" i="7"/>
  <c r="AG55" i="7"/>
  <c r="AH54" i="7"/>
  <c r="AG54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H4" i="7"/>
  <c r="AG4" i="7"/>
  <c r="A1" i="7"/>
  <c r="AI59" i="7" l="1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4" i="7"/>
  <c r="AI55" i="7"/>
  <c r="AI57" i="7"/>
  <c r="AI58" i="7"/>
  <c r="AI60" i="7"/>
  <c r="AI61" i="7"/>
  <c r="AI62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<sst xmlns="http://schemas.openxmlformats.org/spreadsheetml/2006/main" count="6250" uniqueCount="75">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</sst>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3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2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C4" sqref="C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1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4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O4" sqref="O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7">
        <f t="shared" ref="AG4:AG35" si="0">COUNTIF(C4:AF4,"+")</f>
        <v>11</v>
      </c>
      <c r="AH4" s="25">
        <f t="shared" ref="AH4:AH35" si="1">COUNTIF(C4:AF4,"-")</f>
        <v>1</v>
      </c>
      <c r="AI4" s="29">
        <f t="shared" ref="AI4:AI50" si="2">SUM(AG4:AH4)</f>
        <v>12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7">
        <f t="shared" si="0"/>
        <v>9</v>
      </c>
      <c r="AH5" s="25">
        <f t="shared" si="1"/>
        <v>3</v>
      </c>
      <c r="AI5" s="29">
        <f t="shared" si="2"/>
        <v>12</v>
      </c>
    </row>
    <row r="6" spans="1:37" x14ac:dyDescent="0.25">
      <c r="A6" s="15">
        <f t="shared" ref="A6:A62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/>
      <c r="P6" s="6"/>
      <c r="Q6" s="6"/>
      <c r="R6" s="6"/>
      <c r="S6" s="6"/>
      <c r="T6" s="6"/>
      <c r="U6" s="6"/>
      <c r="V6" s="6"/>
      <c r="W6" s="4"/>
      <c r="X6" s="6"/>
      <c r="Y6" s="4"/>
      <c r="Z6" s="4"/>
      <c r="AA6" s="4"/>
      <c r="AB6" s="6"/>
      <c r="AC6" s="6"/>
      <c r="AD6" s="6"/>
      <c r="AE6" s="6"/>
      <c r="AF6" s="6"/>
      <c r="AG6" s="21">
        <f t="shared" si="0"/>
        <v>11</v>
      </c>
      <c r="AH6" s="23">
        <f t="shared" si="1"/>
        <v>1</v>
      </c>
      <c r="AI6" s="30">
        <f t="shared" si="2"/>
        <v>12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/>
      <c r="P7" s="4"/>
      <c r="Q7" s="6"/>
      <c r="R7" s="4"/>
      <c r="S7" s="6"/>
      <c r="T7" s="4"/>
      <c r="U7" s="6"/>
      <c r="V7" s="6"/>
      <c r="W7" s="4"/>
      <c r="X7" s="6"/>
      <c r="Y7" s="6"/>
      <c r="Z7" s="4"/>
      <c r="AA7" s="4"/>
      <c r="AB7" s="6"/>
      <c r="AC7" s="6"/>
      <c r="AD7" s="6"/>
      <c r="AE7" s="6"/>
      <c r="AF7" s="6"/>
      <c r="AG7" s="21">
        <f t="shared" si="0"/>
        <v>9</v>
      </c>
      <c r="AH7" s="23">
        <f t="shared" si="1"/>
        <v>3</v>
      </c>
      <c r="AI7" s="30">
        <f t="shared" si="2"/>
        <v>12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6"/>
      <c r="P8" s="4"/>
      <c r="Q8" s="6"/>
      <c r="R8" s="6"/>
      <c r="S8" s="6"/>
      <c r="T8" s="6"/>
      <c r="U8" s="4"/>
      <c r="V8" s="4"/>
      <c r="W8" s="4"/>
      <c r="X8" s="6"/>
      <c r="Y8" s="6"/>
      <c r="Z8" s="4"/>
      <c r="AA8" s="4"/>
      <c r="AB8" s="4"/>
      <c r="AC8" s="6"/>
      <c r="AD8" s="4"/>
      <c r="AE8" s="6"/>
      <c r="AF8" s="4"/>
      <c r="AG8" s="21">
        <f t="shared" si="0"/>
        <v>9</v>
      </c>
      <c r="AH8" s="23">
        <f t="shared" si="1"/>
        <v>3</v>
      </c>
      <c r="AI8" s="30">
        <f t="shared" si="2"/>
        <v>12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6"/>
      <c r="P9" s="4"/>
      <c r="Q9" s="6"/>
      <c r="R9" s="6"/>
      <c r="S9" s="4"/>
      <c r="T9" s="4"/>
      <c r="U9" s="6"/>
      <c r="V9" s="4"/>
      <c r="W9" s="4"/>
      <c r="X9" s="6"/>
      <c r="Y9" s="4"/>
      <c r="Z9" s="4"/>
      <c r="AA9" s="4"/>
      <c r="AB9" s="4"/>
      <c r="AC9" s="4"/>
      <c r="AD9" s="6"/>
      <c r="AE9" s="4"/>
      <c r="AF9" s="4"/>
      <c r="AG9" s="21">
        <f t="shared" si="0"/>
        <v>11</v>
      </c>
      <c r="AH9" s="23">
        <f t="shared" si="1"/>
        <v>1</v>
      </c>
      <c r="AI9" s="30">
        <f t="shared" si="2"/>
        <v>12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/>
      <c r="P10" s="6"/>
      <c r="Q10" s="6"/>
      <c r="R10" s="4"/>
      <c r="S10" s="4"/>
      <c r="T10" s="6"/>
      <c r="U10" s="6"/>
      <c r="V10" s="6"/>
      <c r="W10" s="6"/>
      <c r="X10" s="6"/>
      <c r="Y10" s="6"/>
      <c r="Z10" s="6"/>
      <c r="AA10" s="6"/>
      <c r="AB10" s="6"/>
      <c r="AC10" s="4"/>
      <c r="AD10" s="6"/>
      <c r="AE10" s="6"/>
      <c r="AF10" s="6"/>
      <c r="AG10" s="21">
        <f t="shared" si="0"/>
        <v>10</v>
      </c>
      <c r="AH10" s="23">
        <f t="shared" si="1"/>
        <v>2</v>
      </c>
      <c r="AI10" s="30">
        <f t="shared" si="2"/>
        <v>12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/>
      <c r="P11" s="4"/>
      <c r="Q11" s="6"/>
      <c r="R11" s="6"/>
      <c r="S11" s="4"/>
      <c r="T11" s="4"/>
      <c r="U11" s="4"/>
      <c r="V11" s="6"/>
      <c r="W11" s="6"/>
      <c r="X11" s="6"/>
      <c r="Y11" s="4"/>
      <c r="Z11" s="4"/>
      <c r="AA11" s="4"/>
      <c r="AB11" s="6"/>
      <c r="AC11" s="6"/>
      <c r="AD11" s="6"/>
      <c r="AE11" s="6"/>
      <c r="AF11" s="4"/>
      <c r="AG11" s="21">
        <f t="shared" si="0"/>
        <v>8</v>
      </c>
      <c r="AH11" s="23">
        <f t="shared" si="1"/>
        <v>4</v>
      </c>
      <c r="AI11" s="30">
        <f t="shared" si="2"/>
        <v>12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/>
      <c r="P12" s="4"/>
      <c r="Q12" s="4"/>
      <c r="R12" s="6"/>
      <c r="S12" s="6"/>
      <c r="T12" s="4"/>
      <c r="U12" s="4"/>
      <c r="V12" s="6"/>
      <c r="W12" s="6"/>
      <c r="X12" s="6"/>
      <c r="Y12" s="4"/>
      <c r="Z12" s="4"/>
      <c r="AA12" s="6"/>
      <c r="AB12" s="6"/>
      <c r="AC12" s="6"/>
      <c r="AD12" s="6"/>
      <c r="AE12" s="6"/>
      <c r="AF12" s="4"/>
      <c r="AG12" s="21">
        <f t="shared" si="0"/>
        <v>10</v>
      </c>
      <c r="AH12" s="23">
        <f t="shared" si="1"/>
        <v>2</v>
      </c>
      <c r="AI12" s="30">
        <f t="shared" si="2"/>
        <v>12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/>
      <c r="P13" s="4"/>
      <c r="Q13" s="6"/>
      <c r="R13" s="6"/>
      <c r="S13" s="6"/>
      <c r="T13" s="6"/>
      <c r="U13" s="4"/>
      <c r="V13" s="4"/>
      <c r="W13" s="6"/>
      <c r="X13" s="6"/>
      <c r="Y13" s="6"/>
      <c r="Z13" s="6"/>
      <c r="AA13" s="6"/>
      <c r="AB13" s="6"/>
      <c r="AC13" s="6"/>
      <c r="AD13" s="6"/>
      <c r="AE13" s="6"/>
      <c r="AF13" s="4"/>
      <c r="AG13" s="21">
        <f t="shared" si="0"/>
        <v>7</v>
      </c>
      <c r="AH13" s="23">
        <f t="shared" si="1"/>
        <v>5</v>
      </c>
      <c r="AI13" s="30">
        <f t="shared" si="2"/>
        <v>12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/>
      <c r="AG14" s="21">
        <f t="shared" si="0"/>
        <v>6</v>
      </c>
      <c r="AH14" s="23">
        <f t="shared" si="1"/>
        <v>6</v>
      </c>
      <c r="AI14" s="30">
        <f>SUM(AG14:AH14)</f>
        <v>12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/>
      <c r="P15" s="6"/>
      <c r="Q15" s="6"/>
      <c r="R15" s="6"/>
      <c r="S15" s="4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21">
        <f t="shared" si="0"/>
        <v>9</v>
      </c>
      <c r="AH15" s="23">
        <f t="shared" si="1"/>
        <v>3</v>
      </c>
      <c r="AI15" s="30">
        <f t="shared" si="2"/>
        <v>12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6"/>
      <c r="P16" s="4"/>
      <c r="Q16" s="6"/>
      <c r="R16" s="4"/>
      <c r="S16" s="4"/>
      <c r="T16" s="6"/>
      <c r="U16" s="6"/>
      <c r="V16" s="6"/>
      <c r="W16" s="6"/>
      <c r="X16" s="6"/>
      <c r="Y16" s="4"/>
      <c r="Z16" s="6"/>
      <c r="AA16" s="6"/>
      <c r="AB16" s="6"/>
      <c r="AC16" s="4"/>
      <c r="AD16" s="6"/>
      <c r="AE16" s="4"/>
      <c r="AF16" s="4"/>
      <c r="AG16" s="21">
        <f t="shared" si="0"/>
        <v>10</v>
      </c>
      <c r="AH16" s="23">
        <f t="shared" si="1"/>
        <v>2</v>
      </c>
      <c r="AI16" s="30">
        <f t="shared" si="2"/>
        <v>12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/>
      <c r="P17" s="6"/>
      <c r="Q17" s="6"/>
      <c r="R17" s="6"/>
      <c r="S17" s="4"/>
      <c r="T17" s="6"/>
      <c r="U17" s="6"/>
      <c r="V17" s="6"/>
      <c r="W17" s="6"/>
      <c r="X17" s="6"/>
      <c r="Y17" s="6"/>
      <c r="Z17" s="6"/>
      <c r="AA17" s="6"/>
      <c r="AB17" s="6"/>
      <c r="AC17" s="6"/>
      <c r="AD17" s="4"/>
      <c r="AE17" s="6"/>
      <c r="AF17" s="6"/>
      <c r="AG17" s="21">
        <f t="shared" si="0"/>
        <v>9</v>
      </c>
      <c r="AH17" s="23">
        <f t="shared" si="1"/>
        <v>3</v>
      </c>
      <c r="AI17" s="30">
        <f t="shared" si="2"/>
        <v>12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/>
      <c r="P18" s="6"/>
      <c r="Q18" s="6"/>
      <c r="R18" s="6"/>
      <c r="S18" s="6"/>
      <c r="T18" s="6"/>
      <c r="U18" s="6"/>
      <c r="V18" s="6"/>
      <c r="W18" s="6"/>
      <c r="X18" s="6"/>
      <c r="Y18" s="4"/>
      <c r="Z18" s="6"/>
      <c r="AA18" s="6"/>
      <c r="AB18" s="6"/>
      <c r="AC18" s="6"/>
      <c r="AD18" s="6"/>
      <c r="AE18" s="6"/>
      <c r="AF18" s="6"/>
      <c r="AG18" s="21">
        <f t="shared" si="0"/>
        <v>12</v>
      </c>
      <c r="AH18" s="23">
        <f t="shared" si="1"/>
        <v>0</v>
      </c>
      <c r="AI18" s="30">
        <f t="shared" si="2"/>
        <v>12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/>
      <c r="P19" s="6"/>
      <c r="Q19" s="6"/>
      <c r="R19" s="6"/>
      <c r="S19" s="4"/>
      <c r="T19" s="4"/>
      <c r="U19" s="6"/>
      <c r="V19" s="6"/>
      <c r="W19" s="4"/>
      <c r="X19" s="4"/>
      <c r="Y19" s="6"/>
      <c r="Z19" s="6"/>
      <c r="AA19" s="4"/>
      <c r="AB19" s="6"/>
      <c r="AC19" s="6"/>
      <c r="AD19" s="6"/>
      <c r="AE19" s="4"/>
      <c r="AF19" s="6"/>
      <c r="AG19" s="21">
        <f t="shared" si="0"/>
        <v>8</v>
      </c>
      <c r="AH19" s="23">
        <f t="shared" si="1"/>
        <v>4</v>
      </c>
      <c r="AI19" s="30">
        <f t="shared" si="2"/>
        <v>12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/>
      <c r="P20" s="4"/>
      <c r="Q20" s="6"/>
      <c r="R20" s="6"/>
      <c r="S20" s="6"/>
      <c r="T20" s="6"/>
      <c r="U20" s="6"/>
      <c r="V20" s="6"/>
      <c r="W20" s="4"/>
      <c r="X20" s="4"/>
      <c r="Y20" s="6"/>
      <c r="Z20" s="6"/>
      <c r="AA20" s="6"/>
      <c r="AB20" s="6"/>
      <c r="AC20" s="6"/>
      <c r="AD20" s="6"/>
      <c r="AE20" s="6"/>
      <c r="AF20" s="6"/>
      <c r="AG20" s="21">
        <f t="shared" si="0"/>
        <v>10</v>
      </c>
      <c r="AH20" s="23">
        <f t="shared" si="1"/>
        <v>2</v>
      </c>
      <c r="AI20" s="30">
        <f t="shared" si="2"/>
        <v>12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/>
      <c r="P21" s="4"/>
      <c r="Q21" s="4"/>
      <c r="R21" s="4"/>
      <c r="S21" s="6"/>
      <c r="T21" s="4"/>
      <c r="U21" s="6"/>
      <c r="V21" s="6"/>
      <c r="W21" s="4"/>
      <c r="X21" s="6"/>
      <c r="Y21" s="4"/>
      <c r="Z21" s="4"/>
      <c r="AA21" s="6"/>
      <c r="AB21" s="6"/>
      <c r="AC21" s="6"/>
      <c r="AD21" s="6"/>
      <c r="AE21" s="6"/>
      <c r="AF21" s="4"/>
      <c r="AG21" s="21">
        <f t="shared" si="0"/>
        <v>7</v>
      </c>
      <c r="AH21" s="23">
        <f t="shared" si="1"/>
        <v>5</v>
      </c>
      <c r="AI21" s="30">
        <f t="shared" si="2"/>
        <v>12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/>
      <c r="P22" s="6"/>
      <c r="Q22" s="6"/>
      <c r="R22" s="4"/>
      <c r="S22" s="4"/>
      <c r="T22" s="6"/>
      <c r="U22" s="6"/>
      <c r="V22" s="6"/>
      <c r="W22" s="6"/>
      <c r="X22" s="6"/>
      <c r="Y22" s="6"/>
      <c r="Z22" s="4"/>
      <c r="AA22" s="4"/>
      <c r="AB22" s="4"/>
      <c r="AC22" s="4"/>
      <c r="AD22" s="4"/>
      <c r="AE22" s="6"/>
      <c r="AF22" s="6"/>
      <c r="AG22" s="21">
        <f t="shared" si="0"/>
        <v>9</v>
      </c>
      <c r="AH22" s="23">
        <f t="shared" si="1"/>
        <v>3</v>
      </c>
      <c r="AI22" s="30">
        <f>SUM(AG22:AH22)</f>
        <v>12</v>
      </c>
    </row>
    <row r="23" spans="1:35" x14ac:dyDescent="0.25">
      <c r="A23" s="15">
        <f t="shared" si="3"/>
        <v>20</v>
      </c>
      <c r="B23" s="16" t="s">
        <v>13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/>
      <c r="P23" s="4"/>
      <c r="Q23" s="6"/>
      <c r="R23" s="6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21">
        <f t="shared" si="0"/>
        <v>0</v>
      </c>
      <c r="AH23" s="23">
        <f t="shared" si="1"/>
        <v>12</v>
      </c>
      <c r="AI23" s="30">
        <f t="shared" si="2"/>
        <v>12</v>
      </c>
    </row>
    <row r="24" spans="1:35" x14ac:dyDescent="0.25">
      <c r="A24" s="15">
        <f t="shared" si="3"/>
        <v>21</v>
      </c>
      <c r="B24" s="16" t="s">
        <v>52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4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/>
      <c r="P24" s="6"/>
      <c r="Q24" s="6"/>
      <c r="R24" s="6"/>
      <c r="S24" s="4"/>
      <c r="T24" s="6"/>
      <c r="U24" s="6"/>
      <c r="V24" s="6"/>
      <c r="W24" s="6"/>
      <c r="X24" s="6"/>
      <c r="Y24" s="6"/>
      <c r="Z24" s="6"/>
      <c r="AA24" s="6"/>
      <c r="AB24" s="6"/>
      <c r="AC24" s="4"/>
      <c r="AD24" s="4"/>
      <c r="AE24" s="4"/>
      <c r="AF24" s="4"/>
      <c r="AG24" s="21">
        <f t="shared" si="0"/>
        <v>0</v>
      </c>
      <c r="AH24" s="23">
        <f t="shared" si="1"/>
        <v>12</v>
      </c>
      <c r="AI24" s="30">
        <f t="shared" si="2"/>
        <v>12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4" t="s">
        <v>48</v>
      </c>
      <c r="L25" s="6" t="s">
        <v>48</v>
      </c>
      <c r="M25" s="6" t="s">
        <v>48</v>
      </c>
      <c r="N25" s="4" t="s">
        <v>48</v>
      </c>
      <c r="O25" s="6"/>
      <c r="P25" s="6"/>
      <c r="Q25" s="6"/>
      <c r="R25" s="6"/>
      <c r="S25" s="6"/>
      <c r="T25" s="6"/>
      <c r="U25" s="6"/>
      <c r="V25" s="6"/>
      <c r="W25" s="6"/>
      <c r="X25" s="6"/>
      <c r="Y25" s="4"/>
      <c r="Z25" s="6"/>
      <c r="AA25" s="6"/>
      <c r="AB25" s="6"/>
      <c r="AC25" s="6"/>
      <c r="AD25" s="6"/>
      <c r="AE25" s="6"/>
      <c r="AF25" s="6"/>
      <c r="AG25" s="21">
        <f t="shared" si="0"/>
        <v>8</v>
      </c>
      <c r="AH25" s="23">
        <f t="shared" si="1"/>
        <v>4</v>
      </c>
      <c r="AI25" s="30">
        <f t="shared" si="2"/>
        <v>12</v>
      </c>
    </row>
    <row r="26" spans="1:35" x14ac:dyDescent="0.25">
      <c r="A26" s="15">
        <f t="shared" si="3"/>
        <v>23</v>
      </c>
      <c r="B26" s="17" t="s">
        <v>15</v>
      </c>
      <c r="C26" s="3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48</v>
      </c>
      <c r="J26" s="4" t="s">
        <v>48</v>
      </c>
      <c r="K26" s="4" t="s">
        <v>47</v>
      </c>
      <c r="L26" s="6" t="s">
        <v>47</v>
      </c>
      <c r="M26" s="6" t="s">
        <v>47</v>
      </c>
      <c r="N26" s="6" t="s">
        <v>47</v>
      </c>
      <c r="O26" s="4"/>
      <c r="P26" s="4"/>
      <c r="Q26" s="6"/>
      <c r="R26" s="6"/>
      <c r="S26" s="6"/>
      <c r="T26" s="6"/>
      <c r="U26" s="6"/>
      <c r="V26" s="4"/>
      <c r="W26" s="4"/>
      <c r="X26" s="6"/>
      <c r="Y26" s="6"/>
      <c r="Z26" s="6"/>
      <c r="AA26" s="6"/>
      <c r="AB26" s="4"/>
      <c r="AC26" s="4"/>
      <c r="AD26" s="6"/>
      <c r="AE26" s="6"/>
      <c r="AF26" s="6"/>
      <c r="AG26" s="21">
        <f t="shared" si="0"/>
        <v>8</v>
      </c>
      <c r="AH26" s="23">
        <f t="shared" si="1"/>
        <v>4</v>
      </c>
      <c r="AI26" s="30">
        <f t="shared" si="2"/>
        <v>12</v>
      </c>
    </row>
    <row r="27" spans="1:35" x14ac:dyDescent="0.25">
      <c r="A27" s="15">
        <f t="shared" si="3"/>
        <v>24</v>
      </c>
      <c r="B27" s="17" t="s">
        <v>69</v>
      </c>
      <c r="C27" s="3" t="s">
        <v>47</v>
      </c>
      <c r="D27" s="6" t="s">
        <v>48</v>
      </c>
      <c r="E27" s="6" t="s">
        <v>48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48</v>
      </c>
      <c r="L27" s="6" t="s">
        <v>48</v>
      </c>
      <c r="M27" s="4" t="s">
        <v>47</v>
      </c>
      <c r="N27" s="4" t="s">
        <v>47</v>
      </c>
      <c r="O27" s="6"/>
      <c r="P27" s="4"/>
      <c r="Q27" s="6"/>
      <c r="R27" s="6"/>
      <c r="S27" s="4"/>
      <c r="T27" s="4"/>
      <c r="U27" s="4"/>
      <c r="V27" s="4"/>
      <c r="W27" s="6"/>
      <c r="X27" s="6"/>
      <c r="Y27" s="6"/>
      <c r="Z27" s="6"/>
      <c r="AA27" s="4"/>
      <c r="AB27" s="4"/>
      <c r="AC27" s="6"/>
      <c r="AD27" s="6"/>
      <c r="AE27" s="4"/>
      <c r="AF27" s="4"/>
      <c r="AG27" s="21">
        <f t="shared" si="0"/>
        <v>8</v>
      </c>
      <c r="AH27" s="23">
        <f t="shared" si="1"/>
        <v>4</v>
      </c>
      <c r="AI27" s="30">
        <f t="shared" si="2"/>
        <v>12</v>
      </c>
    </row>
    <row r="28" spans="1:35" x14ac:dyDescent="0.25">
      <c r="A28" s="15">
        <f t="shared" si="3"/>
        <v>25</v>
      </c>
      <c r="B28" s="17" t="s">
        <v>16</v>
      </c>
      <c r="C28" s="3" t="s">
        <v>48</v>
      </c>
      <c r="D28" s="6" t="s">
        <v>48</v>
      </c>
      <c r="E28" s="6" t="s">
        <v>48</v>
      </c>
      <c r="F28" s="6" t="s">
        <v>48</v>
      </c>
      <c r="G28" s="6" t="s">
        <v>48</v>
      </c>
      <c r="H28" s="6" t="s">
        <v>48</v>
      </c>
      <c r="I28" s="4" t="s">
        <v>48</v>
      </c>
      <c r="J28" s="4" t="s">
        <v>48</v>
      </c>
      <c r="K28" s="4" t="s">
        <v>48</v>
      </c>
      <c r="L28" s="6" t="s">
        <v>48</v>
      </c>
      <c r="M28" s="6" t="s">
        <v>48</v>
      </c>
      <c r="N28" s="4" t="s">
        <v>48</v>
      </c>
      <c r="O28" s="6"/>
      <c r="P28" s="6"/>
      <c r="Q28" s="6"/>
      <c r="R28" s="6"/>
      <c r="S28" s="6"/>
      <c r="T28" s="6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21">
        <f t="shared" si="0"/>
        <v>0</v>
      </c>
      <c r="AH28" s="23">
        <f t="shared" si="1"/>
        <v>12</v>
      </c>
      <c r="AI28" s="30">
        <f t="shared" si="2"/>
        <v>12</v>
      </c>
    </row>
    <row r="29" spans="1:35" x14ac:dyDescent="0.25">
      <c r="A29" s="15">
        <f t="shared" si="3"/>
        <v>26</v>
      </c>
      <c r="B29" s="16" t="s">
        <v>42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47</v>
      </c>
      <c r="L29" s="4" t="s">
        <v>47</v>
      </c>
      <c r="M29" s="6" t="s">
        <v>47</v>
      </c>
      <c r="N29" s="4" t="s">
        <v>47</v>
      </c>
      <c r="O29" s="6"/>
      <c r="P29" s="6"/>
      <c r="Q29" s="6"/>
      <c r="R29" s="6"/>
      <c r="S29" s="4"/>
      <c r="T29" s="6"/>
      <c r="U29" s="6"/>
      <c r="V29" s="4"/>
      <c r="W29" s="6"/>
      <c r="X29" s="4"/>
      <c r="Y29" s="4"/>
      <c r="Z29" s="6"/>
      <c r="AA29" s="6"/>
      <c r="AB29" s="6"/>
      <c r="AC29" s="6"/>
      <c r="AD29" s="6"/>
      <c r="AE29" s="6"/>
      <c r="AF29" s="4"/>
      <c r="AG29" s="21">
        <f t="shared" si="0"/>
        <v>10</v>
      </c>
      <c r="AH29" s="23">
        <f t="shared" si="1"/>
        <v>2</v>
      </c>
      <c r="AI29" s="30">
        <f t="shared" si="2"/>
        <v>12</v>
      </c>
    </row>
    <row r="30" spans="1:35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/>
      <c r="P30" s="6"/>
      <c r="Q30" s="6"/>
      <c r="R30" s="6"/>
      <c r="S30" s="4"/>
      <c r="T30" s="6"/>
      <c r="U30" s="6"/>
      <c r="V30" s="4"/>
      <c r="W30" s="6"/>
      <c r="X30" s="4"/>
      <c r="Y30" s="4"/>
      <c r="Z30" s="6"/>
      <c r="AA30" s="6"/>
      <c r="AB30" s="6"/>
      <c r="AC30" s="6"/>
      <c r="AD30" s="6"/>
      <c r="AE30" s="6"/>
      <c r="AF30" s="6"/>
      <c r="AG30" s="21">
        <f t="shared" si="0"/>
        <v>11</v>
      </c>
      <c r="AH30" s="23">
        <f t="shared" si="1"/>
        <v>1</v>
      </c>
      <c r="AI30" s="30">
        <f t="shared" si="2"/>
        <v>12</v>
      </c>
    </row>
    <row r="31" spans="1:35" x14ac:dyDescent="0.25">
      <c r="A31" s="15">
        <f t="shared" si="3"/>
        <v>28</v>
      </c>
      <c r="B31" s="17" t="s">
        <v>63</v>
      </c>
      <c r="C31" s="3" t="s">
        <v>47</v>
      </c>
      <c r="D31" s="6" t="s">
        <v>48</v>
      </c>
      <c r="E31" s="6" t="s">
        <v>48</v>
      </c>
      <c r="F31" s="6" t="s">
        <v>47</v>
      </c>
      <c r="G31" s="6" t="s">
        <v>47</v>
      </c>
      <c r="H31" s="6" t="s">
        <v>48</v>
      </c>
      <c r="I31" s="4" t="s">
        <v>48</v>
      </c>
      <c r="J31" s="4" t="s">
        <v>47</v>
      </c>
      <c r="K31" s="6" t="s">
        <v>47</v>
      </c>
      <c r="L31" s="6" t="s">
        <v>47</v>
      </c>
      <c r="M31" s="6" t="s">
        <v>47</v>
      </c>
      <c r="N31" s="4" t="s">
        <v>47</v>
      </c>
      <c r="O31" s="4"/>
      <c r="P31" s="4"/>
      <c r="Q31" s="6"/>
      <c r="R31" s="6"/>
      <c r="S31" s="4"/>
      <c r="T31" s="6"/>
      <c r="U31" s="6"/>
      <c r="V31" s="6"/>
      <c r="W31" s="4"/>
      <c r="X31" s="4"/>
      <c r="Y31" s="4"/>
      <c r="Z31" s="6"/>
      <c r="AA31" s="6"/>
      <c r="AB31" s="4"/>
      <c r="AC31" s="6"/>
      <c r="AD31" s="6"/>
      <c r="AE31" s="4"/>
      <c r="AF31" s="4"/>
      <c r="AG31" s="21">
        <f t="shared" si="0"/>
        <v>8</v>
      </c>
      <c r="AH31" s="23">
        <f t="shared" si="1"/>
        <v>4</v>
      </c>
      <c r="AI31" s="30">
        <f t="shared" si="2"/>
        <v>12</v>
      </c>
    </row>
    <row r="32" spans="1:35" x14ac:dyDescent="0.25">
      <c r="A32" s="15">
        <f t="shared" si="3"/>
        <v>29</v>
      </c>
      <c r="B32" s="17" t="s">
        <v>18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/>
      <c r="P32" s="4"/>
      <c r="Q32" s="4"/>
      <c r="R32" s="6"/>
      <c r="S32" s="4"/>
      <c r="T32" s="6"/>
      <c r="U32" s="6"/>
      <c r="V32" s="6"/>
      <c r="W32" s="6"/>
      <c r="X32" s="6"/>
      <c r="Y32" s="4"/>
      <c r="Z32" s="6"/>
      <c r="AA32" s="6"/>
      <c r="AB32" s="6"/>
      <c r="AC32" s="6"/>
      <c r="AD32" s="6"/>
      <c r="AE32" s="6"/>
      <c r="AF32" s="4"/>
      <c r="AG32" s="21">
        <f t="shared" si="0"/>
        <v>12</v>
      </c>
      <c r="AH32" s="23">
        <f t="shared" si="1"/>
        <v>0</v>
      </c>
      <c r="AI32" s="30">
        <f t="shared" si="2"/>
        <v>12</v>
      </c>
    </row>
    <row r="33" spans="1:35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47</v>
      </c>
      <c r="J33" s="4" t="s">
        <v>48</v>
      </c>
      <c r="K33" s="4" t="s">
        <v>48</v>
      </c>
      <c r="L33" s="6" t="s">
        <v>47</v>
      </c>
      <c r="M33" s="6" t="s">
        <v>48</v>
      </c>
      <c r="N33" s="4" t="s">
        <v>48</v>
      </c>
      <c r="O33" s="6"/>
      <c r="P33" s="6"/>
      <c r="Q33" s="4"/>
      <c r="R33" s="6"/>
      <c r="S33" s="4"/>
      <c r="T33" s="4"/>
      <c r="U33" s="6"/>
      <c r="V33" s="4"/>
      <c r="W33" s="6"/>
      <c r="X33" s="6"/>
      <c r="Y33" s="4"/>
      <c r="Z33" s="4"/>
      <c r="AA33" s="4"/>
      <c r="AB33" s="4"/>
      <c r="AC33" s="4"/>
      <c r="AD33" s="6"/>
      <c r="AE33" s="6"/>
      <c r="AF33" s="6"/>
      <c r="AG33" s="21">
        <f t="shared" si="0"/>
        <v>8</v>
      </c>
      <c r="AH33" s="23">
        <f t="shared" si="1"/>
        <v>4</v>
      </c>
      <c r="AI33" s="30">
        <f t="shared" si="2"/>
        <v>12</v>
      </c>
    </row>
    <row r="34" spans="1:35" x14ac:dyDescent="0.25">
      <c r="A34" s="15">
        <f t="shared" si="3"/>
        <v>31</v>
      </c>
      <c r="B34" s="17" t="s">
        <v>19</v>
      </c>
      <c r="C34" s="5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48</v>
      </c>
      <c r="I34" s="4" t="s">
        <v>48</v>
      </c>
      <c r="J34" s="6" t="s">
        <v>47</v>
      </c>
      <c r="K34" s="4" t="s">
        <v>47</v>
      </c>
      <c r="L34" s="4" t="s">
        <v>47</v>
      </c>
      <c r="M34" s="6" t="s">
        <v>47</v>
      </c>
      <c r="N34" s="4" t="s">
        <v>47</v>
      </c>
      <c r="O34" s="6"/>
      <c r="P34" s="6"/>
      <c r="Q34" s="6"/>
      <c r="R34" s="6"/>
      <c r="S34" s="6"/>
      <c r="T34" s="4"/>
      <c r="U34" s="4"/>
      <c r="V34" s="6"/>
      <c r="W34" s="6"/>
      <c r="X34" s="6"/>
      <c r="Y34" s="4"/>
      <c r="Z34" s="4"/>
      <c r="AA34" s="4"/>
      <c r="AB34" s="4"/>
      <c r="AC34" s="4"/>
      <c r="AD34" s="4"/>
      <c r="AE34" s="6"/>
      <c r="AF34" s="6"/>
      <c r="AG34" s="21">
        <f t="shared" si="0"/>
        <v>10</v>
      </c>
      <c r="AH34" s="23">
        <f t="shared" si="1"/>
        <v>2</v>
      </c>
      <c r="AI34" s="30">
        <f t="shared" si="2"/>
        <v>12</v>
      </c>
    </row>
    <row r="35" spans="1:35" x14ac:dyDescent="0.25">
      <c r="A35" s="15">
        <f t="shared" si="3"/>
        <v>32</v>
      </c>
      <c r="B35" s="17" t="s">
        <v>20</v>
      </c>
      <c r="C35" s="3" t="s">
        <v>48</v>
      </c>
      <c r="D35" s="6" t="s">
        <v>47</v>
      </c>
      <c r="E35" s="6" t="s">
        <v>47</v>
      </c>
      <c r="F35" s="6" t="s">
        <v>47</v>
      </c>
      <c r="G35" s="4" t="s">
        <v>47</v>
      </c>
      <c r="H35" s="4" t="s">
        <v>47</v>
      </c>
      <c r="I35" s="4" t="s">
        <v>48</v>
      </c>
      <c r="J35" s="4" t="s">
        <v>47</v>
      </c>
      <c r="K35" s="4" t="s">
        <v>47</v>
      </c>
      <c r="L35" s="4" t="s">
        <v>47</v>
      </c>
      <c r="M35" s="4" t="s">
        <v>47</v>
      </c>
      <c r="N35" s="4" t="s">
        <v>47</v>
      </c>
      <c r="O35" s="4"/>
      <c r="P35" s="4"/>
      <c r="Q35" s="6"/>
      <c r="R35" s="6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21">
        <f t="shared" si="0"/>
        <v>10</v>
      </c>
      <c r="AH35" s="23">
        <f t="shared" si="1"/>
        <v>2</v>
      </c>
      <c r="AI35" s="30">
        <f t="shared" si="2"/>
        <v>12</v>
      </c>
    </row>
    <row r="36" spans="1:35" x14ac:dyDescent="0.25">
      <c r="A36" s="15">
        <f t="shared" si="3"/>
        <v>33</v>
      </c>
      <c r="B36" s="17" t="s">
        <v>21</v>
      </c>
      <c r="C36" s="3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47</v>
      </c>
      <c r="M36" s="4" t="s">
        <v>47</v>
      </c>
      <c r="N36" s="4" t="s">
        <v>47</v>
      </c>
      <c r="O36" s="4"/>
      <c r="P36" s="4"/>
      <c r="Q36" s="6"/>
      <c r="R36" s="6"/>
      <c r="S36" s="4"/>
      <c r="T36" s="4"/>
      <c r="U36" s="4"/>
      <c r="V36" s="4"/>
      <c r="W36" s="6"/>
      <c r="X36" s="6"/>
      <c r="Y36" s="4"/>
      <c r="Z36" s="6"/>
      <c r="AA36" s="6"/>
      <c r="AB36" s="4"/>
      <c r="AC36" s="4"/>
      <c r="AD36" s="6"/>
      <c r="AE36" s="6"/>
      <c r="AF36" s="4"/>
      <c r="AG36" s="21">
        <f t="shared" ref="AG36:AG62" si="4">COUNTIF(C36:AF36,"+")</f>
        <v>12</v>
      </c>
      <c r="AH36" s="23">
        <f t="shared" ref="AH36:AH62" si="5">COUNTIF(C36:AF36,"-")</f>
        <v>0</v>
      </c>
      <c r="AI36" s="30">
        <f t="shared" si="2"/>
        <v>12</v>
      </c>
    </row>
    <row r="37" spans="1:35" x14ac:dyDescent="0.25">
      <c r="A37" s="15">
        <f t="shared" si="3"/>
        <v>34</v>
      </c>
      <c r="B37" s="16" t="s">
        <v>22</v>
      </c>
      <c r="C37" s="5" t="s">
        <v>47</v>
      </c>
      <c r="D37" s="6" t="s">
        <v>47</v>
      </c>
      <c r="E37" s="6" t="s">
        <v>47</v>
      </c>
      <c r="F37" s="6" t="s">
        <v>47</v>
      </c>
      <c r="G37" s="6" t="s">
        <v>47</v>
      </c>
      <c r="H37" s="6" t="s">
        <v>47</v>
      </c>
      <c r="I37" s="4" t="s">
        <v>47</v>
      </c>
      <c r="J37" s="6" t="s">
        <v>47</v>
      </c>
      <c r="K37" s="4" t="s">
        <v>48</v>
      </c>
      <c r="L37" s="6" t="s">
        <v>48</v>
      </c>
      <c r="M37" s="6" t="s">
        <v>47</v>
      </c>
      <c r="N37" s="4" t="s">
        <v>47</v>
      </c>
      <c r="O37" s="6"/>
      <c r="P37" s="4"/>
      <c r="Q37" s="6"/>
      <c r="R37" s="6"/>
      <c r="S37" s="6"/>
      <c r="T37" s="6"/>
      <c r="U37" s="6"/>
      <c r="V37" s="4"/>
      <c r="W37" s="6"/>
      <c r="X37" s="6"/>
      <c r="Y37" s="6"/>
      <c r="Z37" s="6"/>
      <c r="AA37" s="6"/>
      <c r="AB37" s="6"/>
      <c r="AC37" s="6"/>
      <c r="AD37" s="4"/>
      <c r="AE37" s="4"/>
      <c r="AF37" s="4"/>
      <c r="AG37" s="21">
        <f t="shared" si="4"/>
        <v>10</v>
      </c>
      <c r="AH37" s="23">
        <f t="shared" si="5"/>
        <v>2</v>
      </c>
      <c r="AI37" s="30">
        <f t="shared" si="2"/>
        <v>12</v>
      </c>
    </row>
    <row r="38" spans="1:35" x14ac:dyDescent="0.25">
      <c r="A38" s="15">
        <f t="shared" si="3"/>
        <v>35</v>
      </c>
      <c r="B38" s="16" t="s">
        <v>71</v>
      </c>
      <c r="C38" s="3" t="s">
        <v>47</v>
      </c>
      <c r="D38" s="6" t="s">
        <v>47</v>
      </c>
      <c r="E38" s="6" t="s">
        <v>48</v>
      </c>
      <c r="F38" s="6" t="s">
        <v>48</v>
      </c>
      <c r="G38" s="6" t="s">
        <v>47</v>
      </c>
      <c r="H38" s="6" t="s">
        <v>47</v>
      </c>
      <c r="I38" s="4" t="s">
        <v>47</v>
      </c>
      <c r="J38" s="6" t="s">
        <v>47</v>
      </c>
      <c r="K38" s="4" t="s">
        <v>48</v>
      </c>
      <c r="L38" s="6" t="s">
        <v>48</v>
      </c>
      <c r="M38" s="6" t="s">
        <v>48</v>
      </c>
      <c r="N38" s="4" t="s">
        <v>47</v>
      </c>
      <c r="O38" s="6"/>
      <c r="P38" s="4"/>
      <c r="Q38" s="4"/>
      <c r="R38" s="6"/>
      <c r="S38" s="4"/>
      <c r="T38" s="4"/>
      <c r="U38" s="6"/>
      <c r="V38" s="4"/>
      <c r="W38" s="6"/>
      <c r="X38" s="4"/>
      <c r="Y38" s="4"/>
      <c r="Z38" s="6"/>
      <c r="AA38" s="6"/>
      <c r="AB38" s="6"/>
      <c r="AC38" s="6"/>
      <c r="AD38" s="4"/>
      <c r="AE38" s="4"/>
      <c r="AF38" s="6"/>
      <c r="AG38" s="21">
        <f t="shared" si="4"/>
        <v>7</v>
      </c>
      <c r="AH38" s="23">
        <f t="shared" si="5"/>
        <v>5</v>
      </c>
      <c r="AI38" s="30">
        <f>SUM(AG38:AH38)</f>
        <v>12</v>
      </c>
    </row>
    <row r="39" spans="1:35" x14ac:dyDescent="0.25">
      <c r="A39" s="15">
        <f t="shared" si="3"/>
        <v>36</v>
      </c>
      <c r="B39" s="16" t="s">
        <v>41</v>
      </c>
      <c r="C39" s="3" t="s">
        <v>47</v>
      </c>
      <c r="D39" s="6" t="s">
        <v>47</v>
      </c>
      <c r="E39" s="6" t="s">
        <v>48</v>
      </c>
      <c r="F39" s="6" t="s">
        <v>48</v>
      </c>
      <c r="G39" s="6" t="s">
        <v>47</v>
      </c>
      <c r="H39" s="6" t="s">
        <v>47</v>
      </c>
      <c r="I39" s="4" t="s">
        <v>47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47</v>
      </c>
      <c r="O39" s="6"/>
      <c r="P39" s="4"/>
      <c r="Q39" s="4"/>
      <c r="R39" s="6"/>
      <c r="S39" s="6"/>
      <c r="T39" s="4"/>
      <c r="U39" s="6"/>
      <c r="V39" s="4"/>
      <c r="W39" s="6"/>
      <c r="X39" s="6"/>
      <c r="Y39" s="4"/>
      <c r="Z39" s="4"/>
      <c r="AA39" s="6"/>
      <c r="AB39" s="6"/>
      <c r="AC39" s="6"/>
      <c r="AD39" s="6"/>
      <c r="AE39" s="4"/>
      <c r="AF39" s="6"/>
      <c r="AG39" s="21">
        <f t="shared" si="4"/>
        <v>10</v>
      </c>
      <c r="AH39" s="23">
        <f t="shared" si="5"/>
        <v>2</v>
      </c>
      <c r="AI39" s="30">
        <f t="shared" si="2"/>
        <v>12</v>
      </c>
    </row>
    <row r="40" spans="1:35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/>
      <c r="P40" s="4"/>
      <c r="Q40" s="6"/>
      <c r="R40" s="6"/>
      <c r="S40" s="6"/>
      <c r="T40" s="6"/>
      <c r="U40" s="6"/>
      <c r="V40" s="6"/>
      <c r="W40" s="6"/>
      <c r="X40" s="6"/>
      <c r="Y40" s="4"/>
      <c r="Z40" s="4"/>
      <c r="AA40" s="6"/>
      <c r="AB40" s="6"/>
      <c r="AC40" s="6"/>
      <c r="AD40" s="6"/>
      <c r="AE40" s="6"/>
      <c r="AF40" s="6"/>
      <c r="AG40" s="21">
        <f t="shared" si="4"/>
        <v>10</v>
      </c>
      <c r="AH40" s="23">
        <f t="shared" si="5"/>
        <v>2</v>
      </c>
      <c r="AI40" s="30">
        <f t="shared" si="2"/>
        <v>12</v>
      </c>
    </row>
    <row r="41" spans="1:35" x14ac:dyDescent="0.25">
      <c r="A41" s="15">
        <f t="shared" si="3"/>
        <v>38</v>
      </c>
      <c r="B41" s="16" t="s">
        <v>38</v>
      </c>
      <c r="C41" s="3" t="s">
        <v>48</v>
      </c>
      <c r="D41" s="6" t="s">
        <v>47</v>
      </c>
      <c r="E41" s="6" t="s">
        <v>47</v>
      </c>
      <c r="F41" s="6" t="s">
        <v>48</v>
      </c>
      <c r="G41" s="6" t="s">
        <v>48</v>
      </c>
      <c r="H41" s="6" t="s">
        <v>48</v>
      </c>
      <c r="I41" s="4" t="s">
        <v>48</v>
      </c>
      <c r="J41" s="4" t="s">
        <v>48</v>
      </c>
      <c r="K41" s="6" t="s">
        <v>47</v>
      </c>
      <c r="L41" s="6" t="s">
        <v>47</v>
      </c>
      <c r="M41" s="6" t="s">
        <v>47</v>
      </c>
      <c r="N41" s="6" t="s">
        <v>47</v>
      </c>
      <c r="O41" s="4"/>
      <c r="P41" s="4"/>
      <c r="Q41" s="6"/>
      <c r="R41" s="6"/>
      <c r="S41" s="4"/>
      <c r="T41" s="4"/>
      <c r="U41" s="4"/>
      <c r="V41" s="4"/>
      <c r="W41" s="4"/>
      <c r="X41" s="4"/>
      <c r="Y41" s="6"/>
      <c r="Z41" s="4"/>
      <c r="AA41" s="6"/>
      <c r="AB41" s="6"/>
      <c r="AC41" s="4"/>
      <c r="AD41" s="6"/>
      <c r="AE41" s="4"/>
      <c r="AF41" s="4"/>
      <c r="AG41" s="21">
        <f t="shared" si="4"/>
        <v>6</v>
      </c>
      <c r="AH41" s="23">
        <f t="shared" si="5"/>
        <v>6</v>
      </c>
      <c r="AI41" s="30">
        <f t="shared" si="2"/>
        <v>12</v>
      </c>
    </row>
    <row r="42" spans="1:35" x14ac:dyDescent="0.25">
      <c r="A42" s="15">
        <f t="shared" si="3"/>
        <v>39</v>
      </c>
      <c r="B42" s="16" t="s">
        <v>24</v>
      </c>
      <c r="C42" s="5" t="s">
        <v>47</v>
      </c>
      <c r="D42" s="6" t="s">
        <v>47</v>
      </c>
      <c r="E42" s="4" t="s">
        <v>47</v>
      </c>
      <c r="F42" s="6" t="s">
        <v>47</v>
      </c>
      <c r="G42" s="6" t="s">
        <v>47</v>
      </c>
      <c r="H42" s="6" t="s">
        <v>48</v>
      </c>
      <c r="I42" s="4" t="s">
        <v>48</v>
      </c>
      <c r="J42" s="6" t="s">
        <v>47</v>
      </c>
      <c r="K42" s="4" t="s">
        <v>47</v>
      </c>
      <c r="L42" s="4" t="s">
        <v>47</v>
      </c>
      <c r="M42" s="6" t="s">
        <v>47</v>
      </c>
      <c r="N42" s="6" t="s">
        <v>47</v>
      </c>
      <c r="O42" s="6"/>
      <c r="P42" s="6"/>
      <c r="Q42" s="6"/>
      <c r="R42" s="6"/>
      <c r="S42" s="6"/>
      <c r="T42" s="6"/>
      <c r="U42" s="4"/>
      <c r="V42" s="6"/>
      <c r="W42" s="6"/>
      <c r="X42" s="6"/>
      <c r="Y42" s="4"/>
      <c r="Z42" s="4"/>
      <c r="AA42" s="6"/>
      <c r="AB42" s="6"/>
      <c r="AC42" s="6"/>
      <c r="AD42" s="6"/>
      <c r="AE42" s="6"/>
      <c r="AF42" s="6"/>
      <c r="AG42" s="21">
        <f t="shared" si="4"/>
        <v>10</v>
      </c>
      <c r="AH42" s="23">
        <f t="shared" si="5"/>
        <v>2</v>
      </c>
      <c r="AI42" s="30">
        <f t="shared" si="2"/>
        <v>12</v>
      </c>
    </row>
    <row r="43" spans="1:35" x14ac:dyDescent="0.25">
      <c r="A43" s="15">
        <f t="shared" si="3"/>
        <v>40</v>
      </c>
      <c r="B43" s="16" t="s">
        <v>25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4" t="s">
        <v>47</v>
      </c>
      <c r="I43" s="6" t="s">
        <v>47</v>
      </c>
      <c r="J43" s="4" t="s">
        <v>47</v>
      </c>
      <c r="K43" s="4" t="s">
        <v>47</v>
      </c>
      <c r="L43" s="4" t="s">
        <v>47</v>
      </c>
      <c r="M43" s="4" t="s">
        <v>47</v>
      </c>
      <c r="N43" s="4" t="s">
        <v>47</v>
      </c>
      <c r="O43" s="4"/>
      <c r="P43" s="4"/>
      <c r="Q43" s="6"/>
      <c r="R43" s="6"/>
      <c r="S43" s="4"/>
      <c r="T43" s="4"/>
      <c r="U43" s="4"/>
      <c r="V43" s="4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21">
        <f t="shared" si="4"/>
        <v>12</v>
      </c>
      <c r="AH43" s="23">
        <f t="shared" si="5"/>
        <v>0</v>
      </c>
      <c r="AI43" s="30">
        <f t="shared" si="2"/>
        <v>12</v>
      </c>
    </row>
    <row r="44" spans="1:35" x14ac:dyDescent="0.25">
      <c r="A44" s="15">
        <f t="shared" si="3"/>
        <v>41</v>
      </c>
      <c r="B44" s="16" t="s">
        <v>26</v>
      </c>
      <c r="C44" s="5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48</v>
      </c>
      <c r="I44" s="6" t="s">
        <v>47</v>
      </c>
      <c r="J44" s="4" t="s">
        <v>47</v>
      </c>
      <c r="K44" s="4" t="s">
        <v>47</v>
      </c>
      <c r="L44" s="6" t="s">
        <v>47</v>
      </c>
      <c r="M44" s="6" t="s">
        <v>47</v>
      </c>
      <c r="N44" s="6" t="s">
        <v>47</v>
      </c>
      <c r="O44" s="4"/>
      <c r="P44" s="4"/>
      <c r="Q44" s="6"/>
      <c r="R44" s="6"/>
      <c r="S44" s="6"/>
      <c r="T44" s="6"/>
      <c r="U44" s="6"/>
      <c r="V44" s="6"/>
      <c r="W44" s="6"/>
      <c r="X44" s="6"/>
      <c r="Y44" s="4"/>
      <c r="Z44" s="4"/>
      <c r="AA44" s="6"/>
      <c r="AB44" s="6"/>
      <c r="AC44" s="4"/>
      <c r="AD44" s="6"/>
      <c r="AE44" s="6"/>
      <c r="AF44" s="6"/>
      <c r="AG44" s="21">
        <f t="shared" si="4"/>
        <v>11</v>
      </c>
      <c r="AH44" s="23">
        <f t="shared" si="5"/>
        <v>1</v>
      </c>
      <c r="AI44" s="30">
        <f t="shared" si="2"/>
        <v>12</v>
      </c>
    </row>
    <row r="45" spans="1:35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48</v>
      </c>
      <c r="I45" s="6" t="s">
        <v>47</v>
      </c>
      <c r="J45" s="4" t="s">
        <v>47</v>
      </c>
      <c r="K45" s="6" t="s">
        <v>47</v>
      </c>
      <c r="L45" s="6" t="s">
        <v>47</v>
      </c>
      <c r="M45" s="6" t="s">
        <v>48</v>
      </c>
      <c r="N45" s="4" t="s">
        <v>48</v>
      </c>
      <c r="O45" s="6"/>
      <c r="P45" s="4"/>
      <c r="Q45" s="6"/>
      <c r="R45" s="6"/>
      <c r="S45" s="6"/>
      <c r="T45" s="4"/>
      <c r="U45" s="6"/>
      <c r="V45" s="6"/>
      <c r="W45" s="6"/>
      <c r="X45" s="6"/>
      <c r="Y45" s="4"/>
      <c r="Z45" s="4"/>
      <c r="AA45" s="6"/>
      <c r="AB45" s="6"/>
      <c r="AC45" s="6"/>
      <c r="AD45" s="6"/>
      <c r="AE45" s="6"/>
      <c r="AF45" s="6"/>
      <c r="AG45" s="21">
        <f t="shared" si="4"/>
        <v>9</v>
      </c>
      <c r="AH45" s="23">
        <f t="shared" si="5"/>
        <v>3</v>
      </c>
      <c r="AI45" s="30">
        <f t="shared" si="2"/>
        <v>12</v>
      </c>
    </row>
    <row r="46" spans="1:35" x14ac:dyDescent="0.25">
      <c r="A46" s="15">
        <f t="shared" si="3"/>
        <v>43</v>
      </c>
      <c r="B46" s="16" t="s">
        <v>28</v>
      </c>
      <c r="C46" s="3" t="s">
        <v>48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4" t="s">
        <v>48</v>
      </c>
      <c r="J46" s="4" t="s">
        <v>48</v>
      </c>
      <c r="K46" s="4" t="s">
        <v>47</v>
      </c>
      <c r="L46" s="6" t="s">
        <v>47</v>
      </c>
      <c r="M46" s="4" t="s">
        <v>47</v>
      </c>
      <c r="N46" s="4" t="s">
        <v>47</v>
      </c>
      <c r="O46" s="6"/>
      <c r="P46" s="4"/>
      <c r="Q46" s="6"/>
      <c r="R46" s="6"/>
      <c r="S46" s="4"/>
      <c r="T46" s="4"/>
      <c r="U46" s="4"/>
      <c r="V46" s="6"/>
      <c r="W46" s="6"/>
      <c r="X46" s="6"/>
      <c r="Y46" s="6"/>
      <c r="Z46" s="4"/>
      <c r="AA46" s="4"/>
      <c r="AB46" s="6"/>
      <c r="AC46" s="6"/>
      <c r="AD46" s="6"/>
      <c r="AE46" s="6"/>
      <c r="AF46" s="6"/>
      <c r="AG46" s="21">
        <f t="shared" si="4"/>
        <v>9</v>
      </c>
      <c r="AH46" s="23">
        <f t="shared" si="5"/>
        <v>3</v>
      </c>
      <c r="AI46" s="30">
        <f t="shared" si="2"/>
        <v>12</v>
      </c>
    </row>
    <row r="47" spans="1:35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47</v>
      </c>
      <c r="L47" s="4" t="s">
        <v>47</v>
      </c>
      <c r="M47" s="6" t="s">
        <v>47</v>
      </c>
      <c r="N47" s="6" t="s">
        <v>47</v>
      </c>
      <c r="O47" s="6"/>
      <c r="P47" s="6"/>
      <c r="Q47" s="6"/>
      <c r="R47" s="6"/>
      <c r="S47" s="4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4"/>
      <c r="AG47" s="21">
        <f t="shared" si="4"/>
        <v>12</v>
      </c>
      <c r="AH47" s="23">
        <f t="shared" si="5"/>
        <v>0</v>
      </c>
      <c r="AI47" s="30">
        <f t="shared" si="2"/>
        <v>12</v>
      </c>
    </row>
    <row r="48" spans="1:35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47</v>
      </c>
      <c r="L48" s="4" t="s">
        <v>47</v>
      </c>
      <c r="M48" s="4" t="s">
        <v>47</v>
      </c>
      <c r="N48" s="6" t="s">
        <v>47</v>
      </c>
      <c r="O48" s="6"/>
      <c r="P48" s="4"/>
      <c r="Q48" s="6"/>
      <c r="R48" s="6"/>
      <c r="S48" s="6"/>
      <c r="T48" s="4"/>
      <c r="U48" s="6"/>
      <c r="V48" s="6"/>
      <c r="W48" s="6"/>
      <c r="X48" s="6"/>
      <c r="Y48" s="4"/>
      <c r="Z48" s="4"/>
      <c r="AA48" s="4"/>
      <c r="AB48" s="4"/>
      <c r="AC48" s="4"/>
      <c r="AD48" s="4"/>
      <c r="AE48" s="4"/>
      <c r="AF48" s="4"/>
      <c r="AG48" s="21">
        <f t="shared" si="4"/>
        <v>12</v>
      </c>
      <c r="AH48" s="23">
        <f t="shared" si="5"/>
        <v>0</v>
      </c>
      <c r="AI48" s="30">
        <f t="shared" si="2"/>
        <v>12</v>
      </c>
    </row>
    <row r="49" spans="1:35" x14ac:dyDescent="0.25">
      <c r="A49" s="15">
        <f t="shared" si="3"/>
        <v>46</v>
      </c>
      <c r="B49" s="16" t="s">
        <v>66</v>
      </c>
      <c r="C49" s="3" t="s">
        <v>48</v>
      </c>
      <c r="D49" s="6" t="s">
        <v>48</v>
      </c>
      <c r="E49" s="6" t="s">
        <v>48</v>
      </c>
      <c r="F49" s="6" t="s">
        <v>48</v>
      </c>
      <c r="G49" s="6" t="s">
        <v>48</v>
      </c>
      <c r="H49" s="6" t="s">
        <v>48</v>
      </c>
      <c r="I49" s="4" t="s">
        <v>48</v>
      </c>
      <c r="J49" s="4" t="s">
        <v>48</v>
      </c>
      <c r="K49" s="4" t="s">
        <v>48</v>
      </c>
      <c r="L49" s="6" t="s">
        <v>48</v>
      </c>
      <c r="M49" s="6" t="s">
        <v>48</v>
      </c>
      <c r="N49" s="4" t="s">
        <v>48</v>
      </c>
      <c r="O49" s="4"/>
      <c r="P49" s="4"/>
      <c r="Q49" s="6"/>
      <c r="R49" s="4"/>
      <c r="S49" s="6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21">
        <f t="shared" si="4"/>
        <v>0</v>
      </c>
      <c r="AH49" s="23">
        <f t="shared" si="5"/>
        <v>12</v>
      </c>
      <c r="AI49" s="30">
        <f t="shared" si="2"/>
        <v>12</v>
      </c>
    </row>
    <row r="50" spans="1:35" x14ac:dyDescent="0.25">
      <c r="A50" s="15">
        <f t="shared" si="3"/>
        <v>47</v>
      </c>
      <c r="B50" s="16" t="s">
        <v>32</v>
      </c>
      <c r="C50" s="3" t="s">
        <v>47</v>
      </c>
      <c r="D50" s="6" t="s">
        <v>48</v>
      </c>
      <c r="E50" s="6" t="s">
        <v>48</v>
      </c>
      <c r="F50" s="6" t="s">
        <v>48</v>
      </c>
      <c r="G50" s="4" t="s">
        <v>47</v>
      </c>
      <c r="H50" s="6" t="s">
        <v>48</v>
      </c>
      <c r="I50" s="4" t="s">
        <v>48</v>
      </c>
      <c r="J50" s="4" t="s">
        <v>47</v>
      </c>
      <c r="K50" s="4" t="s">
        <v>48</v>
      </c>
      <c r="L50" s="6" t="s">
        <v>48</v>
      </c>
      <c r="M50" s="6" t="s">
        <v>48</v>
      </c>
      <c r="N50" s="4" t="s">
        <v>47</v>
      </c>
      <c r="O50" s="4"/>
      <c r="P50" s="4"/>
      <c r="Q50" s="6"/>
      <c r="R50" s="6"/>
      <c r="S50" s="4"/>
      <c r="T50" s="4"/>
      <c r="U50" s="4"/>
      <c r="V50" s="4"/>
      <c r="W50" s="4"/>
      <c r="X50" s="6"/>
      <c r="Y50" s="4"/>
      <c r="Z50" s="4"/>
      <c r="AA50" s="6"/>
      <c r="AB50" s="4"/>
      <c r="AC50" s="4"/>
      <c r="AD50" s="4"/>
      <c r="AE50" s="4"/>
      <c r="AF50" s="4"/>
      <c r="AG50" s="21">
        <f t="shared" si="4"/>
        <v>4</v>
      </c>
      <c r="AH50" s="23">
        <f t="shared" si="5"/>
        <v>8</v>
      </c>
      <c r="AI50" s="30">
        <f t="shared" si="2"/>
        <v>12</v>
      </c>
    </row>
    <row r="51" spans="1:35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47</v>
      </c>
      <c r="L51" s="4" t="s">
        <v>47</v>
      </c>
      <c r="M51" s="6" t="s">
        <v>47</v>
      </c>
      <c r="N51" s="4" t="s">
        <v>47</v>
      </c>
      <c r="O51" s="6"/>
      <c r="P51" s="4"/>
      <c r="Q51" s="6"/>
      <c r="R51" s="5"/>
      <c r="S51" s="4"/>
      <c r="T51" s="5"/>
      <c r="U51" s="5"/>
      <c r="V51" s="4"/>
      <c r="W51" s="5"/>
      <c r="X51" s="5"/>
      <c r="Y51" s="4"/>
      <c r="Z51" s="4"/>
      <c r="AA51" s="5"/>
      <c r="AB51" s="5"/>
      <c r="AC51" s="5"/>
      <c r="AD51" s="6"/>
      <c r="AE51" s="4"/>
      <c r="AF51" s="5"/>
      <c r="AG51" s="21">
        <f t="shared" si="4"/>
        <v>12</v>
      </c>
      <c r="AH51" s="23">
        <f t="shared" si="5"/>
        <v>0</v>
      </c>
      <c r="AI51" s="30">
        <f>SUM(AG51:AH51)</f>
        <v>12</v>
      </c>
    </row>
    <row r="52" spans="1:35" x14ac:dyDescent="0.25">
      <c r="A52" s="15">
        <f t="shared" si="3"/>
        <v>49</v>
      </c>
      <c r="B52" s="16" t="s">
        <v>70</v>
      </c>
      <c r="C52" s="3" t="s">
        <v>48</v>
      </c>
      <c r="D52" s="6" t="s">
        <v>48</v>
      </c>
      <c r="E52" s="5" t="s">
        <v>47</v>
      </c>
      <c r="F52" s="6" t="s">
        <v>48</v>
      </c>
      <c r="G52" s="6" t="s">
        <v>48</v>
      </c>
      <c r="H52" s="6" t="s">
        <v>48</v>
      </c>
      <c r="I52" s="4" t="s">
        <v>48</v>
      </c>
      <c r="J52" s="4" t="s">
        <v>48</v>
      </c>
      <c r="K52" s="4" t="s">
        <v>48</v>
      </c>
      <c r="L52" s="4" t="s">
        <v>47</v>
      </c>
      <c r="M52" s="6" t="s">
        <v>47</v>
      </c>
      <c r="N52" s="4" t="s">
        <v>47</v>
      </c>
      <c r="O52" s="4"/>
      <c r="P52" s="4"/>
      <c r="Q52" s="6"/>
      <c r="R52" s="6"/>
      <c r="S52" s="4"/>
      <c r="T52" s="5"/>
      <c r="U52" s="5"/>
      <c r="V52" s="4"/>
      <c r="W52" s="4"/>
      <c r="X52" s="4"/>
      <c r="Y52" s="4"/>
      <c r="Z52" s="4"/>
      <c r="AA52" s="4"/>
      <c r="AB52" s="4"/>
      <c r="AC52" s="3"/>
      <c r="AD52" s="4"/>
      <c r="AE52" s="4"/>
      <c r="AF52" s="4"/>
      <c r="AG52" s="21">
        <f t="shared" si="4"/>
        <v>4</v>
      </c>
      <c r="AH52" s="23">
        <f t="shared" si="5"/>
        <v>8</v>
      </c>
      <c r="AI52" s="30">
        <f>SUM(AG52:AH52)</f>
        <v>12</v>
      </c>
    </row>
    <row r="53" spans="1:35" x14ac:dyDescent="0.25">
      <c r="A53" s="15">
        <f t="shared" si="3"/>
        <v>50</v>
      </c>
      <c r="B53" s="16" t="s">
        <v>44</v>
      </c>
      <c r="C53" s="3" t="s">
        <v>48</v>
      </c>
      <c r="D53" s="6" t="s">
        <v>48</v>
      </c>
      <c r="E53" s="6" t="s">
        <v>47</v>
      </c>
      <c r="F53" s="4" t="s">
        <v>47</v>
      </c>
      <c r="G53" s="6" t="s">
        <v>48</v>
      </c>
      <c r="H53" s="6" t="s">
        <v>47</v>
      </c>
      <c r="I53" s="6" t="s">
        <v>47</v>
      </c>
      <c r="J53" s="4" t="s">
        <v>48</v>
      </c>
      <c r="K53" s="4" t="s">
        <v>48</v>
      </c>
      <c r="L53" s="6" t="s">
        <v>48</v>
      </c>
      <c r="M53" s="6" t="s">
        <v>48</v>
      </c>
      <c r="N53" s="4" t="s">
        <v>48</v>
      </c>
      <c r="O53" s="4"/>
      <c r="P53" s="6"/>
      <c r="Q53" s="6"/>
      <c r="R53" s="4"/>
      <c r="S53" s="4"/>
      <c r="T53" s="6"/>
      <c r="U53" s="4"/>
      <c r="V53" s="4"/>
      <c r="W53" s="6"/>
      <c r="X53" s="6"/>
      <c r="Y53" s="6"/>
      <c r="Z53" s="4"/>
      <c r="AA53" s="4"/>
      <c r="AB53" s="4"/>
      <c r="AC53" s="4"/>
      <c r="AD53" s="6"/>
      <c r="AE53" s="4"/>
      <c r="AF53" s="6"/>
      <c r="AG53" s="21">
        <f t="shared" si="4"/>
        <v>4</v>
      </c>
      <c r="AH53" s="23">
        <f t="shared" si="5"/>
        <v>8</v>
      </c>
      <c r="AI53" s="30">
        <f t="shared" ref="AI53:AI62" si="6">SUM(AG53:AH53)</f>
        <v>12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4" t="s">
        <v>47</v>
      </c>
      <c r="E54" s="4" t="s">
        <v>47</v>
      </c>
      <c r="F54" s="6" t="s">
        <v>48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48</v>
      </c>
      <c r="L54" s="4" t="s">
        <v>47</v>
      </c>
      <c r="M54" s="4" t="s">
        <v>47</v>
      </c>
      <c r="N54" s="4" t="s">
        <v>47</v>
      </c>
      <c r="O54" s="4"/>
      <c r="P54" s="4"/>
      <c r="Q54" s="6"/>
      <c r="R54" s="6"/>
      <c r="S54" s="4"/>
      <c r="T54" s="4"/>
      <c r="U54" s="4"/>
      <c r="V54" s="4"/>
      <c r="W54" s="4"/>
      <c r="X54" s="6"/>
      <c r="Y54" s="6"/>
      <c r="Z54" s="6"/>
      <c r="AA54" s="6"/>
      <c r="AB54" s="6"/>
      <c r="AC54" s="4"/>
      <c r="AD54" s="4"/>
      <c r="AE54" s="4"/>
      <c r="AF54" s="4"/>
      <c r="AG54" s="21">
        <f t="shared" si="4"/>
        <v>10</v>
      </c>
      <c r="AH54" s="23">
        <f t="shared" si="5"/>
        <v>2</v>
      </c>
      <c r="AI54" s="30">
        <f t="shared" si="6"/>
        <v>12</v>
      </c>
    </row>
    <row r="55" spans="1:35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6" t="s">
        <v>48</v>
      </c>
      <c r="H55" s="6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/>
      <c r="P55" s="6"/>
      <c r="Q55" s="6"/>
      <c r="R55" s="6"/>
      <c r="S55" s="6"/>
      <c r="T55" s="6"/>
      <c r="U55" s="6"/>
      <c r="V55" s="6"/>
      <c r="W55" s="6"/>
      <c r="X55" s="6"/>
      <c r="Y55" s="4"/>
      <c r="Z55" s="4"/>
      <c r="AA55" s="6"/>
      <c r="AB55" s="6"/>
      <c r="AC55" s="6"/>
      <c r="AD55" s="6"/>
      <c r="AE55" s="4"/>
      <c r="AF55" s="4"/>
      <c r="AG55" s="21">
        <f t="shared" si="4"/>
        <v>10</v>
      </c>
      <c r="AH55" s="23">
        <f t="shared" si="5"/>
        <v>2</v>
      </c>
      <c r="AI55" s="30">
        <f t="shared" si="6"/>
        <v>12</v>
      </c>
    </row>
    <row r="56" spans="1:35" x14ac:dyDescent="0.25">
      <c r="A56" s="15">
        <f t="shared" si="3"/>
        <v>53</v>
      </c>
      <c r="B56" s="16" t="s">
        <v>74</v>
      </c>
      <c r="C56" s="5"/>
      <c r="D56" s="6"/>
      <c r="E56" s="6"/>
      <c r="F56" s="6"/>
      <c r="G56" s="6"/>
      <c r="H56" s="4"/>
      <c r="I56" s="6"/>
      <c r="J56" s="6"/>
      <c r="K56" s="4" t="s">
        <v>47</v>
      </c>
      <c r="L56" s="4" t="s">
        <v>47</v>
      </c>
      <c r="M56" s="6" t="s">
        <v>47</v>
      </c>
      <c r="N56" s="6" t="s">
        <v>47</v>
      </c>
      <c r="O56" s="6"/>
      <c r="P56" s="4"/>
      <c r="Q56" s="6"/>
      <c r="R56" s="6"/>
      <c r="S56" s="4"/>
      <c r="T56" s="6"/>
      <c r="U56" s="6"/>
      <c r="V56" s="6"/>
      <c r="W56" s="4"/>
      <c r="X56" s="6"/>
      <c r="Y56" s="4"/>
      <c r="Z56" s="4"/>
      <c r="AA56" s="4"/>
      <c r="AB56" s="4"/>
      <c r="AC56" s="4"/>
      <c r="AD56" s="6"/>
      <c r="AE56" s="4"/>
      <c r="AF56" s="4"/>
      <c r="AG56" s="21"/>
      <c r="AH56" s="23"/>
      <c r="AI56" s="30"/>
    </row>
    <row r="57" spans="1:35" x14ac:dyDescent="0.25">
      <c r="A57" s="15">
        <f t="shared" si="3"/>
        <v>54</v>
      </c>
      <c r="B57" s="16" t="s">
        <v>43</v>
      </c>
      <c r="C57" s="5" t="s">
        <v>47</v>
      </c>
      <c r="D57" s="6" t="s">
        <v>48</v>
      </c>
      <c r="E57" s="6" t="s">
        <v>47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/>
      <c r="P57" s="4"/>
      <c r="Q57" s="6"/>
      <c r="R57" s="6"/>
      <c r="S57" s="4"/>
      <c r="T57" s="6"/>
      <c r="U57" s="6"/>
      <c r="V57" s="6"/>
      <c r="W57" s="4"/>
      <c r="X57" s="6"/>
      <c r="Y57" s="6"/>
      <c r="Z57" s="4"/>
      <c r="AA57" s="4"/>
      <c r="AB57" s="4"/>
      <c r="AC57" s="4"/>
      <c r="AD57" s="6"/>
      <c r="AE57" s="6"/>
      <c r="AF57" s="6"/>
      <c r="AG57" s="21">
        <f t="shared" si="4"/>
        <v>11</v>
      </c>
      <c r="AH57" s="23">
        <f t="shared" si="5"/>
        <v>1</v>
      </c>
      <c r="AI57" s="30">
        <f t="shared" si="6"/>
        <v>12</v>
      </c>
    </row>
    <row r="58" spans="1:35" x14ac:dyDescent="0.25">
      <c r="A58" s="15">
        <f t="shared" si="3"/>
        <v>55</v>
      </c>
      <c r="B58" s="16" t="s">
        <v>35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48</v>
      </c>
      <c r="H58" s="6" t="s">
        <v>48</v>
      </c>
      <c r="I58" s="4" t="s">
        <v>47</v>
      </c>
      <c r="J58" s="4" t="s">
        <v>47</v>
      </c>
      <c r="K58" s="4" t="s">
        <v>47</v>
      </c>
      <c r="L58" s="4" t="s">
        <v>47</v>
      </c>
      <c r="M58" s="6" t="s">
        <v>47</v>
      </c>
      <c r="N58" s="4" t="s">
        <v>47</v>
      </c>
      <c r="O58" s="6"/>
      <c r="P58" s="6"/>
      <c r="Q58" s="6"/>
      <c r="R58" s="6"/>
      <c r="S58" s="6"/>
      <c r="T58" s="6"/>
      <c r="U58" s="4"/>
      <c r="V58" s="4"/>
      <c r="W58" s="6"/>
      <c r="X58" s="6"/>
      <c r="Y58" s="6"/>
      <c r="Z58" s="6"/>
      <c r="AA58" s="6"/>
      <c r="AB58" s="6"/>
      <c r="AC58" s="6"/>
      <c r="AD58" s="4"/>
      <c r="AE58" s="4"/>
      <c r="AF58" s="6"/>
      <c r="AG58" s="21">
        <f t="shared" si="4"/>
        <v>10</v>
      </c>
      <c r="AH58" s="23">
        <f t="shared" si="5"/>
        <v>2</v>
      </c>
      <c r="AI58" s="30">
        <f t="shared" si="6"/>
        <v>12</v>
      </c>
    </row>
    <row r="59" spans="1:35" x14ac:dyDescent="0.25">
      <c r="A59" s="15">
        <f t="shared" si="3"/>
        <v>56</v>
      </c>
      <c r="B59" s="16" t="s">
        <v>68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6" t="s">
        <v>48</v>
      </c>
      <c r="I59" s="6" t="s">
        <v>47</v>
      </c>
      <c r="J59" s="4" t="s">
        <v>47</v>
      </c>
      <c r="K59" s="4" t="s">
        <v>47</v>
      </c>
      <c r="L59" s="6" t="s">
        <v>47</v>
      </c>
      <c r="M59" s="6" t="s">
        <v>47</v>
      </c>
      <c r="N59" s="4" t="s">
        <v>48</v>
      </c>
      <c r="O59" s="4"/>
      <c r="P59" s="6"/>
      <c r="Q59" s="4"/>
      <c r="R59" s="6"/>
      <c r="S59" s="4"/>
      <c r="T59" s="6"/>
      <c r="U59" s="6"/>
      <c r="V59" s="6"/>
      <c r="W59" s="6"/>
      <c r="X59" s="6"/>
      <c r="Y59" s="4"/>
      <c r="Z59" s="4"/>
      <c r="AA59" s="4"/>
      <c r="AB59" s="4"/>
      <c r="AC59" s="6"/>
      <c r="AD59" s="4"/>
      <c r="AE59" s="6"/>
      <c r="AF59" s="6"/>
      <c r="AG59" s="21">
        <f t="shared" si="4"/>
        <v>9</v>
      </c>
      <c r="AH59" s="23">
        <f t="shared" si="5"/>
        <v>3</v>
      </c>
      <c r="AI59" s="30">
        <f>SUM(AG59:AH59)</f>
        <v>12</v>
      </c>
    </row>
    <row r="60" spans="1:35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48</v>
      </c>
      <c r="J60" s="6" t="s">
        <v>47</v>
      </c>
      <c r="K60" s="4" t="s">
        <v>47</v>
      </c>
      <c r="L60" s="4" t="s">
        <v>47</v>
      </c>
      <c r="M60" s="6" t="s">
        <v>47</v>
      </c>
      <c r="N60" s="6" t="s">
        <v>47</v>
      </c>
      <c r="O60" s="6"/>
      <c r="P60" s="6"/>
      <c r="Q60" s="4"/>
      <c r="R60" s="6"/>
      <c r="S60" s="4"/>
      <c r="T60" s="6"/>
      <c r="U60" s="6"/>
      <c r="V60" s="6"/>
      <c r="W60" s="4"/>
      <c r="X60" s="6"/>
      <c r="Y60" s="4"/>
      <c r="Z60" s="4"/>
      <c r="AA60" s="6"/>
      <c r="AB60" s="6"/>
      <c r="AC60" s="6"/>
      <c r="AD60" s="6"/>
      <c r="AE60" s="6"/>
      <c r="AF60" s="6"/>
      <c r="AG60" s="21">
        <f t="shared" si="4"/>
        <v>11</v>
      </c>
      <c r="AH60" s="23">
        <f t="shared" si="5"/>
        <v>1</v>
      </c>
      <c r="AI60" s="30">
        <f t="shared" si="6"/>
        <v>12</v>
      </c>
    </row>
    <row r="61" spans="1:35" x14ac:dyDescent="0.25">
      <c r="A61" s="15">
        <f t="shared" si="3"/>
        <v>58</v>
      </c>
      <c r="B61" s="33" t="s">
        <v>62</v>
      </c>
      <c r="C61" s="3" t="s">
        <v>47</v>
      </c>
      <c r="D61" s="4" t="s">
        <v>47</v>
      </c>
      <c r="E61" s="4" t="s">
        <v>47</v>
      </c>
      <c r="F61" s="6" t="s">
        <v>47</v>
      </c>
      <c r="G61" s="6" t="s">
        <v>47</v>
      </c>
      <c r="H61" s="6" t="s">
        <v>48</v>
      </c>
      <c r="I61" s="4" t="s">
        <v>48</v>
      </c>
      <c r="J61" s="4" t="s">
        <v>47</v>
      </c>
      <c r="K61" s="4" t="s">
        <v>47</v>
      </c>
      <c r="L61" s="6" t="s">
        <v>47</v>
      </c>
      <c r="M61" s="6" t="s">
        <v>47</v>
      </c>
      <c r="N61" s="6" t="s">
        <v>47</v>
      </c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4"/>
      <c r="AA61" s="4"/>
      <c r="AB61" s="4"/>
      <c r="AC61" s="4"/>
      <c r="AD61" s="6"/>
      <c r="AE61" s="34"/>
      <c r="AF61" s="4"/>
      <c r="AG61" s="21">
        <f t="shared" si="4"/>
        <v>10</v>
      </c>
      <c r="AH61" s="23">
        <f t="shared" si="5"/>
        <v>2</v>
      </c>
      <c r="AI61" s="30">
        <f t="shared" si="6"/>
        <v>12</v>
      </c>
    </row>
    <row r="62" spans="1:35" ht="16.3" thickBot="1" x14ac:dyDescent="0.3">
      <c r="A62" s="35">
        <f t="shared" si="3"/>
        <v>59</v>
      </c>
      <c r="B62" s="19" t="s">
        <v>37</v>
      </c>
      <c r="C62" s="36" t="s">
        <v>47</v>
      </c>
      <c r="D62" s="20" t="s">
        <v>47</v>
      </c>
      <c r="E62" s="6" t="s">
        <v>48</v>
      </c>
      <c r="F62" s="37" t="s">
        <v>47</v>
      </c>
      <c r="G62" s="20" t="s">
        <v>47</v>
      </c>
      <c r="H62" s="6" t="s">
        <v>48</v>
      </c>
      <c r="I62" s="4" t="s">
        <v>48</v>
      </c>
      <c r="J62" s="37" t="s">
        <v>47</v>
      </c>
      <c r="K62" s="37" t="s">
        <v>47</v>
      </c>
      <c r="L62" s="20" t="s">
        <v>47</v>
      </c>
      <c r="M62" s="6" t="s">
        <v>48</v>
      </c>
      <c r="N62" s="4" t="s">
        <v>48</v>
      </c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37"/>
      <c r="AA62" s="20"/>
      <c r="AB62" s="20"/>
      <c r="AC62" s="37"/>
      <c r="AD62" s="20"/>
      <c r="AE62" s="20"/>
      <c r="AF62" s="37"/>
      <c r="AG62" s="22">
        <f t="shared" si="4"/>
        <v>7</v>
      </c>
      <c r="AH62" s="24">
        <f t="shared" si="5"/>
        <v>5</v>
      </c>
      <c r="AI62" s="31">
        <f t="shared" si="6"/>
        <v>12</v>
      </c>
    </row>
    <row r="63" spans="1:35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8"/>
      <c r="AH63" s="38"/>
      <c r="AI63" s="39"/>
    </row>
    <row r="64" spans="1:35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</row>
  </sheetData>
  <autoFilter ref="C2:AF64"/>
  <mergeCells count="2">
    <mergeCell ref="A1:AI1"/>
    <mergeCell ref="A64:AI64"/>
  </mergeCells>
  <conditionalFormatting sqref="C4:AF62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Январь 2019</vt:lpstr>
      <vt:lpstr>Февраль 2019</vt:lpstr>
      <vt:lpstr>Март 2019</vt:lpstr>
      <vt:lpstr>Апрель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2019-04-15T10:51:57Z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