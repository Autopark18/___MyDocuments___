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5" activeTab="9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Август 2019" sheetId="11" r:id="rId8"/>
    <sheet name="Сентябрь 2019" sheetId="12" r:id="rId9"/>
    <sheet name="Октябрь 2019" sheetId="13" r:id="rId10"/>
    <sheet name="Данные" sheetId="2" state="hidden" r:id="rId11"/>
  </sheets>
  <functionGroups builtInGroupCount="18"/>
  <definedNames>
    <definedName name="_xlnm._FilterDatabase" localSheetId="7" hidden="1">'Август 2019'!$C$2:$AG$61</definedName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9" hidden="1">'Октябрь 2019'!$C$2:$AG$65</definedName>
    <definedName name="_xlnm._FilterDatabase" localSheetId="8" hidden="1">'Сентябрь 2019'!$C$2:$AF$65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63" i="13" l="1"/>
  <c r="AH63" i="13"/>
  <c r="AJ63" i="13" s="1"/>
  <c r="AI62" i="13"/>
  <c r="AH62" i="13"/>
  <c r="AJ62" i="13" s="1"/>
  <c r="AI61" i="13"/>
  <c r="AH61" i="13"/>
  <c r="AJ61" i="13" s="1"/>
  <c r="AI60" i="13"/>
  <c r="AH60" i="13"/>
  <c r="AJ60" i="13" s="1"/>
  <c r="AI59" i="13"/>
  <c r="AH59" i="13"/>
  <c r="AJ59" i="13" s="1"/>
  <c r="AI58" i="13"/>
  <c r="AH58" i="13"/>
  <c r="AJ58" i="13" s="1"/>
  <c r="AI57" i="13"/>
  <c r="AH57" i="13"/>
  <c r="AJ57" i="13" s="1"/>
  <c r="AI56" i="13"/>
  <c r="AH56" i="13"/>
  <c r="AJ56" i="13" s="1"/>
  <c r="AI55" i="13"/>
  <c r="AH55" i="13"/>
  <c r="AJ55" i="13" s="1"/>
  <c r="AI54" i="13"/>
  <c r="AH54" i="13"/>
  <c r="AJ54" i="13" s="1"/>
  <c r="AI53" i="13"/>
  <c r="AH53" i="13"/>
  <c r="AJ53" i="13" s="1"/>
  <c r="AI52" i="13"/>
  <c r="AH52" i="13"/>
  <c r="AJ52" i="13" s="1"/>
  <c r="AI51" i="13"/>
  <c r="AH51" i="13"/>
  <c r="AJ51" i="13" s="1"/>
  <c r="AI50" i="13"/>
  <c r="AH50" i="13"/>
  <c r="AJ50" i="13" s="1"/>
  <c r="AI49" i="13"/>
  <c r="AH49" i="13"/>
  <c r="AJ49" i="13" s="1"/>
  <c r="AI48" i="13"/>
  <c r="AH48" i="13"/>
  <c r="AJ48" i="13" s="1"/>
  <c r="AI47" i="13"/>
  <c r="AH47" i="13"/>
  <c r="AJ47" i="13" s="1"/>
  <c r="AI46" i="13"/>
  <c r="AH46" i="13"/>
  <c r="AJ46" i="13" s="1"/>
  <c r="AI45" i="13"/>
  <c r="AH45" i="13"/>
  <c r="AJ45" i="13" s="1"/>
  <c r="AI44" i="13"/>
  <c r="AH44" i="13"/>
  <c r="AJ44" i="13" s="1"/>
  <c r="AI43" i="13"/>
  <c r="AH43" i="13"/>
  <c r="AJ43" i="13" s="1"/>
  <c r="AI42" i="13"/>
  <c r="AH42" i="13"/>
  <c r="AJ42" i="13" s="1"/>
  <c r="AI41" i="13"/>
  <c r="AH41" i="13"/>
  <c r="AJ41" i="13" s="1"/>
  <c r="AI40" i="13"/>
  <c r="AH40" i="13"/>
  <c r="AJ40" i="13" s="1"/>
  <c r="AI39" i="13"/>
  <c r="AH39" i="13"/>
  <c r="AJ39" i="13" s="1"/>
  <c r="AI38" i="13"/>
  <c r="AH38" i="13"/>
  <c r="AJ38" i="13" s="1"/>
  <c r="AI37" i="13"/>
  <c r="AH37" i="13"/>
  <c r="AI36" i="13"/>
  <c r="AH36" i="13"/>
  <c r="AJ36" i="13" s="1"/>
  <c r="AI35" i="13"/>
  <c r="AH35" i="13"/>
  <c r="AI34" i="13"/>
  <c r="AH34" i="13"/>
  <c r="AJ34" i="13" s="1"/>
  <c r="AI33" i="13"/>
  <c r="AH33" i="13"/>
  <c r="AI32" i="13"/>
  <c r="AH32" i="13"/>
  <c r="AJ32" i="13" s="1"/>
  <c r="AI31" i="13"/>
  <c r="AH31" i="13"/>
  <c r="AI30" i="13"/>
  <c r="AH30" i="13"/>
  <c r="AJ30" i="13" s="1"/>
  <c r="AI29" i="13"/>
  <c r="AH29" i="13"/>
  <c r="AI28" i="13"/>
  <c r="AH28" i="13"/>
  <c r="AJ28" i="13" s="1"/>
  <c r="AI27" i="13"/>
  <c r="AH27" i="13"/>
  <c r="AI26" i="13"/>
  <c r="AH26" i="13"/>
  <c r="AJ26" i="13" s="1"/>
  <c r="AI25" i="13"/>
  <c r="AH25" i="13"/>
  <c r="AI24" i="13"/>
  <c r="AH24" i="13"/>
  <c r="AJ24" i="13" s="1"/>
  <c r="AI23" i="13"/>
  <c r="AH23" i="13"/>
  <c r="AI22" i="13"/>
  <c r="AH22" i="13"/>
  <c r="AJ22" i="13" s="1"/>
  <c r="AI21" i="13"/>
  <c r="AH21" i="13"/>
  <c r="AI20" i="13"/>
  <c r="AH20" i="13"/>
  <c r="AJ20" i="13" s="1"/>
  <c r="AI19" i="13"/>
  <c r="AH19" i="13"/>
  <c r="AI18" i="13"/>
  <c r="AH18" i="13"/>
  <c r="AJ18" i="13" s="1"/>
  <c r="AI17" i="13"/>
  <c r="AH17" i="13"/>
  <c r="AI16" i="13"/>
  <c r="AH16" i="13"/>
  <c r="AJ16" i="13" s="1"/>
  <c r="AI15" i="13"/>
  <c r="AH15" i="13"/>
  <c r="AI14" i="13"/>
  <c r="AH14" i="13"/>
  <c r="AJ14" i="13" s="1"/>
  <c r="AI13" i="13"/>
  <c r="AH13" i="13"/>
  <c r="AI12" i="13"/>
  <c r="AH12" i="13"/>
  <c r="AJ12" i="13" s="1"/>
  <c r="AI11" i="13"/>
  <c r="AH11" i="13"/>
  <c r="AI10" i="13"/>
  <c r="AH10" i="13"/>
  <c r="AJ10" i="13" s="1"/>
  <c r="AI9" i="13"/>
  <c r="AH9" i="13"/>
  <c r="AI8" i="13"/>
  <c r="AH8" i="13"/>
  <c r="AJ8" i="13" s="1"/>
  <c r="AI7" i="13"/>
  <c r="AH7" i="13"/>
  <c r="AI6" i="13"/>
  <c r="AH6" i="13"/>
  <c r="AJ6" i="13" s="1"/>
  <c r="AI5" i="13"/>
  <c r="AH5" i="13"/>
  <c r="A5" i="13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I4" i="13"/>
  <c r="AH4" i="13"/>
  <c r="A1" i="13"/>
  <c r="AJ4" i="13" l="1"/>
  <c r="AJ5" i="13"/>
  <c r="AJ7" i="13"/>
  <c r="AJ9" i="13"/>
  <c r="AJ11" i="13"/>
  <c r="AJ13" i="13"/>
  <c r="AJ15" i="13"/>
  <c r="AJ17" i="13"/>
  <c r="AJ19" i="13"/>
  <c r="AJ21" i="13"/>
  <c r="AJ23" i="13"/>
  <c r="AJ25" i="13"/>
  <c r="AJ27" i="13"/>
  <c r="AJ29" i="13"/>
  <c r="AJ31" i="13"/>
  <c r="AJ33" i="13"/>
  <c r="AJ35" i="13"/>
  <c r="AJ37" i="13"/>
  <c r="AG40" i="12"/>
  <c r="AH40" i="12"/>
  <c r="AG41" i="12"/>
  <c r="AH41" i="12"/>
  <c r="AI41" i="12" l="1"/>
  <c r="AI40" i="12"/>
  <c r="AG32" i="12"/>
  <c r="AH32" i="12"/>
  <c r="AI32" i="12" l="1"/>
  <c r="AG37" i="12"/>
  <c r="AH37" i="12"/>
  <c r="AI37" i="12" l="1"/>
  <c r="AH63" i="12"/>
  <c r="AG63" i="12"/>
  <c r="AH62" i="12"/>
  <c r="AG62" i="12"/>
  <c r="AH61" i="12"/>
  <c r="AG61" i="12"/>
  <c r="AH60" i="12"/>
  <c r="AG60" i="12"/>
  <c r="AH59" i="12"/>
  <c r="AG59" i="12"/>
  <c r="AH58" i="12"/>
  <c r="AG58" i="12"/>
  <c r="AH57" i="12"/>
  <c r="AG57" i="12"/>
  <c r="AH56" i="12"/>
  <c r="AG56" i="12"/>
  <c r="AH55" i="12"/>
  <c r="AG55" i="12"/>
  <c r="AH54" i="12"/>
  <c r="AG54" i="12"/>
  <c r="AH53" i="12"/>
  <c r="AG53" i="12"/>
  <c r="AH52" i="12"/>
  <c r="AG52" i="12"/>
  <c r="AH51" i="12"/>
  <c r="AG51" i="12"/>
  <c r="AH50" i="12"/>
  <c r="AG50" i="12"/>
  <c r="AH49" i="12"/>
  <c r="AG49" i="12"/>
  <c r="AH48" i="12"/>
  <c r="AG48" i="12"/>
  <c r="AH47" i="12"/>
  <c r="AG47" i="12"/>
  <c r="AH46" i="12"/>
  <c r="AG46" i="12"/>
  <c r="AH45" i="12"/>
  <c r="AG45" i="12"/>
  <c r="AH44" i="12"/>
  <c r="AG44" i="12"/>
  <c r="AH43" i="12"/>
  <c r="AG43" i="12"/>
  <c r="AH42" i="12"/>
  <c r="AG42" i="12"/>
  <c r="AH39" i="12"/>
  <c r="AG39" i="12"/>
  <c r="AH38" i="12"/>
  <c r="AG38" i="12"/>
  <c r="AH36" i="12"/>
  <c r="AG36" i="12"/>
  <c r="AH35" i="12"/>
  <c r="AG35" i="12"/>
  <c r="AH34" i="12"/>
  <c r="AG34" i="12"/>
  <c r="AH33" i="12"/>
  <c r="AG33" i="12"/>
  <c r="AH31" i="12"/>
  <c r="AG31" i="12"/>
  <c r="AH30" i="12"/>
  <c r="AG30" i="12"/>
  <c r="AH29" i="12"/>
  <c r="AG29" i="12"/>
  <c r="AH28" i="12"/>
  <c r="AG28" i="12"/>
  <c r="AH27" i="12"/>
  <c r="AG27" i="12"/>
  <c r="AH26" i="12"/>
  <c r="AG26" i="12"/>
  <c r="AH25" i="12"/>
  <c r="AG25" i="12"/>
  <c r="AH24" i="12"/>
  <c r="AG24" i="12"/>
  <c r="AH23" i="12"/>
  <c r="AG23" i="12"/>
  <c r="AH22" i="12"/>
  <c r="AG22" i="12"/>
  <c r="AH21" i="12"/>
  <c r="AG21" i="12"/>
  <c r="AH20" i="12"/>
  <c r="AG20" i="12"/>
  <c r="AH19" i="12"/>
  <c r="AG19" i="12"/>
  <c r="AH18" i="12"/>
  <c r="AG18" i="12"/>
  <c r="AH17" i="12"/>
  <c r="AG17" i="12"/>
  <c r="AH16" i="12"/>
  <c r="AG16" i="12"/>
  <c r="AH15" i="12"/>
  <c r="AG15" i="12"/>
  <c r="AH14" i="12"/>
  <c r="AG14" i="12"/>
  <c r="AH13" i="12"/>
  <c r="AG13" i="12"/>
  <c r="AH12" i="12"/>
  <c r="AG12" i="12"/>
  <c r="AH11" i="12"/>
  <c r="AG11" i="12"/>
  <c r="AH10" i="12"/>
  <c r="AG10" i="12"/>
  <c r="AH9" i="12"/>
  <c r="AG9" i="12"/>
  <c r="AH8" i="12"/>
  <c r="AG8" i="12"/>
  <c r="AH7" i="12"/>
  <c r="AG7" i="12"/>
  <c r="AH6" i="12"/>
  <c r="AG6" i="12"/>
  <c r="AH5" i="12"/>
  <c r="AG5" i="12"/>
  <c r="A5" i="12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H4" i="12"/>
  <c r="AG4" i="12"/>
  <c r="A1" i="12"/>
  <c r="A32" i="12" l="1"/>
  <c r="A33" i="12" s="1"/>
  <c r="A34" i="12" s="1"/>
  <c r="A35" i="12" s="1"/>
  <c r="A36" i="12" s="1"/>
  <c r="A37" i="12" s="1"/>
  <c r="A38" i="12" s="1"/>
  <c r="A39" i="12" s="1"/>
  <c r="AI4" i="12"/>
  <c r="AI6" i="12"/>
  <c r="AI8" i="12"/>
  <c r="AI10" i="12"/>
  <c r="AI12" i="12"/>
  <c r="AI14" i="12"/>
  <c r="AI16" i="12"/>
  <c r="AI18" i="12"/>
  <c r="AI20" i="12"/>
  <c r="AI22" i="12"/>
  <c r="AI24" i="12"/>
  <c r="AI26" i="12"/>
  <c r="AI28" i="12"/>
  <c r="AI30" i="12"/>
  <c r="AI31" i="12"/>
  <c r="AI33" i="12"/>
  <c r="AI34" i="12"/>
  <c r="AI35" i="12"/>
  <c r="AI36" i="12"/>
  <c r="AI38" i="12"/>
  <c r="AI39" i="12"/>
  <c r="AI42" i="12"/>
  <c r="AI43" i="12"/>
  <c r="AI44" i="12"/>
  <c r="AI45" i="12"/>
  <c r="AI46" i="12"/>
  <c r="AI47" i="12"/>
  <c r="AI48" i="12"/>
  <c r="AI49" i="12"/>
  <c r="AI50" i="12"/>
  <c r="AI51" i="12"/>
  <c r="AI52" i="12"/>
  <c r="AI53" i="12"/>
  <c r="AI54" i="12"/>
  <c r="AI55" i="12"/>
  <c r="AI56" i="12"/>
  <c r="AI57" i="12"/>
  <c r="AI58" i="12"/>
  <c r="AI59" i="12"/>
  <c r="AI60" i="12"/>
  <c r="AI61" i="12"/>
  <c r="AI62" i="12"/>
  <c r="AI63" i="12"/>
  <c r="AI5" i="12"/>
  <c r="AI7" i="12"/>
  <c r="AI9" i="12"/>
  <c r="AI11" i="12"/>
  <c r="AI13" i="12"/>
  <c r="AI15" i="12"/>
  <c r="AI17" i="12"/>
  <c r="AI19" i="12"/>
  <c r="AI21" i="12"/>
  <c r="AI23" i="12"/>
  <c r="AI25" i="12"/>
  <c r="AI27" i="12"/>
  <c r="AI29" i="12"/>
  <c r="AH43" i="11"/>
  <c r="AI43" i="11"/>
  <c r="AH46" i="11"/>
  <c r="AI46" i="11"/>
  <c r="A40" i="12" l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J43" i="11"/>
  <c r="AJ46" i="11"/>
  <c r="AH24" i="11"/>
  <c r="AI24" i="11"/>
  <c r="AH25" i="11"/>
  <c r="AI25" i="11"/>
  <c r="AH26" i="11"/>
  <c r="AI26" i="11"/>
  <c r="AH38" i="11"/>
  <c r="AI38" i="11"/>
  <c r="AH39" i="11"/>
  <c r="AI39" i="11"/>
  <c r="AJ26" i="11" l="1"/>
  <c r="AJ39" i="11"/>
  <c r="AJ25" i="11"/>
  <c r="AJ38" i="11"/>
  <c r="AJ24" i="11"/>
  <c r="AH10" i="11"/>
  <c r="AI10" i="11"/>
  <c r="AH11" i="11"/>
  <c r="AI11" i="11"/>
  <c r="AJ11" i="11" l="1"/>
  <c r="AJ10" i="11"/>
  <c r="AI59" i="11"/>
  <c r="AH59" i="11"/>
  <c r="AI58" i="11"/>
  <c r="AH58" i="11"/>
  <c r="AI57" i="11"/>
  <c r="AH57" i="11"/>
  <c r="AI56" i="11"/>
  <c r="AH56" i="11"/>
  <c r="AI55" i="11"/>
  <c r="AH55" i="11"/>
  <c r="AI54" i="11"/>
  <c r="AH54" i="11"/>
  <c r="AI53" i="11"/>
  <c r="AH53" i="11"/>
  <c r="AI52" i="11"/>
  <c r="AH52" i="11"/>
  <c r="AI51" i="11"/>
  <c r="AH51" i="11"/>
  <c r="AI50" i="11"/>
  <c r="AH50" i="11"/>
  <c r="AI49" i="11"/>
  <c r="AH49" i="11"/>
  <c r="AI48" i="11"/>
  <c r="AH48" i="11"/>
  <c r="AI47" i="11"/>
  <c r="AH47" i="11"/>
  <c r="AI45" i="11"/>
  <c r="AH45" i="11"/>
  <c r="AI44" i="11"/>
  <c r="AH44" i="11"/>
  <c r="AI42" i="11"/>
  <c r="AH42" i="11"/>
  <c r="AI41" i="11"/>
  <c r="AH41" i="11"/>
  <c r="AI40" i="11"/>
  <c r="AH40" i="11"/>
  <c r="AI37" i="11"/>
  <c r="AH37" i="11"/>
  <c r="AI36" i="11"/>
  <c r="AH36" i="11"/>
  <c r="AI35" i="11"/>
  <c r="AH35" i="11"/>
  <c r="AI34" i="11"/>
  <c r="AH34" i="11"/>
  <c r="AI33" i="11"/>
  <c r="AH33" i="11"/>
  <c r="AI32" i="11"/>
  <c r="AH32" i="11"/>
  <c r="AI31" i="11"/>
  <c r="AH31" i="11"/>
  <c r="AI30" i="11"/>
  <c r="AH30" i="11"/>
  <c r="AI29" i="11"/>
  <c r="AH29" i="11"/>
  <c r="AI28" i="11"/>
  <c r="AH28" i="11"/>
  <c r="AI27" i="11"/>
  <c r="AH27" i="11"/>
  <c r="AI23" i="11"/>
  <c r="AH23" i="11"/>
  <c r="AI22" i="11"/>
  <c r="AH22" i="11"/>
  <c r="AI21" i="11"/>
  <c r="AH21" i="11"/>
  <c r="AI20" i="11"/>
  <c r="AH20" i="11"/>
  <c r="AI19" i="11"/>
  <c r="AH19" i="11"/>
  <c r="AI18" i="11"/>
  <c r="AH18" i="11"/>
  <c r="AI17" i="11"/>
  <c r="AH17" i="11"/>
  <c r="AI16" i="11"/>
  <c r="AH16" i="11"/>
  <c r="AI15" i="11"/>
  <c r="AH15" i="11"/>
  <c r="AI14" i="11"/>
  <c r="AH14" i="11"/>
  <c r="AI13" i="11"/>
  <c r="AH13" i="11"/>
  <c r="AI12" i="11"/>
  <c r="AH12" i="11"/>
  <c r="AI9" i="11"/>
  <c r="AH9" i="11"/>
  <c r="AI8" i="11"/>
  <c r="AH8" i="11"/>
  <c r="AI7" i="11"/>
  <c r="AH7" i="11"/>
  <c r="AI6" i="11"/>
  <c r="AH6" i="11"/>
  <c r="AI5" i="11"/>
  <c r="AH5" i="11"/>
  <c r="A5" i="11"/>
  <c r="A6" i="11" s="1"/>
  <c r="A7" i="11" s="1"/>
  <c r="A8" i="11" s="1"/>
  <c r="A9" i="11" s="1"/>
  <c r="A10" i="11" s="1"/>
  <c r="A11" i="11" s="1"/>
  <c r="A12" i="11" s="1"/>
  <c r="A13" i="11" s="1"/>
  <c r="AI4" i="11"/>
  <c r="AH4" i="11"/>
  <c r="A1" i="11"/>
  <c r="A14" i="11" l="1"/>
  <c r="A15" i="11" s="1"/>
  <c r="A16" i="11" s="1"/>
  <c r="A17" i="11" s="1"/>
  <c r="A18" i="11" s="1"/>
  <c r="A19" i="11" s="1"/>
  <c r="A20" i="11" s="1"/>
  <c r="A21" i="11" s="1"/>
  <c r="A22" i="11" s="1"/>
  <c r="AJ27" i="11"/>
  <c r="AJ42" i="11"/>
  <c r="AJ51" i="11"/>
  <c r="AJ29" i="11"/>
  <c r="AJ32" i="11"/>
  <c r="AJ41" i="11"/>
  <c r="AJ44" i="11"/>
  <c r="AJ49" i="11"/>
  <c r="AJ52" i="11"/>
  <c r="AJ55" i="11"/>
  <c r="AJ59" i="11"/>
  <c r="AJ50" i="11"/>
  <c r="AJ9" i="11"/>
  <c r="AJ16" i="11"/>
  <c r="AJ20" i="11"/>
  <c r="AJ22" i="11"/>
  <c r="AJ31" i="11"/>
  <c r="AJ47" i="11"/>
  <c r="AJ54" i="11"/>
  <c r="AJ40" i="11"/>
  <c r="AJ53" i="11"/>
  <c r="AJ34" i="11"/>
  <c r="AJ45" i="11"/>
  <c r="AJ37" i="11"/>
  <c r="AJ58" i="11"/>
  <c r="AJ48" i="11"/>
  <c r="AJ57" i="11"/>
  <c r="AJ56" i="11"/>
  <c r="AJ18" i="11"/>
  <c r="AJ12" i="11"/>
  <c r="AJ6" i="11"/>
  <c r="AJ14" i="11"/>
  <c r="AJ4" i="11"/>
  <c r="AJ36" i="11"/>
  <c r="AJ5" i="11"/>
  <c r="AJ7" i="11"/>
  <c r="AJ8" i="11"/>
  <c r="AJ13" i="11"/>
  <c r="AJ15" i="11"/>
  <c r="AJ17" i="11"/>
  <c r="AJ19" i="11"/>
  <c r="AJ21" i="11"/>
  <c r="AJ23" i="11"/>
  <c r="AJ28" i="11"/>
  <c r="AJ30" i="11"/>
  <c r="AJ33" i="11"/>
  <c r="AJ35" i="11"/>
  <c r="AH56" i="10"/>
  <c r="AI56" i="10"/>
  <c r="AJ56" i="10" s="1"/>
  <c r="A23" i="11" l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A42" i="11" s="1"/>
  <c r="A43" i="11" s="1"/>
  <c r="A44" i="11" s="1"/>
  <c r="A45" i="11" s="1"/>
  <c r="A46" i="11" s="1"/>
  <c r="A47" i="11" s="1"/>
  <c r="A48" i="11" s="1"/>
  <c r="A49" i="11" s="1"/>
  <c r="A50" i="11" s="1"/>
  <c r="A51" i="11" s="1"/>
  <c r="A52" i="11" s="1"/>
  <c r="A53" i="11" s="1"/>
  <c r="A54" i="11" s="1"/>
  <c r="A55" i="11" s="1"/>
  <c r="A56" i="11" s="1"/>
  <c r="A57" i="11" s="1"/>
  <c r="A58" i="11" s="1"/>
  <c r="A59" i="11" s="1"/>
  <c r="AG56" i="9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<sst xmlns="http://schemas.openxmlformats.org/spreadsheetml/2006/main" count="16389" uniqueCount="85">
  <si>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</si>
  <si>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</si>
  <si>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</si>
  <si>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</si>
  <si>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</si>
  <si>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</si>
  <si>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</si>
  <si>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</si>
  <si>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</si>
  <si>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</si>
  <si>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</si>
  <si>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</si>
  <si>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</si>
  <si>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</si>
  <si>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</si>
  <si>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</si>
  <si>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</si>
  <si>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</si>
  <si>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</si>
  <si>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</si>
  <si>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</si>
  <si>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</si>
  <si>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</si>
  <si>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</si>
  <si>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</si>
  <si>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</si>
  <si>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</si>
  <si>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</si>
  <si>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</si>
  <si>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</si>
  <si>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</si>
  <si>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</si>
  <si>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</si>
  <si>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</si>
  <si>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</si>
  <si>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</si>
  <si>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</si>
  <si>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</si>
  <si>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</si>
  <si>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</si>
  <si>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</si>
  <si>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</si>
  <si>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</si>
  <si>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</si>
  <si>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</si>
  <si>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</si>
  <si>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</si>
  <si>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</si>
  <si>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</si>
  <si>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</si>
  <si>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</si>
  <si>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</si>
  <si>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</si>
  <si>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</si>
  <si>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</si>
  <si>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</si>
  <si>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</si>
  <si>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</si>
  <si>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</si>
  <si>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</si>
  <si>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</si>
  <si>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</si>
  <si>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</si>
  <si>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</si>
  <si>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</si>
  <si>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</si>
  <si>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</si>
  <si>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</si>
  <si>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</si>
  <si>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</si>
  <si>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</si>
  <si>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</si>
  <si>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</si>
  <si>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</si>
  <si>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</si>
  <si>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</si>
  <si>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</si>
  <si>
    <t>Соколовский В.М.</t>
  </si>
  <si>
    <t>Стулинский А.Ю.</t>
  </si>
  <si>
    <t>Кулик Е.Г.</t>
  </si>
  <si>
    <t>Крюк И.М.</t>
  </si>
  <si>
    <t>Протасеня Д.А.</t>
  </si>
  <si>
    <t>Наркевич А.И.</t>
  </si>
  <si>
    <t>Позняк А.</t>
  </si>
  <si>
    <t>Попков Г.А.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</si>
</sst>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1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12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11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10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9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8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7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3" si="0">COUNTIF(C4:AG4,"+")</f>
        <v>17</v>
      </c>
      <c r="AI4" s="25">
        <f t="shared" ref="AI4:AI63" si="1">COUNTIF(C4:AG4,"-")</f>
        <v>14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48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48</v>
      </c>
      <c r="AE6" s="4" t="s">
        <v>48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48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4" t="s">
        <v>48</v>
      </c>
      <c r="AF8" s="4" t="s">
        <v>48</v>
      </c>
      <c r="AG8" s="4" t="s">
        <v>48</v>
      </c>
      <c r="AH8" s="21">
        <f t="shared" si="0"/>
        <v>0</v>
      </c>
      <c r="AI8" s="23">
        <f t="shared" si="1"/>
        <v>31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4" t="s">
        <v>48</v>
      </c>
      <c r="AD9" s="4" t="s">
        <v>48</v>
      </c>
      <c r="AE9" s="4" t="s">
        <v>48</v>
      </c>
      <c r="AF9" s="4" t="s">
        <v>48</v>
      </c>
      <c r="AG9" s="6" t="s">
        <v>47</v>
      </c>
      <c r="AH9" s="21">
        <f t="shared" si="0"/>
        <v>21</v>
      </c>
      <c r="AI9" s="23">
        <f t="shared" si="1"/>
        <v>10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48</v>
      </c>
      <c r="AE10" s="4" t="s">
        <v>47</v>
      </c>
      <c r="AF10" s="4" t="s">
        <v>47</v>
      </c>
      <c r="AG10" s="6" t="s">
        <v>47</v>
      </c>
      <c r="AH10" s="21">
        <f t="shared" si="0"/>
        <v>28</v>
      </c>
      <c r="AI10" s="23">
        <f t="shared" si="1"/>
        <v>3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0"/>
        <v>0</v>
      </c>
      <c r="AI11" s="23">
        <f t="shared" si="1"/>
        <v>31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47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48</v>
      </c>
      <c r="AG12" s="4" t="s">
        <v>47</v>
      </c>
      <c r="AH12" s="21">
        <f t="shared" si="0"/>
        <v>28</v>
      </c>
      <c r="AI12" s="23">
        <f t="shared" si="1"/>
        <v>3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 t="s">
        <v>47</v>
      </c>
      <c r="X14" s="6" t="s">
        <v>47</v>
      </c>
      <c r="Y14" s="4" t="s">
        <v>47</v>
      </c>
      <c r="Z14" s="4" t="s">
        <v>47</v>
      </c>
      <c r="AA14" s="4" t="s">
        <v>47</v>
      </c>
      <c r="AB14" s="4" t="s">
        <v>47</v>
      </c>
      <c r="AC14" s="4" t="s">
        <v>48</v>
      </c>
      <c r="AD14" s="4" t="s">
        <v>48</v>
      </c>
      <c r="AE14" s="4" t="s">
        <v>47</v>
      </c>
      <c r="AF14" s="6" t="s">
        <v>47</v>
      </c>
      <c r="AG14" s="6" t="s">
        <v>47</v>
      </c>
      <c r="AH14" s="21">
        <f t="shared" si="0"/>
        <v>23</v>
      </c>
      <c r="AI14" s="23">
        <f t="shared" si="1"/>
        <v>8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4" t="s">
        <v>48</v>
      </c>
      <c r="AD15" s="4" t="s">
        <v>48</v>
      </c>
      <c r="AE15" s="6" t="s">
        <v>47</v>
      </c>
      <c r="AF15" s="6" t="s">
        <v>47</v>
      </c>
      <c r="AG15" s="6" t="s">
        <v>47</v>
      </c>
      <c r="AH15" s="21">
        <f t="shared" si="0"/>
        <v>28</v>
      </c>
      <c r="AI15" s="23">
        <f t="shared" si="1"/>
        <v>3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 t="s">
        <v>47</v>
      </c>
      <c r="X16" s="6" t="s">
        <v>48</v>
      </c>
      <c r="Y16" s="4" t="s">
        <v>48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48</v>
      </c>
      <c r="AG16" s="4" t="s">
        <v>48</v>
      </c>
      <c r="AH16" s="21">
        <f t="shared" si="0"/>
        <v>24</v>
      </c>
      <c r="AI16" s="23">
        <f t="shared" si="1"/>
        <v>7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47</v>
      </c>
      <c r="AG17" s="6" t="s">
        <v>47</v>
      </c>
      <c r="AH17" s="21">
        <f t="shared" si="0"/>
        <v>16</v>
      </c>
      <c r="AI17" s="23">
        <f t="shared" si="1"/>
        <v>15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 t="s">
        <v>47</v>
      </c>
      <c r="X19" s="6" t="s">
        <v>48</v>
      </c>
      <c r="Y19" s="4" t="s">
        <v>48</v>
      </c>
      <c r="Z19" s="4" t="s">
        <v>48</v>
      </c>
      <c r="AA19" s="4" t="s">
        <v>48</v>
      </c>
      <c r="AB19" s="4" t="s">
        <v>48</v>
      </c>
      <c r="AC19" s="4" t="s">
        <v>47</v>
      </c>
      <c r="AD19" s="6" t="s">
        <v>47</v>
      </c>
      <c r="AE19" s="4" t="s">
        <v>48</v>
      </c>
      <c r="AF19" s="4" t="s">
        <v>48</v>
      </c>
      <c r="AG19" s="4" t="s">
        <v>48</v>
      </c>
      <c r="AH19" s="21">
        <f t="shared" si="0"/>
        <v>9</v>
      </c>
      <c r="AI19" s="23">
        <f t="shared" si="1"/>
        <v>22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47</v>
      </c>
      <c r="Z20" s="4" t="s">
        <v>47</v>
      </c>
      <c r="AA20" s="4" t="s">
        <v>47</v>
      </c>
      <c r="AB20" s="6" t="s">
        <v>47</v>
      </c>
      <c r="AC20" s="4" t="s">
        <v>47</v>
      </c>
      <c r="AD20" s="4" t="s">
        <v>48</v>
      </c>
      <c r="AE20" s="4" t="s">
        <v>47</v>
      </c>
      <c r="AF20" s="4" t="s">
        <v>48</v>
      </c>
      <c r="AG20" s="6" t="s">
        <v>47</v>
      </c>
      <c r="AH20" s="21">
        <f t="shared" si="0"/>
        <v>24</v>
      </c>
      <c r="AI20" s="23">
        <f t="shared" si="1"/>
        <v>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48</v>
      </c>
      <c r="AD21" s="4" t="s">
        <v>48</v>
      </c>
      <c r="AE21" s="6" t="s">
        <v>47</v>
      </c>
      <c r="AF21" s="4" t="s">
        <v>47</v>
      </c>
      <c r="AG21" s="6" t="s">
        <v>47</v>
      </c>
      <c r="AH21" s="21">
        <f t="shared" si="0"/>
        <v>23</v>
      </c>
      <c r="AI21" s="23">
        <f t="shared" si="1"/>
        <v>8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 t="s">
        <v>48</v>
      </c>
      <c r="X22" s="6" t="s">
        <v>47</v>
      </c>
      <c r="Y22" s="4" t="s">
        <v>47</v>
      </c>
      <c r="Z22" s="4" t="s">
        <v>47</v>
      </c>
      <c r="AA22" s="4" t="s">
        <v>47</v>
      </c>
      <c r="AB22" s="4" t="s">
        <v>48</v>
      </c>
      <c r="AC22" s="4" t="s">
        <v>48</v>
      </c>
      <c r="AD22" s="4" t="s">
        <v>47</v>
      </c>
      <c r="AE22" s="6" t="s">
        <v>47</v>
      </c>
      <c r="AF22" s="4" t="s">
        <v>47</v>
      </c>
      <c r="AG22" s="6" t="s">
        <v>47</v>
      </c>
      <c r="AH22" s="21">
        <f t="shared" si="0"/>
        <v>22</v>
      </c>
      <c r="AI22" s="23">
        <f t="shared" si="1"/>
        <v>9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 t="s">
        <v>47</v>
      </c>
      <c r="X23" s="6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17</v>
      </c>
      <c r="AI23" s="23">
        <f t="shared" si="1"/>
        <v>14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si="0"/>
        <v>31</v>
      </c>
      <c r="AI24" s="23">
        <f t="shared" si="1"/>
        <v>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4" t="s">
        <v>48</v>
      </c>
      <c r="AD25" s="4" t="s">
        <v>48</v>
      </c>
      <c r="AE25" s="6" t="s">
        <v>47</v>
      </c>
      <c r="AF25" s="6" t="s">
        <v>47</v>
      </c>
      <c r="AG25" s="6" t="s">
        <v>47</v>
      </c>
      <c r="AH25" s="21">
        <f t="shared" si="0"/>
        <v>27</v>
      </c>
      <c r="AI25" s="23">
        <f t="shared" si="1"/>
        <v>4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4" t="s">
        <v>48</v>
      </c>
      <c r="AF26" s="4" t="s">
        <v>48</v>
      </c>
      <c r="AG26" s="4" t="s">
        <v>48</v>
      </c>
      <c r="AH26" s="21">
        <f t="shared" si="0"/>
        <v>0</v>
      </c>
      <c r="AI26" s="23">
        <f t="shared" si="1"/>
        <v>31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 t="s">
        <v>47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47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17</v>
      </c>
      <c r="AI28" s="23">
        <f t="shared" si="1"/>
        <v>14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31</v>
      </c>
      <c r="AI29" s="23">
        <f t="shared" si="1"/>
        <v>0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 t="s">
        <v>48</v>
      </c>
      <c r="X30" s="6" t="s">
        <v>48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4" t="s">
        <v>48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26</v>
      </c>
      <c r="AI31" s="23">
        <f t="shared" si="1"/>
        <v>5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47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4" t="s">
        <v>48</v>
      </c>
      <c r="AG32" s="6" t="s">
        <v>47</v>
      </c>
      <c r="AH32" s="21">
        <f t="shared" si="0"/>
        <v>28</v>
      </c>
      <c r="AI32" s="23">
        <f t="shared" si="1"/>
        <v>3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4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4" t="s">
        <v>48</v>
      </c>
      <c r="AH34" s="21">
        <f t="shared" si="0"/>
        <v>0</v>
      </c>
      <c r="AI34" s="23">
        <f t="shared" si="1"/>
        <v>31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6" t="s">
        <v>47</v>
      </c>
      <c r="AH35" s="21">
        <f t="shared" si="0"/>
        <v>27</v>
      </c>
      <c r="AI35" s="23">
        <f t="shared" si="1"/>
        <v>4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29</v>
      </c>
      <c r="AI36" s="23">
        <f t="shared" si="1"/>
        <v>2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6" t="s">
        <v>48</v>
      </c>
      <c r="Y37" s="4" t="s">
        <v>48</v>
      </c>
      <c r="Z37" s="4" t="s">
        <v>47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48</v>
      </c>
      <c r="X38" s="6" t="s">
        <v>47</v>
      </c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18</v>
      </c>
      <c r="AI38" s="23">
        <f t="shared" si="1"/>
        <v>13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 t="s">
        <v>47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48</v>
      </c>
      <c r="AE39" s="6" t="s">
        <v>47</v>
      </c>
      <c r="AF39" s="6" t="s">
        <v>47</v>
      </c>
      <c r="AG39" s="6" t="s">
        <v>47</v>
      </c>
      <c r="AH39" s="21">
        <f t="shared" si="0"/>
        <v>27</v>
      </c>
      <c r="AI39" s="23">
        <f t="shared" si="1"/>
        <v>4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4" t="s">
        <v>48</v>
      </c>
      <c r="AF40" s="4" t="s">
        <v>48</v>
      </c>
      <c r="AG40" s="4" t="s">
        <v>48</v>
      </c>
      <c r="AH40" s="21">
        <f t="shared" si="0"/>
        <v>0</v>
      </c>
      <c r="AI40" s="23">
        <f t="shared" si="1"/>
        <v>31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47</v>
      </c>
      <c r="AA41" s="4" t="s">
        <v>47</v>
      </c>
      <c r="AB41" s="4" t="s">
        <v>47</v>
      </c>
      <c r="AC41" s="4" t="s">
        <v>48</v>
      </c>
      <c r="AD41" s="4" t="s">
        <v>48</v>
      </c>
      <c r="AE41" s="4" t="s">
        <v>47</v>
      </c>
      <c r="AF41" s="4" t="s">
        <v>47</v>
      </c>
      <c r="AG41" s="6" t="s">
        <v>47</v>
      </c>
      <c r="AH41" s="21">
        <f t="shared" si="0"/>
        <v>27</v>
      </c>
      <c r="AI41" s="23">
        <f t="shared" si="1"/>
        <v>4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29</v>
      </c>
      <c r="AI42" s="23">
        <f t="shared" si="1"/>
        <v>2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 t="s">
        <v>48</v>
      </c>
      <c r="X43" s="6" t="s">
        <v>48</v>
      </c>
      <c r="Y43" s="4" t="s">
        <v>48</v>
      </c>
      <c r="Z43" s="4" t="s">
        <v>48</v>
      </c>
      <c r="AA43" s="4" t="s">
        <v>48</v>
      </c>
      <c r="AB43" s="4" t="s">
        <v>48</v>
      </c>
      <c r="AC43" s="4" t="s">
        <v>48</v>
      </c>
      <c r="AD43" s="4" t="s">
        <v>48</v>
      </c>
      <c r="AE43" s="4" t="s">
        <v>48</v>
      </c>
      <c r="AF43" s="4" t="s">
        <v>48</v>
      </c>
      <c r="AG43" s="4" t="s">
        <v>48</v>
      </c>
      <c r="AH43" s="21">
        <f t="shared" si="0"/>
        <v>1</v>
      </c>
      <c r="AI43" s="23">
        <f t="shared" si="1"/>
        <v>30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4" t="s">
        <v>48</v>
      </c>
      <c r="AF45" s="4" t="s">
        <v>48</v>
      </c>
      <c r="AG45" s="4" t="s">
        <v>48</v>
      </c>
      <c r="AH45" s="21">
        <f t="shared" si="0"/>
        <v>0</v>
      </c>
      <c r="AI45" s="23">
        <f t="shared" si="1"/>
        <v>31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27</v>
      </c>
      <c r="AI46" s="23">
        <f t="shared" si="1"/>
        <v>4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48</v>
      </c>
      <c r="X47" s="6" t="s">
        <v>48</v>
      </c>
      <c r="Y47" s="4" t="s">
        <v>48</v>
      </c>
      <c r="Z47" s="4" t="s">
        <v>48</v>
      </c>
      <c r="AA47" s="4" t="s">
        <v>48</v>
      </c>
      <c r="AB47" s="4" t="s">
        <v>48</v>
      </c>
      <c r="AC47" s="4" t="s">
        <v>48</v>
      </c>
      <c r="AD47" s="4" t="s">
        <v>48</v>
      </c>
      <c r="AE47" s="4" t="s">
        <v>48</v>
      </c>
      <c r="AF47" s="4" t="s">
        <v>48</v>
      </c>
      <c r="AG47" s="4" t="s">
        <v>48</v>
      </c>
      <c r="AH47" s="21">
        <f t="shared" si="0"/>
        <v>0</v>
      </c>
      <c r="AI47" s="23">
        <f t="shared" si="1"/>
        <v>31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 t="s">
        <v>48</v>
      </c>
      <c r="X48" s="6" t="s">
        <v>48</v>
      </c>
      <c r="Y48" s="4" t="s">
        <v>47</v>
      </c>
      <c r="Z48" s="4" t="s">
        <v>47</v>
      </c>
      <c r="AA48" s="4" t="s">
        <v>47</v>
      </c>
      <c r="AB48" s="4" t="s">
        <v>48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10</v>
      </c>
      <c r="AI48" s="23">
        <f t="shared" si="1"/>
        <v>21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48</v>
      </c>
      <c r="AD49" s="4" t="s">
        <v>48</v>
      </c>
      <c r="AE49" s="4" t="s">
        <v>47</v>
      </c>
      <c r="AF49" s="4" t="s">
        <v>47</v>
      </c>
      <c r="AG49" s="6" t="s">
        <v>47</v>
      </c>
      <c r="AH49" s="21">
        <f t="shared" si="0"/>
        <v>27</v>
      </c>
      <c r="AI49" s="23">
        <f t="shared" si="1"/>
        <v>4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 t="s">
        <v>48</v>
      </c>
      <c r="X50" s="6" t="s">
        <v>47</v>
      </c>
      <c r="Y50" s="4" t="s">
        <v>47</v>
      </c>
      <c r="Z50" s="4" t="s">
        <v>47</v>
      </c>
      <c r="AA50" s="4" t="s">
        <v>47</v>
      </c>
      <c r="AB50" s="4" t="s">
        <v>47</v>
      </c>
      <c r="AC50" s="4" t="s">
        <v>48</v>
      </c>
      <c r="AD50" s="4" t="s">
        <v>48</v>
      </c>
      <c r="AE50" s="4" t="s">
        <v>47</v>
      </c>
      <c r="AF50" s="4" t="s">
        <v>47</v>
      </c>
      <c r="AG50" s="6" t="s">
        <v>47</v>
      </c>
      <c r="AH50" s="21">
        <f t="shared" si="0"/>
        <v>22</v>
      </c>
      <c r="AI50" s="23">
        <f t="shared" si="1"/>
        <v>9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47</v>
      </c>
      <c r="X51" s="6" t="s">
        <v>47</v>
      </c>
      <c r="Y51" s="4" t="s">
        <v>47</v>
      </c>
      <c r="Z51" s="4" t="s">
        <v>47</v>
      </c>
      <c r="AA51" s="4" t="s">
        <v>47</v>
      </c>
      <c r="AB51" s="4" t="s">
        <v>47</v>
      </c>
      <c r="AC51" s="4" t="s">
        <v>48</v>
      </c>
      <c r="AD51" s="4" t="s">
        <v>48</v>
      </c>
      <c r="AE51" s="4" t="s">
        <v>48</v>
      </c>
      <c r="AF51" s="4" t="s">
        <v>48</v>
      </c>
      <c r="AG51" s="4" t="s">
        <v>48</v>
      </c>
      <c r="AH51" s="21">
        <f t="shared" si="0"/>
        <v>24</v>
      </c>
      <c r="AI51" s="23">
        <f t="shared" si="1"/>
        <v>7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 t="s">
        <v>48</v>
      </c>
      <c r="X52" s="6" t="s">
        <v>47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48</v>
      </c>
      <c r="AD52" s="4" t="s">
        <v>48</v>
      </c>
      <c r="AE52" s="4" t="s">
        <v>47</v>
      </c>
      <c r="AF52" s="4" t="s">
        <v>47</v>
      </c>
      <c r="AG52" s="4" t="s">
        <v>47</v>
      </c>
      <c r="AH52" s="21">
        <f t="shared" si="0"/>
        <v>22</v>
      </c>
      <c r="AI52" s="23">
        <f t="shared" si="1"/>
        <v>9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48</v>
      </c>
      <c r="AD53" s="4" t="s">
        <v>48</v>
      </c>
      <c r="AE53" s="4" t="s">
        <v>47</v>
      </c>
      <c r="AF53" s="4" t="s">
        <v>47</v>
      </c>
      <c r="AG53" s="4" t="s">
        <v>48</v>
      </c>
      <c r="AH53" s="21">
        <f t="shared" si="0"/>
        <v>25</v>
      </c>
      <c r="AI53" s="23">
        <f t="shared" si="1"/>
        <v>6</v>
      </c>
      <c r="AJ53" s="30">
        <f t="shared" ref="AJ53:AJ63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 t="s">
        <v>48</v>
      </c>
      <c r="X54" s="6" t="s">
        <v>47</v>
      </c>
      <c r="Y54" s="6" t="s">
        <v>47</v>
      </c>
      <c r="Z54" s="4" t="s">
        <v>47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48</v>
      </c>
      <c r="AF54" s="4" t="s">
        <v>47</v>
      </c>
      <c r="AG54" s="4" t="s">
        <v>47</v>
      </c>
      <c r="AH54" s="21">
        <f t="shared" si="0"/>
        <v>26</v>
      </c>
      <c r="AI54" s="23">
        <f t="shared" si="1"/>
        <v>5</v>
      </c>
      <c r="AJ54" s="30">
        <f t="shared" si="4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 t="s">
        <v>48</v>
      </c>
      <c r="X55" s="6" t="s">
        <v>48</v>
      </c>
      <c r="Y55" s="4" t="s">
        <v>48</v>
      </c>
      <c r="Z55" s="4" t="s">
        <v>48</v>
      </c>
      <c r="AA55" s="4" t="s">
        <v>48</v>
      </c>
      <c r="AB55" s="4" t="s">
        <v>48</v>
      </c>
      <c r="AC55" s="4" t="s">
        <v>48</v>
      </c>
      <c r="AD55" s="4" t="s">
        <v>48</v>
      </c>
      <c r="AE55" s="4" t="s">
        <v>48</v>
      </c>
      <c r="AF55" s="4" t="s">
        <v>48</v>
      </c>
      <c r="AG55" s="4" t="s">
        <v>48</v>
      </c>
      <c r="AH55" s="21">
        <f t="shared" si="0"/>
        <v>13</v>
      </c>
      <c r="AI55" s="23">
        <f t="shared" si="1"/>
        <v>18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 t="s">
        <v>48</v>
      </c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4" t="s">
        <v>47</v>
      </c>
      <c r="AH56" s="21">
        <f t="shared" ref="AH56" si="5">COUNTIF(C56:AG56,"+")</f>
        <v>27</v>
      </c>
      <c r="AI56" s="23">
        <f t="shared" ref="AI56" si="6">COUNTIF(C56:AG56,"-")</f>
        <v>4</v>
      </c>
      <c r="AJ56" s="30">
        <f t="shared" ref="AJ56" si="7">SUM(AH56:AI56)</f>
        <v>31</v>
      </c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48</v>
      </c>
      <c r="AF57" s="4" t="s">
        <v>48</v>
      </c>
      <c r="AG57" s="6" t="s">
        <v>47</v>
      </c>
      <c r="AH57" s="21">
        <f t="shared" si="0"/>
        <v>24</v>
      </c>
      <c r="AI57" s="23">
        <f t="shared" si="1"/>
        <v>7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47</v>
      </c>
      <c r="Y58" s="4" t="s">
        <v>48</v>
      </c>
      <c r="Z58" s="4" t="s">
        <v>47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4" t="s">
        <v>48</v>
      </c>
      <c r="AH58" s="21">
        <f t="shared" si="0"/>
        <v>23</v>
      </c>
      <c r="AI58" s="23">
        <f t="shared" si="1"/>
        <v>8</v>
      </c>
      <c r="AJ58" s="30">
        <f t="shared" si="4"/>
        <v>31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48</v>
      </c>
      <c r="AC59" s="4" t="s">
        <v>48</v>
      </c>
      <c r="AD59" s="4" t="s">
        <v>47</v>
      </c>
      <c r="AE59" s="4" t="s">
        <v>47</v>
      </c>
      <c r="AF59" s="4" t="s">
        <v>47</v>
      </c>
      <c r="AG59" s="6" t="s">
        <v>47</v>
      </c>
      <c r="AH59" s="21">
        <f t="shared" si="0"/>
        <v>23</v>
      </c>
      <c r="AI59" s="23">
        <f t="shared" si="1"/>
        <v>8</v>
      </c>
      <c r="AJ59" s="30">
        <f t="shared" si="4"/>
        <v>31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4" t="s">
        <v>48</v>
      </c>
      <c r="AF60" s="4" t="s">
        <v>48</v>
      </c>
      <c r="AG60" s="4" t="s">
        <v>48</v>
      </c>
      <c r="AH60" s="21">
        <f t="shared" si="0"/>
        <v>0</v>
      </c>
      <c r="AI60" s="23">
        <f t="shared" si="1"/>
        <v>31</v>
      </c>
      <c r="AJ60" s="30">
        <f>SUM(AH60:AI60)</f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48</v>
      </c>
      <c r="X61" s="6" t="s">
        <v>47</v>
      </c>
      <c r="Y61" s="4" t="s">
        <v>47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47</v>
      </c>
      <c r="AF61" s="6" t="s">
        <v>47</v>
      </c>
      <c r="AG61" s="6" t="s">
        <v>47</v>
      </c>
      <c r="AH61" s="21">
        <f t="shared" si="0"/>
        <v>28</v>
      </c>
      <c r="AI61" s="23">
        <f t="shared" si="1"/>
        <v>3</v>
      </c>
      <c r="AJ61" s="30">
        <f t="shared" si="4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 t="s">
        <v>47</v>
      </c>
      <c r="X62" s="6" t="s">
        <v>47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48</v>
      </c>
      <c r="AE62" s="6" t="s">
        <v>47</v>
      </c>
      <c r="AF62" s="6" t="s">
        <v>47</v>
      </c>
      <c r="AG62" s="4" t="s">
        <v>47</v>
      </c>
      <c r="AH62" s="21">
        <f t="shared" si="0"/>
        <v>24</v>
      </c>
      <c r="AI62" s="23">
        <f t="shared" si="1"/>
        <v>7</v>
      </c>
      <c r="AJ62" s="30">
        <f t="shared" si="4"/>
        <v>31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48</v>
      </c>
      <c r="X63" s="6" t="s">
        <v>48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4" t="s">
        <v>47</v>
      </c>
      <c r="AF63" s="4" t="s">
        <v>47</v>
      </c>
      <c r="AG63" s="6" t="s">
        <v>47</v>
      </c>
      <c r="AH63" s="22">
        <f t="shared" si="0"/>
        <v>28</v>
      </c>
      <c r="AI63" s="24">
        <f t="shared" si="1"/>
        <v>3</v>
      </c>
      <c r="AJ63" s="31">
        <f t="shared" si="4"/>
        <v>31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6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pageSetUpPr fitToPage="1"/>
  </sheetPr>
  <dimension ref="A1:AL61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52" sqref="AF52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Август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59" si="0">COUNTIF(C4:AG4,"+")</f>
        <v>24</v>
      </c>
      <c r="AI4" s="25">
        <f t="shared" ref="AI4:AI59" si="1">COUNTIF(C4:AG4,"-")</f>
        <v>7</v>
      </c>
      <c r="AJ4" s="29">
        <f t="shared" ref="AJ4:AJ48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48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47</v>
      </c>
      <c r="O5" s="4" t="s">
        <v>48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47</v>
      </c>
      <c r="W5" s="4" t="s">
        <v>48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47</v>
      </c>
      <c r="AH5" s="7">
        <f t="shared" si="0"/>
        <v>21</v>
      </c>
      <c r="AI5" s="25">
        <f t="shared" si="1"/>
        <v>10</v>
      </c>
      <c r="AJ5" s="29">
        <f t="shared" si="2"/>
        <v>31</v>
      </c>
    </row>
    <row r="6" spans="1:38" x14ac:dyDescent="0.25">
      <c r="A6" s="15">
        <f t="shared" ref="A6:A59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48</v>
      </c>
      <c r="H6" s="4" t="s">
        <v>48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48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6" t="s">
        <v>47</v>
      </c>
      <c r="AH6" s="21">
        <f t="shared" si="0"/>
        <v>24</v>
      </c>
      <c r="AI6" s="23">
        <f t="shared" si="1"/>
        <v>7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47</v>
      </c>
      <c r="I7" s="4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47</v>
      </c>
      <c r="R7" s="4" t="s">
        <v>47</v>
      </c>
      <c r="S7" s="4" t="s">
        <v>48</v>
      </c>
      <c r="T7" s="4" t="s">
        <v>48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48</v>
      </c>
      <c r="AB7" s="6" t="s">
        <v>48</v>
      </c>
      <c r="AC7" s="6" t="s">
        <v>47</v>
      </c>
      <c r="AD7" s="4" t="s">
        <v>47</v>
      </c>
      <c r="AE7" s="4" t="s">
        <v>47</v>
      </c>
      <c r="AF7" s="4" t="s">
        <v>47</v>
      </c>
      <c r="AG7" s="4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1</v>
      </c>
      <c r="C8" s="5" t="s">
        <v>47</v>
      </c>
      <c r="D8" s="6" t="s">
        <v>47</v>
      </c>
      <c r="E8" s="6" t="s">
        <v>47</v>
      </c>
      <c r="F8" s="6" t="s">
        <v>48</v>
      </c>
      <c r="G8" s="6" t="s">
        <v>47</v>
      </c>
      <c r="H8" s="4" t="s">
        <v>48</v>
      </c>
      <c r="I8" s="4" t="s">
        <v>47</v>
      </c>
      <c r="J8" s="6" t="s">
        <v>47</v>
      </c>
      <c r="K8" s="4" t="s">
        <v>47</v>
      </c>
      <c r="L8" s="4" t="s">
        <v>48</v>
      </c>
      <c r="M8" s="4" t="s">
        <v>48</v>
      </c>
      <c r="N8" s="6" t="s">
        <v>47</v>
      </c>
      <c r="O8" s="4" t="s">
        <v>48</v>
      </c>
      <c r="P8" s="4" t="s">
        <v>48</v>
      </c>
      <c r="Q8" s="4" t="s">
        <v>48</v>
      </c>
      <c r="R8" s="4" t="s">
        <v>47</v>
      </c>
      <c r="S8" s="4" t="s">
        <v>47</v>
      </c>
      <c r="T8" s="4" t="s">
        <v>48</v>
      </c>
      <c r="U8" s="6" t="s">
        <v>47</v>
      </c>
      <c r="V8" s="4" t="s">
        <v>47</v>
      </c>
      <c r="W8" s="4" t="s">
        <v>47</v>
      </c>
      <c r="X8" s="4" t="s">
        <v>47</v>
      </c>
      <c r="Y8" s="4" t="s">
        <v>47</v>
      </c>
      <c r="Z8" s="4" t="s">
        <v>47</v>
      </c>
      <c r="AA8" s="4" t="s">
        <v>48</v>
      </c>
      <c r="AB8" s="4" t="s">
        <v>47</v>
      </c>
      <c r="AC8" s="4" t="s">
        <v>47</v>
      </c>
      <c r="AD8" s="4" t="s">
        <v>47</v>
      </c>
      <c r="AE8" s="4" t="s">
        <v>48</v>
      </c>
      <c r="AF8" s="4" t="s">
        <v>47</v>
      </c>
      <c r="AG8" s="6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48</v>
      </c>
      <c r="M9" s="4" t="s">
        <v>48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47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27</v>
      </c>
      <c r="AI9" s="23">
        <f t="shared" si="1"/>
        <v>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39</v>
      </c>
      <c r="C10" s="3"/>
      <c r="D10" s="6"/>
      <c r="E10" s="6"/>
      <c r="F10" s="6"/>
      <c r="G10" s="6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 t="s">
        <v>47</v>
      </c>
      <c r="Y10" s="4" t="s">
        <v>47</v>
      </c>
      <c r="Z10" s="4" t="s">
        <v>47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4" t="s">
        <v>47</v>
      </c>
      <c r="AH10" s="21">
        <f t="shared" ref="AH10:AH11" si="4">COUNTIF(C10:AG10,"+")</f>
        <v>9</v>
      </c>
      <c r="AI10" s="23">
        <f t="shared" ref="AI10:AI11" si="5">COUNTIF(C10:AG10,"-")</f>
        <v>1</v>
      </c>
      <c r="AJ10" s="30">
        <f t="shared" ref="AJ10:AJ11" si="6">SUM(AH10:AI10)</f>
        <v>10</v>
      </c>
    </row>
    <row r="11" spans="1:38" x14ac:dyDescent="0.25">
      <c r="A11" s="15">
        <f t="shared" si="3"/>
        <v>8</v>
      </c>
      <c r="B11" s="16" t="s">
        <v>40</v>
      </c>
      <c r="C11" s="3" t="s">
        <v>48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4" t="s">
        <v>47</v>
      </c>
      <c r="O11" s="4" t="s">
        <v>48</v>
      </c>
      <c r="P11" s="4" t="s">
        <v>48</v>
      </c>
      <c r="Q11" s="4" t="s">
        <v>47</v>
      </c>
      <c r="R11" s="4" t="s">
        <v>47</v>
      </c>
      <c r="S11" s="6" t="s">
        <v>47</v>
      </c>
      <c r="T11" s="4" t="s">
        <v>47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6" t="s">
        <v>48</v>
      </c>
      <c r="AC11" s="6" t="s">
        <v>48</v>
      </c>
      <c r="AD11" s="4" t="s">
        <v>48</v>
      </c>
      <c r="AE11" s="4" t="s">
        <v>48</v>
      </c>
      <c r="AF11" s="4" t="s">
        <v>48</v>
      </c>
      <c r="AG11" s="4" t="s">
        <v>48</v>
      </c>
      <c r="AH11" s="21">
        <f t="shared" si="4"/>
        <v>15</v>
      </c>
      <c r="AI11" s="23">
        <f t="shared" si="5"/>
        <v>16</v>
      </c>
      <c r="AJ11" s="30">
        <f t="shared" si="6"/>
        <v>31</v>
      </c>
    </row>
    <row r="12" spans="1:38" x14ac:dyDescent="0.25">
      <c r="A12" s="15">
        <f t="shared" si="3"/>
        <v>9</v>
      </c>
      <c r="B12" s="16" t="s">
        <v>73</v>
      </c>
      <c r="C12" s="5" t="s">
        <v>47</v>
      </c>
      <c r="D12" s="6" t="s">
        <v>47</v>
      </c>
      <c r="E12" s="6" t="s">
        <v>47</v>
      </c>
      <c r="F12" s="6" t="s">
        <v>47</v>
      </c>
      <c r="G12" s="4" t="s">
        <v>47</v>
      </c>
      <c r="H12" s="4" t="s">
        <v>48</v>
      </c>
      <c r="I12" s="4" t="s">
        <v>47</v>
      </c>
      <c r="J12" s="6" t="s">
        <v>47</v>
      </c>
      <c r="K12" s="4" t="s">
        <v>47</v>
      </c>
      <c r="L12" s="4" t="s">
        <v>47</v>
      </c>
      <c r="M12" s="4" t="s">
        <v>47</v>
      </c>
      <c r="N12" s="6" t="s">
        <v>47</v>
      </c>
      <c r="O12" s="4" t="s">
        <v>48</v>
      </c>
      <c r="P12" s="4" t="s">
        <v>48</v>
      </c>
      <c r="Q12" s="4" t="s">
        <v>47</v>
      </c>
      <c r="R12" s="4" t="s">
        <v>47</v>
      </c>
      <c r="S12" s="4" t="s">
        <v>47</v>
      </c>
      <c r="T12" s="4" t="s">
        <v>47</v>
      </c>
      <c r="U12" s="4" t="s">
        <v>47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6" t="s">
        <v>48</v>
      </c>
      <c r="AC12" s="6" t="s">
        <v>48</v>
      </c>
      <c r="AD12" s="4" t="s">
        <v>48</v>
      </c>
      <c r="AE12" s="4" t="s">
        <v>48</v>
      </c>
      <c r="AF12" s="4" t="s">
        <v>48</v>
      </c>
      <c r="AG12" s="6" t="s">
        <v>48</v>
      </c>
      <c r="AH12" s="21">
        <f t="shared" si="0"/>
        <v>16</v>
      </c>
      <c r="AI12" s="23">
        <f t="shared" si="1"/>
        <v>15</v>
      </c>
      <c r="AJ12" s="30">
        <f>SUM(AH12:AI12)</f>
        <v>31</v>
      </c>
    </row>
    <row r="13" spans="1:38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47</v>
      </c>
      <c r="J13" s="6" t="s">
        <v>47</v>
      </c>
      <c r="K13" s="4" t="s">
        <v>47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48</v>
      </c>
      <c r="AA13" s="4" t="s">
        <v>48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6" t="s">
        <v>47</v>
      </c>
      <c r="AH13" s="21">
        <f t="shared" si="0"/>
        <v>28</v>
      </c>
      <c r="AI13" s="23">
        <f t="shared" si="1"/>
        <v>3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</v>
      </c>
      <c r="C14" s="3" t="s">
        <v>47</v>
      </c>
      <c r="D14" s="6" t="s">
        <v>47</v>
      </c>
      <c r="E14" s="6" t="s">
        <v>48</v>
      </c>
      <c r="F14" s="6" t="s">
        <v>48</v>
      </c>
      <c r="G14" s="4" t="s">
        <v>47</v>
      </c>
      <c r="H14" s="6" t="s">
        <v>47</v>
      </c>
      <c r="I14" s="4" t="s">
        <v>47</v>
      </c>
      <c r="J14" s="4" t="s">
        <v>47</v>
      </c>
      <c r="K14" s="4" t="s">
        <v>48</v>
      </c>
      <c r="L14" s="6" t="s">
        <v>47</v>
      </c>
      <c r="M14" s="4" t="s">
        <v>48</v>
      </c>
      <c r="N14" s="4" t="s">
        <v>47</v>
      </c>
      <c r="O14" s="4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4" t="s">
        <v>47</v>
      </c>
      <c r="Z14" s="6" t="s">
        <v>47</v>
      </c>
      <c r="AA14" s="4" t="s">
        <v>48</v>
      </c>
      <c r="AB14" s="6" t="s">
        <v>48</v>
      </c>
      <c r="AC14" s="6" t="s">
        <v>48</v>
      </c>
      <c r="AD14" s="4" t="s">
        <v>48</v>
      </c>
      <c r="AE14" s="4" t="s">
        <v>48</v>
      </c>
      <c r="AF14" s="4" t="s">
        <v>48</v>
      </c>
      <c r="AG14" s="4" t="s">
        <v>48</v>
      </c>
      <c r="AH14" s="21">
        <f t="shared" si="0"/>
        <v>18</v>
      </c>
      <c r="AI14" s="23">
        <f t="shared" si="1"/>
        <v>13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6</v>
      </c>
      <c r="C15" s="5" t="s">
        <v>47</v>
      </c>
      <c r="D15" s="4" t="s">
        <v>47</v>
      </c>
      <c r="E15" s="6" t="s">
        <v>48</v>
      </c>
      <c r="F15" s="6" t="s">
        <v>47</v>
      </c>
      <c r="G15" s="4" t="s">
        <v>47</v>
      </c>
      <c r="H15" s="4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4" t="s">
        <v>47</v>
      </c>
      <c r="N15" s="4" t="s">
        <v>47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6" t="s">
        <v>47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47</v>
      </c>
      <c r="AE15" s="6" t="s">
        <v>47</v>
      </c>
      <c r="AF15" s="4" t="s">
        <v>47</v>
      </c>
      <c r="AG15" s="6" t="s">
        <v>47</v>
      </c>
      <c r="AH15" s="21">
        <f t="shared" si="0"/>
        <v>30</v>
      </c>
      <c r="AI15" s="23">
        <f t="shared" si="1"/>
        <v>1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8</v>
      </c>
      <c r="C16" s="4" t="s">
        <v>48</v>
      </c>
      <c r="D16" s="4" t="s">
        <v>48</v>
      </c>
      <c r="E16" s="4" t="s">
        <v>48</v>
      </c>
      <c r="F16" s="4" t="s">
        <v>48</v>
      </c>
      <c r="G16" s="4" t="s">
        <v>48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48</v>
      </c>
      <c r="M16" s="4" t="s">
        <v>48</v>
      </c>
      <c r="N16" s="4" t="s">
        <v>48</v>
      </c>
      <c r="O16" s="4" t="s">
        <v>48</v>
      </c>
      <c r="P16" s="4" t="s">
        <v>48</v>
      </c>
      <c r="Q16" s="4" t="s">
        <v>48</v>
      </c>
      <c r="R16" s="4" t="s">
        <v>48</v>
      </c>
      <c r="S16" s="4" t="s">
        <v>48</v>
      </c>
      <c r="T16" s="4" t="s">
        <v>48</v>
      </c>
      <c r="U16" s="4" t="s">
        <v>48</v>
      </c>
      <c r="V16" s="4" t="s">
        <v>48</v>
      </c>
      <c r="W16" s="4" t="s">
        <v>48</v>
      </c>
      <c r="X16" s="4" t="s">
        <v>48</v>
      </c>
      <c r="Y16" s="4" t="s">
        <v>48</v>
      </c>
      <c r="Z16" s="4" t="s">
        <v>48</v>
      </c>
      <c r="AA16" s="4" t="s">
        <v>48</v>
      </c>
      <c r="AB16" s="4" t="s">
        <v>48</v>
      </c>
      <c r="AC16" s="4" t="s">
        <v>48</v>
      </c>
      <c r="AD16" s="4" t="s">
        <v>48</v>
      </c>
      <c r="AE16" s="4" t="s">
        <v>48</v>
      </c>
      <c r="AF16" s="4" t="s">
        <v>48</v>
      </c>
      <c r="AG16" s="4" t="s">
        <v>48</v>
      </c>
      <c r="AH16" s="21">
        <f t="shared" si="0"/>
        <v>0</v>
      </c>
      <c r="AI16" s="23">
        <f t="shared" si="1"/>
        <v>31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7</v>
      </c>
      <c r="C17" s="3" t="s">
        <v>48</v>
      </c>
      <c r="D17" s="4" t="s">
        <v>48</v>
      </c>
      <c r="E17" s="6" t="s">
        <v>47</v>
      </c>
      <c r="F17" s="6" t="s">
        <v>47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47</v>
      </c>
      <c r="M17" s="4" t="s">
        <v>47</v>
      </c>
      <c r="N17" s="6" t="s">
        <v>48</v>
      </c>
      <c r="O17" s="4" t="s">
        <v>48</v>
      </c>
      <c r="P17" s="4" t="s">
        <v>48</v>
      </c>
      <c r="Q17" s="4" t="s">
        <v>48</v>
      </c>
      <c r="R17" s="4" t="s">
        <v>48</v>
      </c>
      <c r="S17" s="4" t="s">
        <v>47</v>
      </c>
      <c r="T17" s="4" t="s">
        <v>47</v>
      </c>
      <c r="U17" s="4" t="s">
        <v>48</v>
      </c>
      <c r="V17" s="4" t="s">
        <v>48</v>
      </c>
      <c r="W17" s="4" t="s">
        <v>48</v>
      </c>
      <c r="X17" s="4" t="s">
        <v>48</v>
      </c>
      <c r="Y17" s="4" t="s">
        <v>48</v>
      </c>
      <c r="Z17" s="4" t="s">
        <v>47</v>
      </c>
      <c r="AA17" s="4" t="s">
        <v>47</v>
      </c>
      <c r="AB17" s="6" t="s">
        <v>48</v>
      </c>
      <c r="AC17" s="6" t="s">
        <v>48</v>
      </c>
      <c r="AD17" s="4" t="s">
        <v>48</v>
      </c>
      <c r="AE17" s="4" t="s">
        <v>48</v>
      </c>
      <c r="AF17" s="4" t="s">
        <v>48</v>
      </c>
      <c r="AG17" s="4" t="s">
        <v>47</v>
      </c>
      <c r="AH17" s="21">
        <f t="shared" si="0"/>
        <v>9</v>
      </c>
      <c r="AI17" s="23">
        <f t="shared" si="1"/>
        <v>22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48</v>
      </c>
      <c r="I18" s="4" t="s">
        <v>47</v>
      </c>
      <c r="J18" s="4" t="s">
        <v>47</v>
      </c>
      <c r="K18" s="4" t="s">
        <v>48</v>
      </c>
      <c r="L18" s="4" t="s">
        <v>47</v>
      </c>
      <c r="M18" s="4" t="s">
        <v>48</v>
      </c>
      <c r="N18" s="6" t="s">
        <v>48</v>
      </c>
      <c r="O18" s="4" t="s">
        <v>47</v>
      </c>
      <c r="P18" s="4" t="s">
        <v>47</v>
      </c>
      <c r="Q18" s="4" t="s">
        <v>47</v>
      </c>
      <c r="R18" s="4" t="s">
        <v>47</v>
      </c>
      <c r="S18" s="4" t="s">
        <v>47</v>
      </c>
      <c r="T18" s="4" t="s">
        <v>48</v>
      </c>
      <c r="U18" s="4" t="s">
        <v>48</v>
      </c>
      <c r="V18" s="4" t="s">
        <v>48</v>
      </c>
      <c r="W18" s="4" t="s">
        <v>47</v>
      </c>
      <c r="X18" s="4" t="s">
        <v>47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47</v>
      </c>
      <c r="AD18" s="4" t="s">
        <v>47</v>
      </c>
      <c r="AE18" s="4" t="s">
        <v>47</v>
      </c>
      <c r="AF18" s="4" t="s">
        <v>47</v>
      </c>
      <c r="AG18" s="6" t="s">
        <v>47</v>
      </c>
      <c r="AH18" s="21">
        <f t="shared" si="0"/>
        <v>23</v>
      </c>
      <c r="AI18" s="23">
        <f t="shared" si="1"/>
        <v>8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10</v>
      </c>
      <c r="C19" s="3" t="s">
        <v>48</v>
      </c>
      <c r="D19" s="4" t="s">
        <v>48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47</v>
      </c>
      <c r="K19" s="4" t="s">
        <v>47</v>
      </c>
      <c r="L19" s="4" t="s">
        <v>48</v>
      </c>
      <c r="M19" s="4" t="s">
        <v>47</v>
      </c>
      <c r="N19" s="6" t="s">
        <v>47</v>
      </c>
      <c r="O19" s="4" t="s">
        <v>48</v>
      </c>
      <c r="P19" s="4" t="s">
        <v>47</v>
      </c>
      <c r="Q19" s="4" t="s">
        <v>47</v>
      </c>
      <c r="R19" s="4" t="s">
        <v>47</v>
      </c>
      <c r="S19" s="4" t="s">
        <v>47</v>
      </c>
      <c r="T19" s="6" t="s">
        <v>47</v>
      </c>
      <c r="U19" s="4" t="s">
        <v>47</v>
      </c>
      <c r="V19" s="4" t="s">
        <v>47</v>
      </c>
      <c r="W19" s="4" t="s">
        <v>48</v>
      </c>
      <c r="X19" s="4" t="s">
        <v>48</v>
      </c>
      <c r="Y19" s="4" t="s">
        <v>47</v>
      </c>
      <c r="Z19" s="4" t="s">
        <v>47</v>
      </c>
      <c r="AA19" s="4" t="s">
        <v>48</v>
      </c>
      <c r="AB19" s="4" t="s">
        <v>47</v>
      </c>
      <c r="AC19" s="4" t="s">
        <v>47</v>
      </c>
      <c r="AD19" s="4" t="s">
        <v>47</v>
      </c>
      <c r="AE19" s="6" t="s">
        <v>47</v>
      </c>
      <c r="AF19" s="4" t="s">
        <v>48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64</v>
      </c>
      <c r="C20" s="5" t="s">
        <v>47</v>
      </c>
      <c r="D20" s="4" t="s">
        <v>47</v>
      </c>
      <c r="E20" s="6" t="s">
        <v>48</v>
      </c>
      <c r="F20" s="6" t="s">
        <v>48</v>
      </c>
      <c r="G20" s="6" t="s">
        <v>47</v>
      </c>
      <c r="H20" s="4" t="s">
        <v>47</v>
      </c>
      <c r="I20" s="4" t="s">
        <v>48</v>
      </c>
      <c r="J20" s="6" t="s">
        <v>47</v>
      </c>
      <c r="K20" s="4" t="s">
        <v>47</v>
      </c>
      <c r="L20" s="4" t="s">
        <v>47</v>
      </c>
      <c r="M20" s="4" t="s">
        <v>48</v>
      </c>
      <c r="N20" s="6" t="s">
        <v>48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48</v>
      </c>
      <c r="AA20" s="4" t="s">
        <v>48</v>
      </c>
      <c r="AB20" s="6" t="s">
        <v>48</v>
      </c>
      <c r="AC20" s="6" t="s">
        <v>48</v>
      </c>
      <c r="AD20" s="4" t="s">
        <v>48</v>
      </c>
      <c r="AE20" s="4" t="s">
        <v>48</v>
      </c>
      <c r="AF20" s="4" t="s">
        <v>48</v>
      </c>
      <c r="AG20" s="6" t="s">
        <v>48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61</v>
      </c>
      <c r="C21" s="3" t="s">
        <v>48</v>
      </c>
      <c r="D21" s="6" t="s">
        <v>47</v>
      </c>
      <c r="E21" s="6" t="s">
        <v>48</v>
      </c>
      <c r="F21" s="6" t="s">
        <v>48</v>
      </c>
      <c r="G21" s="4" t="s">
        <v>48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47</v>
      </c>
      <c r="V21" s="4" t="s">
        <v>47</v>
      </c>
      <c r="W21" s="4" t="s">
        <v>48</v>
      </c>
      <c r="X21" s="4" t="s">
        <v>48</v>
      </c>
      <c r="Y21" s="4" t="s">
        <v>47</v>
      </c>
      <c r="Z21" s="4" t="s">
        <v>47</v>
      </c>
      <c r="AA21" s="4" t="s">
        <v>47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47</v>
      </c>
      <c r="AG21" s="4" t="s">
        <v>47</v>
      </c>
      <c r="AH21" s="21">
        <f t="shared" si="0"/>
        <v>22</v>
      </c>
      <c r="AI21" s="23">
        <f t="shared" si="1"/>
        <v>9</v>
      </c>
      <c r="AJ21" s="30">
        <f>SUM(AH21:AI21)</f>
        <v>31</v>
      </c>
    </row>
    <row r="22" spans="1:36" x14ac:dyDescent="0.25">
      <c r="A22" s="15">
        <f t="shared" si="3"/>
        <v>19</v>
      </c>
      <c r="B22" s="16" t="s">
        <v>52</v>
      </c>
      <c r="C22" s="5" t="s">
        <v>47</v>
      </c>
      <c r="D22" s="4" t="s">
        <v>48</v>
      </c>
      <c r="E22" s="6" t="s">
        <v>48</v>
      </c>
      <c r="F22" s="6" t="s">
        <v>48</v>
      </c>
      <c r="G22" s="4" t="s">
        <v>47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21">
        <f t="shared" si="0"/>
        <v>2</v>
      </c>
      <c r="AI22" s="23">
        <f t="shared" si="1"/>
        <v>3</v>
      </c>
      <c r="AJ22" s="30">
        <f t="shared" si="2"/>
        <v>5</v>
      </c>
    </row>
    <row r="23" spans="1:36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48</v>
      </c>
      <c r="M23" s="4" t="s">
        <v>48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48</v>
      </c>
      <c r="AA23" s="4" t="s">
        <v>48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27</v>
      </c>
      <c r="AI23" s="23">
        <f t="shared" si="1"/>
        <v>4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80</v>
      </c>
      <c r="C24" s="5"/>
      <c r="D24" s="4"/>
      <c r="E24" s="6"/>
      <c r="F24" s="6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6"/>
      <c r="Y24" s="4" t="s">
        <v>47</v>
      </c>
      <c r="Z24" s="4" t="s">
        <v>47</v>
      </c>
      <c r="AA24" s="4" t="s">
        <v>47</v>
      </c>
      <c r="AB24" s="4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6" t="s">
        <v>47</v>
      </c>
      <c r="AH24" s="21">
        <f t="shared" ref="AH24:AH26" si="7">COUNTIF(C24:AG24,"+")</f>
        <v>9</v>
      </c>
      <c r="AI24" s="23">
        <f t="shared" ref="AI24:AI26" si="8">COUNTIF(C24:AG24,"-")</f>
        <v>0</v>
      </c>
      <c r="AJ24" s="30">
        <f t="shared" ref="AJ24:AJ26" si="9">SUM(AH24:AI24)</f>
        <v>9</v>
      </c>
    </row>
    <row r="25" spans="1:36" x14ac:dyDescent="0.25">
      <c r="A25" s="15">
        <f t="shared" si="3"/>
        <v>22</v>
      </c>
      <c r="B25" s="16" t="s">
        <v>79</v>
      </c>
      <c r="C25" s="5"/>
      <c r="D25" s="4"/>
      <c r="E25" s="6"/>
      <c r="F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6"/>
      <c r="Y25" s="4" t="s">
        <v>47</v>
      </c>
      <c r="Z25" s="4" t="s">
        <v>47</v>
      </c>
      <c r="AA25" s="4" t="s">
        <v>48</v>
      </c>
      <c r="AB25" s="4" t="s">
        <v>47</v>
      </c>
      <c r="AC25" s="4" t="s">
        <v>47</v>
      </c>
      <c r="AD25" s="4" t="s">
        <v>47</v>
      </c>
      <c r="AE25" s="4" t="s">
        <v>47</v>
      </c>
      <c r="AF25" s="4" t="s">
        <v>47</v>
      </c>
      <c r="AG25" s="6" t="s">
        <v>47</v>
      </c>
      <c r="AH25" s="21">
        <f t="shared" si="7"/>
        <v>8</v>
      </c>
      <c r="AI25" s="23">
        <f t="shared" si="8"/>
        <v>1</v>
      </c>
      <c r="AJ25" s="30">
        <f t="shared" si="9"/>
        <v>9</v>
      </c>
    </row>
    <row r="26" spans="1:36" x14ac:dyDescent="0.25">
      <c r="A26" s="15">
        <f t="shared" si="3"/>
        <v>23</v>
      </c>
      <c r="B26" s="17" t="s">
        <v>69</v>
      </c>
      <c r="C26" s="5" t="s">
        <v>47</v>
      </c>
      <c r="D26" s="4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4" t="s">
        <v>47</v>
      </c>
      <c r="J26" s="4" t="s">
        <v>48</v>
      </c>
      <c r="K26" s="4" t="s">
        <v>47</v>
      </c>
      <c r="L26" s="6" t="s">
        <v>47</v>
      </c>
      <c r="M26" s="4" t="s">
        <v>48</v>
      </c>
      <c r="N26" s="4" t="s">
        <v>47</v>
      </c>
      <c r="O26" s="4" t="s">
        <v>47</v>
      </c>
      <c r="P26" s="4" t="s">
        <v>48</v>
      </c>
      <c r="Q26" s="4" t="s">
        <v>48</v>
      </c>
      <c r="R26" s="4" t="s">
        <v>47</v>
      </c>
      <c r="S26" s="4" t="s">
        <v>47</v>
      </c>
      <c r="T26" s="4" t="s">
        <v>47</v>
      </c>
      <c r="U26" s="4" t="s">
        <v>48</v>
      </c>
      <c r="V26" s="4" t="s">
        <v>48</v>
      </c>
      <c r="W26" s="4" t="s">
        <v>47</v>
      </c>
      <c r="X26" s="6" t="s">
        <v>47</v>
      </c>
      <c r="Y26" s="4" t="s">
        <v>47</v>
      </c>
      <c r="Z26" s="4" t="s">
        <v>47</v>
      </c>
      <c r="AA26" s="4" t="s">
        <v>47</v>
      </c>
      <c r="AB26" s="6" t="s">
        <v>48</v>
      </c>
      <c r="AC26" s="6" t="s">
        <v>48</v>
      </c>
      <c r="AD26" s="4" t="s">
        <v>48</v>
      </c>
      <c r="AE26" s="4" t="s">
        <v>47</v>
      </c>
      <c r="AF26" s="4" t="s">
        <v>47</v>
      </c>
      <c r="AG26" s="6" t="s">
        <v>48</v>
      </c>
      <c r="AH26" s="21">
        <f t="shared" si="7"/>
        <v>18</v>
      </c>
      <c r="AI26" s="23">
        <f t="shared" si="8"/>
        <v>13</v>
      </c>
      <c r="AJ26" s="30">
        <f t="shared" si="9"/>
        <v>31</v>
      </c>
    </row>
    <row r="27" spans="1:36" x14ac:dyDescent="0.25">
      <c r="A27" s="15">
        <f t="shared" si="3"/>
        <v>24</v>
      </c>
      <c r="B27" s="16" t="s">
        <v>42</v>
      </c>
      <c r="C27" s="3" t="s">
        <v>48</v>
      </c>
      <c r="D27" s="4" t="s">
        <v>48</v>
      </c>
      <c r="E27" s="6" t="s">
        <v>48</v>
      </c>
      <c r="F27" s="6" t="s">
        <v>48</v>
      </c>
      <c r="G27" s="4" t="s">
        <v>48</v>
      </c>
      <c r="H27" s="4" t="s">
        <v>48</v>
      </c>
      <c r="I27" s="4" t="s">
        <v>48</v>
      </c>
      <c r="J27" s="4" t="s">
        <v>48</v>
      </c>
      <c r="K27" s="4" t="s">
        <v>48</v>
      </c>
      <c r="L27" s="4" t="s">
        <v>48</v>
      </c>
      <c r="M27" s="4" t="s">
        <v>48</v>
      </c>
      <c r="N27" s="6" t="s">
        <v>48</v>
      </c>
      <c r="O27" s="4" t="s">
        <v>48</v>
      </c>
      <c r="P27" s="4" t="s">
        <v>48</v>
      </c>
      <c r="Q27" s="4" t="s">
        <v>48</v>
      </c>
      <c r="R27" s="4" t="s">
        <v>48</v>
      </c>
      <c r="S27" s="4" t="s">
        <v>48</v>
      </c>
      <c r="T27" s="4" t="s">
        <v>48</v>
      </c>
      <c r="U27" s="4" t="s">
        <v>48</v>
      </c>
      <c r="V27" s="4" t="s">
        <v>48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9</v>
      </c>
      <c r="AI27" s="23">
        <f t="shared" si="1"/>
        <v>22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48</v>
      </c>
      <c r="H28" s="4" t="s">
        <v>48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29</v>
      </c>
      <c r="AI28" s="23">
        <f t="shared" si="1"/>
        <v>2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63</v>
      </c>
      <c r="C29" s="3" t="s">
        <v>48</v>
      </c>
      <c r="D29" s="4" t="s">
        <v>48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47</v>
      </c>
      <c r="L29" s="4" t="s">
        <v>48</v>
      </c>
      <c r="M29" s="6" t="s">
        <v>47</v>
      </c>
      <c r="N29" s="4" t="s">
        <v>47</v>
      </c>
      <c r="O29" s="4" t="s">
        <v>47</v>
      </c>
      <c r="P29" s="4" t="s">
        <v>48</v>
      </c>
      <c r="Q29" s="6" t="s">
        <v>47</v>
      </c>
      <c r="R29" s="6" t="s">
        <v>47</v>
      </c>
      <c r="S29" s="4" t="s">
        <v>47</v>
      </c>
      <c r="T29" s="4" t="s">
        <v>48</v>
      </c>
      <c r="U29" s="4" t="s">
        <v>47</v>
      </c>
      <c r="V29" s="4" t="s">
        <v>47</v>
      </c>
      <c r="W29" s="4" t="s">
        <v>48</v>
      </c>
      <c r="X29" s="6" t="s">
        <v>47</v>
      </c>
      <c r="Y29" s="4" t="s">
        <v>47</v>
      </c>
      <c r="Z29" s="6" t="s">
        <v>47</v>
      </c>
      <c r="AA29" s="4" t="s">
        <v>48</v>
      </c>
      <c r="AB29" s="6" t="s">
        <v>48</v>
      </c>
      <c r="AC29" s="4" t="s">
        <v>47</v>
      </c>
      <c r="AD29" s="4" t="s">
        <v>47</v>
      </c>
      <c r="AE29" s="4" t="s">
        <v>47</v>
      </c>
      <c r="AF29" s="4" t="s">
        <v>47</v>
      </c>
      <c r="AG29" s="4" t="s">
        <v>47</v>
      </c>
      <c r="AH29" s="21">
        <f t="shared" si="0"/>
        <v>23</v>
      </c>
      <c r="AI29" s="23">
        <f t="shared" si="1"/>
        <v>8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48</v>
      </c>
      <c r="K30" s="6" t="s">
        <v>47</v>
      </c>
      <c r="L30" s="6" t="s">
        <v>47</v>
      </c>
      <c r="M30" s="4" t="s">
        <v>47</v>
      </c>
      <c r="N30" s="6" t="s">
        <v>47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48</v>
      </c>
      <c r="T30" s="4" t="s">
        <v>48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48</v>
      </c>
      <c r="Z30" s="4" t="s">
        <v>48</v>
      </c>
      <c r="AA30" s="6" t="s">
        <v>47</v>
      </c>
      <c r="AB30" s="6" t="s">
        <v>47</v>
      </c>
      <c r="AC30" s="6" t="s">
        <v>47</v>
      </c>
      <c r="AD30" s="4" t="s">
        <v>47</v>
      </c>
      <c r="AE30" s="6" t="s">
        <v>47</v>
      </c>
      <c r="AF30" s="4" t="s">
        <v>47</v>
      </c>
      <c r="AG30" s="6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4" t="s">
        <v>47</v>
      </c>
      <c r="L31" s="4" t="s">
        <v>48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4" t="s">
        <v>47</v>
      </c>
      <c r="V31" s="4" t="s">
        <v>47</v>
      </c>
      <c r="W31" s="4" t="s">
        <v>48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4" t="s">
        <v>47</v>
      </c>
      <c r="AG31" s="6" t="s">
        <v>47</v>
      </c>
      <c r="AH31" s="21">
        <f t="shared" si="0"/>
        <v>29</v>
      </c>
      <c r="AI31" s="23">
        <f t="shared" si="1"/>
        <v>2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20</v>
      </c>
      <c r="C32" s="3" t="s">
        <v>48</v>
      </c>
      <c r="D32" s="4" t="s">
        <v>48</v>
      </c>
      <c r="E32" s="6" t="s">
        <v>48</v>
      </c>
      <c r="F32" s="6" t="s">
        <v>48</v>
      </c>
      <c r="G32" s="4" t="s">
        <v>48</v>
      </c>
      <c r="H32" s="4" t="s">
        <v>48</v>
      </c>
      <c r="I32" s="4" t="s">
        <v>48</v>
      </c>
      <c r="J32" s="4" t="s">
        <v>48</v>
      </c>
      <c r="K32" s="4" t="s">
        <v>48</v>
      </c>
      <c r="L32" s="4" t="s">
        <v>48</v>
      </c>
      <c r="M32" s="4" t="s">
        <v>48</v>
      </c>
      <c r="N32" s="6" t="s">
        <v>48</v>
      </c>
      <c r="O32" s="4" t="s">
        <v>48</v>
      </c>
      <c r="P32" s="4" t="s">
        <v>48</v>
      </c>
      <c r="Q32" s="4" t="s">
        <v>48</v>
      </c>
      <c r="R32" s="4" t="s">
        <v>48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21</v>
      </c>
      <c r="C33" s="5" t="s">
        <v>47</v>
      </c>
      <c r="D33" s="4" t="s">
        <v>48</v>
      </c>
      <c r="E33" s="6" t="s">
        <v>48</v>
      </c>
      <c r="F33" s="6" t="s">
        <v>47</v>
      </c>
      <c r="G33" s="4" t="s">
        <v>47</v>
      </c>
      <c r="H33" s="4" t="s">
        <v>47</v>
      </c>
      <c r="I33" s="6" t="s">
        <v>47</v>
      </c>
      <c r="J33" s="6" t="s">
        <v>47</v>
      </c>
      <c r="K33" s="6" t="s">
        <v>47</v>
      </c>
      <c r="L33" s="4" t="s">
        <v>48</v>
      </c>
      <c r="M33" s="4" t="s">
        <v>48</v>
      </c>
      <c r="N33" s="4" t="s">
        <v>47</v>
      </c>
      <c r="O33" s="4" t="s">
        <v>47</v>
      </c>
      <c r="P33" s="4" t="s">
        <v>47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6" t="s">
        <v>47</v>
      </c>
      <c r="Y33" s="4" t="s">
        <v>47</v>
      </c>
      <c r="Z33" s="6" t="s">
        <v>47</v>
      </c>
      <c r="AA33" s="4" t="s">
        <v>47</v>
      </c>
      <c r="AB33" s="4" t="s">
        <v>47</v>
      </c>
      <c r="AC33" s="4" t="s">
        <v>47</v>
      </c>
      <c r="AD33" s="4" t="s">
        <v>47</v>
      </c>
      <c r="AE33" s="4" t="s">
        <v>47</v>
      </c>
      <c r="AF33" s="4" t="s">
        <v>47</v>
      </c>
      <c r="AG33" s="6" t="s">
        <v>47</v>
      </c>
      <c r="AH33" s="21">
        <f t="shared" si="0"/>
        <v>25</v>
      </c>
      <c r="AI33" s="23">
        <f t="shared" si="1"/>
        <v>6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22</v>
      </c>
      <c r="C34" s="5" t="s">
        <v>47</v>
      </c>
      <c r="D34" s="6" t="s">
        <v>47</v>
      </c>
      <c r="E34" s="6" t="s">
        <v>48</v>
      </c>
      <c r="F34" s="6" t="s">
        <v>48</v>
      </c>
      <c r="G34" s="4" t="s">
        <v>47</v>
      </c>
      <c r="H34" s="4" t="s">
        <v>47</v>
      </c>
      <c r="I34" s="4" t="s">
        <v>47</v>
      </c>
      <c r="J34" s="6" t="s">
        <v>47</v>
      </c>
      <c r="K34" s="4" t="s">
        <v>47</v>
      </c>
      <c r="L34" s="6" t="s">
        <v>47</v>
      </c>
      <c r="M34" s="6" t="s">
        <v>47</v>
      </c>
      <c r="N34" s="4" t="s">
        <v>47</v>
      </c>
      <c r="O34" s="6" t="s">
        <v>47</v>
      </c>
      <c r="P34" s="4" t="s">
        <v>47</v>
      </c>
      <c r="Q34" s="6" t="s">
        <v>47</v>
      </c>
      <c r="R34" s="6" t="s">
        <v>47</v>
      </c>
      <c r="S34" s="4" t="s">
        <v>48</v>
      </c>
      <c r="T34" s="4" t="s">
        <v>48</v>
      </c>
      <c r="U34" s="6" t="s">
        <v>47</v>
      </c>
      <c r="V34" s="4" t="s">
        <v>47</v>
      </c>
      <c r="W34" s="6" t="s">
        <v>47</v>
      </c>
      <c r="X34" s="6" t="s">
        <v>47</v>
      </c>
      <c r="Y34" s="4" t="s">
        <v>47</v>
      </c>
      <c r="Z34" s="4" t="s">
        <v>47</v>
      </c>
      <c r="AA34" s="6" t="s">
        <v>47</v>
      </c>
      <c r="AB34" s="6" t="s">
        <v>47</v>
      </c>
      <c r="AC34" s="4" t="s">
        <v>47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6" t="s">
        <v>71</v>
      </c>
      <c r="C35" s="3" t="s">
        <v>47</v>
      </c>
      <c r="D35" s="6" t="s">
        <v>47</v>
      </c>
      <c r="E35" s="6" t="s">
        <v>47</v>
      </c>
      <c r="F35" s="6" t="s">
        <v>47</v>
      </c>
      <c r="G35" s="4" t="s">
        <v>47</v>
      </c>
      <c r="H35" s="6" t="s">
        <v>47</v>
      </c>
      <c r="I35" s="4" t="s">
        <v>48</v>
      </c>
      <c r="J35" s="4" t="s">
        <v>48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47</v>
      </c>
      <c r="Q35" s="4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4" t="s">
        <v>48</v>
      </c>
      <c r="X35" s="4" t="s">
        <v>48</v>
      </c>
      <c r="Y35" s="4" t="s">
        <v>47</v>
      </c>
      <c r="Z35" s="4" t="s">
        <v>47</v>
      </c>
      <c r="AA35" s="4" t="s">
        <v>47</v>
      </c>
      <c r="AB35" s="6" t="s">
        <v>47</v>
      </c>
      <c r="AC35" s="6" t="s">
        <v>47</v>
      </c>
      <c r="AD35" s="4" t="s">
        <v>47</v>
      </c>
      <c r="AE35" s="4" t="s">
        <v>48</v>
      </c>
      <c r="AF35" s="4" t="s">
        <v>48</v>
      </c>
      <c r="AG35" s="6" t="s">
        <v>48</v>
      </c>
      <c r="AH35" s="21">
        <f t="shared" si="0"/>
        <v>24</v>
      </c>
      <c r="AI35" s="23">
        <f t="shared" si="1"/>
        <v>7</v>
      </c>
      <c r="AJ35" s="30">
        <f>SUM(AH35:AI35)</f>
        <v>31</v>
      </c>
    </row>
    <row r="36" spans="1:36" x14ac:dyDescent="0.25">
      <c r="A36" s="15">
        <f t="shared" si="3"/>
        <v>33</v>
      </c>
      <c r="B36" s="16" t="s">
        <v>41</v>
      </c>
      <c r="C36" s="5" t="s">
        <v>47</v>
      </c>
      <c r="D36" s="4" t="s">
        <v>47</v>
      </c>
      <c r="E36" s="4" t="s">
        <v>47</v>
      </c>
      <c r="F36" s="6" t="s">
        <v>48</v>
      </c>
      <c r="G36" s="4" t="s">
        <v>47</v>
      </c>
      <c r="H36" s="4" t="s">
        <v>47</v>
      </c>
      <c r="I36" s="4" t="s">
        <v>47</v>
      </c>
      <c r="J36" s="4" t="s">
        <v>47</v>
      </c>
      <c r="K36" s="4" t="s">
        <v>48</v>
      </c>
      <c r="L36" s="4" t="s">
        <v>47</v>
      </c>
      <c r="M36" s="4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4" t="s">
        <v>47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47</v>
      </c>
      <c r="X36" s="6" t="s">
        <v>47</v>
      </c>
      <c r="Y36" s="4" t="s">
        <v>47</v>
      </c>
      <c r="Z36" s="4" t="s">
        <v>48</v>
      </c>
      <c r="AA36" s="4" t="s">
        <v>48</v>
      </c>
      <c r="AB36" s="4" t="s">
        <v>47</v>
      </c>
      <c r="AC36" s="4" t="s">
        <v>47</v>
      </c>
      <c r="AD36" s="6" t="s">
        <v>47</v>
      </c>
      <c r="AE36" s="4" t="s">
        <v>47</v>
      </c>
      <c r="AF36" s="4" t="s">
        <v>47</v>
      </c>
      <c r="AG36" s="6" t="s">
        <v>47</v>
      </c>
      <c r="AH36" s="21">
        <f t="shared" si="0"/>
        <v>26</v>
      </c>
      <c r="AI36" s="23">
        <f t="shared" si="1"/>
        <v>5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54</v>
      </c>
      <c r="C37" s="5" t="s">
        <v>47</v>
      </c>
      <c r="D37" s="6" t="s">
        <v>47</v>
      </c>
      <c r="E37" s="6" t="s">
        <v>48</v>
      </c>
      <c r="F37" s="6" t="s">
        <v>48</v>
      </c>
      <c r="G37" s="4" t="s">
        <v>48</v>
      </c>
      <c r="H37" s="4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47</v>
      </c>
      <c r="N37" s="6" t="s">
        <v>47</v>
      </c>
      <c r="O37" s="4" t="s">
        <v>47</v>
      </c>
      <c r="P37" s="4" t="s">
        <v>47</v>
      </c>
      <c r="Q37" s="6" t="s">
        <v>47</v>
      </c>
      <c r="R37" s="4" t="s">
        <v>48</v>
      </c>
      <c r="S37" s="4" t="s">
        <v>48</v>
      </c>
      <c r="T37" s="6" t="s">
        <v>47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48</v>
      </c>
      <c r="AA37" s="4" t="s">
        <v>48</v>
      </c>
      <c r="AB37" s="6" t="s">
        <v>48</v>
      </c>
      <c r="AC37" s="6" t="s">
        <v>48</v>
      </c>
      <c r="AD37" s="4" t="s">
        <v>47</v>
      </c>
      <c r="AE37" s="6" t="s">
        <v>47</v>
      </c>
      <c r="AF37" s="6" t="s">
        <v>47</v>
      </c>
      <c r="AG37" s="6" t="s">
        <v>47</v>
      </c>
      <c r="AH37" s="21">
        <f t="shared" si="0"/>
        <v>17</v>
      </c>
      <c r="AI37" s="23">
        <f t="shared" si="1"/>
        <v>14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81</v>
      </c>
      <c r="C38" s="5"/>
      <c r="D38" s="6"/>
      <c r="E38" s="6"/>
      <c r="F38" s="6"/>
      <c r="G38" s="4"/>
      <c r="H38" s="4"/>
      <c r="I38" s="4"/>
      <c r="J38" s="6"/>
      <c r="K38" s="4"/>
      <c r="L38" s="6"/>
      <c r="M38" s="4"/>
      <c r="N38" s="6"/>
      <c r="O38" s="4"/>
      <c r="P38" s="4"/>
      <c r="Q38" s="4"/>
      <c r="R38" s="4"/>
      <c r="S38" s="4"/>
      <c r="T38" s="4"/>
      <c r="U38" s="4"/>
      <c r="V38" s="4"/>
      <c r="W38" s="4"/>
      <c r="X38" s="4"/>
      <c r="Y38" s="4" t="s">
        <v>47</v>
      </c>
      <c r="Z38" s="4" t="s">
        <v>47</v>
      </c>
      <c r="AA38" s="4" t="s">
        <v>47</v>
      </c>
      <c r="AB38" s="4" t="s">
        <v>47</v>
      </c>
      <c r="AC38" s="4" t="s">
        <v>47</v>
      </c>
      <c r="AD38" s="4" t="s">
        <v>47</v>
      </c>
      <c r="AE38" s="4" t="s">
        <v>47</v>
      </c>
      <c r="AF38" s="4" t="s">
        <v>47</v>
      </c>
      <c r="AG38" s="6" t="s">
        <v>47</v>
      </c>
      <c r="AH38" s="21">
        <f t="shared" ref="AH38:AH39" si="10">COUNTIF(C38:AG38,"+")</f>
        <v>9</v>
      </c>
      <c r="AI38" s="23">
        <f t="shared" ref="AI38:AI39" si="11">COUNTIF(C38:AG38,"-")</f>
        <v>0</v>
      </c>
      <c r="AJ38" s="30">
        <f t="shared" ref="AJ38:AJ39" si="12">SUM(AH38:AI38)</f>
        <v>9</v>
      </c>
    </row>
    <row r="39" spans="1:36" x14ac:dyDescent="0.25">
      <c r="A39" s="15">
        <f t="shared" si="3"/>
        <v>36</v>
      </c>
      <c r="B39" s="16" t="s">
        <v>24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4" t="s">
        <v>48</v>
      </c>
      <c r="N39" s="6" t="s">
        <v>48</v>
      </c>
      <c r="O39" s="4" t="s">
        <v>47</v>
      </c>
      <c r="P39" s="4" t="s">
        <v>47</v>
      </c>
      <c r="Q39" s="4" t="s">
        <v>47</v>
      </c>
      <c r="R39" s="4" t="s">
        <v>47</v>
      </c>
      <c r="S39" s="4" t="s">
        <v>47</v>
      </c>
      <c r="T39" s="4" t="s">
        <v>48</v>
      </c>
      <c r="U39" s="4" t="s">
        <v>47</v>
      </c>
      <c r="V39" s="4" t="s">
        <v>48</v>
      </c>
      <c r="W39" s="4" t="s">
        <v>48</v>
      </c>
      <c r="X39" s="6" t="s">
        <v>47</v>
      </c>
      <c r="Y39" s="4" t="s">
        <v>47</v>
      </c>
      <c r="Z39" s="4" t="s">
        <v>47</v>
      </c>
      <c r="AA39" s="4" t="s">
        <v>47</v>
      </c>
      <c r="AB39" s="6" t="s">
        <v>48</v>
      </c>
      <c r="AC39" s="4" t="s">
        <v>47</v>
      </c>
      <c r="AD39" s="4" t="s">
        <v>47</v>
      </c>
      <c r="AE39" s="4" t="s">
        <v>47</v>
      </c>
      <c r="AF39" s="4" t="s">
        <v>47</v>
      </c>
      <c r="AG39" s="6" t="s">
        <v>47</v>
      </c>
      <c r="AH39" s="21">
        <f t="shared" si="10"/>
        <v>25</v>
      </c>
      <c r="AI39" s="23">
        <f t="shared" si="11"/>
        <v>6</v>
      </c>
      <c r="AJ39" s="30">
        <f t="shared" si="12"/>
        <v>31</v>
      </c>
    </row>
    <row r="40" spans="1:36" x14ac:dyDescent="0.25">
      <c r="A40" s="15">
        <f t="shared" si="3"/>
        <v>37</v>
      </c>
      <c r="B40" s="16" t="s">
        <v>25</v>
      </c>
      <c r="C40" s="5" t="s">
        <v>47</v>
      </c>
      <c r="D40" s="6" t="s">
        <v>47</v>
      </c>
      <c r="E40" s="6" t="s">
        <v>48</v>
      </c>
      <c r="F40" s="6" t="s">
        <v>48</v>
      </c>
      <c r="G40" s="6" t="s">
        <v>47</v>
      </c>
      <c r="H40" s="4" t="s">
        <v>47</v>
      </c>
      <c r="I40" s="6" t="s">
        <v>47</v>
      </c>
      <c r="J40" s="6" t="s">
        <v>47</v>
      </c>
      <c r="K40" s="4" t="s">
        <v>48</v>
      </c>
      <c r="L40" s="4" t="s">
        <v>48</v>
      </c>
      <c r="M40" s="4" t="s">
        <v>48</v>
      </c>
      <c r="N40" s="6" t="s">
        <v>48</v>
      </c>
      <c r="O40" s="4" t="s">
        <v>47</v>
      </c>
      <c r="P40" s="6" t="s">
        <v>47</v>
      </c>
      <c r="Q40" s="6" t="s">
        <v>47</v>
      </c>
      <c r="R40" s="4" t="s">
        <v>47</v>
      </c>
      <c r="S40" s="6" t="s">
        <v>47</v>
      </c>
      <c r="T40" s="4" t="s">
        <v>48</v>
      </c>
      <c r="U40" s="4" t="s">
        <v>47</v>
      </c>
      <c r="V40" s="4" t="s">
        <v>47</v>
      </c>
      <c r="W40" s="4" t="s">
        <v>47</v>
      </c>
      <c r="X40" s="6" t="s">
        <v>47</v>
      </c>
      <c r="Y40" s="4" t="s">
        <v>47</v>
      </c>
      <c r="Z40" s="4" t="s">
        <v>47</v>
      </c>
      <c r="AA40" s="4" t="s">
        <v>48</v>
      </c>
      <c r="AB40" s="4" t="s">
        <v>47</v>
      </c>
      <c r="AC40" s="4" t="s">
        <v>47</v>
      </c>
      <c r="AD40" s="4" t="s">
        <v>47</v>
      </c>
      <c r="AE40" s="6" t="s">
        <v>47</v>
      </c>
      <c r="AF40" s="6" t="s">
        <v>47</v>
      </c>
      <c r="AG40" s="6" t="s">
        <v>47</v>
      </c>
      <c r="AH40" s="21">
        <f t="shared" si="0"/>
        <v>23</v>
      </c>
      <c r="AI40" s="23">
        <f t="shared" si="1"/>
        <v>8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26</v>
      </c>
      <c r="C41" s="3" t="s">
        <v>48</v>
      </c>
      <c r="D41" s="4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4" t="s">
        <v>48</v>
      </c>
      <c r="K41" s="4" t="s">
        <v>48</v>
      </c>
      <c r="L41" s="6" t="s">
        <v>47</v>
      </c>
      <c r="M41" s="4" t="s">
        <v>47</v>
      </c>
      <c r="N41" s="4" t="s">
        <v>47</v>
      </c>
      <c r="O41" s="4" t="s">
        <v>47</v>
      </c>
      <c r="P41" s="4" t="s">
        <v>47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48</v>
      </c>
      <c r="W41" s="4" t="s">
        <v>47</v>
      </c>
      <c r="X41" s="6" t="s">
        <v>47</v>
      </c>
      <c r="Y41" s="4" t="s">
        <v>47</v>
      </c>
      <c r="Z41" s="4" t="s">
        <v>48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4" t="s">
        <v>47</v>
      </c>
      <c r="AH41" s="21">
        <f t="shared" si="0"/>
        <v>20</v>
      </c>
      <c r="AI41" s="23">
        <f t="shared" si="1"/>
        <v>11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29</v>
      </c>
      <c r="C42" s="5" t="s">
        <v>47</v>
      </c>
      <c r="D42" s="6" t="s">
        <v>47</v>
      </c>
      <c r="E42" s="6" t="s">
        <v>48</v>
      </c>
      <c r="F42" s="6" t="s">
        <v>48</v>
      </c>
      <c r="G42" s="6" t="s">
        <v>47</v>
      </c>
      <c r="H42" s="4" t="s">
        <v>47</v>
      </c>
      <c r="I42" s="4" t="s">
        <v>47</v>
      </c>
      <c r="J42" s="6" t="s">
        <v>47</v>
      </c>
      <c r="K42" s="4" t="s">
        <v>47</v>
      </c>
      <c r="L42" s="4" t="s">
        <v>47</v>
      </c>
      <c r="M42" s="6" t="s">
        <v>47</v>
      </c>
      <c r="N42" s="6" t="s">
        <v>47</v>
      </c>
      <c r="O42" s="4" t="s">
        <v>47</v>
      </c>
      <c r="P42" s="6" t="s">
        <v>47</v>
      </c>
      <c r="Q42" s="4" t="s">
        <v>47</v>
      </c>
      <c r="R42" s="4" t="s">
        <v>48</v>
      </c>
      <c r="S42" s="4" t="s">
        <v>48</v>
      </c>
      <c r="T42" s="4" t="s">
        <v>48</v>
      </c>
      <c r="U42" s="4" t="s">
        <v>48</v>
      </c>
      <c r="V42" s="4" t="s">
        <v>47</v>
      </c>
      <c r="W42" s="4" t="s">
        <v>47</v>
      </c>
      <c r="X42" s="6" t="s">
        <v>47</v>
      </c>
      <c r="Y42" s="4" t="s">
        <v>47</v>
      </c>
      <c r="Z42" s="6" t="s">
        <v>47</v>
      </c>
      <c r="AA42" s="4" t="s">
        <v>47</v>
      </c>
      <c r="AB42" s="4" t="s">
        <v>47</v>
      </c>
      <c r="AC42" s="6" t="s">
        <v>47</v>
      </c>
      <c r="AD42" s="6" t="s">
        <v>47</v>
      </c>
      <c r="AE42" s="6" t="s">
        <v>47</v>
      </c>
      <c r="AF42" s="4" t="s">
        <v>47</v>
      </c>
      <c r="AG42" s="4" t="s">
        <v>47</v>
      </c>
      <c r="AH42" s="21">
        <f t="shared" si="0"/>
        <v>25</v>
      </c>
      <c r="AI42" s="23">
        <f t="shared" si="1"/>
        <v>6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77</v>
      </c>
      <c r="C43" s="5" t="s">
        <v>47</v>
      </c>
      <c r="D43" s="4" t="s">
        <v>47</v>
      </c>
      <c r="E43" s="4" t="s">
        <v>47</v>
      </c>
      <c r="F43" s="6" t="s">
        <v>47</v>
      </c>
      <c r="G43" s="4" t="s">
        <v>47</v>
      </c>
      <c r="H43" s="4" t="s">
        <v>47</v>
      </c>
      <c r="I43" s="4" t="s">
        <v>47</v>
      </c>
      <c r="J43" s="4" t="s">
        <v>47</v>
      </c>
      <c r="K43" s="4" t="s">
        <v>47</v>
      </c>
      <c r="L43" s="4" t="s">
        <v>47</v>
      </c>
      <c r="M43" s="4" t="s">
        <v>47</v>
      </c>
      <c r="N43" s="4" t="s">
        <v>47</v>
      </c>
      <c r="O43" s="4" t="s">
        <v>48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4" t="s">
        <v>47</v>
      </c>
      <c r="AF43" s="4" t="s">
        <v>47</v>
      </c>
      <c r="AG43" s="4" t="s">
        <v>47</v>
      </c>
      <c r="AH43" s="21">
        <f t="shared" ref="AH43" si="13">COUNTIF(C43:AG43,"+")</f>
        <v>30</v>
      </c>
      <c r="AI43" s="23">
        <f t="shared" ref="AI43" si="14">COUNTIF(C43:AG43,"-")</f>
        <v>1</v>
      </c>
      <c r="AJ43" s="30">
        <f t="shared" ref="AJ43" si="15">SUM(AH43:AI43)</f>
        <v>31</v>
      </c>
    </row>
    <row r="44" spans="1:36" x14ac:dyDescent="0.25">
      <c r="A44" s="15">
        <f t="shared" si="3"/>
        <v>41</v>
      </c>
      <c r="B44" s="16" t="s">
        <v>31</v>
      </c>
      <c r="C44" s="3" t="s">
        <v>48</v>
      </c>
      <c r="D44" s="4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6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4" t="s">
        <v>48</v>
      </c>
      <c r="Y44" s="4" t="s">
        <v>48</v>
      </c>
      <c r="Z44" s="4" t="s">
        <v>48</v>
      </c>
      <c r="AA44" s="4" t="s">
        <v>48</v>
      </c>
      <c r="AB44" s="6" t="s">
        <v>48</v>
      </c>
      <c r="AC44" s="6" t="s">
        <v>48</v>
      </c>
      <c r="AD44" s="4" t="s">
        <v>48</v>
      </c>
      <c r="AE44" s="4" t="s">
        <v>48</v>
      </c>
      <c r="AF44" s="4" t="s">
        <v>48</v>
      </c>
      <c r="AG44" s="4" t="s">
        <v>48</v>
      </c>
      <c r="AH44" s="21">
        <f t="shared" si="0"/>
        <v>0</v>
      </c>
      <c r="AI44" s="23">
        <f t="shared" si="1"/>
        <v>31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66</v>
      </c>
      <c r="C45" s="5" t="s">
        <v>47</v>
      </c>
      <c r="D45" s="4" t="s">
        <v>48</v>
      </c>
      <c r="E45" s="6" t="s">
        <v>48</v>
      </c>
      <c r="F45" s="6" t="s">
        <v>47</v>
      </c>
      <c r="G45" s="4" t="s">
        <v>47</v>
      </c>
      <c r="H45" s="4" t="s">
        <v>47</v>
      </c>
      <c r="I45" s="4" t="s">
        <v>47</v>
      </c>
      <c r="J45" s="4" t="s">
        <v>48</v>
      </c>
      <c r="K45" s="4" t="s">
        <v>47</v>
      </c>
      <c r="L45" s="4" t="s">
        <v>48</v>
      </c>
      <c r="M45" s="4" t="s">
        <v>48</v>
      </c>
      <c r="N45" s="4" t="s">
        <v>47</v>
      </c>
      <c r="O45" s="4" t="s">
        <v>48</v>
      </c>
      <c r="P45" s="4" t="s">
        <v>48</v>
      </c>
      <c r="Q45" s="4" t="s">
        <v>47</v>
      </c>
      <c r="R45" s="4" t="s">
        <v>47</v>
      </c>
      <c r="S45" s="4" t="s">
        <v>48</v>
      </c>
      <c r="T45" s="4" t="s">
        <v>48</v>
      </c>
      <c r="U45" s="4" t="s">
        <v>47</v>
      </c>
      <c r="V45" s="4" t="s">
        <v>47</v>
      </c>
      <c r="W45" s="4" t="s">
        <v>48</v>
      </c>
      <c r="X45" s="4" t="s">
        <v>48</v>
      </c>
      <c r="Y45" s="4" t="s">
        <v>48</v>
      </c>
      <c r="Z45" s="4" t="s">
        <v>48</v>
      </c>
      <c r="AA45" s="4" t="s">
        <v>48</v>
      </c>
      <c r="AB45" s="6" t="s">
        <v>48</v>
      </c>
      <c r="AC45" s="6" t="s">
        <v>48</v>
      </c>
      <c r="AD45" s="4" t="s">
        <v>48</v>
      </c>
      <c r="AE45" s="4" t="s">
        <v>48</v>
      </c>
      <c r="AF45" s="4" t="s">
        <v>48</v>
      </c>
      <c r="AG45" s="6" t="s">
        <v>48</v>
      </c>
      <c r="AH45" s="21">
        <f t="shared" si="0"/>
        <v>11</v>
      </c>
      <c r="AI45" s="23">
        <f t="shared" si="1"/>
        <v>20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78</v>
      </c>
      <c r="C46" s="5" t="s">
        <v>47</v>
      </c>
      <c r="D46" s="4" t="s">
        <v>47</v>
      </c>
      <c r="E46" s="4" t="s">
        <v>47</v>
      </c>
      <c r="F46" s="6" t="s">
        <v>47</v>
      </c>
      <c r="G46" s="4" t="s">
        <v>47</v>
      </c>
      <c r="H46" s="4" t="s">
        <v>47</v>
      </c>
      <c r="I46" s="4" t="s">
        <v>47</v>
      </c>
      <c r="J46" s="4" t="s">
        <v>47</v>
      </c>
      <c r="K46" s="4" t="s">
        <v>47</v>
      </c>
      <c r="L46" s="4" t="s">
        <v>48</v>
      </c>
      <c r="M46" s="4" t="s">
        <v>48</v>
      </c>
      <c r="N46" s="4" t="s">
        <v>47</v>
      </c>
      <c r="O46" s="4" t="s">
        <v>47</v>
      </c>
      <c r="P46" s="4" t="s">
        <v>47</v>
      </c>
      <c r="Q46" s="4" t="s">
        <v>47</v>
      </c>
      <c r="R46" s="4" t="s">
        <v>47</v>
      </c>
      <c r="S46" s="4" t="s">
        <v>48</v>
      </c>
      <c r="T46" s="4" t="s">
        <v>47</v>
      </c>
      <c r="U46" s="4" t="s">
        <v>47</v>
      </c>
      <c r="V46" s="4" t="s">
        <v>47</v>
      </c>
      <c r="W46" s="4" t="s">
        <v>47</v>
      </c>
      <c r="X46" s="6" t="s">
        <v>47</v>
      </c>
      <c r="Y46" s="4" t="s">
        <v>48</v>
      </c>
      <c r="Z46" s="4" t="s">
        <v>48</v>
      </c>
      <c r="AA46" s="4" t="s">
        <v>48</v>
      </c>
      <c r="AB46" s="6" t="s">
        <v>48</v>
      </c>
      <c r="AC46" s="4" t="s">
        <v>47</v>
      </c>
      <c r="AD46" s="4" t="s">
        <v>47</v>
      </c>
      <c r="AE46" s="4" t="s">
        <v>47</v>
      </c>
      <c r="AF46" s="4" t="s">
        <v>47</v>
      </c>
      <c r="AG46" s="6" t="s">
        <v>47</v>
      </c>
      <c r="AH46" s="21">
        <f t="shared" ref="AH46" si="16">COUNTIF(C46:AG46,"+")</f>
        <v>24</v>
      </c>
      <c r="AI46" s="23">
        <f t="shared" ref="AI46" si="17">COUNTIF(C46:AG46,"-")</f>
        <v>7</v>
      </c>
      <c r="AJ46" s="30">
        <f t="shared" ref="AJ46" si="18">SUM(AH46:AI46)</f>
        <v>31</v>
      </c>
    </row>
    <row r="47" spans="1:36" x14ac:dyDescent="0.25">
      <c r="A47" s="15">
        <f t="shared" si="3"/>
        <v>44</v>
      </c>
      <c r="B47" s="16" t="s">
        <v>75</v>
      </c>
      <c r="C47" s="5" t="s">
        <v>47</v>
      </c>
      <c r="D47" s="6" t="s">
        <v>47</v>
      </c>
      <c r="E47" s="6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6" t="s">
        <v>47</v>
      </c>
      <c r="K47" s="4" t="s">
        <v>47</v>
      </c>
      <c r="L47" s="4" t="s">
        <v>48</v>
      </c>
      <c r="M47" s="4" t="s">
        <v>48</v>
      </c>
      <c r="N47" s="6" t="s">
        <v>47</v>
      </c>
      <c r="O47" s="4" t="s">
        <v>47</v>
      </c>
      <c r="P47" s="4" t="s">
        <v>47</v>
      </c>
      <c r="Q47" s="4" t="s">
        <v>47</v>
      </c>
      <c r="R47" s="4" t="s">
        <v>47</v>
      </c>
      <c r="S47" s="4" t="s">
        <v>47</v>
      </c>
      <c r="T47" s="4" t="s">
        <v>47</v>
      </c>
      <c r="U47" s="4" t="s">
        <v>48</v>
      </c>
      <c r="V47" s="4" t="s">
        <v>48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6" t="s">
        <v>48</v>
      </c>
      <c r="AD47" s="4" t="s">
        <v>48</v>
      </c>
      <c r="AE47" s="4" t="s">
        <v>47</v>
      </c>
      <c r="AF47" s="4" t="s">
        <v>47</v>
      </c>
      <c r="AG47" s="6" t="s">
        <v>47</v>
      </c>
      <c r="AH47" s="21">
        <f t="shared" si="0"/>
        <v>25</v>
      </c>
      <c r="AI47" s="23">
        <f t="shared" si="1"/>
        <v>6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32</v>
      </c>
      <c r="C48" s="5" t="s">
        <v>47</v>
      </c>
      <c r="D48" s="6" t="s">
        <v>47</v>
      </c>
      <c r="E48" s="6" t="s">
        <v>48</v>
      </c>
      <c r="F48" s="6" t="s">
        <v>48</v>
      </c>
      <c r="G48" s="4" t="s">
        <v>47</v>
      </c>
      <c r="H48" s="4" t="s">
        <v>47</v>
      </c>
      <c r="I48" s="4" t="s">
        <v>47</v>
      </c>
      <c r="J48" s="6" t="s">
        <v>47</v>
      </c>
      <c r="K48" s="4" t="s">
        <v>47</v>
      </c>
      <c r="L48" s="4" t="s">
        <v>48</v>
      </c>
      <c r="M48" s="4" t="s">
        <v>48</v>
      </c>
      <c r="N48" s="6" t="s">
        <v>47</v>
      </c>
      <c r="O48" s="4" t="s">
        <v>47</v>
      </c>
      <c r="P48" s="4" t="s">
        <v>47</v>
      </c>
      <c r="Q48" s="4" t="s">
        <v>47</v>
      </c>
      <c r="R48" s="4" t="s">
        <v>47</v>
      </c>
      <c r="S48" s="4" t="s">
        <v>48</v>
      </c>
      <c r="T48" s="4" t="s">
        <v>48</v>
      </c>
      <c r="U48" s="4" t="s">
        <v>47</v>
      </c>
      <c r="V48" s="4" t="s">
        <v>47</v>
      </c>
      <c r="W48" s="4" t="s">
        <v>47</v>
      </c>
      <c r="X48" s="6" t="s">
        <v>47</v>
      </c>
      <c r="Y48" s="4" t="s">
        <v>47</v>
      </c>
      <c r="Z48" s="4" t="s">
        <v>48</v>
      </c>
      <c r="AA48" s="4" t="s">
        <v>48</v>
      </c>
      <c r="AB48" s="4" t="s">
        <v>47</v>
      </c>
      <c r="AC48" s="4" t="s">
        <v>47</v>
      </c>
      <c r="AD48" s="4" t="s">
        <v>47</v>
      </c>
      <c r="AE48" s="4" t="s">
        <v>47</v>
      </c>
      <c r="AF48" s="4" t="s">
        <v>47</v>
      </c>
      <c r="AG48" s="6" t="s">
        <v>47</v>
      </c>
      <c r="AH48" s="21">
        <f t="shared" si="0"/>
        <v>23</v>
      </c>
      <c r="AI48" s="23">
        <f t="shared" si="1"/>
        <v>8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33</v>
      </c>
      <c r="C49" s="3" t="s">
        <v>48</v>
      </c>
      <c r="D49" s="4" t="s">
        <v>48</v>
      </c>
      <c r="E49" s="6" t="s">
        <v>47</v>
      </c>
      <c r="F49" s="6" t="s">
        <v>47</v>
      </c>
      <c r="G49" s="4" t="s">
        <v>48</v>
      </c>
      <c r="H49" s="4" t="s">
        <v>48</v>
      </c>
      <c r="I49" s="4" t="s">
        <v>48</v>
      </c>
      <c r="J49" s="4" t="s">
        <v>48</v>
      </c>
      <c r="K49" s="4" t="s">
        <v>48</v>
      </c>
      <c r="L49" s="4" t="s">
        <v>48</v>
      </c>
      <c r="M49" s="4" t="s">
        <v>48</v>
      </c>
      <c r="N49" s="6" t="s">
        <v>48</v>
      </c>
      <c r="O49" s="4" t="s">
        <v>48</v>
      </c>
      <c r="P49" s="4" t="s">
        <v>48</v>
      </c>
      <c r="Q49" s="4" t="s">
        <v>48</v>
      </c>
      <c r="R49" s="4" t="s">
        <v>48</v>
      </c>
      <c r="S49" s="4" t="s">
        <v>48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6" t="s">
        <v>48</v>
      </c>
      <c r="AC49" s="6" t="s">
        <v>48</v>
      </c>
      <c r="AD49" s="4" t="s">
        <v>48</v>
      </c>
      <c r="AE49" s="4" t="s">
        <v>48</v>
      </c>
      <c r="AF49" s="4" t="s">
        <v>48</v>
      </c>
      <c r="AG49" s="4" t="s">
        <v>48</v>
      </c>
      <c r="AH49" s="21">
        <f t="shared" si="0"/>
        <v>2</v>
      </c>
      <c r="AI49" s="23">
        <f t="shared" si="1"/>
        <v>29</v>
      </c>
      <c r="AJ49" s="30">
        <f>SUM(AH49:AI49)</f>
        <v>31</v>
      </c>
    </row>
    <row r="50" spans="1:36" x14ac:dyDescent="0.25">
      <c r="A50" s="15">
        <f t="shared" si="3"/>
        <v>47</v>
      </c>
      <c r="B50" s="16" t="s">
        <v>70</v>
      </c>
      <c r="C50" s="5" t="s">
        <v>47</v>
      </c>
      <c r="D50" s="6" t="s">
        <v>47</v>
      </c>
      <c r="E50" s="6" t="s">
        <v>48</v>
      </c>
      <c r="F50" s="6" t="s">
        <v>48</v>
      </c>
      <c r="G50" s="4" t="s">
        <v>47</v>
      </c>
      <c r="H50" s="4" t="s">
        <v>47</v>
      </c>
      <c r="I50" s="4" t="s">
        <v>47</v>
      </c>
      <c r="J50" s="6" t="s">
        <v>47</v>
      </c>
      <c r="K50" s="4" t="s">
        <v>47</v>
      </c>
      <c r="L50" s="4" t="s">
        <v>48</v>
      </c>
      <c r="M50" s="4" t="s">
        <v>48</v>
      </c>
      <c r="N50" s="6" t="s">
        <v>47</v>
      </c>
      <c r="O50" s="4" t="s">
        <v>47</v>
      </c>
      <c r="P50" s="4" t="s">
        <v>47</v>
      </c>
      <c r="Q50" s="4" t="s">
        <v>47</v>
      </c>
      <c r="R50" s="4" t="s">
        <v>47</v>
      </c>
      <c r="S50" s="4" t="s">
        <v>48</v>
      </c>
      <c r="T50" s="4" t="s">
        <v>48</v>
      </c>
      <c r="U50" s="4" t="s">
        <v>47</v>
      </c>
      <c r="V50" s="4" t="s">
        <v>48</v>
      </c>
      <c r="W50" s="4" t="s">
        <v>48</v>
      </c>
      <c r="X50" s="4" t="s">
        <v>48</v>
      </c>
      <c r="Y50" s="4" t="s">
        <v>48</v>
      </c>
      <c r="Z50" s="4" t="s">
        <v>48</v>
      </c>
      <c r="AA50" s="4" t="s">
        <v>48</v>
      </c>
      <c r="AB50" s="4"/>
      <c r="AC50" s="4"/>
      <c r="AD50" s="4"/>
      <c r="AE50" s="4"/>
      <c r="AF50" s="4"/>
      <c r="AG50" s="4"/>
      <c r="AH50" s="21">
        <f t="shared" si="0"/>
        <v>13</v>
      </c>
      <c r="AI50" s="23">
        <f t="shared" si="1"/>
        <v>12</v>
      </c>
      <c r="AJ50" s="30">
        <f>SUM(AH50:AI50)</f>
        <v>25</v>
      </c>
    </row>
    <row r="51" spans="1:36" x14ac:dyDescent="0.25">
      <c r="A51" s="15">
        <f t="shared" si="3"/>
        <v>48</v>
      </c>
      <c r="B51" s="16" t="s">
        <v>72</v>
      </c>
      <c r="C51" s="3" t="s">
        <v>47</v>
      </c>
      <c r="D51" s="4" t="s">
        <v>47</v>
      </c>
      <c r="E51" s="4" t="s">
        <v>47</v>
      </c>
      <c r="F51" s="6" t="s">
        <v>48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48</v>
      </c>
      <c r="N51" s="6" t="s">
        <v>48</v>
      </c>
      <c r="O51" s="4" t="s">
        <v>47</v>
      </c>
      <c r="P51" s="4" t="s">
        <v>47</v>
      </c>
      <c r="Q51" s="6" t="s">
        <v>47</v>
      </c>
      <c r="R51" s="4" t="s">
        <v>47</v>
      </c>
      <c r="S51" s="4" t="s">
        <v>47</v>
      </c>
      <c r="T51" s="4" t="s">
        <v>48</v>
      </c>
      <c r="U51" s="4" t="s">
        <v>48</v>
      </c>
      <c r="V51" s="4" t="s">
        <v>47</v>
      </c>
      <c r="W51" s="4" t="s">
        <v>47</v>
      </c>
      <c r="X51" s="6" t="s">
        <v>47</v>
      </c>
      <c r="Y51" s="6" t="s">
        <v>47</v>
      </c>
      <c r="Z51" s="4" t="s">
        <v>48</v>
      </c>
      <c r="AA51" s="4" t="s">
        <v>48</v>
      </c>
      <c r="AB51" s="6" t="s">
        <v>47</v>
      </c>
      <c r="AC51" s="4" t="s">
        <v>47</v>
      </c>
      <c r="AD51" s="4" t="s">
        <v>47</v>
      </c>
      <c r="AE51" s="4" t="s">
        <v>47</v>
      </c>
      <c r="AF51" s="4" t="s">
        <v>47</v>
      </c>
      <c r="AG51" s="4" t="s">
        <v>47</v>
      </c>
      <c r="AH51" s="21">
        <f t="shared" si="0"/>
        <v>24</v>
      </c>
      <c r="AI51" s="23">
        <f t="shared" si="1"/>
        <v>7</v>
      </c>
      <c r="AJ51" s="30">
        <f t="shared" ref="AJ51:AJ59" si="19">SUM(AH51:AI51)</f>
        <v>31</v>
      </c>
    </row>
    <row r="52" spans="1:36" x14ac:dyDescent="0.25">
      <c r="A52" s="15">
        <f t="shared" si="3"/>
        <v>49</v>
      </c>
      <c r="B52" s="16" t="s">
        <v>34</v>
      </c>
      <c r="C52" s="3" t="s">
        <v>48</v>
      </c>
      <c r="D52" s="4" t="s">
        <v>48</v>
      </c>
      <c r="E52" s="6" t="s">
        <v>48</v>
      </c>
      <c r="F52" s="6" t="s">
        <v>48</v>
      </c>
      <c r="G52" s="4" t="s">
        <v>48</v>
      </c>
      <c r="H52" s="4" t="s">
        <v>48</v>
      </c>
      <c r="I52" s="4" t="s">
        <v>48</v>
      </c>
      <c r="J52" s="4" t="s">
        <v>48</v>
      </c>
      <c r="K52" s="4" t="s">
        <v>48</v>
      </c>
      <c r="L52" s="4" t="s">
        <v>48</v>
      </c>
      <c r="M52" s="4" t="s">
        <v>48</v>
      </c>
      <c r="N52" s="6" t="s">
        <v>48</v>
      </c>
      <c r="O52" s="4" t="s">
        <v>48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47</v>
      </c>
      <c r="Y52" s="4" t="s">
        <v>47</v>
      </c>
      <c r="Z52" s="4" t="s">
        <v>47</v>
      </c>
      <c r="AA52" s="4" t="s">
        <v>48</v>
      </c>
      <c r="AB52" s="4" t="s">
        <v>47</v>
      </c>
      <c r="AC52" s="4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15</v>
      </c>
      <c r="AI52" s="23">
        <f t="shared" si="1"/>
        <v>16</v>
      </c>
      <c r="AJ52" s="30">
        <f t="shared" si="19"/>
        <v>31</v>
      </c>
    </row>
    <row r="53" spans="1:36" x14ac:dyDescent="0.25">
      <c r="A53" s="15">
        <f t="shared" si="3"/>
        <v>50</v>
      </c>
      <c r="B53" s="16" t="s">
        <v>76</v>
      </c>
      <c r="C53" s="5" t="s">
        <v>47</v>
      </c>
      <c r="D53" s="6" t="s">
        <v>47</v>
      </c>
      <c r="E53" s="6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4" t="s">
        <v>47</v>
      </c>
      <c r="O53" s="4" t="s">
        <v>47</v>
      </c>
      <c r="P53" s="4" t="s">
        <v>47</v>
      </c>
      <c r="Q53" s="4" t="s">
        <v>47</v>
      </c>
      <c r="R53" s="4" t="s">
        <v>47</v>
      </c>
      <c r="S53" s="4" t="s">
        <v>48</v>
      </c>
      <c r="T53" s="4" t="s">
        <v>48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4" t="s">
        <v>47</v>
      </c>
      <c r="AC53" s="4" t="s">
        <v>47</v>
      </c>
      <c r="AD53" s="4" t="s">
        <v>47</v>
      </c>
      <c r="AE53" s="4" t="s">
        <v>47</v>
      </c>
      <c r="AF53" s="4" t="s">
        <v>47</v>
      </c>
      <c r="AG53" s="4" t="s">
        <v>47</v>
      </c>
      <c r="AH53" s="21">
        <f t="shared" si="0"/>
        <v>27</v>
      </c>
      <c r="AI53" s="23">
        <f t="shared" si="1"/>
        <v>4</v>
      </c>
      <c r="AJ53" s="30">
        <f t="shared" ref="AJ53" si="20">SUM(AH53:AI53)</f>
        <v>31</v>
      </c>
    </row>
    <row r="54" spans="1:36" x14ac:dyDescent="0.25">
      <c r="A54" s="15">
        <f t="shared" si="3"/>
        <v>51</v>
      </c>
      <c r="B54" s="16" t="s">
        <v>74</v>
      </c>
      <c r="C54" s="5" t="s">
        <v>47</v>
      </c>
      <c r="D54" s="6" t="s">
        <v>47</v>
      </c>
      <c r="E54" s="4" t="s">
        <v>47</v>
      </c>
      <c r="F54" s="6" t="s">
        <v>47</v>
      </c>
      <c r="G54" s="4" t="s">
        <v>48</v>
      </c>
      <c r="H54" s="4" t="s">
        <v>48</v>
      </c>
      <c r="I54" s="6" t="s">
        <v>47</v>
      </c>
      <c r="J54" s="6" t="s">
        <v>47</v>
      </c>
      <c r="K54" s="4" t="s">
        <v>47</v>
      </c>
      <c r="L54" s="4" t="s">
        <v>47</v>
      </c>
      <c r="M54" s="6" t="s">
        <v>47</v>
      </c>
      <c r="N54" s="4" t="s">
        <v>47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48</v>
      </c>
      <c r="V54" s="4" t="s">
        <v>48</v>
      </c>
      <c r="W54" s="4" t="s">
        <v>47</v>
      </c>
      <c r="X54" s="4" t="s">
        <v>47</v>
      </c>
      <c r="Y54" s="4" t="s">
        <v>47</v>
      </c>
      <c r="Z54" s="4" t="s">
        <v>47</v>
      </c>
      <c r="AA54" s="4" t="s">
        <v>47</v>
      </c>
      <c r="AB54" s="6" t="s">
        <v>48</v>
      </c>
      <c r="AC54" s="6" t="s">
        <v>48</v>
      </c>
      <c r="AD54" s="4" t="s">
        <v>48</v>
      </c>
      <c r="AE54" s="4"/>
      <c r="AF54" s="4"/>
      <c r="AG54" s="4"/>
      <c r="AH54" s="21">
        <f t="shared" si="0"/>
        <v>20</v>
      </c>
      <c r="AI54" s="23">
        <f t="shared" si="1"/>
        <v>8</v>
      </c>
      <c r="AJ54" s="30">
        <f t="shared" si="19"/>
        <v>28</v>
      </c>
    </row>
    <row r="55" spans="1:36" x14ac:dyDescent="0.25">
      <c r="A55" s="15">
        <f t="shared" si="3"/>
        <v>52</v>
      </c>
      <c r="B55" s="16" t="s">
        <v>43</v>
      </c>
      <c r="C55" s="3" t="s">
        <v>48</v>
      </c>
      <c r="D55" s="4" t="s">
        <v>48</v>
      </c>
      <c r="E55" s="6" t="s">
        <v>48</v>
      </c>
      <c r="F55" s="6" t="s">
        <v>48</v>
      </c>
      <c r="G55" s="4" t="s">
        <v>48</v>
      </c>
      <c r="H55" s="4" t="s">
        <v>48</v>
      </c>
      <c r="I55" s="4" t="s">
        <v>48</v>
      </c>
      <c r="J55" s="5"/>
      <c r="K55" s="4"/>
      <c r="L55" s="6"/>
      <c r="M55" s="5"/>
      <c r="N55" s="4"/>
      <c r="O55" s="6"/>
      <c r="P55" s="5"/>
      <c r="Q55" s="4"/>
      <c r="R55" s="6"/>
      <c r="S55" s="5"/>
      <c r="T55" s="4"/>
      <c r="U55" s="6"/>
      <c r="V55" s="5"/>
      <c r="W55" s="4"/>
      <c r="X55" s="6"/>
      <c r="Y55" s="5"/>
      <c r="Z55" s="4"/>
      <c r="AA55" s="6"/>
      <c r="AB55" s="5"/>
      <c r="AC55" s="4"/>
      <c r="AD55" s="6"/>
      <c r="AE55" s="5"/>
      <c r="AF55" s="4"/>
      <c r="AG55" s="6"/>
      <c r="AH55" s="21">
        <f t="shared" si="0"/>
        <v>0</v>
      </c>
      <c r="AI55" s="23">
        <f t="shared" si="1"/>
        <v>7</v>
      </c>
      <c r="AJ55" s="30">
        <f t="shared" si="19"/>
        <v>7</v>
      </c>
    </row>
    <row r="56" spans="1:36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48</v>
      </c>
      <c r="F56" s="6" t="s">
        <v>48</v>
      </c>
      <c r="G56" s="4" t="s">
        <v>47</v>
      </c>
      <c r="H56" s="4" t="s">
        <v>47</v>
      </c>
      <c r="I56" s="4" t="s">
        <v>47</v>
      </c>
      <c r="J56" s="6" t="s">
        <v>47</v>
      </c>
      <c r="K56" s="4" t="s">
        <v>47</v>
      </c>
      <c r="L56" s="4" t="s">
        <v>48</v>
      </c>
      <c r="M56" s="4" t="s">
        <v>48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48</v>
      </c>
      <c r="T56" s="4" t="s">
        <v>48</v>
      </c>
      <c r="U56" s="4" t="s">
        <v>47</v>
      </c>
      <c r="V56" s="4" t="s">
        <v>47</v>
      </c>
      <c r="W56" s="4" t="s">
        <v>47</v>
      </c>
      <c r="X56" s="6" t="s">
        <v>47</v>
      </c>
      <c r="Y56" s="4" t="s">
        <v>47</v>
      </c>
      <c r="Z56" s="4" t="s">
        <v>48</v>
      </c>
      <c r="AA56" s="4" t="s">
        <v>48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23</v>
      </c>
      <c r="AI56" s="23">
        <f t="shared" si="1"/>
        <v>8</v>
      </c>
      <c r="AJ56" s="30">
        <f t="shared" si="19"/>
        <v>31</v>
      </c>
    </row>
    <row r="57" spans="1:36" x14ac:dyDescent="0.25">
      <c r="A57" s="15">
        <f t="shared" si="3"/>
        <v>54</v>
      </c>
      <c r="B57" s="16" t="s">
        <v>36</v>
      </c>
      <c r="C57" s="5" t="s">
        <v>47</v>
      </c>
      <c r="D57" s="6" t="s">
        <v>47</v>
      </c>
      <c r="E57" s="6" t="s">
        <v>48</v>
      </c>
      <c r="F57" s="6" t="s">
        <v>48</v>
      </c>
      <c r="G57" s="6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6" t="s">
        <v>47</v>
      </c>
      <c r="O57" s="6" t="s">
        <v>47</v>
      </c>
      <c r="P57" s="4" t="s">
        <v>48</v>
      </c>
      <c r="Q57" s="4" t="s">
        <v>48</v>
      </c>
      <c r="R57" s="4" t="s">
        <v>48</v>
      </c>
      <c r="S57" s="4" t="s">
        <v>48</v>
      </c>
      <c r="T57" s="4" t="s">
        <v>48</v>
      </c>
      <c r="U57" s="4" t="s">
        <v>48</v>
      </c>
      <c r="V57" s="4" t="s">
        <v>48</v>
      </c>
      <c r="W57" s="4" t="s">
        <v>48</v>
      </c>
      <c r="X57" s="4" t="s">
        <v>48</v>
      </c>
      <c r="Y57" s="4" t="s">
        <v>48</v>
      </c>
      <c r="Z57" s="4" t="s">
        <v>48</v>
      </c>
      <c r="AA57" s="4" t="s">
        <v>48</v>
      </c>
      <c r="AB57" s="6" t="s">
        <v>48</v>
      </c>
      <c r="AC57" s="6" t="s">
        <v>48</v>
      </c>
      <c r="AD57" s="4" t="s">
        <v>48</v>
      </c>
      <c r="AE57" s="4" t="s">
        <v>48</v>
      </c>
      <c r="AF57" s="4" t="s">
        <v>48</v>
      </c>
      <c r="AG57" s="6" t="s">
        <v>48</v>
      </c>
      <c r="AH57" s="21">
        <f t="shared" si="0"/>
        <v>11</v>
      </c>
      <c r="AI57" s="23">
        <f t="shared" si="1"/>
        <v>20</v>
      </c>
      <c r="AJ57" s="30">
        <f t="shared" si="19"/>
        <v>31</v>
      </c>
    </row>
    <row r="58" spans="1:36" x14ac:dyDescent="0.25">
      <c r="A58" s="15">
        <f t="shared" si="3"/>
        <v>55</v>
      </c>
      <c r="B58" s="33" t="s">
        <v>62</v>
      </c>
      <c r="C58" s="5" t="s">
        <v>47</v>
      </c>
      <c r="D58" s="4" t="s">
        <v>47</v>
      </c>
      <c r="E58" s="4" t="s">
        <v>47</v>
      </c>
      <c r="F58" s="6" t="s">
        <v>48</v>
      </c>
      <c r="G58" s="4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4" t="s">
        <v>48</v>
      </c>
      <c r="N58" s="4" t="s">
        <v>47</v>
      </c>
      <c r="O58" s="4" t="s">
        <v>47</v>
      </c>
      <c r="P58" s="4" t="s">
        <v>47</v>
      </c>
      <c r="Q58" s="4" t="s">
        <v>47</v>
      </c>
      <c r="R58" s="4" t="s">
        <v>47</v>
      </c>
      <c r="S58" s="4" t="s">
        <v>47</v>
      </c>
      <c r="T58" s="4" t="s">
        <v>48</v>
      </c>
      <c r="U58" s="4" t="s">
        <v>47</v>
      </c>
      <c r="V58" s="4" t="s">
        <v>47</v>
      </c>
      <c r="W58" s="4" t="s">
        <v>47</v>
      </c>
      <c r="X58" s="6" t="s">
        <v>47</v>
      </c>
      <c r="Y58" s="4" t="s">
        <v>47</v>
      </c>
      <c r="Z58" s="4" t="s">
        <v>47</v>
      </c>
      <c r="AA58" s="4" t="s">
        <v>48</v>
      </c>
      <c r="AB58" s="4" t="s">
        <v>47</v>
      </c>
      <c r="AC58" s="4" t="s">
        <v>47</v>
      </c>
      <c r="AD58" s="4" t="s">
        <v>47</v>
      </c>
      <c r="AE58" s="6" t="s">
        <v>47</v>
      </c>
      <c r="AF58" s="6" t="s">
        <v>47</v>
      </c>
      <c r="AG58" s="4" t="s">
        <v>47</v>
      </c>
      <c r="AH58" s="21">
        <f t="shared" si="0"/>
        <v>27</v>
      </c>
      <c r="AI58" s="23">
        <f t="shared" si="1"/>
        <v>4</v>
      </c>
      <c r="AJ58" s="30">
        <f t="shared" si="19"/>
        <v>31</v>
      </c>
    </row>
    <row r="59" spans="1:36" ht="16.3" thickBot="1" x14ac:dyDescent="0.3">
      <c r="A59" s="35">
        <f t="shared" si="3"/>
        <v>56</v>
      </c>
      <c r="B59" s="19" t="s">
        <v>37</v>
      </c>
      <c r="C59" s="3" t="s">
        <v>48</v>
      </c>
      <c r="D59" s="6" t="s">
        <v>47</v>
      </c>
      <c r="E59" s="6" t="s">
        <v>47</v>
      </c>
      <c r="F59" s="6" t="s">
        <v>47</v>
      </c>
      <c r="G59" s="4" t="s">
        <v>47</v>
      </c>
      <c r="H59" s="4" t="s">
        <v>47</v>
      </c>
      <c r="I59" s="4" t="s">
        <v>47</v>
      </c>
      <c r="J59" s="4" t="s">
        <v>48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4" t="s">
        <v>47</v>
      </c>
      <c r="Q59" s="4" t="s">
        <v>48</v>
      </c>
      <c r="R59" s="4" t="s">
        <v>47</v>
      </c>
      <c r="S59" s="6" t="s">
        <v>47</v>
      </c>
      <c r="T59" s="4" t="s">
        <v>47</v>
      </c>
      <c r="U59" s="4" t="s">
        <v>47</v>
      </c>
      <c r="V59" s="4" t="s">
        <v>47</v>
      </c>
      <c r="W59" s="4" t="s">
        <v>47</v>
      </c>
      <c r="X59" s="6" t="s">
        <v>47</v>
      </c>
      <c r="Y59" s="4" t="s">
        <v>48</v>
      </c>
      <c r="Z59" s="4" t="s">
        <v>48</v>
      </c>
      <c r="AA59" s="4" t="s">
        <v>47</v>
      </c>
      <c r="AB59" s="4" t="s">
        <v>47</v>
      </c>
      <c r="AC59" s="4" t="s">
        <v>47</v>
      </c>
      <c r="AD59" s="4" t="s">
        <v>47</v>
      </c>
      <c r="AE59" s="4" t="s">
        <v>47</v>
      </c>
      <c r="AF59" s="4" t="s">
        <v>48</v>
      </c>
      <c r="AG59" s="6" t="s">
        <v>47</v>
      </c>
      <c r="AH59" s="22">
        <f t="shared" si="0"/>
        <v>25</v>
      </c>
      <c r="AI59" s="24">
        <f t="shared" si="1"/>
        <v>6</v>
      </c>
      <c r="AJ59" s="31">
        <f t="shared" si="19"/>
        <v>31</v>
      </c>
    </row>
    <row r="60" spans="1:36" x14ac:dyDescent="0.25">
      <c r="A60" s="38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8"/>
      <c r="AI60" s="38"/>
      <c r="AJ60" s="39"/>
    </row>
    <row r="61" spans="1:36" x14ac:dyDescent="0.25">
      <c r="A61" s="42" t="s">
        <v>53</v>
      </c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</row>
  </sheetData>
  <autoFilter ref="C2:AG61"/>
  <mergeCells count="2">
    <mergeCell ref="A1:AJ1"/>
    <mergeCell ref="A61:AJ61"/>
  </mergeCells>
  <conditionalFormatting sqref="C4:AG9 C11:AD12 AE10:AE12 AF11:AG12 C13:AG59">
    <cfRule type="containsBlanks" dxfId="5" priority="2">
      <formula>LEN(TRIM(C4))=0</formula>
    </cfRule>
  </conditionalFormatting>
  <conditionalFormatting sqref="C10:AD10 AF10:AG10">
    <cfRule type="containsBlanks" dxfId="4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6" sqref="AF6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Сентябрь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48</v>
      </c>
      <c r="AC4" s="4" t="s">
        <v>48</v>
      </c>
      <c r="AD4" s="4" t="s">
        <v>48</v>
      </c>
      <c r="AE4" s="4" t="s">
        <v>48</v>
      </c>
      <c r="AF4" s="4" t="s">
        <v>48</v>
      </c>
      <c r="AG4" s="7">
        <f t="shared" ref="AG4:AG36" si="0">COUNTIF(C4:AF4,"+")</f>
        <v>21</v>
      </c>
      <c r="AH4" s="25">
        <f t="shared" ref="AH4:AH36" si="1">COUNTIF(C4:AF4,"-")</f>
        <v>9</v>
      </c>
      <c r="AI4" s="29">
        <f t="shared" ref="AI4:AI52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48</v>
      </c>
      <c r="P5" s="4" t="s">
        <v>48</v>
      </c>
      <c r="Q5" s="4" t="s">
        <v>48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48</v>
      </c>
      <c r="AB5" s="4" t="s">
        <v>47</v>
      </c>
      <c r="AC5" s="4" t="s">
        <v>48</v>
      </c>
      <c r="AD5" s="4" t="s">
        <v>47</v>
      </c>
      <c r="AE5" s="4" t="s">
        <v>47</v>
      </c>
      <c r="AF5" s="4" t="s">
        <v>48</v>
      </c>
      <c r="AG5" s="7">
        <f t="shared" si="0"/>
        <v>19</v>
      </c>
      <c r="AH5" s="25">
        <f t="shared" si="1"/>
        <v>11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4" t="s">
        <v>47</v>
      </c>
      <c r="I6" s="4" t="s">
        <v>47</v>
      </c>
      <c r="J6" s="6" t="s">
        <v>48</v>
      </c>
      <c r="K6" s="6" t="s">
        <v>48</v>
      </c>
      <c r="L6" s="6" t="s">
        <v>48</v>
      </c>
      <c r="M6" s="6" t="s">
        <v>48</v>
      </c>
      <c r="N6" s="4" t="s">
        <v>48</v>
      </c>
      <c r="O6" s="4" t="s">
        <v>47</v>
      </c>
      <c r="P6" s="4" t="s">
        <v>47</v>
      </c>
      <c r="Q6" s="4" t="s">
        <v>47</v>
      </c>
      <c r="R6" s="4" t="s">
        <v>48</v>
      </c>
      <c r="S6" s="4" t="s">
        <v>47</v>
      </c>
      <c r="T6" s="4" t="s">
        <v>47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47</v>
      </c>
      <c r="AA6" s="4" t="s">
        <v>47</v>
      </c>
      <c r="AB6" s="4" t="s">
        <v>47</v>
      </c>
      <c r="AC6" s="4" t="s">
        <v>47</v>
      </c>
      <c r="AD6" s="4" t="s">
        <v>47</v>
      </c>
      <c r="AE6" s="4" t="s">
        <v>47</v>
      </c>
      <c r="AF6" s="4" t="s">
        <v>47</v>
      </c>
      <c r="AG6" s="21">
        <f t="shared" si="0"/>
        <v>22</v>
      </c>
      <c r="AH6" s="23">
        <f t="shared" si="1"/>
        <v>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3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47</v>
      </c>
      <c r="J7" s="6" t="s">
        <v>47</v>
      </c>
      <c r="K7" s="6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48</v>
      </c>
      <c r="Q7" s="4" t="s">
        <v>48</v>
      </c>
      <c r="R7" s="4" t="s">
        <v>47</v>
      </c>
      <c r="S7" s="4" t="s">
        <v>47</v>
      </c>
      <c r="T7" s="4" t="s">
        <v>47</v>
      </c>
      <c r="U7" s="4" t="s">
        <v>47</v>
      </c>
      <c r="V7" s="4" t="s">
        <v>48</v>
      </c>
      <c r="W7" s="4" t="s">
        <v>48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1</v>
      </c>
      <c r="C8" s="3" t="s">
        <v>48</v>
      </c>
      <c r="D8" s="6" t="s">
        <v>47</v>
      </c>
      <c r="E8" s="6" t="s">
        <v>47</v>
      </c>
      <c r="F8" s="6" t="s">
        <v>47</v>
      </c>
      <c r="G8" s="6" t="s">
        <v>47</v>
      </c>
      <c r="H8" s="4" t="s">
        <v>47</v>
      </c>
      <c r="I8" s="4" t="s">
        <v>48</v>
      </c>
      <c r="J8" s="6" t="s">
        <v>47</v>
      </c>
      <c r="K8" s="4" t="s">
        <v>47</v>
      </c>
      <c r="L8" s="4" t="s">
        <v>47</v>
      </c>
      <c r="M8" s="4" t="s">
        <v>47</v>
      </c>
      <c r="N8" s="6" t="s">
        <v>47</v>
      </c>
      <c r="O8" s="4" t="s">
        <v>47</v>
      </c>
      <c r="P8" s="4" t="s">
        <v>47</v>
      </c>
      <c r="Q8" s="4" t="s">
        <v>48</v>
      </c>
      <c r="R8" s="4" t="s">
        <v>47</v>
      </c>
      <c r="S8" s="4" t="s">
        <v>47</v>
      </c>
      <c r="T8" s="4" t="s">
        <v>47</v>
      </c>
      <c r="U8" s="6" t="s">
        <v>47</v>
      </c>
      <c r="V8" s="4" t="s">
        <v>47</v>
      </c>
      <c r="W8" s="4" t="s">
        <v>48</v>
      </c>
      <c r="X8" s="4" t="s">
        <v>47</v>
      </c>
      <c r="Y8" s="4" t="s">
        <v>47</v>
      </c>
      <c r="Z8" s="4" t="s">
        <v>47</v>
      </c>
      <c r="AA8" s="4" t="s">
        <v>47</v>
      </c>
      <c r="AB8" s="4" t="s">
        <v>47</v>
      </c>
      <c r="AC8" s="4" t="s">
        <v>47</v>
      </c>
      <c r="AD8" s="4" t="s">
        <v>47</v>
      </c>
      <c r="AE8" s="4" t="s">
        <v>47</v>
      </c>
      <c r="AF8" s="4" t="s">
        <v>47</v>
      </c>
      <c r="AG8" s="21">
        <f t="shared" si="0"/>
        <v>26</v>
      </c>
      <c r="AH8" s="23">
        <f t="shared" si="1"/>
        <v>4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2</v>
      </c>
      <c r="C9" s="3" t="s">
        <v>48</v>
      </c>
      <c r="D9" s="6" t="s">
        <v>47</v>
      </c>
      <c r="E9" s="6" t="s">
        <v>47</v>
      </c>
      <c r="F9" s="6" t="s">
        <v>47</v>
      </c>
      <c r="G9" s="4" t="s">
        <v>47</v>
      </c>
      <c r="H9" s="4" t="s">
        <v>47</v>
      </c>
      <c r="I9" s="4" t="s">
        <v>47</v>
      </c>
      <c r="J9" s="6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47</v>
      </c>
      <c r="P9" s="4" t="s">
        <v>48</v>
      </c>
      <c r="Q9" s="4" t="s">
        <v>47</v>
      </c>
      <c r="R9" s="4" t="s">
        <v>47</v>
      </c>
      <c r="S9" s="6" t="s">
        <v>47</v>
      </c>
      <c r="T9" s="4" t="s">
        <v>47</v>
      </c>
      <c r="U9" s="4" t="s">
        <v>47</v>
      </c>
      <c r="V9" s="4" t="s">
        <v>48</v>
      </c>
      <c r="W9" s="4" t="s">
        <v>47</v>
      </c>
      <c r="X9" s="6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4" t="s">
        <v>47</v>
      </c>
      <c r="AD9" s="4" t="s">
        <v>47</v>
      </c>
      <c r="AE9" s="4" t="s">
        <v>47</v>
      </c>
      <c r="AF9" s="4" t="s">
        <v>47</v>
      </c>
      <c r="AG9" s="21">
        <f t="shared" si="0"/>
        <v>27</v>
      </c>
      <c r="AH9" s="23">
        <f t="shared" si="1"/>
        <v>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39</v>
      </c>
      <c r="C10" s="3" t="s">
        <v>47</v>
      </c>
      <c r="D10" s="6" t="s">
        <v>47</v>
      </c>
      <c r="E10" s="6" t="s">
        <v>47</v>
      </c>
      <c r="F10" s="6" t="s">
        <v>48</v>
      </c>
      <c r="G10" s="4" t="s">
        <v>48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4" t="s">
        <v>48</v>
      </c>
      <c r="O10" s="4" t="s">
        <v>48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48</v>
      </c>
      <c r="U10" s="4" t="s">
        <v>48</v>
      </c>
      <c r="V10" s="4" t="s">
        <v>48</v>
      </c>
      <c r="W10" s="4" t="s">
        <v>47</v>
      </c>
      <c r="X10" s="6" t="s">
        <v>47</v>
      </c>
      <c r="Y10" s="4" t="s">
        <v>47</v>
      </c>
      <c r="Z10" s="4" t="s">
        <v>48</v>
      </c>
      <c r="AA10" s="4" t="s">
        <v>47</v>
      </c>
      <c r="AB10" s="6" t="s">
        <v>47</v>
      </c>
      <c r="AC10" s="6" t="s">
        <v>47</v>
      </c>
      <c r="AD10" s="4" t="s">
        <v>47</v>
      </c>
      <c r="AE10" s="4" t="s">
        <v>48</v>
      </c>
      <c r="AF10" s="4" t="s">
        <v>47</v>
      </c>
      <c r="AG10" s="21">
        <f t="shared" si="0"/>
        <v>21</v>
      </c>
      <c r="AH10" s="23">
        <f t="shared" si="1"/>
        <v>9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40</v>
      </c>
      <c r="C11" s="3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6" t="s">
        <v>48</v>
      </c>
      <c r="L11" s="6" t="s">
        <v>48</v>
      </c>
      <c r="M11" s="6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4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73</v>
      </c>
      <c r="C12" s="3" t="s">
        <v>48</v>
      </c>
      <c r="D12" s="4" t="s">
        <v>48</v>
      </c>
      <c r="E12" s="4" t="s">
        <v>48</v>
      </c>
      <c r="F12" s="6" t="s">
        <v>48</v>
      </c>
      <c r="G12" s="4" t="s">
        <v>48</v>
      </c>
      <c r="H12" s="4" t="s">
        <v>48</v>
      </c>
      <c r="I12" s="4" t="s">
        <v>48</v>
      </c>
      <c r="J12" s="6" t="s">
        <v>48</v>
      </c>
      <c r="K12" s="6" t="s">
        <v>48</v>
      </c>
      <c r="L12" s="6" t="s">
        <v>48</v>
      </c>
      <c r="M12" s="6" t="s">
        <v>48</v>
      </c>
      <c r="N12" s="4" t="s">
        <v>48</v>
      </c>
      <c r="O12" s="4" t="s">
        <v>48</v>
      </c>
      <c r="P12" s="4" t="s">
        <v>48</v>
      </c>
      <c r="Q12" s="4" t="s">
        <v>48</v>
      </c>
      <c r="R12" s="4" t="s">
        <v>48</v>
      </c>
      <c r="S12" s="6" t="s">
        <v>48</v>
      </c>
      <c r="T12" s="4" t="s">
        <v>48</v>
      </c>
      <c r="U12" s="4" t="s">
        <v>48</v>
      </c>
      <c r="V12" s="4" t="s">
        <v>48</v>
      </c>
      <c r="W12" s="4" t="s">
        <v>48</v>
      </c>
      <c r="X12" s="4" t="s">
        <v>48</v>
      </c>
      <c r="Y12" s="4" t="s">
        <v>48</v>
      </c>
      <c r="Z12" s="4" t="s">
        <v>48</v>
      </c>
      <c r="AA12" s="4" t="s">
        <v>48</v>
      </c>
      <c r="AB12" s="4" t="s">
        <v>48</v>
      </c>
      <c r="AC12" s="4" t="s">
        <v>48</v>
      </c>
      <c r="AD12" s="4" t="s">
        <v>48</v>
      </c>
      <c r="AE12" s="4" t="s">
        <v>48</v>
      </c>
      <c r="AF12" s="4" t="s">
        <v>48</v>
      </c>
      <c r="AG12" s="21">
        <f t="shared" si="0"/>
        <v>0</v>
      </c>
      <c r="AH12" s="23">
        <f t="shared" si="1"/>
        <v>30</v>
      </c>
      <c r="AI12" s="30">
        <f>SUM(AG12:AH12)</f>
        <v>30</v>
      </c>
    </row>
    <row r="13" spans="1:37" x14ac:dyDescent="0.25">
      <c r="A13" s="15">
        <f t="shared" si="3"/>
        <v>10</v>
      </c>
      <c r="B13" s="16" t="s">
        <v>55</v>
      </c>
      <c r="C13" s="5" t="s">
        <v>47</v>
      </c>
      <c r="D13" s="6" t="s">
        <v>47</v>
      </c>
      <c r="E13" s="6" t="s">
        <v>47</v>
      </c>
      <c r="F13" s="6" t="s">
        <v>47</v>
      </c>
      <c r="G13" s="6" t="s">
        <v>47</v>
      </c>
      <c r="H13" s="6" t="s">
        <v>47</v>
      </c>
      <c r="I13" s="4" t="s">
        <v>48</v>
      </c>
      <c r="J13" s="6" t="s">
        <v>48</v>
      </c>
      <c r="K13" s="4" t="s">
        <v>47</v>
      </c>
      <c r="L13" s="4" t="s">
        <v>47</v>
      </c>
      <c r="M13" s="6" t="s">
        <v>47</v>
      </c>
      <c r="N13" s="6" t="s">
        <v>47</v>
      </c>
      <c r="O13" s="6" t="s">
        <v>47</v>
      </c>
      <c r="P13" s="4" t="s">
        <v>47</v>
      </c>
      <c r="Q13" s="4" t="s">
        <v>47</v>
      </c>
      <c r="R13" s="4" t="s">
        <v>47</v>
      </c>
      <c r="S13" s="4" t="s">
        <v>47</v>
      </c>
      <c r="T13" s="4" t="s">
        <v>47</v>
      </c>
      <c r="U13" s="4" t="s">
        <v>47</v>
      </c>
      <c r="V13" s="4" t="s">
        <v>47</v>
      </c>
      <c r="W13" s="4" t="s">
        <v>47</v>
      </c>
      <c r="X13" s="4" t="s">
        <v>47</v>
      </c>
      <c r="Y13" s="4" t="s">
        <v>47</v>
      </c>
      <c r="Z13" s="4" t="s">
        <v>47</v>
      </c>
      <c r="AA13" s="4" t="s">
        <v>47</v>
      </c>
      <c r="AB13" s="6" t="s">
        <v>47</v>
      </c>
      <c r="AC13" s="4" t="s">
        <v>47</v>
      </c>
      <c r="AD13" s="4" t="s">
        <v>47</v>
      </c>
      <c r="AE13" s="6" t="s">
        <v>47</v>
      </c>
      <c r="AF13" s="6" t="s">
        <v>47</v>
      </c>
      <c r="AG13" s="21">
        <f t="shared" si="0"/>
        <v>28</v>
      </c>
      <c r="AH13" s="23">
        <f t="shared" si="1"/>
        <v>2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5</v>
      </c>
      <c r="C14" s="3" t="s">
        <v>48</v>
      </c>
      <c r="D14" s="4" t="s">
        <v>48</v>
      </c>
      <c r="E14" s="4" t="s">
        <v>48</v>
      </c>
      <c r="F14" s="6" t="s">
        <v>48</v>
      </c>
      <c r="G14" s="4" t="s">
        <v>48</v>
      </c>
      <c r="H14" s="4" t="s">
        <v>48</v>
      </c>
      <c r="I14" s="4" t="s">
        <v>48</v>
      </c>
      <c r="J14" s="6" t="s">
        <v>48</v>
      </c>
      <c r="K14" s="6" t="s">
        <v>48</v>
      </c>
      <c r="L14" s="6" t="s">
        <v>48</v>
      </c>
      <c r="M14" s="6" t="s">
        <v>48</v>
      </c>
      <c r="N14" s="4" t="s">
        <v>48</v>
      </c>
      <c r="O14" s="4" t="s">
        <v>48</v>
      </c>
      <c r="P14" s="4" t="s">
        <v>48</v>
      </c>
      <c r="Q14" s="4" t="s">
        <v>48</v>
      </c>
      <c r="R14" s="4" t="s">
        <v>48</v>
      </c>
      <c r="S14" s="6" t="s">
        <v>48</v>
      </c>
      <c r="T14" s="4" t="s">
        <v>48</v>
      </c>
      <c r="U14" s="4" t="s">
        <v>48</v>
      </c>
      <c r="V14" s="4" t="s">
        <v>48</v>
      </c>
      <c r="W14" s="4" t="s">
        <v>48</v>
      </c>
      <c r="X14" s="4" t="s">
        <v>48</v>
      </c>
      <c r="Y14" s="4" t="s">
        <v>48</v>
      </c>
      <c r="Z14" s="4" t="s">
        <v>48</v>
      </c>
      <c r="AA14" s="4" t="s">
        <v>48</v>
      </c>
      <c r="AB14" s="4" t="s">
        <v>48</v>
      </c>
      <c r="AC14" s="6" t="s">
        <v>47</v>
      </c>
      <c r="AD14" s="4" t="s">
        <v>47</v>
      </c>
      <c r="AE14" s="4" t="s">
        <v>47</v>
      </c>
      <c r="AF14" s="4" t="s">
        <v>47</v>
      </c>
      <c r="AG14" s="21">
        <f t="shared" si="0"/>
        <v>4</v>
      </c>
      <c r="AH14" s="23">
        <f t="shared" si="1"/>
        <v>26</v>
      </c>
      <c r="AI14" s="30">
        <f t="shared" si="2"/>
        <v>30</v>
      </c>
    </row>
    <row r="15" spans="1:37" x14ac:dyDescent="0.25">
      <c r="A15" s="15">
        <f t="shared" si="3"/>
        <v>12</v>
      </c>
      <c r="B15" s="16" t="s">
        <v>6</v>
      </c>
      <c r="C15" s="3" t="s">
        <v>48</v>
      </c>
      <c r="D15" s="4" t="s">
        <v>47</v>
      </c>
      <c r="E15" s="6" t="s">
        <v>47</v>
      </c>
      <c r="F15" s="6" t="s">
        <v>47</v>
      </c>
      <c r="G15" s="4" t="s">
        <v>47</v>
      </c>
      <c r="H15" s="4" t="s">
        <v>47</v>
      </c>
      <c r="I15" s="4" t="s">
        <v>48</v>
      </c>
      <c r="J15" s="6" t="s">
        <v>48</v>
      </c>
      <c r="K15" s="4" t="s">
        <v>47</v>
      </c>
      <c r="L15" s="4" t="s">
        <v>47</v>
      </c>
      <c r="M15" s="4" t="s">
        <v>47</v>
      </c>
      <c r="N15" s="4" t="s">
        <v>48</v>
      </c>
      <c r="O15" s="4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6" t="s">
        <v>47</v>
      </c>
      <c r="U15" s="6" t="s">
        <v>47</v>
      </c>
      <c r="V15" s="6" t="s">
        <v>47</v>
      </c>
      <c r="W15" s="4" t="s">
        <v>47</v>
      </c>
      <c r="X15" s="6" t="s">
        <v>47</v>
      </c>
      <c r="Y15" s="4" t="s">
        <v>48</v>
      </c>
      <c r="Z15" s="6" t="s">
        <v>47</v>
      </c>
      <c r="AA15" s="4" t="s">
        <v>47</v>
      </c>
      <c r="AB15" s="4" t="s">
        <v>47</v>
      </c>
      <c r="AC15" s="6" t="s">
        <v>47</v>
      </c>
      <c r="AD15" s="4" t="s">
        <v>48</v>
      </c>
      <c r="AE15" s="4" t="s">
        <v>48</v>
      </c>
      <c r="AF15" s="4" t="s">
        <v>47</v>
      </c>
      <c r="AG15" s="21">
        <f t="shared" si="0"/>
        <v>23</v>
      </c>
      <c r="AH15" s="23">
        <f t="shared" si="1"/>
        <v>7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8</v>
      </c>
      <c r="C16" s="4" t="s">
        <v>47</v>
      </c>
      <c r="D16" s="4" t="s">
        <v>47</v>
      </c>
      <c r="E16" s="4" t="s">
        <v>47</v>
      </c>
      <c r="F16" s="4" t="s">
        <v>47</v>
      </c>
      <c r="G16" s="4" t="s">
        <v>47</v>
      </c>
      <c r="H16" s="4" t="s">
        <v>47</v>
      </c>
      <c r="I16" s="4" t="s">
        <v>47</v>
      </c>
      <c r="J16" s="4" t="s">
        <v>47</v>
      </c>
      <c r="K16" s="4" t="s">
        <v>47</v>
      </c>
      <c r="L16" s="4" t="s">
        <v>47</v>
      </c>
      <c r="M16" s="4" t="s">
        <v>47</v>
      </c>
      <c r="N16" s="4" t="s">
        <v>47</v>
      </c>
      <c r="O16" s="4" t="s">
        <v>47</v>
      </c>
      <c r="P16" s="4" t="s">
        <v>47</v>
      </c>
      <c r="Q16" s="4" t="s">
        <v>47</v>
      </c>
      <c r="R16" s="4" t="s">
        <v>47</v>
      </c>
      <c r="S16" s="4" t="s">
        <v>47</v>
      </c>
      <c r="T16" s="4" t="s">
        <v>47</v>
      </c>
      <c r="U16" s="4" t="s">
        <v>47</v>
      </c>
      <c r="V16" s="4" t="s">
        <v>47</v>
      </c>
      <c r="W16" s="4" t="s">
        <v>47</v>
      </c>
      <c r="X16" s="4" t="s">
        <v>47</v>
      </c>
      <c r="Y16" s="4" t="s">
        <v>47</v>
      </c>
      <c r="Z16" s="4" t="s">
        <v>47</v>
      </c>
      <c r="AA16" s="4" t="s">
        <v>47</v>
      </c>
      <c r="AB16" s="4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21">
        <f t="shared" si="0"/>
        <v>30</v>
      </c>
      <c r="AH16" s="23">
        <f t="shared" si="1"/>
        <v>0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7</v>
      </c>
      <c r="C17" s="3" t="s">
        <v>47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47</v>
      </c>
      <c r="J17" s="4" t="s">
        <v>47</v>
      </c>
      <c r="K17" s="6" t="s">
        <v>48</v>
      </c>
      <c r="L17" s="6" t="s">
        <v>48</v>
      </c>
      <c r="M17" s="6" t="s">
        <v>48</v>
      </c>
      <c r="N17" s="4" t="s">
        <v>48</v>
      </c>
      <c r="O17" s="4" t="s">
        <v>48</v>
      </c>
      <c r="P17" s="4" t="s">
        <v>47</v>
      </c>
      <c r="Q17" s="4" t="s">
        <v>47</v>
      </c>
      <c r="R17" s="4" t="s">
        <v>48</v>
      </c>
      <c r="S17" s="6" t="s">
        <v>48</v>
      </c>
      <c r="T17" s="4" t="s">
        <v>48</v>
      </c>
      <c r="U17" s="4" t="s">
        <v>48</v>
      </c>
      <c r="V17" s="4" t="s">
        <v>48</v>
      </c>
      <c r="W17" s="4" t="s">
        <v>47</v>
      </c>
      <c r="X17" s="4" t="s">
        <v>47</v>
      </c>
      <c r="Y17" s="4" t="s">
        <v>48</v>
      </c>
      <c r="Z17" s="4" t="s">
        <v>48</v>
      </c>
      <c r="AA17" s="4" t="s">
        <v>48</v>
      </c>
      <c r="AB17" s="4" t="s">
        <v>48</v>
      </c>
      <c r="AC17" s="4" t="s">
        <v>48</v>
      </c>
      <c r="AD17" s="4" t="s">
        <v>48</v>
      </c>
      <c r="AE17" s="4" t="s">
        <v>47</v>
      </c>
      <c r="AF17" s="4" t="s">
        <v>47</v>
      </c>
      <c r="AG17" s="21">
        <f t="shared" si="0"/>
        <v>9</v>
      </c>
      <c r="AH17" s="23">
        <f t="shared" si="1"/>
        <v>21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9</v>
      </c>
      <c r="C18" s="3" t="s">
        <v>47</v>
      </c>
      <c r="D18" s="6" t="s">
        <v>47</v>
      </c>
      <c r="E18" s="6" t="s">
        <v>47</v>
      </c>
      <c r="F18" s="6" t="s">
        <v>47</v>
      </c>
      <c r="G18" s="4" t="s">
        <v>48</v>
      </c>
      <c r="H18" s="4" t="s">
        <v>47</v>
      </c>
      <c r="I18" s="4" t="s">
        <v>48</v>
      </c>
      <c r="J18" s="4" t="s">
        <v>47</v>
      </c>
      <c r="K18" s="4" t="s">
        <v>47</v>
      </c>
      <c r="L18" s="4" t="s">
        <v>47</v>
      </c>
      <c r="M18" s="4" t="s">
        <v>47</v>
      </c>
      <c r="N18" s="6" t="s">
        <v>47</v>
      </c>
      <c r="O18" s="4" t="s">
        <v>48</v>
      </c>
      <c r="P18" s="4" t="s">
        <v>48</v>
      </c>
      <c r="Q18" s="4" t="s">
        <v>47</v>
      </c>
      <c r="R18" s="4" t="s">
        <v>47</v>
      </c>
      <c r="S18" s="6" t="s">
        <v>48</v>
      </c>
      <c r="T18" s="4" t="s">
        <v>48</v>
      </c>
      <c r="U18" s="4" t="s">
        <v>47</v>
      </c>
      <c r="V18" s="4" t="s">
        <v>48</v>
      </c>
      <c r="W18" s="4" t="s">
        <v>48</v>
      </c>
      <c r="X18" s="4" t="s">
        <v>48</v>
      </c>
      <c r="Y18" s="4" t="s">
        <v>47</v>
      </c>
      <c r="Z18" s="4" t="s">
        <v>47</v>
      </c>
      <c r="AA18" s="4" t="s">
        <v>47</v>
      </c>
      <c r="AB18" s="6" t="s">
        <v>47</v>
      </c>
      <c r="AC18" s="4" t="s">
        <v>48</v>
      </c>
      <c r="AD18" s="4" t="s">
        <v>47</v>
      </c>
      <c r="AE18" s="4" t="s">
        <v>47</v>
      </c>
      <c r="AF18" s="4" t="s">
        <v>48</v>
      </c>
      <c r="AG18" s="21">
        <f t="shared" si="0"/>
        <v>19</v>
      </c>
      <c r="AH18" s="23">
        <f t="shared" si="1"/>
        <v>11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10</v>
      </c>
      <c r="C19" s="3" t="s">
        <v>47</v>
      </c>
      <c r="D19" s="4" t="s">
        <v>47</v>
      </c>
      <c r="E19" s="6" t="s">
        <v>47</v>
      </c>
      <c r="F19" s="6" t="s">
        <v>47</v>
      </c>
      <c r="G19" s="4" t="s">
        <v>47</v>
      </c>
      <c r="H19" s="4" t="s">
        <v>48</v>
      </c>
      <c r="I19" s="4" t="s">
        <v>47</v>
      </c>
      <c r="J19" s="6" t="s">
        <v>48</v>
      </c>
      <c r="K19" s="4" t="s">
        <v>47</v>
      </c>
      <c r="L19" s="6" t="s">
        <v>48</v>
      </c>
      <c r="M19" s="6" t="s">
        <v>48</v>
      </c>
      <c r="N19" s="6" t="s">
        <v>47</v>
      </c>
      <c r="O19" s="4" t="s">
        <v>47</v>
      </c>
      <c r="P19" s="4" t="s">
        <v>47</v>
      </c>
      <c r="Q19" s="4" t="s">
        <v>48</v>
      </c>
      <c r="R19" s="4" t="s">
        <v>47</v>
      </c>
      <c r="S19" s="4" t="s">
        <v>47</v>
      </c>
      <c r="T19" s="4" t="s">
        <v>48</v>
      </c>
      <c r="U19" s="4" t="s">
        <v>48</v>
      </c>
      <c r="V19" s="4" t="s">
        <v>47</v>
      </c>
      <c r="W19" s="4" t="s">
        <v>47</v>
      </c>
      <c r="X19" s="4" t="s">
        <v>47</v>
      </c>
      <c r="Y19" s="4" t="s">
        <v>47</v>
      </c>
      <c r="Z19" s="4" t="s">
        <v>48</v>
      </c>
      <c r="AA19" s="4" t="s">
        <v>47</v>
      </c>
      <c r="AB19" s="4" t="s">
        <v>47</v>
      </c>
      <c r="AC19" s="4" t="s">
        <v>47</v>
      </c>
      <c r="AD19" s="4" t="s">
        <v>48</v>
      </c>
      <c r="AE19" s="6" t="s">
        <v>47</v>
      </c>
      <c r="AF19" s="4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64</v>
      </c>
      <c r="C20" s="3" t="s">
        <v>48</v>
      </c>
      <c r="D20" s="4" t="s">
        <v>48</v>
      </c>
      <c r="E20" s="4" t="s">
        <v>48</v>
      </c>
      <c r="F20" s="6" t="s">
        <v>47</v>
      </c>
      <c r="G20" s="6" t="s">
        <v>47</v>
      </c>
      <c r="H20" s="4" t="s">
        <v>47</v>
      </c>
      <c r="I20" s="4" t="s">
        <v>48</v>
      </c>
      <c r="J20" s="6" t="s">
        <v>47</v>
      </c>
      <c r="K20" s="6" t="s">
        <v>48</v>
      </c>
      <c r="L20" s="4" t="s">
        <v>47</v>
      </c>
      <c r="M20" s="4" t="s">
        <v>47</v>
      </c>
      <c r="N20" s="6" t="s">
        <v>47</v>
      </c>
      <c r="O20" s="6" t="s">
        <v>47</v>
      </c>
      <c r="P20" s="4" t="s">
        <v>47</v>
      </c>
      <c r="Q20" s="4" t="s">
        <v>48</v>
      </c>
      <c r="R20" s="4" t="s">
        <v>48</v>
      </c>
      <c r="S20" s="6" t="s">
        <v>47</v>
      </c>
      <c r="T20" s="4" t="s">
        <v>47</v>
      </c>
      <c r="U20" s="4" t="s">
        <v>48</v>
      </c>
      <c r="V20" s="4" t="s">
        <v>47</v>
      </c>
      <c r="W20" s="4" t="s">
        <v>47</v>
      </c>
      <c r="X20" s="6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4" t="s">
        <v>48</v>
      </c>
      <c r="AE20" s="4" t="s">
        <v>47</v>
      </c>
      <c r="AF20" s="4" t="s">
        <v>47</v>
      </c>
      <c r="AG20" s="21">
        <f t="shared" si="0"/>
        <v>19</v>
      </c>
      <c r="AH20" s="23">
        <f t="shared" si="1"/>
        <v>11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61</v>
      </c>
      <c r="C21" s="3" t="s">
        <v>47</v>
      </c>
      <c r="D21" s="6" t="s">
        <v>47</v>
      </c>
      <c r="E21" s="6" t="s">
        <v>47</v>
      </c>
      <c r="F21" s="6" t="s">
        <v>47</v>
      </c>
      <c r="G21" s="4" t="s">
        <v>47</v>
      </c>
      <c r="H21" s="4" t="s">
        <v>47</v>
      </c>
      <c r="I21" s="4" t="s">
        <v>47</v>
      </c>
      <c r="J21" s="6" t="s">
        <v>48</v>
      </c>
      <c r="K21" s="6" t="s">
        <v>48</v>
      </c>
      <c r="L21" s="6" t="s">
        <v>47</v>
      </c>
      <c r="M21" s="4" t="s">
        <v>47</v>
      </c>
      <c r="N21" s="4" t="s">
        <v>47</v>
      </c>
      <c r="O21" s="4" t="s">
        <v>47</v>
      </c>
      <c r="P21" s="4" t="s">
        <v>48</v>
      </c>
      <c r="Q21" s="4" t="s">
        <v>47</v>
      </c>
      <c r="R21" s="4" t="s">
        <v>47</v>
      </c>
      <c r="S21" s="4" t="s">
        <v>47</v>
      </c>
      <c r="T21" s="4" t="s">
        <v>47</v>
      </c>
      <c r="U21" s="4" t="s">
        <v>48</v>
      </c>
      <c r="V21" s="4" t="s">
        <v>47</v>
      </c>
      <c r="W21" s="4" t="s">
        <v>47</v>
      </c>
      <c r="X21" s="4" t="s">
        <v>47</v>
      </c>
      <c r="Y21" s="4" t="s">
        <v>47</v>
      </c>
      <c r="Z21" s="4" t="s">
        <v>48</v>
      </c>
      <c r="AA21" s="4" t="s">
        <v>48</v>
      </c>
      <c r="AB21" s="4" t="s">
        <v>47</v>
      </c>
      <c r="AC21" s="4" t="s">
        <v>47</v>
      </c>
      <c r="AD21" s="4" t="s">
        <v>47</v>
      </c>
      <c r="AE21" s="4" t="s">
        <v>47</v>
      </c>
      <c r="AF21" s="4" t="s">
        <v>48</v>
      </c>
      <c r="AG21" s="21">
        <f t="shared" si="0"/>
        <v>23</v>
      </c>
      <c r="AH21" s="23">
        <f t="shared" si="1"/>
        <v>7</v>
      </c>
      <c r="AI21" s="30">
        <f>SUM(AG21:AH21)</f>
        <v>30</v>
      </c>
    </row>
    <row r="22" spans="1:35" x14ac:dyDescent="0.25">
      <c r="A22" s="15">
        <f t="shared" si="3"/>
        <v>19</v>
      </c>
      <c r="B22" s="16" t="s">
        <v>52</v>
      </c>
      <c r="C22" s="3" t="s">
        <v>48</v>
      </c>
      <c r="D22" s="4" t="s">
        <v>48</v>
      </c>
      <c r="E22" s="4" t="s">
        <v>48</v>
      </c>
      <c r="F22" s="6" t="s">
        <v>48</v>
      </c>
      <c r="G22" s="4" t="s">
        <v>48</v>
      </c>
      <c r="H22" s="4" t="s">
        <v>48</v>
      </c>
      <c r="I22" s="4" t="s">
        <v>48</v>
      </c>
      <c r="J22" s="6" t="s">
        <v>48</v>
      </c>
      <c r="K22" s="6" t="s">
        <v>48</v>
      </c>
      <c r="L22" s="6" t="s">
        <v>48</v>
      </c>
      <c r="M22" s="6" t="s">
        <v>48</v>
      </c>
      <c r="N22" s="4" t="s">
        <v>48</v>
      </c>
      <c r="O22" s="4" t="s">
        <v>48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4" t="s">
        <v>47</v>
      </c>
      <c r="Y22" s="4" t="s">
        <v>47</v>
      </c>
      <c r="Z22" s="4" t="s">
        <v>47</v>
      </c>
      <c r="AA22" s="4" t="s">
        <v>47</v>
      </c>
      <c r="AB22" s="4" t="s">
        <v>47</v>
      </c>
      <c r="AC22" s="4" t="s">
        <v>47</v>
      </c>
      <c r="AD22" s="4" t="s">
        <v>47</v>
      </c>
      <c r="AE22" s="4" t="s">
        <v>47</v>
      </c>
      <c r="AF22" s="4" t="s">
        <v>47</v>
      </c>
      <c r="AG22" s="21">
        <f t="shared" si="0"/>
        <v>9</v>
      </c>
      <c r="AH22" s="23">
        <f t="shared" si="1"/>
        <v>21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14</v>
      </c>
      <c r="C23" s="5" t="s">
        <v>47</v>
      </c>
      <c r="D23" s="6" t="s">
        <v>47</v>
      </c>
      <c r="E23" s="6" t="s">
        <v>47</v>
      </c>
      <c r="F23" s="6" t="s">
        <v>47</v>
      </c>
      <c r="G23" s="4" t="s">
        <v>47</v>
      </c>
      <c r="H23" s="4" t="s">
        <v>47</v>
      </c>
      <c r="I23" s="4" t="s">
        <v>47</v>
      </c>
      <c r="J23" s="6" t="s">
        <v>47</v>
      </c>
      <c r="K23" s="4" t="s">
        <v>47</v>
      </c>
      <c r="L23" s="4" t="s">
        <v>47</v>
      </c>
      <c r="M23" s="4" t="s">
        <v>47</v>
      </c>
      <c r="N23" s="6" t="s">
        <v>47</v>
      </c>
      <c r="O23" s="4" t="s">
        <v>47</v>
      </c>
      <c r="P23" s="4" t="s">
        <v>47</v>
      </c>
      <c r="Q23" s="4" t="s">
        <v>47</v>
      </c>
      <c r="R23" s="4" t="s">
        <v>47</v>
      </c>
      <c r="S23" s="4" t="s">
        <v>47</v>
      </c>
      <c r="T23" s="4" t="s">
        <v>47</v>
      </c>
      <c r="U23" s="4" t="s">
        <v>47</v>
      </c>
      <c r="V23" s="6" t="s">
        <v>47</v>
      </c>
      <c r="W23" s="4" t="s">
        <v>48</v>
      </c>
      <c r="X23" s="4" t="s">
        <v>48</v>
      </c>
      <c r="Y23" s="4" t="s">
        <v>47</v>
      </c>
      <c r="Z23" s="4" t="s">
        <v>47</v>
      </c>
      <c r="AA23" s="4" t="s">
        <v>47</v>
      </c>
      <c r="AB23" s="6" t="s">
        <v>47</v>
      </c>
      <c r="AC23" s="4" t="s">
        <v>47</v>
      </c>
      <c r="AD23" s="4" t="s">
        <v>47</v>
      </c>
      <c r="AE23" s="6" t="s">
        <v>47</v>
      </c>
      <c r="AF23" s="6" t="s">
        <v>47</v>
      </c>
      <c r="AG23" s="21">
        <f t="shared" si="0"/>
        <v>28</v>
      </c>
      <c r="AH23" s="23">
        <f t="shared" si="1"/>
        <v>2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80</v>
      </c>
      <c r="C24" s="5" t="s">
        <v>47</v>
      </c>
      <c r="D24" s="4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4" t="s">
        <v>47</v>
      </c>
      <c r="K24" s="4" t="s">
        <v>47</v>
      </c>
      <c r="L24" s="4" t="s">
        <v>47</v>
      </c>
      <c r="M24" s="6" t="s">
        <v>48</v>
      </c>
      <c r="N24" s="4" t="s">
        <v>47</v>
      </c>
      <c r="O24" s="4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4" t="s">
        <v>47</v>
      </c>
      <c r="U24" s="4" t="s">
        <v>47</v>
      </c>
      <c r="V24" s="4" t="s">
        <v>47</v>
      </c>
      <c r="W24" s="4" t="s">
        <v>48</v>
      </c>
      <c r="X24" s="4" t="s">
        <v>48</v>
      </c>
      <c r="Y24" s="4" t="s">
        <v>48</v>
      </c>
      <c r="Z24" s="4" t="s">
        <v>48</v>
      </c>
      <c r="AA24" s="4" t="s">
        <v>48</v>
      </c>
      <c r="AB24" s="4" t="s">
        <v>48</v>
      </c>
      <c r="AC24" s="4" t="s">
        <v>48</v>
      </c>
      <c r="AD24" s="4" t="s">
        <v>48</v>
      </c>
      <c r="AE24" s="4" t="s">
        <v>48</v>
      </c>
      <c r="AF24" s="4" t="s">
        <v>48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79</v>
      </c>
      <c r="C25" s="5" t="s">
        <v>47</v>
      </c>
      <c r="D25" s="4" t="s">
        <v>47</v>
      </c>
      <c r="E25" s="6" t="s">
        <v>47</v>
      </c>
      <c r="F25" s="6" t="s">
        <v>47</v>
      </c>
      <c r="G25" s="4" t="s">
        <v>48</v>
      </c>
      <c r="H25" s="4" t="s">
        <v>48</v>
      </c>
      <c r="I25" s="4" t="s">
        <v>47</v>
      </c>
      <c r="J25" s="4" t="s">
        <v>47</v>
      </c>
      <c r="K25" s="4" t="s">
        <v>47</v>
      </c>
      <c r="L25" s="4" t="s">
        <v>47</v>
      </c>
      <c r="M25" s="4" t="s">
        <v>47</v>
      </c>
      <c r="N25" s="4" t="s">
        <v>48</v>
      </c>
      <c r="O25" s="4" t="s">
        <v>47</v>
      </c>
      <c r="P25" s="4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4" t="s">
        <v>47</v>
      </c>
      <c r="W25" s="4" t="s">
        <v>48</v>
      </c>
      <c r="X25" s="4" t="s">
        <v>48</v>
      </c>
      <c r="Y25" s="4" t="s">
        <v>48</v>
      </c>
      <c r="Z25" s="4" t="s">
        <v>48</v>
      </c>
      <c r="AA25" s="4" t="s">
        <v>48</v>
      </c>
      <c r="AB25" s="4" t="s">
        <v>48</v>
      </c>
      <c r="AC25" s="4" t="s">
        <v>48</v>
      </c>
      <c r="AD25" s="4" t="s">
        <v>48</v>
      </c>
      <c r="AE25" s="4" t="s">
        <v>48</v>
      </c>
      <c r="AF25" s="4" t="s">
        <v>48</v>
      </c>
      <c r="AG25" s="21">
        <f t="shared" si="0"/>
        <v>17</v>
      </c>
      <c r="AH25" s="23">
        <f t="shared" si="1"/>
        <v>13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5" t="s">
        <v>47</v>
      </c>
      <c r="D26" s="4" t="s">
        <v>47</v>
      </c>
      <c r="E26" s="6" t="s">
        <v>47</v>
      </c>
      <c r="F26" s="6" t="s">
        <v>48</v>
      </c>
      <c r="G26" s="6" t="s">
        <v>47</v>
      </c>
      <c r="H26" s="6" t="s">
        <v>47</v>
      </c>
      <c r="I26" s="4" t="s">
        <v>47</v>
      </c>
      <c r="J26" s="6" t="s">
        <v>48</v>
      </c>
      <c r="K26" s="6" t="s">
        <v>48</v>
      </c>
      <c r="L26" s="6" t="s">
        <v>47</v>
      </c>
      <c r="M26" s="4" t="s">
        <v>47</v>
      </c>
      <c r="N26" s="4" t="s">
        <v>47</v>
      </c>
      <c r="O26" s="4" t="s">
        <v>48</v>
      </c>
      <c r="P26" s="4" t="s">
        <v>47</v>
      </c>
      <c r="Q26" s="4" t="s">
        <v>47</v>
      </c>
      <c r="R26" s="4" t="s">
        <v>47</v>
      </c>
      <c r="S26" s="6" t="s">
        <v>48</v>
      </c>
      <c r="T26" s="4" t="s">
        <v>47</v>
      </c>
      <c r="U26" s="4" t="s">
        <v>47</v>
      </c>
      <c r="V26" s="4" t="s">
        <v>47</v>
      </c>
      <c r="W26" s="4" t="s">
        <v>48</v>
      </c>
      <c r="X26" s="6" t="s">
        <v>47</v>
      </c>
      <c r="Y26" s="4" t="s">
        <v>47</v>
      </c>
      <c r="Z26" s="4" t="s">
        <v>48</v>
      </c>
      <c r="AA26" s="4" t="s">
        <v>47</v>
      </c>
      <c r="AB26" s="6" t="s">
        <v>47</v>
      </c>
      <c r="AC26" s="6" t="s">
        <v>47</v>
      </c>
      <c r="AD26" s="4" t="s">
        <v>48</v>
      </c>
      <c r="AE26" s="4" t="s">
        <v>48</v>
      </c>
      <c r="AF26" s="4" t="s">
        <v>47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3" t="s">
        <v>48</v>
      </c>
      <c r="D27" s="4" t="s">
        <v>47</v>
      </c>
      <c r="E27" s="6" t="s">
        <v>47</v>
      </c>
      <c r="F27" s="6" t="s">
        <v>47</v>
      </c>
      <c r="G27" s="4" t="s">
        <v>47</v>
      </c>
      <c r="H27" s="4" t="s">
        <v>47</v>
      </c>
      <c r="I27" s="4" t="s">
        <v>47</v>
      </c>
      <c r="J27" s="4" t="s">
        <v>47</v>
      </c>
      <c r="K27" s="4" t="s">
        <v>47</v>
      </c>
      <c r="L27" s="6" t="s">
        <v>48</v>
      </c>
      <c r="M27" s="4" t="s">
        <v>47</v>
      </c>
      <c r="N27" s="6" t="s">
        <v>47</v>
      </c>
      <c r="O27" s="4" t="s">
        <v>47</v>
      </c>
      <c r="P27" s="4" t="s">
        <v>47</v>
      </c>
      <c r="Q27" s="4" t="s">
        <v>48</v>
      </c>
      <c r="R27" s="4" t="s">
        <v>47</v>
      </c>
      <c r="S27" s="4" t="s">
        <v>47</v>
      </c>
      <c r="T27" s="4" t="s">
        <v>47</v>
      </c>
      <c r="U27" s="4" t="s">
        <v>47</v>
      </c>
      <c r="V27" s="4" t="s">
        <v>47</v>
      </c>
      <c r="W27" s="4" t="s">
        <v>48</v>
      </c>
      <c r="X27" s="4" t="s">
        <v>48</v>
      </c>
      <c r="Y27" s="4" t="s">
        <v>47</v>
      </c>
      <c r="Z27" s="4" t="s">
        <v>47</v>
      </c>
      <c r="AA27" s="4" t="s">
        <v>47</v>
      </c>
      <c r="AB27" s="4" t="s">
        <v>47</v>
      </c>
      <c r="AC27" s="4" t="s">
        <v>47</v>
      </c>
      <c r="AD27" s="4" t="s">
        <v>48</v>
      </c>
      <c r="AE27" s="4" t="s">
        <v>47</v>
      </c>
      <c r="AF27" s="4" t="s">
        <v>47</v>
      </c>
      <c r="AG27" s="21">
        <f t="shared" si="0"/>
        <v>24</v>
      </c>
      <c r="AH27" s="23">
        <f t="shared" si="1"/>
        <v>6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4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47</v>
      </c>
      <c r="S28" s="4" t="s">
        <v>47</v>
      </c>
      <c r="T28" s="6" t="s">
        <v>47</v>
      </c>
      <c r="U28" s="4" t="s">
        <v>48</v>
      </c>
      <c r="V28" s="4" t="s">
        <v>48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28</v>
      </c>
      <c r="AH28" s="23">
        <f t="shared" si="1"/>
        <v>2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48</v>
      </c>
      <c r="D29" s="4" t="s">
        <v>47</v>
      </c>
      <c r="E29" s="4" t="s">
        <v>47</v>
      </c>
      <c r="F29" s="6" t="s">
        <v>47</v>
      </c>
      <c r="G29" s="6" t="s">
        <v>47</v>
      </c>
      <c r="H29" s="6" t="s">
        <v>47</v>
      </c>
      <c r="I29" s="4" t="s">
        <v>48</v>
      </c>
      <c r="J29" s="6" t="s">
        <v>48</v>
      </c>
      <c r="K29" s="4" t="s">
        <v>47</v>
      </c>
      <c r="L29" s="4" t="s">
        <v>47</v>
      </c>
      <c r="M29" s="6" t="s">
        <v>47</v>
      </c>
      <c r="N29" s="4" t="s">
        <v>47</v>
      </c>
      <c r="O29" s="4" t="s">
        <v>48</v>
      </c>
      <c r="P29" s="4" t="s">
        <v>47</v>
      </c>
      <c r="Q29" s="6" t="s">
        <v>47</v>
      </c>
      <c r="R29" s="6" t="s">
        <v>47</v>
      </c>
      <c r="S29" s="6" t="s">
        <v>48</v>
      </c>
      <c r="T29" s="4" t="s">
        <v>48</v>
      </c>
      <c r="U29" s="4" t="s">
        <v>47</v>
      </c>
      <c r="V29" s="4" t="s">
        <v>47</v>
      </c>
      <c r="W29" s="4" t="s">
        <v>47</v>
      </c>
      <c r="X29" s="4" t="s">
        <v>48</v>
      </c>
      <c r="Y29" s="4" t="s">
        <v>48</v>
      </c>
      <c r="Z29" s="6" t="s">
        <v>47</v>
      </c>
      <c r="AA29" s="4" t="s">
        <v>47</v>
      </c>
      <c r="AB29" s="6" t="s">
        <v>47</v>
      </c>
      <c r="AC29" s="4" t="s">
        <v>48</v>
      </c>
      <c r="AD29" s="4" t="s">
        <v>47</v>
      </c>
      <c r="AE29" s="4" t="s">
        <v>47</v>
      </c>
      <c r="AF29" s="4" t="s">
        <v>47</v>
      </c>
      <c r="AG29" s="21">
        <f t="shared" si="0"/>
        <v>21</v>
      </c>
      <c r="AH29" s="23">
        <f t="shared" si="1"/>
        <v>9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4" t="s">
        <v>48</v>
      </c>
      <c r="F30" s="6" t="s">
        <v>48</v>
      </c>
      <c r="G30" s="4" t="s">
        <v>47</v>
      </c>
      <c r="H30" s="6" t="s">
        <v>47</v>
      </c>
      <c r="I30" s="6" t="s">
        <v>47</v>
      </c>
      <c r="J30" s="4" t="s">
        <v>47</v>
      </c>
      <c r="K30" s="6" t="s">
        <v>47</v>
      </c>
      <c r="L30" s="6" t="s">
        <v>47</v>
      </c>
      <c r="M30" s="4" t="s">
        <v>47</v>
      </c>
      <c r="N30" s="4" t="s">
        <v>48</v>
      </c>
      <c r="O30" s="4" t="s">
        <v>47</v>
      </c>
      <c r="P30" s="4" t="s">
        <v>47</v>
      </c>
      <c r="Q30" s="4" t="s">
        <v>47</v>
      </c>
      <c r="R30" s="6" t="s">
        <v>47</v>
      </c>
      <c r="S30" s="4" t="s">
        <v>47</v>
      </c>
      <c r="T30" s="4" t="s">
        <v>47</v>
      </c>
      <c r="U30" s="6" t="s">
        <v>47</v>
      </c>
      <c r="V30" s="4" t="s">
        <v>48</v>
      </c>
      <c r="W30" s="4" t="s">
        <v>48</v>
      </c>
      <c r="X30" s="4" t="s">
        <v>48</v>
      </c>
      <c r="Y30" s="4" t="s">
        <v>48</v>
      </c>
      <c r="Z30" s="4" t="s">
        <v>48</v>
      </c>
      <c r="AA30" s="4" t="s">
        <v>48</v>
      </c>
      <c r="AB30" s="4" t="s">
        <v>48</v>
      </c>
      <c r="AC30" s="4" t="s">
        <v>48</v>
      </c>
      <c r="AD30" s="4" t="s">
        <v>48</v>
      </c>
      <c r="AE30" s="4" t="s">
        <v>48</v>
      </c>
      <c r="AF30" s="4" t="s">
        <v>48</v>
      </c>
      <c r="AG30" s="21">
        <f t="shared" si="0"/>
        <v>16</v>
      </c>
      <c r="AH30" s="23">
        <f t="shared" si="1"/>
        <v>14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4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6" t="s">
        <v>47</v>
      </c>
      <c r="K31" s="6" t="s">
        <v>48</v>
      </c>
      <c r="L31" s="4" t="s">
        <v>47</v>
      </c>
      <c r="M31" s="6" t="s">
        <v>47</v>
      </c>
      <c r="N31" s="6" t="s">
        <v>47</v>
      </c>
      <c r="O31" s="4" t="s">
        <v>47</v>
      </c>
      <c r="P31" s="6" t="s">
        <v>47</v>
      </c>
      <c r="Q31" s="4" t="s">
        <v>47</v>
      </c>
      <c r="R31" s="6" t="s">
        <v>47</v>
      </c>
      <c r="S31" s="6" t="s">
        <v>48</v>
      </c>
      <c r="T31" s="4" t="s">
        <v>47</v>
      </c>
      <c r="U31" s="4" t="s">
        <v>47</v>
      </c>
      <c r="V31" s="4" t="s">
        <v>47</v>
      </c>
      <c r="W31" s="4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4" t="s">
        <v>48</v>
      </c>
      <c r="AE31" s="4" t="s">
        <v>48</v>
      </c>
      <c r="AF31" s="4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82</v>
      </c>
      <c r="C32" s="3"/>
      <c r="D32" s="4"/>
      <c r="E32" s="4"/>
      <c r="F32" s="6"/>
      <c r="G32" s="4"/>
      <c r="H32" s="4"/>
      <c r="I32" s="4"/>
      <c r="J32" s="6"/>
      <c r="K32" s="6"/>
      <c r="L32" s="4"/>
      <c r="M32" s="6"/>
      <c r="N32" s="4"/>
      <c r="O32" s="4"/>
      <c r="P32" s="4"/>
      <c r="Q32" s="4" t="s">
        <v>47</v>
      </c>
      <c r="R32" s="4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48</v>
      </c>
      <c r="X32" s="4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4" t="s">
        <v>48</v>
      </c>
      <c r="AE32" s="4" t="s">
        <v>48</v>
      </c>
      <c r="AF32" s="4" t="s">
        <v>47</v>
      </c>
      <c r="AG32" s="21">
        <f t="shared" ref="AG32" si="4">COUNTIF(C32:AF32,"+")</f>
        <v>12</v>
      </c>
      <c r="AH32" s="23">
        <f t="shared" ref="AH32" si="5">COUNTIF(C32:AF32,"-")</f>
        <v>4</v>
      </c>
      <c r="AI32" s="30">
        <f t="shared" ref="AI32" si="6">SUM(AG32:AH32)</f>
        <v>16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6" t="s">
        <v>48</v>
      </c>
      <c r="L33" s="6" t="s">
        <v>48</v>
      </c>
      <c r="M33" s="6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48</v>
      </c>
      <c r="D34" s="4" t="s">
        <v>48</v>
      </c>
      <c r="E34" s="6" t="s">
        <v>47</v>
      </c>
      <c r="F34" s="6" t="s">
        <v>47</v>
      </c>
      <c r="G34" s="4" t="s">
        <v>47</v>
      </c>
      <c r="H34" s="4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47</v>
      </c>
      <c r="P34" s="4" t="s">
        <v>47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48</v>
      </c>
      <c r="V34" s="4" t="s">
        <v>47</v>
      </c>
      <c r="W34" s="4" t="s">
        <v>48</v>
      </c>
      <c r="X34" s="4" t="s">
        <v>48</v>
      </c>
      <c r="Y34" s="4" t="s">
        <v>47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4" t="s">
        <v>48</v>
      </c>
      <c r="AF34" s="4" t="s">
        <v>48</v>
      </c>
      <c r="AG34" s="21">
        <f t="shared" si="0"/>
        <v>18</v>
      </c>
      <c r="AH34" s="23">
        <f t="shared" si="1"/>
        <v>12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3" t="s">
        <v>48</v>
      </c>
      <c r="D35" s="6" t="s">
        <v>47</v>
      </c>
      <c r="E35" s="6" t="s">
        <v>47</v>
      </c>
      <c r="F35" s="6" t="s">
        <v>47</v>
      </c>
      <c r="G35" s="4" t="s">
        <v>47</v>
      </c>
      <c r="H35" s="4" t="s">
        <v>47</v>
      </c>
      <c r="I35" s="4" t="s">
        <v>47</v>
      </c>
      <c r="J35" s="6" t="s">
        <v>47</v>
      </c>
      <c r="K35" s="4" t="s">
        <v>47</v>
      </c>
      <c r="L35" s="6" t="s">
        <v>47</v>
      </c>
      <c r="M35" s="6" t="s">
        <v>47</v>
      </c>
      <c r="N35" s="4" t="s">
        <v>47</v>
      </c>
      <c r="O35" s="6" t="s">
        <v>47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4" t="s">
        <v>47</v>
      </c>
      <c r="Z35" s="4" t="s">
        <v>47</v>
      </c>
      <c r="AA35" s="6" t="s">
        <v>47</v>
      </c>
      <c r="AB35" s="4" t="s">
        <v>48</v>
      </c>
      <c r="AC35" s="4" t="s">
        <v>48</v>
      </c>
      <c r="AD35" s="4" t="s">
        <v>47</v>
      </c>
      <c r="AE35" s="4" t="s">
        <v>47</v>
      </c>
      <c r="AF35" s="4" t="s">
        <v>47</v>
      </c>
      <c r="AG35" s="21">
        <f t="shared" si="0"/>
        <v>26</v>
      </c>
      <c r="AH35" s="23">
        <f t="shared" si="1"/>
        <v>4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48</v>
      </c>
      <c r="D36" s="4" t="s">
        <v>48</v>
      </c>
      <c r="E36" s="4" t="s">
        <v>48</v>
      </c>
      <c r="F36" s="6" t="s">
        <v>48</v>
      </c>
      <c r="G36" s="4" t="s">
        <v>48</v>
      </c>
      <c r="H36" s="4" t="s">
        <v>48</v>
      </c>
      <c r="I36" s="4" t="s">
        <v>48</v>
      </c>
      <c r="J36" s="6" t="s">
        <v>48</v>
      </c>
      <c r="K36" s="6" t="s">
        <v>48</v>
      </c>
      <c r="L36" s="6" t="s">
        <v>48</v>
      </c>
      <c r="M36" s="6" t="s">
        <v>48</v>
      </c>
      <c r="N36" s="4" t="s">
        <v>48</v>
      </c>
      <c r="O36" s="4" t="s">
        <v>48</v>
      </c>
      <c r="P36" s="4" t="s">
        <v>48</v>
      </c>
      <c r="Q36" s="4" t="s">
        <v>48</v>
      </c>
      <c r="R36" s="4" t="s">
        <v>48</v>
      </c>
      <c r="S36" s="4" t="s">
        <v>47</v>
      </c>
      <c r="T36" s="4" t="s">
        <v>47</v>
      </c>
      <c r="U36" s="4" t="s">
        <v>47</v>
      </c>
      <c r="V36" s="4" t="s">
        <v>47</v>
      </c>
      <c r="W36" s="4" t="s">
        <v>48</v>
      </c>
      <c r="X36" s="4" t="s">
        <v>47</v>
      </c>
      <c r="Y36" s="4" t="s">
        <v>47</v>
      </c>
      <c r="Z36" s="4" t="s">
        <v>47</v>
      </c>
      <c r="AA36" s="4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21">
        <f t="shared" si="0"/>
        <v>13</v>
      </c>
      <c r="AH36" s="23">
        <f t="shared" si="1"/>
        <v>17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23</v>
      </c>
      <c r="C37" s="3"/>
      <c r="D37" s="4"/>
      <c r="E37" s="4"/>
      <c r="F37" s="6"/>
      <c r="G37" s="4"/>
      <c r="H37" s="4" t="s">
        <v>47</v>
      </c>
      <c r="I37" s="4" t="s">
        <v>48</v>
      </c>
      <c r="J37" s="4" t="s">
        <v>48</v>
      </c>
      <c r="K37" s="4" t="s">
        <v>48</v>
      </c>
      <c r="L37" s="4" t="s">
        <v>48</v>
      </c>
      <c r="M37" s="6" t="s">
        <v>48</v>
      </c>
      <c r="N37" s="4" t="s">
        <v>48</v>
      </c>
      <c r="O37" s="4" t="s">
        <v>48</v>
      </c>
      <c r="P37" s="4" t="s">
        <v>48</v>
      </c>
      <c r="Q37" s="4" t="s">
        <v>48</v>
      </c>
      <c r="R37" s="4" t="s">
        <v>47</v>
      </c>
      <c r="S37" s="6" t="s">
        <v>48</v>
      </c>
      <c r="T37" s="4" t="s">
        <v>47</v>
      </c>
      <c r="U37" s="4" t="s">
        <v>48</v>
      </c>
      <c r="V37" s="4" t="s">
        <v>47</v>
      </c>
      <c r="W37" s="4" t="s">
        <v>47</v>
      </c>
      <c r="X37" s="4" t="s">
        <v>48</v>
      </c>
      <c r="Y37" s="4" t="s">
        <v>47</v>
      </c>
      <c r="Z37" s="4" t="s">
        <v>47</v>
      </c>
      <c r="AA37" s="4" t="s">
        <v>47</v>
      </c>
      <c r="AB37" s="4" t="s">
        <v>47</v>
      </c>
      <c r="AC37" s="4" t="s">
        <v>48</v>
      </c>
      <c r="AD37" s="4" t="s">
        <v>48</v>
      </c>
      <c r="AE37" s="4" t="s">
        <v>48</v>
      </c>
      <c r="AF37" s="4" t="s">
        <v>47</v>
      </c>
      <c r="AG37" s="21">
        <f t="shared" ref="AG37" si="7">COUNTIF(C37:AF37,"+")</f>
        <v>10</v>
      </c>
      <c r="AH37" s="23">
        <f t="shared" ref="AH37" si="8">COUNTIF(C37:AF37,"-")</f>
        <v>15</v>
      </c>
      <c r="AI37" s="30">
        <f>SUM(AG37:AH37)</f>
        <v>25</v>
      </c>
    </row>
    <row r="38" spans="1:35" x14ac:dyDescent="0.25">
      <c r="A38" s="15">
        <f t="shared" si="3"/>
        <v>35</v>
      </c>
      <c r="B38" s="16" t="s">
        <v>41</v>
      </c>
      <c r="C38" s="5" t="s">
        <v>47</v>
      </c>
      <c r="D38" s="4" t="s">
        <v>47</v>
      </c>
      <c r="E38" s="4" t="s">
        <v>47</v>
      </c>
      <c r="F38" s="6" t="s">
        <v>47</v>
      </c>
      <c r="G38" s="4" t="s">
        <v>47</v>
      </c>
      <c r="H38" s="4" t="s">
        <v>47</v>
      </c>
      <c r="I38" s="4" t="s">
        <v>48</v>
      </c>
      <c r="J38" s="6" t="s">
        <v>48</v>
      </c>
      <c r="K38" s="4" t="s">
        <v>47</v>
      </c>
      <c r="L38" s="4" t="s">
        <v>47</v>
      </c>
      <c r="M38" s="4" t="s">
        <v>47</v>
      </c>
      <c r="N38" s="4" t="s">
        <v>47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 t="s">
        <v>47</v>
      </c>
      <c r="X38" s="6" t="s">
        <v>47</v>
      </c>
      <c r="Y38" s="4" t="s">
        <v>48</v>
      </c>
      <c r="Z38" s="4" t="s">
        <v>48</v>
      </c>
      <c r="AA38" s="4" t="s">
        <v>47</v>
      </c>
      <c r="AB38" s="4" t="s">
        <v>47</v>
      </c>
      <c r="AC38" s="4" t="s">
        <v>47</v>
      </c>
      <c r="AD38" s="6" t="s">
        <v>47</v>
      </c>
      <c r="AE38" s="4" t="s">
        <v>47</v>
      </c>
      <c r="AF38" s="4" t="s">
        <v>47</v>
      </c>
      <c r="AG38" s="21">
        <f t="shared" ref="AG38:AG63" si="9">COUNTIF(C38:AF38,"+")</f>
        <v>26</v>
      </c>
      <c r="AH38" s="23">
        <f t="shared" ref="AH38:AH63" si="10">COUNTIF(C38:AF38,"-")</f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4" t="s">
        <v>47</v>
      </c>
      <c r="H39" s="4" t="s">
        <v>47</v>
      </c>
      <c r="I39" s="4" t="s">
        <v>47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4" t="s">
        <v>47</v>
      </c>
      <c r="S39" s="4" t="s">
        <v>47</v>
      </c>
      <c r="T39" s="6" t="s">
        <v>47</v>
      </c>
      <c r="U39" s="4" t="s">
        <v>47</v>
      </c>
      <c r="V39" s="4" t="s">
        <v>47</v>
      </c>
      <c r="W39" s="4" t="s">
        <v>47</v>
      </c>
      <c r="X39" s="4" t="s">
        <v>48</v>
      </c>
      <c r="Y39" s="4" t="s">
        <v>48</v>
      </c>
      <c r="Z39" s="4" t="s">
        <v>47</v>
      </c>
      <c r="AA39" s="4" t="s">
        <v>47</v>
      </c>
      <c r="AB39" s="6" t="s">
        <v>47</v>
      </c>
      <c r="AC39" s="6" t="s">
        <v>47</v>
      </c>
      <c r="AD39" s="4" t="s">
        <v>47</v>
      </c>
      <c r="AE39" s="6" t="s">
        <v>47</v>
      </c>
      <c r="AF39" s="6" t="s">
        <v>47</v>
      </c>
      <c r="AG39" s="21">
        <f t="shared" si="9"/>
        <v>28</v>
      </c>
      <c r="AH39" s="23">
        <f t="shared" si="10"/>
        <v>2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83</v>
      </c>
      <c r="C40" s="5"/>
      <c r="D40" s="6"/>
      <c r="E40" s="6"/>
      <c r="F40" s="6"/>
      <c r="G40" s="4"/>
      <c r="H40" s="4"/>
      <c r="I40" s="4"/>
      <c r="J40" s="6"/>
      <c r="K40" s="4"/>
      <c r="L40" s="6"/>
      <c r="M40" s="4"/>
      <c r="N40" s="6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 t="s">
        <v>47</v>
      </c>
      <c r="AA40" s="4" t="s">
        <v>47</v>
      </c>
      <c r="AB40" s="4" t="s">
        <v>47</v>
      </c>
      <c r="AC40" s="4" t="s">
        <v>47</v>
      </c>
      <c r="AD40" s="4" t="s">
        <v>48</v>
      </c>
      <c r="AE40" s="4" t="s">
        <v>48</v>
      </c>
      <c r="AF40" s="4" t="s">
        <v>47</v>
      </c>
      <c r="AG40" s="21">
        <f t="shared" ref="AG40:AG41" si="11">COUNTIF(C40:AF40,"+")</f>
        <v>5</v>
      </c>
      <c r="AH40" s="23">
        <f t="shared" ref="AH40:AH41" si="12">COUNTIF(C40:AF40,"-")</f>
        <v>2</v>
      </c>
      <c r="AI40" s="30">
        <f t="shared" ref="AI40:AI41" si="13">SUM(AG40:AH40)</f>
        <v>7</v>
      </c>
    </row>
    <row r="41" spans="1:35" x14ac:dyDescent="0.25">
      <c r="A41" s="15">
        <f t="shared" si="3"/>
        <v>38</v>
      </c>
      <c r="B41" s="16" t="s">
        <v>84</v>
      </c>
      <c r="C41" s="5"/>
      <c r="D41" s="6"/>
      <c r="E41" s="6"/>
      <c r="F41" s="6"/>
      <c r="G41" s="4"/>
      <c r="H41" s="4"/>
      <c r="I41" s="4"/>
      <c r="J41" s="6"/>
      <c r="K41" s="4"/>
      <c r="L41" s="6"/>
      <c r="M41" s="4"/>
      <c r="N41" s="6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 t="s">
        <v>47</v>
      </c>
      <c r="AA41" s="4" t="s">
        <v>47</v>
      </c>
      <c r="AB41" s="4" t="s">
        <v>47</v>
      </c>
      <c r="AC41" s="4" t="s">
        <v>47</v>
      </c>
      <c r="AD41" s="4" t="s">
        <v>47</v>
      </c>
      <c r="AE41" s="4" t="s">
        <v>47</v>
      </c>
      <c r="AF41" s="4" t="s">
        <v>47</v>
      </c>
      <c r="AG41" s="21">
        <f t="shared" si="11"/>
        <v>7</v>
      </c>
      <c r="AH41" s="23">
        <f t="shared" si="12"/>
        <v>0</v>
      </c>
      <c r="AI41" s="30">
        <f t="shared" si="13"/>
        <v>7</v>
      </c>
    </row>
    <row r="42" spans="1:35" x14ac:dyDescent="0.25">
      <c r="A42" s="15">
        <f t="shared" si="3"/>
        <v>39</v>
      </c>
      <c r="B42" s="16" t="s">
        <v>81</v>
      </c>
      <c r="C42" s="5" t="s">
        <v>47</v>
      </c>
      <c r="D42" s="6" t="s">
        <v>47</v>
      </c>
      <c r="E42" s="6" t="s">
        <v>47</v>
      </c>
      <c r="F42" s="6" t="s">
        <v>48</v>
      </c>
      <c r="G42" s="4" t="s">
        <v>48</v>
      </c>
      <c r="H42" s="4" t="s">
        <v>47</v>
      </c>
      <c r="I42" s="4" t="s">
        <v>47</v>
      </c>
      <c r="J42" s="6" t="s">
        <v>47</v>
      </c>
      <c r="K42" s="4" t="s">
        <v>47</v>
      </c>
      <c r="L42" s="6" t="s">
        <v>47</v>
      </c>
      <c r="M42" s="4" t="s">
        <v>47</v>
      </c>
      <c r="N42" s="6" t="s">
        <v>47</v>
      </c>
      <c r="O42" s="4" t="s">
        <v>47</v>
      </c>
      <c r="P42" s="4" t="s">
        <v>48</v>
      </c>
      <c r="Q42" s="4" t="s">
        <v>47</v>
      </c>
      <c r="R42" s="4" t="s">
        <v>47</v>
      </c>
      <c r="S42" s="4" t="s">
        <v>47</v>
      </c>
      <c r="T42" s="4" t="s">
        <v>47</v>
      </c>
      <c r="U42" s="4" t="s">
        <v>47</v>
      </c>
      <c r="V42" s="4" t="s">
        <v>48</v>
      </c>
      <c r="W42" s="4" t="s">
        <v>48</v>
      </c>
      <c r="X42" s="4" t="s">
        <v>48</v>
      </c>
      <c r="Y42" s="4" t="s">
        <v>48</v>
      </c>
      <c r="Z42" s="4" t="s">
        <v>48</v>
      </c>
      <c r="AA42" s="4" t="s">
        <v>48</v>
      </c>
      <c r="AB42" s="4" t="s">
        <v>48</v>
      </c>
      <c r="AC42" s="4" t="s">
        <v>48</v>
      </c>
      <c r="AD42" s="4" t="s">
        <v>48</v>
      </c>
      <c r="AE42" s="4" t="s">
        <v>48</v>
      </c>
      <c r="AF42" s="4" t="s">
        <v>48</v>
      </c>
      <c r="AG42" s="21">
        <f t="shared" si="9"/>
        <v>16</v>
      </c>
      <c r="AH42" s="23">
        <f t="shared" si="10"/>
        <v>14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24</v>
      </c>
      <c r="C43" s="5" t="s">
        <v>47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4" t="s">
        <v>47</v>
      </c>
      <c r="N43" s="6" t="s">
        <v>47</v>
      </c>
      <c r="O43" s="4" t="s">
        <v>47</v>
      </c>
      <c r="P43" s="4" t="s">
        <v>47</v>
      </c>
      <c r="Q43" s="4" t="s">
        <v>47</v>
      </c>
      <c r="R43" s="4" t="s">
        <v>47</v>
      </c>
      <c r="S43" s="4" t="s">
        <v>47</v>
      </c>
      <c r="T43" s="4" t="s">
        <v>47</v>
      </c>
      <c r="U43" s="4" t="s">
        <v>47</v>
      </c>
      <c r="V43" s="4" t="s">
        <v>47</v>
      </c>
      <c r="W43" s="4" t="s">
        <v>48</v>
      </c>
      <c r="X43" s="6" t="s">
        <v>47</v>
      </c>
      <c r="Y43" s="4" t="s">
        <v>47</v>
      </c>
      <c r="Z43" s="4" t="s">
        <v>47</v>
      </c>
      <c r="AA43" s="4" t="s">
        <v>47</v>
      </c>
      <c r="AB43" s="6" t="s">
        <v>47</v>
      </c>
      <c r="AC43" s="4" t="s">
        <v>47</v>
      </c>
      <c r="AD43" s="4" t="s">
        <v>48</v>
      </c>
      <c r="AE43" s="4" t="s">
        <v>48</v>
      </c>
      <c r="AF43" s="4" t="s">
        <v>47</v>
      </c>
      <c r="AG43" s="21">
        <f t="shared" si="9"/>
        <v>21</v>
      </c>
      <c r="AH43" s="23">
        <f t="shared" si="10"/>
        <v>9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25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4" t="s">
        <v>47</v>
      </c>
      <c r="I44" s="6" t="s">
        <v>47</v>
      </c>
      <c r="J44" s="6" t="s">
        <v>47</v>
      </c>
      <c r="K44" s="4" t="s">
        <v>47</v>
      </c>
      <c r="L44" s="4" t="s">
        <v>47</v>
      </c>
      <c r="M44" s="4" t="s">
        <v>47</v>
      </c>
      <c r="N44" s="6" t="s">
        <v>47</v>
      </c>
      <c r="O44" s="4" t="s">
        <v>47</v>
      </c>
      <c r="P44" s="4" t="s">
        <v>48</v>
      </c>
      <c r="Q44" s="4" t="s">
        <v>48</v>
      </c>
      <c r="R44" s="4" t="s">
        <v>47</v>
      </c>
      <c r="S44" s="6" t="s">
        <v>47</v>
      </c>
      <c r="T44" s="4" t="s">
        <v>47</v>
      </c>
      <c r="U44" s="4" t="s">
        <v>47</v>
      </c>
      <c r="V44" s="4" t="s">
        <v>47</v>
      </c>
      <c r="W44" s="4" t="s">
        <v>47</v>
      </c>
      <c r="X44" s="6" t="s">
        <v>47</v>
      </c>
      <c r="Y44" s="4" t="s">
        <v>47</v>
      </c>
      <c r="Z44" s="4" t="s">
        <v>47</v>
      </c>
      <c r="AA44" s="4" t="s">
        <v>47</v>
      </c>
      <c r="AB44" s="4" t="s">
        <v>47</v>
      </c>
      <c r="AC44" s="4" t="s">
        <v>47</v>
      </c>
      <c r="AD44" s="4" t="s">
        <v>47</v>
      </c>
      <c r="AE44" s="6" t="s">
        <v>47</v>
      </c>
      <c r="AF44" s="6" t="s">
        <v>47</v>
      </c>
      <c r="AG44" s="21">
        <f t="shared" si="9"/>
        <v>27</v>
      </c>
      <c r="AH44" s="23">
        <f t="shared" si="10"/>
        <v>3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26</v>
      </c>
      <c r="C45" s="3" t="s">
        <v>47</v>
      </c>
      <c r="D45" s="4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48</v>
      </c>
      <c r="J45" s="6" t="s">
        <v>48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4" t="s">
        <v>48</v>
      </c>
      <c r="R45" s="4" t="s">
        <v>47</v>
      </c>
      <c r="S45" s="6" t="s">
        <v>48</v>
      </c>
      <c r="T45" s="4" t="s">
        <v>47</v>
      </c>
      <c r="U45" s="4" t="s">
        <v>47</v>
      </c>
      <c r="V45" s="4" t="s">
        <v>47</v>
      </c>
      <c r="W45" s="4" t="s">
        <v>47</v>
      </c>
      <c r="X45" s="4" t="s">
        <v>48</v>
      </c>
      <c r="Y45" s="4" t="s">
        <v>47</v>
      </c>
      <c r="Z45" s="4" t="s">
        <v>47</v>
      </c>
      <c r="AA45" s="4" t="s">
        <v>47</v>
      </c>
      <c r="AB45" s="4" t="s">
        <v>47</v>
      </c>
      <c r="AC45" s="4" t="s">
        <v>47</v>
      </c>
      <c r="AD45" s="4" t="s">
        <v>47</v>
      </c>
      <c r="AE45" s="4" t="s">
        <v>47</v>
      </c>
      <c r="AF45" s="4" t="s">
        <v>47</v>
      </c>
      <c r="AG45" s="21">
        <f t="shared" si="9"/>
        <v>25</v>
      </c>
      <c r="AH45" s="23">
        <f t="shared" si="10"/>
        <v>5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47</v>
      </c>
      <c r="I46" s="4" t="s">
        <v>48</v>
      </c>
      <c r="J46" s="6" t="s">
        <v>48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48</v>
      </c>
      <c r="S46" s="6" t="s">
        <v>48</v>
      </c>
      <c r="T46" s="4" t="s">
        <v>48</v>
      </c>
      <c r="U46" s="4" t="s">
        <v>48</v>
      </c>
      <c r="V46" s="4" t="s">
        <v>48</v>
      </c>
      <c r="W46" s="4" t="s">
        <v>48</v>
      </c>
      <c r="X46" s="4" t="s">
        <v>48</v>
      </c>
      <c r="Y46" s="4" t="s">
        <v>48</v>
      </c>
      <c r="Z46" s="4" t="s">
        <v>48</v>
      </c>
      <c r="AA46" s="4" t="s">
        <v>48</v>
      </c>
      <c r="AB46" s="4" t="s">
        <v>48</v>
      </c>
      <c r="AC46" s="4" t="s">
        <v>48</v>
      </c>
      <c r="AD46" s="4" t="s">
        <v>48</v>
      </c>
      <c r="AE46" s="4" t="s">
        <v>48</v>
      </c>
      <c r="AF46" s="4" t="s">
        <v>48</v>
      </c>
      <c r="AG46" s="21">
        <f t="shared" si="9"/>
        <v>12</v>
      </c>
      <c r="AH46" s="23">
        <f t="shared" si="10"/>
        <v>18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77</v>
      </c>
      <c r="C47" s="3" t="s">
        <v>48</v>
      </c>
      <c r="D47" s="4" t="s">
        <v>47</v>
      </c>
      <c r="E47" s="4" t="s">
        <v>47</v>
      </c>
      <c r="F47" s="6" t="s">
        <v>47</v>
      </c>
      <c r="G47" s="4" t="s">
        <v>47</v>
      </c>
      <c r="H47" s="4" t="s">
        <v>47</v>
      </c>
      <c r="I47" s="4" t="s">
        <v>47</v>
      </c>
      <c r="J47" s="4" t="s">
        <v>47</v>
      </c>
      <c r="K47" s="4" t="s">
        <v>47</v>
      </c>
      <c r="L47" s="4" t="s">
        <v>47</v>
      </c>
      <c r="M47" s="4" t="s">
        <v>47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6" t="s">
        <v>48</v>
      </c>
      <c r="T47" s="4" t="s">
        <v>48</v>
      </c>
      <c r="U47" s="4" t="s">
        <v>48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47</v>
      </c>
      <c r="AC47" s="4" t="s">
        <v>47</v>
      </c>
      <c r="AD47" s="4" t="s">
        <v>48</v>
      </c>
      <c r="AE47" s="4" t="s">
        <v>48</v>
      </c>
      <c r="AF47" s="4" t="s">
        <v>47</v>
      </c>
      <c r="AG47" s="21">
        <f t="shared" si="9"/>
        <v>19</v>
      </c>
      <c r="AH47" s="23">
        <f t="shared" si="10"/>
        <v>11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31</v>
      </c>
      <c r="C48" s="3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6" t="s">
        <v>48</v>
      </c>
      <c r="L48" s="6" t="s">
        <v>48</v>
      </c>
      <c r="M48" s="6" t="s">
        <v>48</v>
      </c>
      <c r="N48" s="4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48</v>
      </c>
      <c r="U48" s="4" t="s">
        <v>48</v>
      </c>
      <c r="V48" s="4" t="s">
        <v>48</v>
      </c>
      <c r="W48" s="4" t="s">
        <v>48</v>
      </c>
      <c r="X48" s="4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4" t="s">
        <v>48</v>
      </c>
      <c r="AF48" s="4" t="s">
        <v>48</v>
      </c>
      <c r="AG48" s="21">
        <f t="shared" si="9"/>
        <v>0</v>
      </c>
      <c r="AH48" s="23">
        <f t="shared" si="10"/>
        <v>30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66</v>
      </c>
      <c r="C49" s="3" t="s">
        <v>48</v>
      </c>
      <c r="D49" s="4" t="s">
        <v>48</v>
      </c>
      <c r="E49" s="4" t="s">
        <v>48</v>
      </c>
      <c r="F49" s="6" t="s">
        <v>48</v>
      </c>
      <c r="G49" s="4" t="s">
        <v>48</v>
      </c>
      <c r="H49" s="4" t="s">
        <v>48</v>
      </c>
      <c r="I49" s="4" t="s">
        <v>48</v>
      </c>
      <c r="J49" s="6" t="s">
        <v>48</v>
      </c>
      <c r="K49" s="6" t="s">
        <v>48</v>
      </c>
      <c r="L49" s="6" t="s">
        <v>48</v>
      </c>
      <c r="M49" s="6" t="s">
        <v>48</v>
      </c>
      <c r="N49" s="4" t="s">
        <v>48</v>
      </c>
      <c r="O49" s="4" t="s">
        <v>48</v>
      </c>
      <c r="P49" s="4" t="s">
        <v>47</v>
      </c>
      <c r="Q49" s="4" t="s">
        <v>48</v>
      </c>
      <c r="R49" s="4" t="s">
        <v>48</v>
      </c>
      <c r="S49" s="6" t="s">
        <v>48</v>
      </c>
      <c r="T49" s="4" t="s">
        <v>48</v>
      </c>
      <c r="U49" s="4" t="s">
        <v>48</v>
      </c>
      <c r="V49" s="4" t="s">
        <v>47</v>
      </c>
      <c r="W49" s="4" t="s">
        <v>47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47</v>
      </c>
      <c r="AE49" s="4" t="s">
        <v>48</v>
      </c>
      <c r="AF49" s="4" t="s">
        <v>48</v>
      </c>
      <c r="AG49" s="21">
        <f t="shared" si="9"/>
        <v>4</v>
      </c>
      <c r="AH49" s="23">
        <f t="shared" si="10"/>
        <v>26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78</v>
      </c>
      <c r="C50" s="5" t="s">
        <v>47</v>
      </c>
      <c r="D50" s="4" t="s">
        <v>48</v>
      </c>
      <c r="E50" s="4" t="s">
        <v>48</v>
      </c>
      <c r="F50" s="6" t="s">
        <v>47</v>
      </c>
      <c r="G50" s="4" t="s">
        <v>47</v>
      </c>
      <c r="H50" s="4" t="s">
        <v>47</v>
      </c>
      <c r="I50" s="4" t="s">
        <v>47</v>
      </c>
      <c r="J50" s="4" t="s">
        <v>47</v>
      </c>
      <c r="K50" s="4" t="s">
        <v>47</v>
      </c>
      <c r="L50" s="4" t="s">
        <v>47</v>
      </c>
      <c r="M50" s="6" t="s">
        <v>48</v>
      </c>
      <c r="N50" s="4" t="s">
        <v>48</v>
      </c>
      <c r="O50" s="4" t="s">
        <v>47</v>
      </c>
      <c r="P50" s="4" t="s">
        <v>47</v>
      </c>
      <c r="Q50" s="4" t="s">
        <v>47</v>
      </c>
      <c r="R50" s="4" t="s">
        <v>47</v>
      </c>
      <c r="S50" s="6" t="s">
        <v>48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47</v>
      </c>
      <c r="Y50" s="4" t="s">
        <v>47</v>
      </c>
      <c r="Z50" s="4" t="s">
        <v>47</v>
      </c>
      <c r="AA50" s="4" t="s">
        <v>47</v>
      </c>
      <c r="AB50" s="6" t="s">
        <v>47</v>
      </c>
      <c r="AC50" s="4" t="s">
        <v>47</v>
      </c>
      <c r="AD50" s="4" t="s">
        <v>47</v>
      </c>
      <c r="AE50" s="4" t="s">
        <v>48</v>
      </c>
      <c r="AF50" s="4" t="s">
        <v>48</v>
      </c>
      <c r="AG50" s="21">
        <f t="shared" si="9"/>
        <v>23</v>
      </c>
      <c r="AH50" s="23">
        <f t="shared" si="10"/>
        <v>7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75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48</v>
      </c>
      <c r="J51" s="6" t="s">
        <v>48</v>
      </c>
      <c r="K51" s="4" t="s">
        <v>47</v>
      </c>
      <c r="L51" s="4" t="s">
        <v>47</v>
      </c>
      <c r="M51" s="4" t="s">
        <v>47</v>
      </c>
      <c r="N51" s="6" t="s">
        <v>47</v>
      </c>
      <c r="O51" s="4" t="s">
        <v>47</v>
      </c>
      <c r="P51" s="4" t="s">
        <v>47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 t="s">
        <v>48</v>
      </c>
      <c r="X51" s="4" t="s">
        <v>48</v>
      </c>
      <c r="Y51" s="4" t="s">
        <v>47</v>
      </c>
      <c r="Z51" s="4" t="s">
        <v>47</v>
      </c>
      <c r="AA51" s="4" t="s">
        <v>47</v>
      </c>
      <c r="AB51" s="4" t="s">
        <v>47</v>
      </c>
      <c r="AC51" s="6" t="s">
        <v>47</v>
      </c>
      <c r="AD51" s="4" t="s">
        <v>47</v>
      </c>
      <c r="AE51" s="4" t="s">
        <v>47</v>
      </c>
      <c r="AF51" s="4" t="s">
        <v>47</v>
      </c>
      <c r="AG51" s="21">
        <f t="shared" si="9"/>
        <v>26</v>
      </c>
      <c r="AH51" s="23">
        <f t="shared" si="10"/>
        <v>4</v>
      </c>
      <c r="AI51" s="30">
        <f t="shared" si="2"/>
        <v>30</v>
      </c>
    </row>
    <row r="52" spans="1:35" x14ac:dyDescent="0.25">
      <c r="A52" s="15">
        <f t="shared" si="3"/>
        <v>49</v>
      </c>
      <c r="B52" s="16" t="s">
        <v>32</v>
      </c>
      <c r="C52" s="3" t="s">
        <v>48</v>
      </c>
      <c r="D52" s="6" t="s">
        <v>47</v>
      </c>
      <c r="E52" s="6" t="s">
        <v>47</v>
      </c>
      <c r="F52" s="6" t="s">
        <v>47</v>
      </c>
      <c r="G52" s="4" t="s">
        <v>47</v>
      </c>
      <c r="H52" s="4" t="s">
        <v>47</v>
      </c>
      <c r="I52" s="4" t="s">
        <v>48</v>
      </c>
      <c r="J52" s="6" t="s">
        <v>48</v>
      </c>
      <c r="K52" s="4" t="s">
        <v>47</v>
      </c>
      <c r="L52" s="4" t="s">
        <v>47</v>
      </c>
      <c r="M52" s="4" t="s">
        <v>47</v>
      </c>
      <c r="N52" s="6" t="s">
        <v>47</v>
      </c>
      <c r="O52" s="4" t="s">
        <v>47</v>
      </c>
      <c r="P52" s="4" t="s">
        <v>48</v>
      </c>
      <c r="Q52" s="4" t="s">
        <v>48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48</v>
      </c>
      <c r="X52" s="4" t="s">
        <v>48</v>
      </c>
      <c r="Y52" s="4" t="s">
        <v>47</v>
      </c>
      <c r="Z52" s="4" t="s">
        <v>47</v>
      </c>
      <c r="AA52" s="4" t="s">
        <v>47</v>
      </c>
      <c r="AB52" s="4" t="s">
        <v>47</v>
      </c>
      <c r="AC52" s="4" t="s">
        <v>47</v>
      </c>
      <c r="AD52" s="4" t="s">
        <v>47</v>
      </c>
      <c r="AE52" s="4" t="s">
        <v>48</v>
      </c>
      <c r="AF52" s="4" t="s">
        <v>48</v>
      </c>
      <c r="AG52" s="21">
        <f t="shared" si="9"/>
        <v>21</v>
      </c>
      <c r="AH52" s="23">
        <f t="shared" si="10"/>
        <v>9</v>
      </c>
      <c r="AI52" s="30">
        <f t="shared" si="2"/>
        <v>30</v>
      </c>
    </row>
    <row r="53" spans="1:35" x14ac:dyDescent="0.25">
      <c r="A53" s="15">
        <f t="shared" si="3"/>
        <v>50</v>
      </c>
      <c r="B53" s="16" t="s">
        <v>33</v>
      </c>
      <c r="C53" s="3" t="s">
        <v>48</v>
      </c>
      <c r="D53" s="4" t="s">
        <v>47</v>
      </c>
      <c r="E53" s="4" t="s">
        <v>48</v>
      </c>
      <c r="F53" s="6" t="s">
        <v>48</v>
      </c>
      <c r="G53" s="4" t="s">
        <v>47</v>
      </c>
      <c r="H53" s="4" t="s">
        <v>47</v>
      </c>
      <c r="I53" s="4" t="s">
        <v>47</v>
      </c>
      <c r="J53" s="4" t="s">
        <v>47</v>
      </c>
      <c r="K53" s="4" t="s">
        <v>47</v>
      </c>
      <c r="L53" s="4" t="s">
        <v>47</v>
      </c>
      <c r="M53" s="4" t="s">
        <v>47</v>
      </c>
      <c r="N53" s="6" t="s">
        <v>47</v>
      </c>
      <c r="O53" s="4" t="s">
        <v>47</v>
      </c>
      <c r="P53" s="4" t="s">
        <v>48</v>
      </c>
      <c r="Q53" s="4" t="s">
        <v>48</v>
      </c>
      <c r="R53" s="4" t="s">
        <v>48</v>
      </c>
      <c r="S53" s="4" t="s">
        <v>47</v>
      </c>
      <c r="T53" s="4" t="s">
        <v>47</v>
      </c>
      <c r="U53" s="4" t="s">
        <v>47</v>
      </c>
      <c r="V53" s="4" t="s">
        <v>47</v>
      </c>
      <c r="W53" s="4" t="s">
        <v>47</v>
      </c>
      <c r="X53" s="4" t="s">
        <v>47</v>
      </c>
      <c r="Y53" s="4" t="s">
        <v>47</v>
      </c>
      <c r="Z53" s="4" t="s">
        <v>47</v>
      </c>
      <c r="AA53" s="4" t="s">
        <v>47</v>
      </c>
      <c r="AB53" s="6" t="s">
        <v>47</v>
      </c>
      <c r="AC53" s="6" t="s">
        <v>47</v>
      </c>
      <c r="AD53" s="4" t="s">
        <v>47</v>
      </c>
      <c r="AE53" s="4" t="s">
        <v>47</v>
      </c>
      <c r="AF53" s="4" t="s">
        <v>47</v>
      </c>
      <c r="AG53" s="21">
        <f t="shared" si="9"/>
        <v>24</v>
      </c>
      <c r="AH53" s="23">
        <f t="shared" si="10"/>
        <v>6</v>
      </c>
      <c r="AI53" s="30">
        <f>SUM(AG53:AH53)</f>
        <v>30</v>
      </c>
    </row>
    <row r="54" spans="1:35" x14ac:dyDescent="0.25">
      <c r="A54" s="15">
        <f t="shared" si="3"/>
        <v>51</v>
      </c>
      <c r="B54" s="16" t="s">
        <v>70</v>
      </c>
      <c r="C54" s="3" t="s">
        <v>48</v>
      </c>
      <c r="D54" s="4" t="s">
        <v>48</v>
      </c>
      <c r="E54" s="4" t="s">
        <v>48</v>
      </c>
      <c r="F54" s="6" t="s">
        <v>48</v>
      </c>
      <c r="G54" s="4" t="s">
        <v>48</v>
      </c>
      <c r="H54" s="4" t="s">
        <v>48</v>
      </c>
      <c r="I54" s="4" t="s">
        <v>48</v>
      </c>
      <c r="J54" s="6" t="s">
        <v>48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4" t="s">
        <v>48</v>
      </c>
      <c r="R54" s="4" t="s">
        <v>48</v>
      </c>
      <c r="S54" s="6" t="s">
        <v>48</v>
      </c>
      <c r="T54" s="4" t="s">
        <v>48</v>
      </c>
      <c r="U54" s="4" t="s">
        <v>48</v>
      </c>
      <c r="V54" s="4" t="s">
        <v>48</v>
      </c>
      <c r="W54" s="4" t="s">
        <v>48</v>
      </c>
      <c r="X54" s="4" t="s">
        <v>48</v>
      </c>
      <c r="Y54" s="4" t="s">
        <v>48</v>
      </c>
      <c r="Z54" s="4" t="s">
        <v>48</v>
      </c>
      <c r="AA54" s="4" t="s">
        <v>48</v>
      </c>
      <c r="AB54" s="4" t="s">
        <v>48</v>
      </c>
      <c r="AC54" s="4" t="s">
        <v>48</v>
      </c>
      <c r="AD54" s="4" t="s">
        <v>48</v>
      </c>
      <c r="AE54" s="4" t="s">
        <v>48</v>
      </c>
      <c r="AF54" s="4" t="s">
        <v>48</v>
      </c>
      <c r="AG54" s="21">
        <f t="shared" si="9"/>
        <v>0</v>
      </c>
      <c r="AH54" s="23">
        <f t="shared" si="10"/>
        <v>30</v>
      </c>
      <c r="AI54" s="30">
        <f>SUM(AG54:AH54)</f>
        <v>30</v>
      </c>
    </row>
    <row r="55" spans="1:35" x14ac:dyDescent="0.25">
      <c r="A55" s="15">
        <f t="shared" si="3"/>
        <v>52</v>
      </c>
      <c r="B55" s="16" t="s">
        <v>72</v>
      </c>
      <c r="C55" s="3" t="s">
        <v>47</v>
      </c>
      <c r="D55" s="4" t="s">
        <v>47</v>
      </c>
      <c r="E55" s="4" t="s">
        <v>47</v>
      </c>
      <c r="F55" s="6" t="s">
        <v>48</v>
      </c>
      <c r="G55" s="4" t="s">
        <v>48</v>
      </c>
      <c r="H55" s="4" t="s">
        <v>47</v>
      </c>
      <c r="I55" s="4" t="s">
        <v>47</v>
      </c>
      <c r="J55" s="6" t="s">
        <v>47</v>
      </c>
      <c r="K55" s="4" t="s">
        <v>47</v>
      </c>
      <c r="L55" s="6" t="s">
        <v>47</v>
      </c>
      <c r="M55" s="4" t="s">
        <v>47</v>
      </c>
      <c r="N55" s="4" t="s">
        <v>48</v>
      </c>
      <c r="O55" s="4" t="s">
        <v>47</v>
      </c>
      <c r="P55" s="4" t="s">
        <v>47</v>
      </c>
      <c r="Q55" s="6" t="s">
        <v>47</v>
      </c>
      <c r="R55" s="4" t="s">
        <v>47</v>
      </c>
      <c r="S55" s="4" t="s">
        <v>47</v>
      </c>
      <c r="T55" s="4" t="s">
        <v>47</v>
      </c>
      <c r="U55" s="4" t="s">
        <v>48</v>
      </c>
      <c r="V55" s="4" t="s">
        <v>48</v>
      </c>
      <c r="W55" s="4" t="s">
        <v>47</v>
      </c>
      <c r="X55" s="6" t="s">
        <v>47</v>
      </c>
      <c r="Y55" s="6" t="s">
        <v>47</v>
      </c>
      <c r="Z55" s="4" t="s">
        <v>47</v>
      </c>
      <c r="AA55" s="4" t="s">
        <v>47</v>
      </c>
      <c r="AB55" s="6" t="s">
        <v>47</v>
      </c>
      <c r="AC55" s="4" t="s">
        <v>47</v>
      </c>
      <c r="AD55" s="4" t="s">
        <v>48</v>
      </c>
      <c r="AE55" s="4" t="s">
        <v>47</v>
      </c>
      <c r="AF55" s="4" t="s">
        <v>47</v>
      </c>
      <c r="AG55" s="21">
        <f t="shared" si="9"/>
        <v>24</v>
      </c>
      <c r="AH55" s="23">
        <f t="shared" si="10"/>
        <v>6</v>
      </c>
      <c r="AI55" s="30">
        <f t="shared" ref="AI55:AI63" si="14">SUM(AG55:AH55)</f>
        <v>30</v>
      </c>
    </row>
    <row r="56" spans="1:35" x14ac:dyDescent="0.25">
      <c r="A56" s="15">
        <f t="shared" si="3"/>
        <v>53</v>
      </c>
      <c r="B56" s="16" t="s">
        <v>34</v>
      </c>
      <c r="C56" s="3" t="s">
        <v>47</v>
      </c>
      <c r="D56" s="4" t="s">
        <v>47</v>
      </c>
      <c r="E56" s="6" t="s">
        <v>47</v>
      </c>
      <c r="F56" s="6" t="s">
        <v>47</v>
      </c>
      <c r="G56" s="4" t="s">
        <v>47</v>
      </c>
      <c r="H56" s="4" t="s">
        <v>47</v>
      </c>
      <c r="I56" s="4" t="s">
        <v>48</v>
      </c>
      <c r="J56" s="6" t="s">
        <v>48</v>
      </c>
      <c r="K56" s="4" t="s">
        <v>47</v>
      </c>
      <c r="L56" s="4" t="s">
        <v>47</v>
      </c>
      <c r="M56" s="4" t="s">
        <v>47</v>
      </c>
      <c r="N56" s="6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47</v>
      </c>
      <c r="W56" s="4" t="s">
        <v>48</v>
      </c>
      <c r="X56" s="4" t="s">
        <v>48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9"/>
        <v>26</v>
      </c>
      <c r="AH56" s="23">
        <f t="shared" si="10"/>
        <v>4</v>
      </c>
      <c r="AI56" s="30">
        <f t="shared" si="14"/>
        <v>30</v>
      </c>
    </row>
    <row r="57" spans="1:35" x14ac:dyDescent="0.25">
      <c r="A57" s="15">
        <f t="shared" si="3"/>
        <v>54</v>
      </c>
      <c r="B57" s="16" t="s">
        <v>76</v>
      </c>
      <c r="C57" s="5" t="s">
        <v>47</v>
      </c>
      <c r="D57" s="6" t="s">
        <v>47</v>
      </c>
      <c r="E57" s="6" t="s">
        <v>47</v>
      </c>
      <c r="F57" s="6" t="s">
        <v>47</v>
      </c>
      <c r="G57" s="4" t="s">
        <v>47</v>
      </c>
      <c r="H57" s="4" t="s">
        <v>47</v>
      </c>
      <c r="I57" s="4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4" t="s">
        <v>48</v>
      </c>
      <c r="R57" s="4" t="s">
        <v>47</v>
      </c>
      <c r="S57" s="4" t="s">
        <v>47</v>
      </c>
      <c r="T57" s="4" t="s">
        <v>47</v>
      </c>
      <c r="U57" s="4" t="s">
        <v>47</v>
      </c>
      <c r="V57" s="4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47</v>
      </c>
      <c r="AC57" s="4" t="s">
        <v>47</v>
      </c>
      <c r="AD57" s="4" t="s">
        <v>47</v>
      </c>
      <c r="AE57" s="4" t="s">
        <v>47</v>
      </c>
      <c r="AF57" s="4" t="s">
        <v>47</v>
      </c>
      <c r="AG57" s="21">
        <f t="shared" si="9"/>
        <v>28</v>
      </c>
      <c r="AH57" s="23">
        <f t="shared" si="10"/>
        <v>2</v>
      </c>
      <c r="AI57" s="30">
        <f t="shared" si="14"/>
        <v>30</v>
      </c>
    </row>
    <row r="58" spans="1:35" x14ac:dyDescent="0.25">
      <c r="A58" s="15">
        <f t="shared" si="3"/>
        <v>55</v>
      </c>
      <c r="B58" s="16" t="s">
        <v>74</v>
      </c>
      <c r="C58" s="3" t="s">
        <v>48</v>
      </c>
      <c r="D58" s="4" t="s">
        <v>48</v>
      </c>
      <c r="E58" s="4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6" t="s">
        <v>48</v>
      </c>
      <c r="L58" s="6" t="s">
        <v>48</v>
      </c>
      <c r="M58" s="6" t="s">
        <v>48</v>
      </c>
      <c r="N58" s="4" t="s">
        <v>48</v>
      </c>
      <c r="O58" s="4" t="s">
        <v>48</v>
      </c>
      <c r="P58" s="4" t="s">
        <v>48</v>
      </c>
      <c r="Q58" s="4" t="s">
        <v>48</v>
      </c>
      <c r="R58" s="4" t="s">
        <v>48</v>
      </c>
      <c r="S58" s="6" t="s">
        <v>48</v>
      </c>
      <c r="T58" s="4" t="s">
        <v>48</v>
      </c>
      <c r="U58" s="4" t="s">
        <v>48</v>
      </c>
      <c r="V58" s="4" t="s">
        <v>48</v>
      </c>
      <c r="W58" s="4" t="s">
        <v>48</v>
      </c>
      <c r="X58" s="4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21">
        <f t="shared" si="9"/>
        <v>0</v>
      </c>
      <c r="AH58" s="23">
        <f t="shared" si="10"/>
        <v>30</v>
      </c>
      <c r="AI58" s="30">
        <f t="shared" si="14"/>
        <v>30</v>
      </c>
    </row>
    <row r="59" spans="1:35" x14ac:dyDescent="0.25">
      <c r="A59" s="15">
        <f t="shared" si="3"/>
        <v>56</v>
      </c>
      <c r="B59" s="16" t="s">
        <v>43</v>
      </c>
      <c r="C59" s="3" t="s">
        <v>48</v>
      </c>
      <c r="D59" s="4" t="s">
        <v>48</v>
      </c>
      <c r="E59" s="4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6" t="s">
        <v>48</v>
      </c>
      <c r="L59" s="6" t="s">
        <v>48</v>
      </c>
      <c r="M59" s="6" t="s">
        <v>48</v>
      </c>
      <c r="N59" s="4" t="s">
        <v>48</v>
      </c>
      <c r="O59" s="4" t="s">
        <v>48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4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21">
        <f t="shared" si="9"/>
        <v>0</v>
      </c>
      <c r="AH59" s="23">
        <f t="shared" si="10"/>
        <v>30</v>
      </c>
      <c r="AI59" s="30">
        <f t="shared" si="14"/>
        <v>30</v>
      </c>
    </row>
    <row r="60" spans="1:35" x14ac:dyDescent="0.25">
      <c r="A60" s="15">
        <f t="shared" si="3"/>
        <v>57</v>
      </c>
      <c r="B60" s="16" t="s">
        <v>35</v>
      </c>
      <c r="C60" s="3" t="s">
        <v>48</v>
      </c>
      <c r="D60" s="6" t="s">
        <v>47</v>
      </c>
      <c r="E60" s="4" t="s">
        <v>48</v>
      </c>
      <c r="F60" s="6" t="s">
        <v>47</v>
      </c>
      <c r="G60" s="4" t="s">
        <v>47</v>
      </c>
      <c r="H60" s="4" t="s">
        <v>47</v>
      </c>
      <c r="I60" s="4" t="s">
        <v>47</v>
      </c>
      <c r="J60" s="6" t="s">
        <v>47</v>
      </c>
      <c r="K60" s="6" t="s">
        <v>48</v>
      </c>
      <c r="L60" s="6" t="s">
        <v>48</v>
      </c>
      <c r="M60" s="6" t="s">
        <v>48</v>
      </c>
      <c r="N60" s="4" t="s">
        <v>48</v>
      </c>
      <c r="O60" s="4" t="s">
        <v>47</v>
      </c>
      <c r="P60" s="4" t="s">
        <v>47</v>
      </c>
      <c r="Q60" s="4" t="s">
        <v>47</v>
      </c>
      <c r="R60" s="4" t="s">
        <v>47</v>
      </c>
      <c r="S60" s="4" t="s">
        <v>47</v>
      </c>
      <c r="T60" s="4" t="s">
        <v>48</v>
      </c>
      <c r="U60" s="4" t="s">
        <v>48</v>
      </c>
      <c r="V60" s="4" t="s">
        <v>48</v>
      </c>
      <c r="W60" s="4" t="s">
        <v>47</v>
      </c>
      <c r="X60" s="6" t="s">
        <v>47</v>
      </c>
      <c r="Y60" s="4" t="s">
        <v>47</v>
      </c>
      <c r="Z60" s="4" t="s">
        <v>47</v>
      </c>
      <c r="AA60" s="4" t="s">
        <v>48</v>
      </c>
      <c r="AB60" s="4" t="s">
        <v>48</v>
      </c>
      <c r="AC60" s="4" t="s">
        <v>48</v>
      </c>
      <c r="AD60" s="4" t="s">
        <v>47</v>
      </c>
      <c r="AE60" s="4" t="s">
        <v>47</v>
      </c>
      <c r="AF60" s="4" t="s">
        <v>47</v>
      </c>
      <c r="AG60" s="21">
        <f t="shared" si="9"/>
        <v>18</v>
      </c>
      <c r="AH60" s="23">
        <f t="shared" si="10"/>
        <v>12</v>
      </c>
      <c r="AI60" s="30">
        <f t="shared" si="14"/>
        <v>30</v>
      </c>
    </row>
    <row r="61" spans="1:35" x14ac:dyDescent="0.25">
      <c r="A61" s="15">
        <f t="shared" si="3"/>
        <v>58</v>
      </c>
      <c r="B61" s="16" t="s">
        <v>36</v>
      </c>
      <c r="C61" s="3" t="s">
        <v>48</v>
      </c>
      <c r="D61" s="4" t="s">
        <v>48</v>
      </c>
      <c r="E61" s="4" t="s">
        <v>48</v>
      </c>
      <c r="F61" s="6" t="s">
        <v>48</v>
      </c>
      <c r="G61" s="4" t="s">
        <v>48</v>
      </c>
      <c r="H61" s="4" t="s">
        <v>48</v>
      </c>
      <c r="I61" s="4" t="s">
        <v>48</v>
      </c>
      <c r="J61" s="6" t="s">
        <v>48</v>
      </c>
      <c r="K61" s="6" t="s">
        <v>48</v>
      </c>
      <c r="L61" s="6" t="s">
        <v>48</v>
      </c>
      <c r="M61" s="6" t="s">
        <v>48</v>
      </c>
      <c r="N61" s="4" t="s">
        <v>48</v>
      </c>
      <c r="O61" s="4" t="s">
        <v>48</v>
      </c>
      <c r="P61" s="4" t="s">
        <v>48</v>
      </c>
      <c r="Q61" s="4" t="s">
        <v>47</v>
      </c>
      <c r="R61" s="4" t="s">
        <v>47</v>
      </c>
      <c r="S61" s="4" t="s">
        <v>47</v>
      </c>
      <c r="T61" s="4" t="s">
        <v>47</v>
      </c>
      <c r="U61" s="4" t="s">
        <v>47</v>
      </c>
      <c r="V61" s="4" t="s">
        <v>47</v>
      </c>
      <c r="W61" s="4" t="s">
        <v>47</v>
      </c>
      <c r="X61" s="4" t="s">
        <v>48</v>
      </c>
      <c r="Y61" s="4" t="s">
        <v>47</v>
      </c>
      <c r="Z61" s="4" t="s">
        <v>47</v>
      </c>
      <c r="AA61" s="4" t="s">
        <v>47</v>
      </c>
      <c r="AB61" s="6" t="s">
        <v>47</v>
      </c>
      <c r="AC61" s="6" t="s">
        <v>47</v>
      </c>
      <c r="AD61" s="4" t="s">
        <v>47</v>
      </c>
      <c r="AE61" s="4" t="s">
        <v>48</v>
      </c>
      <c r="AF61" s="4" t="s">
        <v>47</v>
      </c>
      <c r="AG61" s="21">
        <f t="shared" si="9"/>
        <v>14</v>
      </c>
      <c r="AH61" s="23">
        <f t="shared" si="10"/>
        <v>16</v>
      </c>
      <c r="AI61" s="30">
        <f t="shared" si="14"/>
        <v>30</v>
      </c>
    </row>
    <row r="62" spans="1:35" x14ac:dyDescent="0.25">
      <c r="A62" s="15">
        <f t="shared" si="3"/>
        <v>59</v>
      </c>
      <c r="B62" s="33" t="s">
        <v>62</v>
      </c>
      <c r="C62" s="3" t="s">
        <v>48</v>
      </c>
      <c r="D62" s="4" t="s">
        <v>47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48</v>
      </c>
      <c r="J62" s="6" t="s">
        <v>48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47</v>
      </c>
      <c r="P62" s="4" t="s">
        <v>48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47</v>
      </c>
      <c r="W62" s="4" t="s">
        <v>47</v>
      </c>
      <c r="X62" s="4" t="s">
        <v>48</v>
      </c>
      <c r="Y62" s="4" t="s">
        <v>47</v>
      </c>
      <c r="Z62" s="4" t="s">
        <v>47</v>
      </c>
      <c r="AA62" s="4" t="s">
        <v>47</v>
      </c>
      <c r="AB62" s="4" t="s">
        <v>47</v>
      </c>
      <c r="AC62" s="4" t="s">
        <v>47</v>
      </c>
      <c r="AD62" s="4" t="s">
        <v>47</v>
      </c>
      <c r="AE62" s="4" t="s">
        <v>48</v>
      </c>
      <c r="AF62" s="6" t="s">
        <v>47</v>
      </c>
      <c r="AG62" s="21">
        <f t="shared" si="9"/>
        <v>24</v>
      </c>
      <c r="AH62" s="23">
        <f t="shared" si="10"/>
        <v>6</v>
      </c>
      <c r="AI62" s="30">
        <f t="shared" si="14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3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4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48</v>
      </c>
      <c r="Q63" s="4" t="s">
        <v>48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48</v>
      </c>
      <c r="AE63" s="4" t="s">
        <v>47</v>
      </c>
      <c r="AF63" s="4" t="s">
        <v>47</v>
      </c>
      <c r="AG63" s="22">
        <f t="shared" si="9"/>
        <v>27</v>
      </c>
      <c r="AH63" s="24">
        <f t="shared" si="10"/>
        <v>3</v>
      </c>
      <c r="AI63" s="31">
        <f t="shared" si="14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13:AF13 C11:E12 C14:E14 C17:E17 C22:E22 C26:E26 C30:E30 C34:T34 C33:E33 C36:E37 C42:E42 C48:E49 C53:E55 C58:E59 C62:O63 C61:E61 G10:G12 C18:F18 G48:L49 C50:L50 H11:M12 M48:M50 C47:M47 N10:O12 C60:S60 C44:P46 G53:O54 G61:O61 N47:P49 Q44:AF44 P11:S12 G17:S18 C20:T21 G26:Y26 G33:S33 Q45:R49 P53:AF53 G14:S14 C19:S19 G22:S22 C29:S29 N50:AD50 S46:S49 P54:S54 G58:S59 U10:U12 C9:U9 W9:AF9 V9:V12 C28:AF28 C43:AC43 C56:AF57 W11:Y12 U18:AB18 C23:AF23 C31:AC32 S45:AF45 U47:AC47 G55:AC55 U60:Z60 U14:Y14 U17:Y17 U19:Y19 AA19:AC19 U22:AF22 U21:Y21 C24:Y25 G30:Y30 U33:Y34 C38:Y38 AA38:AF38 G42:Y42 U46:Y46 U48:Y49 U54:Y54 U58:Y59 AA14:AF14 AA17:AB17 U20:AC20 AA24:AC26 U29:AF29 C35:AF35 AA42:AC42 AA46:AC46 AA49:AD49 AA54:AC54 AA11:AD12 AD19:AF20 C27:AC27 AA33:AC34 AA30:AC30 AA48:AC48 AD46:AD48 AE10:AE12 C15:AF16 G36:AF37 C39:AF41 P61:AF63 C4:AF8 AF11:AF12 AC17:AF18 AA21:AF21 AD24:AF27 AD30:AF34 AD42:AF43 AE46:AF50 C51:AF52 AD54:AF55 AA58:AF60">
    <cfRule type="containsBlanks" dxfId="3" priority="2">
      <formula>LEN(TRIM(C4))=0</formula>
    </cfRule>
  </conditionalFormatting>
  <conditionalFormatting sqref="C10:F10 AF10 F11:F12 F14 F17 F22 F26 F30 F33 F36:F37 F42 F48:F49 F53:F55 F58:F59 F61 H10:M10 P10:T10 T11:T12 T14 T17:T19 T22 T29 T33 T46:T49 T54 T58:T60 W10:AD10 Z11:Z12 Z14 Z17 Z19 Z21 Z24:Z26 Z30 Z33:Z34 Z38 Z42 Z46 Z48:Z49 Z54 Z58:Z59">
    <cfRule type="containsBlanks" dxfId="2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pageSetUpPr fitToPage="1"/>
  </sheetPr>
  <dimension ref="A1:AL65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C4" sqref="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Октябрь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3" si="0">COUNTIF(C4:AG4,"+")</f>
        <v>0</v>
      </c>
      <c r="AI4" s="25">
        <f t="shared" ref="AI4:AI63" si="1">COUNTIF(C4:AG4,"-")</f>
        <v>0</v>
      </c>
      <c r="AJ4" s="29">
        <f t="shared" ref="AJ4:AJ52" si="2">SUM(AH4:AI4)</f>
        <v>0</v>
      </c>
    </row>
    <row r="5" spans="1:38" x14ac:dyDescent="0.25">
      <c r="A5" s="15">
        <f>A4+1</f>
        <v>2</v>
      </c>
      <c r="B5" s="14" t="s">
        <v>65</v>
      </c>
      <c r="C5" s="3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0</v>
      </c>
      <c r="AI5" s="25">
        <f t="shared" si="1"/>
        <v>0</v>
      </c>
      <c r="AJ5" s="29">
        <f t="shared" si="2"/>
        <v>0</v>
      </c>
    </row>
    <row r="6" spans="1:38" x14ac:dyDescent="0.25">
      <c r="A6" s="15">
        <f t="shared" ref="A6:A63" si="3">A5+1</f>
        <v>3</v>
      </c>
      <c r="B6" s="16" t="s">
        <v>0</v>
      </c>
      <c r="C6" s="5"/>
      <c r="D6" s="6"/>
      <c r="E6" s="6"/>
      <c r="F6" s="6"/>
      <c r="G6" s="4"/>
      <c r="H6" s="4"/>
      <c r="I6" s="4"/>
      <c r="J6" s="6"/>
      <c r="K6" s="6"/>
      <c r="L6" s="6"/>
      <c r="M6" s="6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21">
        <f t="shared" si="0"/>
        <v>0</v>
      </c>
      <c r="AI6" s="23">
        <f t="shared" si="1"/>
        <v>0</v>
      </c>
      <c r="AJ6" s="30">
        <f t="shared" si="2"/>
        <v>0</v>
      </c>
    </row>
    <row r="7" spans="1:38" x14ac:dyDescent="0.25">
      <c r="A7" s="15">
        <f t="shared" si="3"/>
        <v>4</v>
      </c>
      <c r="B7" s="16" t="s">
        <v>50</v>
      </c>
      <c r="C7" s="3"/>
      <c r="D7" s="6"/>
      <c r="E7" s="6"/>
      <c r="F7" s="6"/>
      <c r="G7" s="4"/>
      <c r="H7" s="4"/>
      <c r="I7" s="4"/>
      <c r="J7" s="6"/>
      <c r="K7" s="6"/>
      <c r="L7" s="6"/>
      <c r="M7" s="6"/>
      <c r="N7" s="6"/>
      <c r="O7" s="6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6"/>
      <c r="AC7" s="6"/>
      <c r="AD7" s="4"/>
      <c r="AE7" s="4"/>
      <c r="AF7" s="4"/>
      <c r="AG7" s="4"/>
      <c r="AH7" s="21">
        <f t="shared" si="0"/>
        <v>0</v>
      </c>
      <c r="AI7" s="23">
        <f t="shared" si="1"/>
        <v>0</v>
      </c>
      <c r="AJ7" s="30">
        <f t="shared" si="2"/>
        <v>0</v>
      </c>
      <c r="AL7"/>
    </row>
    <row r="8" spans="1:38" x14ac:dyDescent="0.25">
      <c r="A8" s="15">
        <f t="shared" si="3"/>
        <v>5</v>
      </c>
      <c r="B8" s="16" t="s">
        <v>1</v>
      </c>
      <c r="C8" s="3"/>
      <c r="D8" s="6"/>
      <c r="E8" s="6"/>
      <c r="F8" s="6"/>
      <c r="G8" s="6"/>
      <c r="H8" s="4"/>
      <c r="I8" s="4"/>
      <c r="J8" s="6"/>
      <c r="K8" s="4"/>
      <c r="L8" s="4"/>
      <c r="M8" s="4"/>
      <c r="N8" s="6"/>
      <c r="O8" s="4"/>
      <c r="P8" s="4"/>
      <c r="Q8" s="4"/>
      <c r="R8" s="4"/>
      <c r="S8" s="4"/>
      <c r="T8" s="4"/>
      <c r="U8" s="6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21">
        <f t="shared" si="0"/>
        <v>0</v>
      </c>
      <c r="AI8" s="23">
        <f t="shared" si="1"/>
        <v>0</v>
      </c>
      <c r="AJ8" s="30">
        <f t="shared" si="2"/>
        <v>0</v>
      </c>
    </row>
    <row r="9" spans="1:38" x14ac:dyDescent="0.25">
      <c r="A9" s="15">
        <f t="shared" si="3"/>
        <v>6</v>
      </c>
      <c r="B9" s="16" t="s">
        <v>2</v>
      </c>
      <c r="C9" s="3"/>
      <c r="D9" s="6"/>
      <c r="E9" s="6"/>
      <c r="F9" s="6"/>
      <c r="G9" s="4"/>
      <c r="H9" s="4"/>
      <c r="I9" s="4"/>
      <c r="J9" s="6"/>
      <c r="K9" s="4"/>
      <c r="L9" s="4"/>
      <c r="M9" s="4"/>
      <c r="N9" s="6"/>
      <c r="O9" s="4"/>
      <c r="P9" s="4"/>
      <c r="Q9" s="4"/>
      <c r="R9" s="4"/>
      <c r="S9" s="6"/>
      <c r="T9" s="4"/>
      <c r="U9" s="4"/>
      <c r="V9" s="4"/>
      <c r="W9" s="4"/>
      <c r="X9" s="6"/>
      <c r="Y9" s="4"/>
      <c r="Z9" s="4"/>
      <c r="AA9" s="4"/>
      <c r="AB9" s="4"/>
      <c r="AC9" s="4"/>
      <c r="AD9" s="4"/>
      <c r="AE9" s="4"/>
      <c r="AF9" s="4"/>
      <c r="AG9" s="4"/>
      <c r="AH9" s="21">
        <f t="shared" si="0"/>
        <v>0</v>
      </c>
      <c r="AI9" s="23">
        <f t="shared" si="1"/>
        <v>0</v>
      </c>
      <c r="AJ9" s="30">
        <f t="shared" si="2"/>
        <v>0</v>
      </c>
    </row>
    <row r="10" spans="1:38" x14ac:dyDescent="0.25">
      <c r="A10" s="15">
        <f t="shared" si="3"/>
        <v>7</v>
      </c>
      <c r="B10" s="16" t="s">
        <v>39</v>
      </c>
      <c r="C10" s="3"/>
      <c r="D10" s="6"/>
      <c r="E10" s="6"/>
      <c r="F10" s="6"/>
      <c r="G10" s="4"/>
      <c r="H10" s="6"/>
      <c r="I10" s="6"/>
      <c r="J10" s="6"/>
      <c r="K10" s="6"/>
      <c r="L10" s="6"/>
      <c r="M10" s="6"/>
      <c r="N10" s="4"/>
      <c r="O10" s="4"/>
      <c r="P10" s="4"/>
      <c r="Q10" s="4"/>
      <c r="R10" s="4"/>
      <c r="S10" s="6"/>
      <c r="T10" s="4"/>
      <c r="U10" s="4"/>
      <c r="V10" s="4"/>
      <c r="W10" s="4"/>
      <c r="X10" s="6"/>
      <c r="Y10" s="4"/>
      <c r="Z10" s="4"/>
      <c r="AA10" s="4"/>
      <c r="AB10" s="6"/>
      <c r="AC10" s="6"/>
      <c r="AD10" s="4"/>
      <c r="AE10" s="4"/>
      <c r="AF10" s="4"/>
      <c r="AG10" s="4"/>
      <c r="AH10" s="21">
        <f t="shared" si="0"/>
        <v>0</v>
      </c>
      <c r="AI10" s="23">
        <f t="shared" si="1"/>
        <v>0</v>
      </c>
      <c r="AJ10" s="30">
        <f t="shared" si="2"/>
        <v>0</v>
      </c>
    </row>
    <row r="11" spans="1:38" x14ac:dyDescent="0.25">
      <c r="A11" s="15">
        <f t="shared" si="3"/>
        <v>8</v>
      </c>
      <c r="B11" s="16" t="s">
        <v>40</v>
      </c>
      <c r="C11" s="3"/>
      <c r="D11" s="4"/>
      <c r="E11" s="4"/>
      <c r="F11" s="6"/>
      <c r="G11" s="4"/>
      <c r="H11" s="4"/>
      <c r="I11" s="4"/>
      <c r="J11" s="6"/>
      <c r="K11" s="6"/>
      <c r="L11" s="6"/>
      <c r="M11" s="6"/>
      <c r="N11" s="4"/>
      <c r="O11" s="4"/>
      <c r="P11" s="4"/>
      <c r="Q11" s="4"/>
      <c r="R11" s="4"/>
      <c r="S11" s="6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21">
        <f t="shared" si="0"/>
        <v>0</v>
      </c>
      <c r="AI11" s="23">
        <f t="shared" si="1"/>
        <v>0</v>
      </c>
      <c r="AJ11" s="30">
        <f t="shared" si="2"/>
        <v>0</v>
      </c>
    </row>
    <row r="12" spans="1:38" x14ac:dyDescent="0.25">
      <c r="A12" s="15">
        <f t="shared" si="3"/>
        <v>9</v>
      </c>
      <c r="B12" s="16" t="s">
        <v>73</v>
      </c>
      <c r="C12" s="3"/>
      <c r="D12" s="4"/>
      <c r="E12" s="4"/>
      <c r="F12" s="6"/>
      <c r="G12" s="4"/>
      <c r="H12" s="4"/>
      <c r="I12" s="4"/>
      <c r="J12" s="6"/>
      <c r="K12" s="6"/>
      <c r="L12" s="6"/>
      <c r="M12" s="6"/>
      <c r="N12" s="4"/>
      <c r="O12" s="4"/>
      <c r="P12" s="4"/>
      <c r="Q12" s="4"/>
      <c r="R12" s="4"/>
      <c r="S12" s="6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21">
        <f t="shared" si="0"/>
        <v>0</v>
      </c>
      <c r="AI12" s="23">
        <f t="shared" si="1"/>
        <v>0</v>
      </c>
      <c r="AJ12" s="30">
        <f>SUM(AH12:AI12)</f>
        <v>0</v>
      </c>
    </row>
    <row r="13" spans="1:38" x14ac:dyDescent="0.25">
      <c r="A13" s="15">
        <f t="shared" si="3"/>
        <v>10</v>
      </c>
      <c r="B13" s="16" t="s">
        <v>55</v>
      </c>
      <c r="C13" s="5"/>
      <c r="D13" s="6"/>
      <c r="E13" s="6"/>
      <c r="F13" s="6"/>
      <c r="G13" s="6"/>
      <c r="H13" s="6"/>
      <c r="I13" s="4"/>
      <c r="J13" s="6"/>
      <c r="K13" s="4"/>
      <c r="L13" s="4"/>
      <c r="M13" s="6"/>
      <c r="N13" s="6"/>
      <c r="O13" s="6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  <c r="AA13" s="4"/>
      <c r="AB13" s="6"/>
      <c r="AC13" s="4"/>
      <c r="AD13" s="4"/>
      <c r="AE13" s="6"/>
      <c r="AF13" s="6"/>
      <c r="AG13" s="6"/>
      <c r="AH13" s="21">
        <f t="shared" si="0"/>
        <v>0</v>
      </c>
      <c r="AI13" s="23">
        <f t="shared" si="1"/>
        <v>0</v>
      </c>
      <c r="AJ13" s="30">
        <f t="shared" si="2"/>
        <v>0</v>
      </c>
    </row>
    <row r="14" spans="1:38" x14ac:dyDescent="0.25">
      <c r="A14" s="15">
        <f t="shared" si="3"/>
        <v>11</v>
      </c>
      <c r="B14" s="16" t="s">
        <v>5</v>
      </c>
      <c r="C14" s="3"/>
      <c r="D14" s="4"/>
      <c r="E14" s="4"/>
      <c r="F14" s="6"/>
      <c r="G14" s="4"/>
      <c r="H14" s="4"/>
      <c r="I14" s="4"/>
      <c r="J14" s="6"/>
      <c r="K14" s="6"/>
      <c r="L14" s="6"/>
      <c r="M14" s="6"/>
      <c r="N14" s="4"/>
      <c r="O14" s="4"/>
      <c r="P14" s="4"/>
      <c r="Q14" s="4"/>
      <c r="R14" s="4"/>
      <c r="S14" s="6"/>
      <c r="T14" s="4"/>
      <c r="U14" s="4"/>
      <c r="V14" s="4"/>
      <c r="W14" s="4"/>
      <c r="X14" s="4"/>
      <c r="Y14" s="4"/>
      <c r="Z14" s="4"/>
      <c r="AA14" s="4"/>
      <c r="AB14" s="4"/>
      <c r="AC14" s="6"/>
      <c r="AD14" s="4"/>
      <c r="AE14" s="4"/>
      <c r="AF14" s="4"/>
      <c r="AG14" s="4"/>
      <c r="AH14" s="21">
        <f t="shared" si="0"/>
        <v>0</v>
      </c>
      <c r="AI14" s="23">
        <f t="shared" si="1"/>
        <v>0</v>
      </c>
      <c r="AJ14" s="30">
        <f t="shared" si="2"/>
        <v>0</v>
      </c>
    </row>
    <row r="15" spans="1:38" x14ac:dyDescent="0.25">
      <c r="A15" s="15">
        <f t="shared" si="3"/>
        <v>12</v>
      </c>
      <c r="B15" s="16" t="s">
        <v>6</v>
      </c>
      <c r="C15" s="3"/>
      <c r="D15" s="4"/>
      <c r="E15" s="6"/>
      <c r="F15" s="6"/>
      <c r="G15" s="4"/>
      <c r="H15" s="4"/>
      <c r="I15" s="4"/>
      <c r="J15" s="6"/>
      <c r="K15" s="4"/>
      <c r="L15" s="4"/>
      <c r="M15" s="4"/>
      <c r="N15" s="4"/>
      <c r="O15" s="4"/>
      <c r="P15" s="4"/>
      <c r="Q15" s="4"/>
      <c r="R15" s="4"/>
      <c r="S15" s="4"/>
      <c r="T15" s="6"/>
      <c r="U15" s="6"/>
      <c r="V15" s="6"/>
      <c r="W15" s="4"/>
      <c r="X15" s="6"/>
      <c r="Y15" s="4"/>
      <c r="Z15" s="6"/>
      <c r="AA15" s="4"/>
      <c r="AB15" s="4"/>
      <c r="AC15" s="6"/>
      <c r="AD15" s="4"/>
      <c r="AE15" s="6"/>
      <c r="AF15" s="4"/>
      <c r="AG15" s="4"/>
      <c r="AH15" s="21">
        <f t="shared" si="0"/>
        <v>0</v>
      </c>
      <c r="AI15" s="23">
        <f t="shared" si="1"/>
        <v>0</v>
      </c>
      <c r="AJ15" s="30">
        <f t="shared" si="2"/>
        <v>0</v>
      </c>
    </row>
    <row r="16" spans="1:38" x14ac:dyDescent="0.25">
      <c r="A16" s="15">
        <f t="shared" si="3"/>
        <v>13</v>
      </c>
      <c r="B16" s="16" t="s">
        <v>8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21">
        <f t="shared" si="0"/>
        <v>0</v>
      </c>
      <c r="AI16" s="23">
        <f t="shared" si="1"/>
        <v>0</v>
      </c>
      <c r="AJ16" s="30">
        <f t="shared" si="2"/>
        <v>0</v>
      </c>
    </row>
    <row r="17" spans="1:36" x14ac:dyDescent="0.25">
      <c r="A17" s="15">
        <f t="shared" si="3"/>
        <v>14</v>
      </c>
      <c r="B17" s="16" t="s">
        <v>7</v>
      </c>
      <c r="C17" s="3"/>
      <c r="D17" s="4"/>
      <c r="E17" s="4"/>
      <c r="F17" s="6"/>
      <c r="G17" s="4"/>
      <c r="H17" s="4"/>
      <c r="I17" s="4"/>
      <c r="J17" s="4"/>
      <c r="K17" s="6"/>
      <c r="L17" s="6"/>
      <c r="M17" s="6"/>
      <c r="N17" s="4"/>
      <c r="O17" s="4"/>
      <c r="P17" s="4"/>
      <c r="Q17" s="4"/>
      <c r="R17" s="4"/>
      <c r="S17" s="6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21">
        <f t="shared" si="0"/>
        <v>0</v>
      </c>
      <c r="AI17" s="23">
        <f t="shared" si="1"/>
        <v>0</v>
      </c>
      <c r="AJ17" s="30">
        <f t="shared" si="2"/>
        <v>0</v>
      </c>
    </row>
    <row r="18" spans="1:36" x14ac:dyDescent="0.25">
      <c r="A18" s="15">
        <f t="shared" si="3"/>
        <v>15</v>
      </c>
      <c r="B18" s="16" t="s">
        <v>9</v>
      </c>
      <c r="C18" s="3"/>
      <c r="D18" s="6"/>
      <c r="E18" s="6"/>
      <c r="F18" s="6"/>
      <c r="G18" s="4"/>
      <c r="H18" s="4"/>
      <c r="I18" s="4"/>
      <c r="J18" s="4"/>
      <c r="K18" s="4"/>
      <c r="L18" s="4"/>
      <c r="M18" s="4"/>
      <c r="N18" s="6"/>
      <c r="O18" s="4"/>
      <c r="P18" s="4"/>
      <c r="Q18" s="4"/>
      <c r="R18" s="4"/>
      <c r="S18" s="6"/>
      <c r="T18" s="4"/>
      <c r="U18" s="4"/>
      <c r="V18" s="4"/>
      <c r="W18" s="4"/>
      <c r="X18" s="4"/>
      <c r="Y18" s="4"/>
      <c r="Z18" s="4"/>
      <c r="AA18" s="4"/>
      <c r="AB18" s="6"/>
      <c r="AC18" s="4"/>
      <c r="AD18" s="4"/>
      <c r="AE18" s="4"/>
      <c r="AF18" s="4"/>
      <c r="AG18" s="4"/>
      <c r="AH18" s="21">
        <f t="shared" si="0"/>
        <v>0</v>
      </c>
      <c r="AI18" s="23">
        <f t="shared" si="1"/>
        <v>0</v>
      </c>
      <c r="AJ18" s="30">
        <f t="shared" si="2"/>
        <v>0</v>
      </c>
    </row>
    <row r="19" spans="1:36" x14ac:dyDescent="0.25">
      <c r="A19" s="15">
        <f t="shared" si="3"/>
        <v>16</v>
      </c>
      <c r="B19" s="16" t="s">
        <v>10</v>
      </c>
      <c r="C19" s="3"/>
      <c r="D19" s="4"/>
      <c r="E19" s="6"/>
      <c r="F19" s="6"/>
      <c r="G19" s="4"/>
      <c r="H19" s="4"/>
      <c r="I19" s="4"/>
      <c r="J19" s="6"/>
      <c r="K19" s="4"/>
      <c r="L19" s="6"/>
      <c r="M19" s="6"/>
      <c r="N19" s="6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6"/>
      <c r="AF19" s="4"/>
      <c r="AG19" s="4"/>
      <c r="AH19" s="21">
        <f t="shared" si="0"/>
        <v>0</v>
      </c>
      <c r="AI19" s="23">
        <f t="shared" si="1"/>
        <v>0</v>
      </c>
      <c r="AJ19" s="30">
        <f t="shared" si="2"/>
        <v>0</v>
      </c>
    </row>
    <row r="20" spans="1:36" x14ac:dyDescent="0.25">
      <c r="A20" s="15">
        <f t="shared" si="3"/>
        <v>17</v>
      </c>
      <c r="B20" s="16" t="s">
        <v>64</v>
      </c>
      <c r="C20" s="3"/>
      <c r="D20" s="4"/>
      <c r="E20" s="4"/>
      <c r="F20" s="6"/>
      <c r="G20" s="6"/>
      <c r="H20" s="4"/>
      <c r="I20" s="4"/>
      <c r="J20" s="6"/>
      <c r="K20" s="6"/>
      <c r="L20" s="4"/>
      <c r="M20" s="4"/>
      <c r="N20" s="6"/>
      <c r="O20" s="6"/>
      <c r="P20" s="4"/>
      <c r="Q20" s="4"/>
      <c r="R20" s="4"/>
      <c r="S20" s="6"/>
      <c r="T20" s="4"/>
      <c r="U20" s="4"/>
      <c r="V20" s="4"/>
      <c r="W20" s="4"/>
      <c r="X20" s="6"/>
      <c r="Y20" s="4"/>
      <c r="Z20" s="4"/>
      <c r="AA20" s="4"/>
      <c r="AB20" s="6"/>
      <c r="AC20" s="4"/>
      <c r="AD20" s="4"/>
      <c r="AE20" s="4"/>
      <c r="AF20" s="4"/>
      <c r="AG20" s="4"/>
      <c r="AH20" s="21">
        <f t="shared" si="0"/>
        <v>0</v>
      </c>
      <c r="AI20" s="23">
        <f t="shared" si="1"/>
        <v>0</v>
      </c>
      <c r="AJ20" s="30">
        <f t="shared" si="2"/>
        <v>0</v>
      </c>
    </row>
    <row r="21" spans="1:36" x14ac:dyDescent="0.25">
      <c r="A21" s="15">
        <f t="shared" si="3"/>
        <v>18</v>
      </c>
      <c r="B21" s="16" t="s">
        <v>61</v>
      </c>
      <c r="C21" s="3"/>
      <c r="D21" s="6"/>
      <c r="E21" s="6"/>
      <c r="F21" s="6"/>
      <c r="G21" s="4"/>
      <c r="H21" s="4"/>
      <c r="I21" s="4"/>
      <c r="J21" s="6"/>
      <c r="K21" s="6"/>
      <c r="L21" s="6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21">
        <f t="shared" si="0"/>
        <v>0</v>
      </c>
      <c r="AI21" s="23">
        <f t="shared" si="1"/>
        <v>0</v>
      </c>
      <c r="AJ21" s="30">
        <f>SUM(AH21:AI21)</f>
        <v>0</v>
      </c>
    </row>
    <row r="22" spans="1:36" x14ac:dyDescent="0.25">
      <c r="A22" s="15">
        <f t="shared" si="3"/>
        <v>19</v>
      </c>
      <c r="B22" s="16" t="s">
        <v>52</v>
      </c>
      <c r="C22" s="3"/>
      <c r="D22" s="4"/>
      <c r="E22" s="4"/>
      <c r="F22" s="6"/>
      <c r="G22" s="4"/>
      <c r="H22" s="4"/>
      <c r="I22" s="4"/>
      <c r="J22" s="6"/>
      <c r="K22" s="6"/>
      <c r="L22" s="6"/>
      <c r="M22" s="6"/>
      <c r="N22" s="4"/>
      <c r="O22" s="4"/>
      <c r="P22" s="4"/>
      <c r="Q22" s="4"/>
      <c r="R22" s="4"/>
      <c r="S22" s="6"/>
      <c r="T22" s="4"/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21">
        <f t="shared" si="0"/>
        <v>0</v>
      </c>
      <c r="AI22" s="23">
        <f t="shared" si="1"/>
        <v>0</v>
      </c>
      <c r="AJ22" s="30">
        <f t="shared" si="2"/>
        <v>0</v>
      </c>
    </row>
    <row r="23" spans="1:36" x14ac:dyDescent="0.25">
      <c r="A23" s="15">
        <f t="shared" si="3"/>
        <v>20</v>
      </c>
      <c r="B23" s="16" t="s">
        <v>14</v>
      </c>
      <c r="C23" s="5"/>
      <c r="D23" s="6"/>
      <c r="E23" s="6"/>
      <c r="F23" s="6"/>
      <c r="G23" s="4"/>
      <c r="H23" s="4"/>
      <c r="I23" s="4"/>
      <c r="J23" s="6"/>
      <c r="K23" s="4"/>
      <c r="L23" s="4"/>
      <c r="M23" s="4"/>
      <c r="N23" s="6"/>
      <c r="O23" s="4"/>
      <c r="P23" s="4"/>
      <c r="Q23" s="4"/>
      <c r="R23" s="4"/>
      <c r="S23" s="4"/>
      <c r="T23" s="4"/>
      <c r="U23" s="4"/>
      <c r="V23" s="6"/>
      <c r="W23" s="4"/>
      <c r="X23" s="4"/>
      <c r="Y23" s="4"/>
      <c r="Z23" s="4"/>
      <c r="AA23" s="4"/>
      <c r="AB23" s="6"/>
      <c r="AC23" s="4"/>
      <c r="AD23" s="4"/>
      <c r="AE23" s="6"/>
      <c r="AF23" s="6"/>
      <c r="AG23" s="6"/>
      <c r="AH23" s="21">
        <f t="shared" si="0"/>
        <v>0</v>
      </c>
      <c r="AI23" s="23">
        <f t="shared" si="1"/>
        <v>0</v>
      </c>
      <c r="AJ23" s="30">
        <f t="shared" si="2"/>
        <v>0</v>
      </c>
    </row>
    <row r="24" spans="1:36" x14ac:dyDescent="0.25">
      <c r="A24" s="15">
        <f t="shared" si="3"/>
        <v>21</v>
      </c>
      <c r="B24" s="16" t="s">
        <v>80</v>
      </c>
      <c r="C24" s="5"/>
      <c r="D24" s="4"/>
      <c r="E24" s="6"/>
      <c r="F24" s="6"/>
      <c r="G24" s="4"/>
      <c r="H24" s="4"/>
      <c r="I24" s="4"/>
      <c r="J24" s="4"/>
      <c r="K24" s="4"/>
      <c r="L24" s="4"/>
      <c r="M24" s="6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21">
        <f t="shared" si="0"/>
        <v>0</v>
      </c>
      <c r="AI24" s="23">
        <f t="shared" si="1"/>
        <v>0</v>
      </c>
      <c r="AJ24" s="30">
        <f t="shared" si="2"/>
        <v>0</v>
      </c>
    </row>
    <row r="25" spans="1:36" x14ac:dyDescent="0.25">
      <c r="A25" s="15">
        <f t="shared" si="3"/>
        <v>22</v>
      </c>
      <c r="B25" s="16" t="s">
        <v>79</v>
      </c>
      <c r="C25" s="5"/>
      <c r="D25" s="4"/>
      <c r="E25" s="6"/>
      <c r="F25" s="6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21">
        <f t="shared" si="0"/>
        <v>0</v>
      </c>
      <c r="AI25" s="23">
        <f t="shared" si="1"/>
        <v>0</v>
      </c>
      <c r="AJ25" s="30">
        <f t="shared" si="2"/>
        <v>0</v>
      </c>
    </row>
    <row r="26" spans="1:36" x14ac:dyDescent="0.25">
      <c r="A26" s="15">
        <f t="shared" si="3"/>
        <v>23</v>
      </c>
      <c r="B26" s="17" t="s">
        <v>69</v>
      </c>
      <c r="C26" s="5"/>
      <c r="D26" s="4"/>
      <c r="E26" s="6"/>
      <c r="F26" s="6"/>
      <c r="G26" s="6"/>
      <c r="H26" s="6"/>
      <c r="I26" s="4"/>
      <c r="J26" s="6"/>
      <c r="K26" s="6"/>
      <c r="L26" s="6"/>
      <c r="M26" s="4"/>
      <c r="N26" s="4"/>
      <c r="O26" s="4"/>
      <c r="P26" s="4"/>
      <c r="Q26" s="4"/>
      <c r="R26" s="4"/>
      <c r="S26" s="6"/>
      <c r="T26" s="4"/>
      <c r="U26" s="4"/>
      <c r="V26" s="4"/>
      <c r="W26" s="4"/>
      <c r="X26" s="6"/>
      <c r="Y26" s="4"/>
      <c r="Z26" s="4"/>
      <c r="AA26" s="4"/>
      <c r="AB26" s="6"/>
      <c r="AC26" s="6"/>
      <c r="AD26" s="4"/>
      <c r="AE26" s="4"/>
      <c r="AF26" s="4"/>
      <c r="AG26" s="4"/>
      <c r="AH26" s="21">
        <f t="shared" si="0"/>
        <v>0</v>
      </c>
      <c r="AI26" s="23">
        <f t="shared" si="1"/>
        <v>0</v>
      </c>
      <c r="AJ26" s="30">
        <f t="shared" si="2"/>
        <v>0</v>
      </c>
    </row>
    <row r="27" spans="1:36" x14ac:dyDescent="0.25">
      <c r="A27" s="15">
        <f t="shared" si="3"/>
        <v>24</v>
      </c>
      <c r="B27" s="16" t="s">
        <v>42</v>
      </c>
      <c r="C27" s="3"/>
      <c r="D27" s="4"/>
      <c r="E27" s="6"/>
      <c r="F27" s="6"/>
      <c r="G27" s="4"/>
      <c r="H27" s="4"/>
      <c r="I27" s="4"/>
      <c r="J27" s="4"/>
      <c r="K27" s="4"/>
      <c r="L27" s="6"/>
      <c r="M27" s="4"/>
      <c r="N27" s="6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21">
        <f t="shared" si="0"/>
        <v>0</v>
      </c>
      <c r="AI27" s="23">
        <f t="shared" si="1"/>
        <v>0</v>
      </c>
      <c r="AJ27" s="30">
        <f t="shared" si="2"/>
        <v>0</v>
      </c>
    </row>
    <row r="28" spans="1:36" x14ac:dyDescent="0.25">
      <c r="A28" s="15">
        <f t="shared" si="3"/>
        <v>25</v>
      </c>
      <c r="B28" s="17" t="s">
        <v>17</v>
      </c>
      <c r="C28" s="5"/>
      <c r="D28" s="6"/>
      <c r="E28" s="6"/>
      <c r="F28" s="6"/>
      <c r="G28" s="4"/>
      <c r="H28" s="4"/>
      <c r="I28" s="4"/>
      <c r="J28" s="6"/>
      <c r="K28" s="4"/>
      <c r="L28" s="6"/>
      <c r="M28" s="6"/>
      <c r="N28" s="4"/>
      <c r="O28" s="6"/>
      <c r="P28" s="6"/>
      <c r="Q28" s="6"/>
      <c r="R28" s="4"/>
      <c r="S28" s="4"/>
      <c r="T28" s="6"/>
      <c r="U28" s="4"/>
      <c r="V28" s="4"/>
      <c r="W28" s="6"/>
      <c r="X28" s="4"/>
      <c r="Y28" s="4"/>
      <c r="Z28" s="6"/>
      <c r="AA28" s="6"/>
      <c r="AB28" s="6"/>
      <c r="AC28" s="6"/>
      <c r="AD28" s="6"/>
      <c r="AE28" s="6"/>
      <c r="AF28" s="6"/>
      <c r="AG28" s="6"/>
      <c r="AH28" s="21">
        <f t="shared" si="0"/>
        <v>0</v>
      </c>
      <c r="AI28" s="23">
        <f t="shared" si="1"/>
        <v>0</v>
      </c>
      <c r="AJ28" s="30">
        <f t="shared" si="2"/>
        <v>0</v>
      </c>
    </row>
    <row r="29" spans="1:36" x14ac:dyDescent="0.25">
      <c r="A29" s="15">
        <f t="shared" si="3"/>
        <v>26</v>
      </c>
      <c r="B29" s="17" t="s">
        <v>63</v>
      </c>
      <c r="C29" s="3"/>
      <c r="D29" s="4"/>
      <c r="E29" s="4"/>
      <c r="F29" s="6"/>
      <c r="G29" s="6"/>
      <c r="H29" s="6"/>
      <c r="I29" s="4"/>
      <c r="J29" s="6"/>
      <c r="K29" s="4"/>
      <c r="L29" s="4"/>
      <c r="M29" s="6"/>
      <c r="N29" s="4"/>
      <c r="O29" s="4"/>
      <c r="P29" s="4"/>
      <c r="Q29" s="6"/>
      <c r="R29" s="6"/>
      <c r="S29" s="6"/>
      <c r="T29" s="4"/>
      <c r="U29" s="4"/>
      <c r="V29" s="4"/>
      <c r="W29" s="4"/>
      <c r="X29" s="4"/>
      <c r="Y29" s="4"/>
      <c r="Z29" s="6"/>
      <c r="AA29" s="4"/>
      <c r="AB29" s="6"/>
      <c r="AC29" s="4"/>
      <c r="AD29" s="4"/>
      <c r="AE29" s="4"/>
      <c r="AF29" s="4"/>
      <c r="AG29" s="4"/>
      <c r="AH29" s="21">
        <f t="shared" si="0"/>
        <v>0</v>
      </c>
      <c r="AI29" s="23">
        <f t="shared" si="1"/>
        <v>0</v>
      </c>
      <c r="AJ29" s="30">
        <f t="shared" si="2"/>
        <v>0</v>
      </c>
    </row>
    <row r="30" spans="1:36" x14ac:dyDescent="0.25">
      <c r="A30" s="15">
        <f t="shared" si="3"/>
        <v>27</v>
      </c>
      <c r="B30" s="17" t="s">
        <v>18</v>
      </c>
      <c r="C30" s="5"/>
      <c r="D30" s="6"/>
      <c r="E30" s="4"/>
      <c r="F30" s="6"/>
      <c r="G30" s="4"/>
      <c r="H30" s="6"/>
      <c r="I30" s="6"/>
      <c r="J30" s="4"/>
      <c r="K30" s="6"/>
      <c r="L30" s="6"/>
      <c r="M30" s="4"/>
      <c r="N30" s="4"/>
      <c r="O30" s="4"/>
      <c r="P30" s="4"/>
      <c r="Q30" s="4"/>
      <c r="R30" s="6"/>
      <c r="S30" s="4"/>
      <c r="T30" s="4"/>
      <c r="U30" s="6"/>
      <c r="V30" s="4"/>
      <c r="W30" s="4"/>
      <c r="X30" s="4"/>
      <c r="Y30" s="4"/>
      <c r="Z30" s="4"/>
      <c r="AA30" s="4"/>
      <c r="AB30" s="4"/>
      <c r="AC30" s="4"/>
      <c r="AD30" s="4"/>
      <c r="AE30" s="6"/>
      <c r="AF30" s="4"/>
      <c r="AG30" s="4"/>
      <c r="AH30" s="21">
        <f t="shared" si="0"/>
        <v>0</v>
      </c>
      <c r="AI30" s="23">
        <f t="shared" si="1"/>
        <v>0</v>
      </c>
      <c r="AJ30" s="30">
        <f t="shared" si="2"/>
        <v>0</v>
      </c>
    </row>
    <row r="31" spans="1:36" x14ac:dyDescent="0.25">
      <c r="A31" s="15">
        <f t="shared" si="3"/>
        <v>28</v>
      </c>
      <c r="B31" s="17" t="s">
        <v>67</v>
      </c>
      <c r="C31" s="5"/>
      <c r="D31" s="6"/>
      <c r="E31" s="4"/>
      <c r="F31" s="6"/>
      <c r="G31" s="6"/>
      <c r="H31" s="6"/>
      <c r="I31" s="4"/>
      <c r="J31" s="6"/>
      <c r="K31" s="6"/>
      <c r="L31" s="4"/>
      <c r="M31" s="6"/>
      <c r="N31" s="6"/>
      <c r="O31" s="4"/>
      <c r="P31" s="6"/>
      <c r="Q31" s="4"/>
      <c r="R31" s="6"/>
      <c r="S31" s="6"/>
      <c r="T31" s="4"/>
      <c r="U31" s="4"/>
      <c r="V31" s="4"/>
      <c r="W31" s="4"/>
      <c r="X31" s="6"/>
      <c r="Y31" s="4"/>
      <c r="Z31" s="4"/>
      <c r="AA31" s="4"/>
      <c r="AB31" s="4"/>
      <c r="AC31" s="4"/>
      <c r="AD31" s="6"/>
      <c r="AE31" s="6"/>
      <c r="AF31" s="4"/>
      <c r="AG31" s="4"/>
      <c r="AH31" s="21">
        <f t="shared" si="0"/>
        <v>0</v>
      </c>
      <c r="AI31" s="23">
        <f t="shared" si="1"/>
        <v>0</v>
      </c>
      <c r="AJ31" s="30">
        <f t="shared" si="2"/>
        <v>0</v>
      </c>
    </row>
    <row r="32" spans="1:36" x14ac:dyDescent="0.25">
      <c r="A32" s="15">
        <f t="shared" si="3"/>
        <v>29</v>
      </c>
      <c r="B32" s="17" t="s">
        <v>82</v>
      </c>
      <c r="C32" s="3"/>
      <c r="D32" s="4"/>
      <c r="E32" s="4"/>
      <c r="F32" s="6"/>
      <c r="G32" s="4"/>
      <c r="H32" s="4"/>
      <c r="I32" s="4"/>
      <c r="J32" s="6"/>
      <c r="K32" s="6"/>
      <c r="L32" s="4"/>
      <c r="M32" s="6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21">
        <f t="shared" si="0"/>
        <v>0</v>
      </c>
      <c r="AI32" s="23">
        <f t="shared" si="1"/>
        <v>0</v>
      </c>
      <c r="AJ32" s="30">
        <f t="shared" si="2"/>
        <v>0</v>
      </c>
    </row>
    <row r="33" spans="1:36" x14ac:dyDescent="0.25">
      <c r="A33" s="15">
        <f t="shared" si="3"/>
        <v>30</v>
      </c>
      <c r="B33" s="17" t="s">
        <v>20</v>
      </c>
      <c r="C33" s="3"/>
      <c r="D33" s="4"/>
      <c r="E33" s="4"/>
      <c r="F33" s="6"/>
      <c r="G33" s="4"/>
      <c r="H33" s="4"/>
      <c r="I33" s="4"/>
      <c r="J33" s="6"/>
      <c r="K33" s="6"/>
      <c r="L33" s="6"/>
      <c r="M33" s="6"/>
      <c r="N33" s="4"/>
      <c r="O33" s="4"/>
      <c r="P33" s="4"/>
      <c r="Q33" s="4"/>
      <c r="R33" s="4"/>
      <c r="S33" s="6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21">
        <f t="shared" si="0"/>
        <v>0</v>
      </c>
      <c r="AI33" s="23">
        <f t="shared" si="1"/>
        <v>0</v>
      </c>
      <c r="AJ33" s="30">
        <f t="shared" si="2"/>
        <v>0</v>
      </c>
    </row>
    <row r="34" spans="1:36" x14ac:dyDescent="0.25">
      <c r="A34" s="15">
        <f t="shared" si="3"/>
        <v>31</v>
      </c>
      <c r="B34" s="17" t="s">
        <v>21</v>
      </c>
      <c r="C34" s="3"/>
      <c r="D34" s="4"/>
      <c r="E34" s="6"/>
      <c r="F34" s="6"/>
      <c r="G34" s="4"/>
      <c r="H34" s="4"/>
      <c r="I34" s="6"/>
      <c r="J34" s="6"/>
      <c r="K34" s="6"/>
      <c r="L34" s="4"/>
      <c r="M34" s="4"/>
      <c r="N34" s="4"/>
      <c r="O34" s="4"/>
      <c r="P34" s="4"/>
      <c r="Q34" s="6"/>
      <c r="R34" s="6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21">
        <f t="shared" si="0"/>
        <v>0</v>
      </c>
      <c r="AI34" s="23">
        <f t="shared" si="1"/>
        <v>0</v>
      </c>
      <c r="AJ34" s="30">
        <f t="shared" si="2"/>
        <v>0</v>
      </c>
    </row>
    <row r="35" spans="1:36" x14ac:dyDescent="0.25">
      <c r="A35" s="15">
        <f t="shared" si="3"/>
        <v>32</v>
      </c>
      <c r="B35" s="16" t="s">
        <v>22</v>
      </c>
      <c r="C35" s="3"/>
      <c r="D35" s="6"/>
      <c r="E35" s="6"/>
      <c r="F35" s="6"/>
      <c r="G35" s="4"/>
      <c r="H35" s="4"/>
      <c r="I35" s="4"/>
      <c r="J35" s="6"/>
      <c r="K35" s="4"/>
      <c r="L35" s="6"/>
      <c r="M35" s="6"/>
      <c r="N35" s="4"/>
      <c r="O35" s="6"/>
      <c r="P35" s="4"/>
      <c r="Q35" s="6"/>
      <c r="R35" s="6"/>
      <c r="S35" s="4"/>
      <c r="T35" s="4"/>
      <c r="U35" s="6"/>
      <c r="V35" s="4"/>
      <c r="W35" s="6"/>
      <c r="X35" s="6"/>
      <c r="Y35" s="4"/>
      <c r="Z35" s="4"/>
      <c r="AA35" s="6"/>
      <c r="AB35" s="4"/>
      <c r="AC35" s="4"/>
      <c r="AD35" s="4"/>
      <c r="AE35" s="4"/>
      <c r="AF35" s="4"/>
      <c r="AG35" s="4"/>
      <c r="AH35" s="21">
        <f t="shared" si="0"/>
        <v>0</v>
      </c>
      <c r="AI35" s="23">
        <f t="shared" si="1"/>
        <v>0</v>
      </c>
      <c r="AJ35" s="30">
        <f t="shared" si="2"/>
        <v>0</v>
      </c>
    </row>
    <row r="36" spans="1:36" x14ac:dyDescent="0.25">
      <c r="A36" s="15">
        <f t="shared" si="3"/>
        <v>33</v>
      </c>
      <c r="B36" s="16" t="s">
        <v>71</v>
      </c>
      <c r="C36" s="3"/>
      <c r="D36" s="4"/>
      <c r="E36" s="4"/>
      <c r="F36" s="6"/>
      <c r="G36" s="4"/>
      <c r="H36" s="4"/>
      <c r="I36" s="4"/>
      <c r="J36" s="6"/>
      <c r="K36" s="6"/>
      <c r="L36" s="6"/>
      <c r="M36" s="6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6"/>
      <c r="AC36" s="6"/>
      <c r="AD36" s="4"/>
      <c r="AE36" s="4"/>
      <c r="AF36" s="4"/>
      <c r="AG36" s="4"/>
      <c r="AH36" s="21">
        <f t="shared" si="0"/>
        <v>0</v>
      </c>
      <c r="AI36" s="23">
        <f t="shared" si="1"/>
        <v>0</v>
      </c>
      <c r="AJ36" s="30">
        <f>SUM(AH36:AI36)</f>
        <v>0</v>
      </c>
    </row>
    <row r="37" spans="1:36" x14ac:dyDescent="0.25">
      <c r="A37" s="15">
        <f t="shared" si="3"/>
        <v>34</v>
      </c>
      <c r="B37" s="16" t="s">
        <v>23</v>
      </c>
      <c r="C37" s="3"/>
      <c r="D37" s="4"/>
      <c r="E37" s="4"/>
      <c r="F37" s="6"/>
      <c r="G37" s="4"/>
      <c r="H37" s="4"/>
      <c r="I37" s="4"/>
      <c r="J37" s="4"/>
      <c r="K37" s="4"/>
      <c r="L37" s="4"/>
      <c r="M37" s="6"/>
      <c r="N37" s="4"/>
      <c r="O37" s="4"/>
      <c r="P37" s="4"/>
      <c r="Q37" s="4"/>
      <c r="R37" s="4"/>
      <c r="S37" s="6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21">
        <f t="shared" si="0"/>
        <v>0</v>
      </c>
      <c r="AI37" s="23">
        <f t="shared" si="1"/>
        <v>0</v>
      </c>
      <c r="AJ37" s="30">
        <f>SUM(AH37:AI37)</f>
        <v>0</v>
      </c>
    </row>
    <row r="38" spans="1:36" x14ac:dyDescent="0.25">
      <c r="A38" s="15">
        <f t="shared" si="3"/>
        <v>35</v>
      </c>
      <c r="B38" s="16" t="s">
        <v>41</v>
      </c>
      <c r="C38" s="5"/>
      <c r="D38" s="4"/>
      <c r="E38" s="4"/>
      <c r="F38" s="6"/>
      <c r="G38" s="4"/>
      <c r="H38" s="4"/>
      <c r="I38" s="4"/>
      <c r="J38" s="6"/>
      <c r="K38" s="4"/>
      <c r="L38" s="4"/>
      <c r="M38" s="4"/>
      <c r="N38" s="4"/>
      <c r="O38" s="6"/>
      <c r="P38" s="4"/>
      <c r="Q38" s="4"/>
      <c r="R38" s="4"/>
      <c r="S38" s="4"/>
      <c r="T38" s="4"/>
      <c r="U38" s="4"/>
      <c r="V38" s="4"/>
      <c r="W38" s="4"/>
      <c r="X38" s="6"/>
      <c r="Y38" s="4"/>
      <c r="Z38" s="4"/>
      <c r="AA38" s="4"/>
      <c r="AB38" s="4"/>
      <c r="AC38" s="4"/>
      <c r="AD38" s="6"/>
      <c r="AE38" s="4"/>
      <c r="AF38" s="4"/>
      <c r="AG38" s="4"/>
      <c r="AH38" s="21">
        <f t="shared" si="0"/>
        <v>0</v>
      </c>
      <c r="AI38" s="23">
        <f t="shared" si="1"/>
        <v>0</v>
      </c>
      <c r="AJ38" s="30">
        <f t="shared" si="2"/>
        <v>0</v>
      </c>
    </row>
    <row r="39" spans="1:36" x14ac:dyDescent="0.25">
      <c r="A39" s="15">
        <f t="shared" si="3"/>
        <v>36</v>
      </c>
      <c r="B39" s="16" t="s">
        <v>54</v>
      </c>
      <c r="C39" s="5"/>
      <c r="D39" s="6"/>
      <c r="E39" s="6"/>
      <c r="F39" s="6"/>
      <c r="G39" s="4"/>
      <c r="H39" s="4"/>
      <c r="I39" s="4"/>
      <c r="J39" s="6"/>
      <c r="K39" s="4"/>
      <c r="L39" s="6"/>
      <c r="M39" s="6"/>
      <c r="N39" s="6"/>
      <c r="O39" s="4"/>
      <c r="P39" s="4"/>
      <c r="Q39" s="6"/>
      <c r="R39" s="4"/>
      <c r="S39" s="4"/>
      <c r="T39" s="6"/>
      <c r="U39" s="4"/>
      <c r="V39" s="4"/>
      <c r="W39" s="4"/>
      <c r="X39" s="4"/>
      <c r="Y39" s="4"/>
      <c r="Z39" s="4"/>
      <c r="AA39" s="4"/>
      <c r="AB39" s="6"/>
      <c r="AC39" s="6"/>
      <c r="AD39" s="4"/>
      <c r="AE39" s="6"/>
      <c r="AF39" s="6"/>
      <c r="AG39" s="6"/>
      <c r="AH39" s="21">
        <f t="shared" si="0"/>
        <v>0</v>
      </c>
      <c r="AI39" s="23">
        <f t="shared" si="1"/>
        <v>0</v>
      </c>
      <c r="AJ39" s="30">
        <f t="shared" si="2"/>
        <v>0</v>
      </c>
    </row>
    <row r="40" spans="1:36" x14ac:dyDescent="0.25">
      <c r="A40" s="15">
        <f t="shared" si="3"/>
        <v>37</v>
      </c>
      <c r="B40" s="16" t="s">
        <v>83</v>
      </c>
      <c r="C40" s="5"/>
      <c r="D40" s="6"/>
      <c r="E40" s="6"/>
      <c r="F40" s="6"/>
      <c r="G40" s="4"/>
      <c r="H40" s="4"/>
      <c r="I40" s="4"/>
      <c r="J40" s="6"/>
      <c r="K40" s="4"/>
      <c r="L40" s="6"/>
      <c r="M40" s="4"/>
      <c r="N40" s="6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21">
        <f t="shared" si="0"/>
        <v>0</v>
      </c>
      <c r="AI40" s="23">
        <f t="shared" si="1"/>
        <v>0</v>
      </c>
      <c r="AJ40" s="30">
        <f t="shared" si="2"/>
        <v>0</v>
      </c>
    </row>
    <row r="41" spans="1:36" x14ac:dyDescent="0.25">
      <c r="A41" s="15">
        <f t="shared" si="3"/>
        <v>38</v>
      </c>
      <c r="B41" s="16" t="s">
        <v>84</v>
      </c>
      <c r="C41" s="5"/>
      <c r="D41" s="6"/>
      <c r="E41" s="6"/>
      <c r="F41" s="6"/>
      <c r="G41" s="4"/>
      <c r="H41" s="4"/>
      <c r="I41" s="4"/>
      <c r="J41" s="6"/>
      <c r="K41" s="4"/>
      <c r="L41" s="6"/>
      <c r="M41" s="4"/>
      <c r="N41" s="6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21">
        <f t="shared" si="0"/>
        <v>0</v>
      </c>
      <c r="AI41" s="23">
        <f t="shared" si="1"/>
        <v>0</v>
      </c>
      <c r="AJ41" s="30">
        <f t="shared" si="2"/>
        <v>0</v>
      </c>
    </row>
    <row r="42" spans="1:36" x14ac:dyDescent="0.25">
      <c r="A42" s="15">
        <f t="shared" si="3"/>
        <v>39</v>
      </c>
      <c r="B42" s="16" t="s">
        <v>81</v>
      </c>
      <c r="C42" s="5"/>
      <c r="D42" s="6"/>
      <c r="E42" s="6"/>
      <c r="F42" s="6"/>
      <c r="G42" s="4"/>
      <c r="H42" s="4"/>
      <c r="I42" s="4"/>
      <c r="J42" s="6"/>
      <c r="K42" s="4"/>
      <c r="L42" s="6"/>
      <c r="M42" s="4"/>
      <c r="N42" s="6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21">
        <f t="shared" si="0"/>
        <v>0</v>
      </c>
      <c r="AI42" s="23">
        <f t="shared" si="1"/>
        <v>0</v>
      </c>
      <c r="AJ42" s="30">
        <f t="shared" si="2"/>
        <v>0</v>
      </c>
    </row>
    <row r="43" spans="1:36" x14ac:dyDescent="0.25">
      <c r="A43" s="15">
        <f t="shared" si="3"/>
        <v>40</v>
      </c>
      <c r="B43" s="16" t="s">
        <v>24</v>
      </c>
      <c r="C43" s="5"/>
      <c r="D43" s="6"/>
      <c r="E43" s="6"/>
      <c r="F43" s="6"/>
      <c r="G43" s="4"/>
      <c r="H43" s="4"/>
      <c r="I43" s="4"/>
      <c r="J43" s="6"/>
      <c r="K43" s="6"/>
      <c r="L43" s="6"/>
      <c r="M43" s="4"/>
      <c r="N43" s="6"/>
      <c r="O43" s="4"/>
      <c r="P43" s="4"/>
      <c r="Q43" s="4"/>
      <c r="R43" s="4"/>
      <c r="S43" s="4"/>
      <c r="T43" s="4"/>
      <c r="U43" s="4"/>
      <c r="V43" s="4"/>
      <c r="W43" s="4"/>
      <c r="X43" s="6"/>
      <c r="Y43" s="4"/>
      <c r="Z43" s="4"/>
      <c r="AA43" s="4"/>
      <c r="AB43" s="6"/>
      <c r="AC43" s="4"/>
      <c r="AD43" s="4"/>
      <c r="AE43" s="4"/>
      <c r="AF43" s="4"/>
      <c r="AG43" s="4"/>
      <c r="AH43" s="21">
        <f t="shared" si="0"/>
        <v>0</v>
      </c>
      <c r="AI43" s="23">
        <f t="shared" si="1"/>
        <v>0</v>
      </c>
      <c r="AJ43" s="30">
        <f t="shared" si="2"/>
        <v>0</v>
      </c>
    </row>
    <row r="44" spans="1:36" x14ac:dyDescent="0.25">
      <c r="A44" s="15">
        <f t="shared" si="3"/>
        <v>41</v>
      </c>
      <c r="B44" s="16" t="s">
        <v>25</v>
      </c>
      <c r="C44" s="3"/>
      <c r="D44" s="6"/>
      <c r="E44" s="6"/>
      <c r="F44" s="6"/>
      <c r="G44" s="6"/>
      <c r="H44" s="4"/>
      <c r="I44" s="6"/>
      <c r="J44" s="6"/>
      <c r="K44" s="4"/>
      <c r="L44" s="4"/>
      <c r="M44" s="4"/>
      <c r="N44" s="6"/>
      <c r="O44" s="4"/>
      <c r="P44" s="4"/>
      <c r="Q44" s="4"/>
      <c r="R44" s="4"/>
      <c r="S44" s="6"/>
      <c r="T44" s="4"/>
      <c r="U44" s="4"/>
      <c r="V44" s="4"/>
      <c r="W44" s="4"/>
      <c r="X44" s="6"/>
      <c r="Y44" s="4"/>
      <c r="Z44" s="4"/>
      <c r="AA44" s="4"/>
      <c r="AB44" s="4"/>
      <c r="AC44" s="4"/>
      <c r="AD44" s="4"/>
      <c r="AE44" s="6"/>
      <c r="AF44" s="6"/>
      <c r="AG44" s="6"/>
      <c r="AH44" s="21">
        <f t="shared" si="0"/>
        <v>0</v>
      </c>
      <c r="AI44" s="23">
        <f t="shared" si="1"/>
        <v>0</v>
      </c>
      <c r="AJ44" s="30">
        <f t="shared" si="2"/>
        <v>0</v>
      </c>
    </row>
    <row r="45" spans="1:36" x14ac:dyDescent="0.25">
      <c r="A45" s="15">
        <f t="shared" si="3"/>
        <v>42</v>
      </c>
      <c r="B45" s="16" t="s">
        <v>26</v>
      </c>
      <c r="C45" s="3"/>
      <c r="D45" s="4"/>
      <c r="E45" s="6"/>
      <c r="F45" s="6"/>
      <c r="G45" s="4"/>
      <c r="H45" s="4"/>
      <c r="I45" s="4"/>
      <c r="J45" s="6"/>
      <c r="K45" s="4"/>
      <c r="L45" s="6"/>
      <c r="M45" s="4"/>
      <c r="N45" s="4"/>
      <c r="O45" s="4"/>
      <c r="P45" s="4"/>
      <c r="Q45" s="4"/>
      <c r="R45" s="4"/>
      <c r="S45" s="6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21">
        <f t="shared" si="0"/>
        <v>0</v>
      </c>
      <c r="AI45" s="23">
        <f t="shared" si="1"/>
        <v>0</v>
      </c>
      <c r="AJ45" s="30">
        <f t="shared" si="2"/>
        <v>0</v>
      </c>
    </row>
    <row r="46" spans="1:36" x14ac:dyDescent="0.25">
      <c r="A46" s="15">
        <f t="shared" si="3"/>
        <v>43</v>
      </c>
      <c r="B46" s="16" t="s">
        <v>29</v>
      </c>
      <c r="C46" s="5"/>
      <c r="D46" s="6"/>
      <c r="E46" s="6"/>
      <c r="F46" s="6"/>
      <c r="G46" s="6"/>
      <c r="H46" s="4"/>
      <c r="I46" s="4"/>
      <c r="J46" s="6"/>
      <c r="K46" s="4"/>
      <c r="L46" s="4"/>
      <c r="M46" s="6"/>
      <c r="N46" s="6"/>
      <c r="O46" s="4"/>
      <c r="P46" s="6"/>
      <c r="Q46" s="4"/>
      <c r="R46" s="4"/>
      <c r="S46" s="6"/>
      <c r="T46" s="4"/>
      <c r="U46" s="4"/>
      <c r="V46" s="4"/>
      <c r="W46" s="4"/>
      <c r="X46" s="4"/>
      <c r="Y46" s="4"/>
      <c r="Z46" s="4"/>
      <c r="AA46" s="4"/>
      <c r="AB46" s="4"/>
      <c r="AC46" s="4"/>
      <c r="AD46" s="6"/>
      <c r="AE46" s="6"/>
      <c r="AF46" s="4"/>
      <c r="AG46" s="4"/>
      <c r="AH46" s="21">
        <f t="shared" si="0"/>
        <v>0</v>
      </c>
      <c r="AI46" s="23">
        <f t="shared" si="1"/>
        <v>0</v>
      </c>
      <c r="AJ46" s="30">
        <f t="shared" si="2"/>
        <v>0</v>
      </c>
    </row>
    <row r="47" spans="1:36" x14ac:dyDescent="0.25">
      <c r="A47" s="15">
        <f t="shared" si="3"/>
        <v>44</v>
      </c>
      <c r="B47" s="16" t="s">
        <v>77</v>
      </c>
      <c r="C47" s="3"/>
      <c r="D47" s="4"/>
      <c r="E47" s="4"/>
      <c r="F47" s="6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6"/>
      <c r="T47" s="4"/>
      <c r="U47" s="4"/>
      <c r="V47" s="4"/>
      <c r="W47" s="4"/>
      <c r="X47" s="6"/>
      <c r="Y47" s="4"/>
      <c r="Z47" s="4"/>
      <c r="AA47" s="4"/>
      <c r="AB47" s="4"/>
      <c r="AC47" s="4"/>
      <c r="AD47" s="4"/>
      <c r="AE47" s="4"/>
      <c r="AF47" s="4"/>
      <c r="AG47" s="4"/>
      <c r="AH47" s="21">
        <f t="shared" si="0"/>
        <v>0</v>
      </c>
      <c r="AI47" s="23">
        <f t="shared" si="1"/>
        <v>0</v>
      </c>
      <c r="AJ47" s="30">
        <f t="shared" si="2"/>
        <v>0</v>
      </c>
    </row>
    <row r="48" spans="1:36" x14ac:dyDescent="0.25">
      <c r="A48" s="15">
        <f t="shared" si="3"/>
        <v>45</v>
      </c>
      <c r="B48" s="16" t="s">
        <v>31</v>
      </c>
      <c r="C48" s="3"/>
      <c r="D48" s="4"/>
      <c r="E48" s="4"/>
      <c r="F48" s="6"/>
      <c r="G48" s="4"/>
      <c r="H48" s="4"/>
      <c r="I48" s="4"/>
      <c r="J48" s="6"/>
      <c r="K48" s="6"/>
      <c r="L48" s="6"/>
      <c r="M48" s="6"/>
      <c r="N48" s="4"/>
      <c r="O48" s="4"/>
      <c r="P48" s="4"/>
      <c r="Q48" s="4"/>
      <c r="R48" s="4"/>
      <c r="S48" s="6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21">
        <f t="shared" si="0"/>
        <v>0</v>
      </c>
      <c r="AI48" s="23">
        <f t="shared" si="1"/>
        <v>0</v>
      </c>
      <c r="AJ48" s="30">
        <f t="shared" si="2"/>
        <v>0</v>
      </c>
    </row>
    <row r="49" spans="1:36" x14ac:dyDescent="0.25">
      <c r="A49" s="15">
        <f t="shared" si="3"/>
        <v>46</v>
      </c>
      <c r="B49" s="16" t="s">
        <v>66</v>
      </c>
      <c r="C49" s="3"/>
      <c r="D49" s="4"/>
      <c r="E49" s="4"/>
      <c r="F49" s="6"/>
      <c r="G49" s="4"/>
      <c r="H49" s="4"/>
      <c r="I49" s="4"/>
      <c r="J49" s="6"/>
      <c r="K49" s="6"/>
      <c r="L49" s="6"/>
      <c r="M49" s="6"/>
      <c r="N49" s="4"/>
      <c r="O49" s="4"/>
      <c r="P49" s="4"/>
      <c r="Q49" s="4"/>
      <c r="R49" s="4"/>
      <c r="S49" s="6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21">
        <f t="shared" si="0"/>
        <v>0</v>
      </c>
      <c r="AI49" s="23">
        <f t="shared" si="1"/>
        <v>0</v>
      </c>
      <c r="AJ49" s="30">
        <f t="shared" si="2"/>
        <v>0</v>
      </c>
    </row>
    <row r="50" spans="1:36" x14ac:dyDescent="0.25">
      <c r="A50" s="15">
        <f t="shared" si="3"/>
        <v>47</v>
      </c>
      <c r="B50" s="16" t="s">
        <v>78</v>
      </c>
      <c r="C50" s="5"/>
      <c r="D50" s="4"/>
      <c r="E50" s="4"/>
      <c r="F50" s="6"/>
      <c r="G50" s="4"/>
      <c r="H50" s="4"/>
      <c r="I50" s="4"/>
      <c r="J50" s="4"/>
      <c r="K50" s="4"/>
      <c r="L50" s="4"/>
      <c r="M50" s="6"/>
      <c r="N50" s="4"/>
      <c r="O50" s="4"/>
      <c r="P50" s="4"/>
      <c r="Q50" s="4"/>
      <c r="R50" s="4"/>
      <c r="S50" s="6"/>
      <c r="T50" s="4"/>
      <c r="U50" s="4"/>
      <c r="V50" s="4"/>
      <c r="W50" s="4"/>
      <c r="X50" s="6"/>
      <c r="Y50" s="4"/>
      <c r="Z50" s="4"/>
      <c r="AA50" s="4"/>
      <c r="AB50" s="6"/>
      <c r="AC50" s="4"/>
      <c r="AD50" s="4"/>
      <c r="AE50" s="4"/>
      <c r="AF50" s="4"/>
      <c r="AG50" s="4"/>
      <c r="AH50" s="21">
        <f t="shared" si="0"/>
        <v>0</v>
      </c>
      <c r="AI50" s="23">
        <f t="shared" si="1"/>
        <v>0</v>
      </c>
      <c r="AJ50" s="30">
        <f t="shared" si="2"/>
        <v>0</v>
      </c>
    </row>
    <row r="51" spans="1:36" x14ac:dyDescent="0.25">
      <c r="A51" s="15">
        <f t="shared" si="3"/>
        <v>48</v>
      </c>
      <c r="B51" s="16" t="s">
        <v>75</v>
      </c>
      <c r="C51" s="5"/>
      <c r="D51" s="6"/>
      <c r="E51" s="6"/>
      <c r="F51" s="6"/>
      <c r="G51" s="4"/>
      <c r="H51" s="4"/>
      <c r="I51" s="4"/>
      <c r="J51" s="6"/>
      <c r="K51" s="4"/>
      <c r="L51" s="4"/>
      <c r="M51" s="4"/>
      <c r="N51" s="6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6"/>
      <c r="AD51" s="4"/>
      <c r="AE51" s="4"/>
      <c r="AF51" s="4"/>
      <c r="AG51" s="4"/>
      <c r="AH51" s="21">
        <f t="shared" si="0"/>
        <v>0</v>
      </c>
      <c r="AI51" s="23">
        <f t="shared" si="1"/>
        <v>0</v>
      </c>
      <c r="AJ51" s="30">
        <f t="shared" si="2"/>
        <v>0</v>
      </c>
    </row>
    <row r="52" spans="1:36" x14ac:dyDescent="0.25">
      <c r="A52" s="15">
        <f t="shared" si="3"/>
        <v>49</v>
      </c>
      <c r="B52" s="16" t="s">
        <v>32</v>
      </c>
      <c r="C52" s="3"/>
      <c r="D52" s="6"/>
      <c r="E52" s="6"/>
      <c r="F52" s="6"/>
      <c r="G52" s="4"/>
      <c r="H52" s="4"/>
      <c r="I52" s="4"/>
      <c r="J52" s="6"/>
      <c r="K52" s="4"/>
      <c r="L52" s="4"/>
      <c r="M52" s="4"/>
      <c r="N52" s="6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21">
        <f t="shared" si="0"/>
        <v>0</v>
      </c>
      <c r="AI52" s="23">
        <f t="shared" si="1"/>
        <v>0</v>
      </c>
      <c r="AJ52" s="30">
        <f t="shared" si="2"/>
        <v>0</v>
      </c>
    </row>
    <row r="53" spans="1:36" x14ac:dyDescent="0.25">
      <c r="A53" s="15">
        <f t="shared" si="3"/>
        <v>50</v>
      </c>
      <c r="B53" s="16" t="s">
        <v>33</v>
      </c>
      <c r="C53" s="3"/>
      <c r="D53" s="4"/>
      <c r="E53" s="4"/>
      <c r="F53" s="6"/>
      <c r="G53" s="4"/>
      <c r="H53" s="4"/>
      <c r="I53" s="4"/>
      <c r="J53" s="4"/>
      <c r="K53" s="4"/>
      <c r="L53" s="4"/>
      <c r="M53" s="4"/>
      <c r="N53" s="6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6"/>
      <c r="AC53" s="6"/>
      <c r="AD53" s="4"/>
      <c r="AE53" s="4"/>
      <c r="AF53" s="4"/>
      <c r="AG53" s="4"/>
      <c r="AH53" s="21">
        <f t="shared" si="0"/>
        <v>0</v>
      </c>
      <c r="AI53" s="23">
        <f t="shared" si="1"/>
        <v>0</v>
      </c>
      <c r="AJ53" s="30">
        <f>SUM(AH53:AI53)</f>
        <v>0</v>
      </c>
    </row>
    <row r="54" spans="1:36" x14ac:dyDescent="0.25">
      <c r="A54" s="15">
        <f t="shared" si="3"/>
        <v>51</v>
      </c>
      <c r="B54" s="16" t="s">
        <v>70</v>
      </c>
      <c r="C54" s="3"/>
      <c r="D54" s="4"/>
      <c r="E54" s="4"/>
      <c r="F54" s="6"/>
      <c r="G54" s="4"/>
      <c r="H54" s="4"/>
      <c r="I54" s="4"/>
      <c r="J54" s="6"/>
      <c r="K54" s="6"/>
      <c r="L54" s="6"/>
      <c r="M54" s="6"/>
      <c r="N54" s="4"/>
      <c r="O54" s="4"/>
      <c r="P54" s="4"/>
      <c r="Q54" s="4"/>
      <c r="R54" s="4"/>
      <c r="S54" s="6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21">
        <f t="shared" si="0"/>
        <v>0</v>
      </c>
      <c r="AI54" s="23">
        <f t="shared" si="1"/>
        <v>0</v>
      </c>
      <c r="AJ54" s="30">
        <f>SUM(AH54:AI54)</f>
        <v>0</v>
      </c>
    </row>
    <row r="55" spans="1:36" x14ac:dyDescent="0.25">
      <c r="A55" s="15">
        <f t="shared" si="3"/>
        <v>52</v>
      </c>
      <c r="B55" s="16" t="s">
        <v>72</v>
      </c>
      <c r="C55" s="3"/>
      <c r="D55" s="4"/>
      <c r="E55" s="4"/>
      <c r="F55" s="6"/>
      <c r="G55" s="4"/>
      <c r="H55" s="4"/>
      <c r="I55" s="4"/>
      <c r="J55" s="6"/>
      <c r="K55" s="4"/>
      <c r="L55" s="6"/>
      <c r="M55" s="4"/>
      <c r="N55" s="4"/>
      <c r="O55" s="4"/>
      <c r="P55" s="4"/>
      <c r="Q55" s="6"/>
      <c r="R55" s="4"/>
      <c r="S55" s="4"/>
      <c r="T55" s="4"/>
      <c r="U55" s="4"/>
      <c r="V55" s="4"/>
      <c r="W55" s="4"/>
      <c r="X55" s="6"/>
      <c r="Y55" s="6"/>
      <c r="Z55" s="4"/>
      <c r="AA55" s="4"/>
      <c r="AB55" s="6"/>
      <c r="AC55" s="4"/>
      <c r="AD55" s="4"/>
      <c r="AE55" s="4"/>
      <c r="AF55" s="4"/>
      <c r="AG55" s="4"/>
      <c r="AH55" s="21">
        <f t="shared" si="0"/>
        <v>0</v>
      </c>
      <c r="AI55" s="23">
        <f t="shared" si="1"/>
        <v>0</v>
      </c>
      <c r="AJ55" s="30">
        <f t="shared" ref="AJ55:AJ63" si="4">SUM(AH55:AI55)</f>
        <v>0</v>
      </c>
    </row>
    <row r="56" spans="1:36" x14ac:dyDescent="0.25">
      <c r="A56" s="15">
        <f t="shared" si="3"/>
        <v>53</v>
      </c>
      <c r="B56" s="16" t="s">
        <v>34</v>
      </c>
      <c r="C56" s="3"/>
      <c r="D56" s="4"/>
      <c r="E56" s="6"/>
      <c r="F56" s="6"/>
      <c r="G56" s="4"/>
      <c r="H56" s="4"/>
      <c r="I56" s="4"/>
      <c r="J56" s="6"/>
      <c r="K56" s="4"/>
      <c r="L56" s="4"/>
      <c r="M56" s="4"/>
      <c r="N56" s="6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21">
        <f t="shared" si="0"/>
        <v>0</v>
      </c>
      <c r="AI56" s="23">
        <f t="shared" si="1"/>
        <v>0</v>
      </c>
      <c r="AJ56" s="30">
        <f t="shared" si="4"/>
        <v>0</v>
      </c>
    </row>
    <row r="57" spans="1:36" x14ac:dyDescent="0.25">
      <c r="A57" s="15">
        <f t="shared" si="3"/>
        <v>54</v>
      </c>
      <c r="B57" s="16" t="s">
        <v>76</v>
      </c>
      <c r="C57" s="5"/>
      <c r="D57" s="6"/>
      <c r="E57" s="6"/>
      <c r="F57" s="6"/>
      <c r="G57" s="4"/>
      <c r="H57" s="4"/>
      <c r="I57" s="4"/>
      <c r="J57" s="6"/>
      <c r="K57" s="4"/>
      <c r="L57" s="4"/>
      <c r="M57" s="6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21">
        <f t="shared" si="0"/>
        <v>0</v>
      </c>
      <c r="AI57" s="23">
        <f t="shared" si="1"/>
        <v>0</v>
      </c>
      <c r="AJ57" s="30">
        <f t="shared" si="4"/>
        <v>0</v>
      </c>
    </row>
    <row r="58" spans="1:36" x14ac:dyDescent="0.25">
      <c r="A58" s="15">
        <f t="shared" si="3"/>
        <v>55</v>
      </c>
      <c r="B58" s="16" t="s">
        <v>74</v>
      </c>
      <c r="C58" s="3"/>
      <c r="D58" s="4"/>
      <c r="E58" s="4"/>
      <c r="F58" s="6"/>
      <c r="G58" s="4"/>
      <c r="H58" s="4"/>
      <c r="I58" s="4"/>
      <c r="J58" s="6"/>
      <c r="K58" s="6"/>
      <c r="L58" s="6"/>
      <c r="M58" s="6"/>
      <c r="N58" s="4"/>
      <c r="O58" s="4"/>
      <c r="P58" s="4"/>
      <c r="Q58" s="4"/>
      <c r="R58" s="4"/>
      <c r="S58" s="6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21">
        <f t="shared" si="0"/>
        <v>0</v>
      </c>
      <c r="AI58" s="23">
        <f t="shared" si="1"/>
        <v>0</v>
      </c>
      <c r="AJ58" s="30">
        <f t="shared" si="4"/>
        <v>0</v>
      </c>
    </row>
    <row r="59" spans="1:36" x14ac:dyDescent="0.25">
      <c r="A59" s="15">
        <f t="shared" si="3"/>
        <v>56</v>
      </c>
      <c r="B59" s="16" t="s">
        <v>43</v>
      </c>
      <c r="C59" s="3"/>
      <c r="D59" s="4"/>
      <c r="E59" s="4"/>
      <c r="F59" s="6"/>
      <c r="G59" s="4"/>
      <c r="H59" s="4"/>
      <c r="I59" s="4"/>
      <c r="J59" s="6"/>
      <c r="K59" s="6"/>
      <c r="L59" s="6"/>
      <c r="M59" s="6"/>
      <c r="N59" s="4"/>
      <c r="O59" s="4"/>
      <c r="P59" s="4"/>
      <c r="Q59" s="4"/>
      <c r="R59" s="4"/>
      <c r="S59" s="6"/>
      <c r="T59" s="4"/>
      <c r="U59" s="4"/>
      <c r="V59" s="4"/>
      <c r="W59" s="4"/>
      <c r="X59" s="4"/>
      <c r="Y59" s="4"/>
      <c r="Z59" s="4"/>
      <c r="AA59" s="4"/>
      <c r="AB59" s="4"/>
      <c r="AC59" s="4"/>
      <c r="AD59" s="6"/>
      <c r="AE59" s="5"/>
      <c r="AF59" s="3"/>
      <c r="AG59" s="4"/>
      <c r="AH59" s="21">
        <f t="shared" si="0"/>
        <v>0</v>
      </c>
      <c r="AI59" s="23">
        <f t="shared" si="1"/>
        <v>0</v>
      </c>
      <c r="AJ59" s="30">
        <f t="shared" si="4"/>
        <v>0</v>
      </c>
    </row>
    <row r="60" spans="1:36" x14ac:dyDescent="0.25">
      <c r="A60" s="15">
        <f t="shared" si="3"/>
        <v>57</v>
      </c>
      <c r="B60" s="16" t="s">
        <v>35</v>
      </c>
      <c r="C60" s="3"/>
      <c r="D60" s="6"/>
      <c r="E60" s="4"/>
      <c r="F60" s="6"/>
      <c r="G60" s="4"/>
      <c r="H60" s="4"/>
      <c r="I60" s="4"/>
      <c r="J60" s="6"/>
      <c r="K60" s="6"/>
      <c r="L60" s="6"/>
      <c r="M60" s="6"/>
      <c r="N60" s="4"/>
      <c r="O60" s="4"/>
      <c r="P60" s="4"/>
      <c r="Q60" s="4"/>
      <c r="R60" s="4"/>
      <c r="S60" s="4"/>
      <c r="T60" s="4"/>
      <c r="U60" s="4"/>
      <c r="V60" s="4"/>
      <c r="W60" s="4"/>
      <c r="X60" s="6"/>
      <c r="Y60" s="4"/>
      <c r="Z60" s="4"/>
      <c r="AA60" s="4"/>
      <c r="AB60" s="4"/>
      <c r="AC60" s="4"/>
      <c r="AD60" s="4"/>
      <c r="AE60" s="4"/>
      <c r="AF60" s="4"/>
      <c r="AG60" s="4"/>
      <c r="AH60" s="21">
        <f t="shared" si="0"/>
        <v>0</v>
      </c>
      <c r="AI60" s="23">
        <f t="shared" si="1"/>
        <v>0</v>
      </c>
      <c r="AJ60" s="30">
        <f t="shared" si="4"/>
        <v>0</v>
      </c>
    </row>
    <row r="61" spans="1:36" x14ac:dyDescent="0.25">
      <c r="A61" s="15">
        <f t="shared" si="3"/>
        <v>58</v>
      </c>
      <c r="B61" s="16" t="s">
        <v>36</v>
      </c>
      <c r="C61" s="3"/>
      <c r="D61" s="4"/>
      <c r="E61" s="4"/>
      <c r="F61" s="6"/>
      <c r="G61" s="4"/>
      <c r="H61" s="4"/>
      <c r="I61" s="4"/>
      <c r="J61" s="6"/>
      <c r="K61" s="6"/>
      <c r="L61" s="6"/>
      <c r="M61" s="6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6"/>
      <c r="AC61" s="6"/>
      <c r="AD61" s="4"/>
      <c r="AE61" s="4"/>
      <c r="AF61" s="4"/>
      <c r="AG61" s="4"/>
      <c r="AH61" s="21">
        <f t="shared" si="0"/>
        <v>0</v>
      </c>
      <c r="AI61" s="23">
        <f t="shared" si="1"/>
        <v>0</v>
      </c>
      <c r="AJ61" s="30">
        <f t="shared" si="4"/>
        <v>0</v>
      </c>
    </row>
    <row r="62" spans="1:36" x14ac:dyDescent="0.25">
      <c r="A62" s="15">
        <f t="shared" si="3"/>
        <v>59</v>
      </c>
      <c r="B62" s="33" t="s">
        <v>62</v>
      </c>
      <c r="C62" s="3"/>
      <c r="D62" s="4"/>
      <c r="E62" s="4"/>
      <c r="F62" s="6"/>
      <c r="G62" s="4"/>
      <c r="H62" s="4"/>
      <c r="I62" s="4"/>
      <c r="J62" s="6"/>
      <c r="K62" s="4"/>
      <c r="L62" s="6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6"/>
      <c r="AF62" s="6"/>
      <c r="AG62" s="6"/>
      <c r="AH62" s="21">
        <f t="shared" si="0"/>
        <v>0</v>
      </c>
      <c r="AI62" s="23">
        <f t="shared" si="1"/>
        <v>0</v>
      </c>
      <c r="AJ62" s="30">
        <f t="shared" si="4"/>
        <v>0</v>
      </c>
    </row>
    <row r="63" spans="1:36" ht="16.3" thickBot="1" x14ac:dyDescent="0.3">
      <c r="A63" s="35">
        <f t="shared" si="3"/>
        <v>60</v>
      </c>
      <c r="B63" s="19" t="s">
        <v>37</v>
      </c>
      <c r="C63" s="3"/>
      <c r="D63" s="6"/>
      <c r="E63" s="6"/>
      <c r="F63" s="6"/>
      <c r="G63" s="4"/>
      <c r="H63" s="4"/>
      <c r="I63" s="4"/>
      <c r="J63" s="4"/>
      <c r="K63" s="4"/>
      <c r="L63" s="6"/>
      <c r="M63" s="6"/>
      <c r="N63" s="6"/>
      <c r="O63" s="4"/>
      <c r="P63" s="4"/>
      <c r="Q63" s="4"/>
      <c r="R63" s="4"/>
      <c r="S63" s="6"/>
      <c r="T63" s="4"/>
      <c r="U63" s="4"/>
      <c r="V63" s="4"/>
      <c r="W63" s="4"/>
      <c r="X63" s="6"/>
      <c r="Y63" s="4"/>
      <c r="Z63" s="4"/>
      <c r="AA63" s="4"/>
      <c r="AB63" s="4"/>
      <c r="AC63" s="4"/>
      <c r="AD63" s="4"/>
      <c r="AE63" s="4"/>
      <c r="AF63" s="4"/>
      <c r="AG63" s="4"/>
      <c r="AH63" s="22">
        <f t="shared" si="0"/>
        <v>0</v>
      </c>
      <c r="AI63" s="24">
        <f t="shared" si="1"/>
        <v>0</v>
      </c>
      <c r="AJ63" s="31">
        <f t="shared" si="4"/>
        <v>0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AE10:AF12 AG11:AG12 C13:AG13 C11:E12 C14:E14 C17:E17 C22:E22 C26:E26 C30:E30 C34:T34 C33:E33 C36:E37 C42:E42 C48:E49 C53:E55 C58:E59 C62:O63 C61:E61 G10:G12 C18:F18 G48:L49 C50:L50 H11:M12 M48:M50 C47:M47 N10:O12 C60:S60 C44:P46 G53:O54 G61:O61 N47:P49 Q44:AG44 P11:S12 G17:S18 C20:T21 G26:Y26 G33:S33 Q45:R49 P53:AG53 G14:S14 C19:S19 G22:S22 C29:S29 N50:AG50 S46:S49 P54:S54 G58:S59 U10:U12 C9:U9 W9:AG9 V9:V12 C27:AG28 C43:AG43 C51:AG52 C56:AG57 P61:AG63 W11:Y12 C15:AG16 U18:AB18 C23:AG23 U29:AB29 C31:AG32 C39:AG41 S45:AG45 U47:AG47 G55:AG55 U60:Z60 U14:Y14 U17:Y17 U19:Y19 AA19:AG19 U22:AG22 U21:Y21 C24:Y25 G30:Y30 U33:Y34 C38:Y38 AA38:AG38 G42:Y42 U46:Y46 U48:Y49 U54:Y54 U58:Y59 AA21:AG21 AA33:AA34 AA14:AG14 AA17:AB17 AA30:AB30 C35:AA35 C4:AG8 AA11:AD12 AC17:AG18 U20:AG20 AA24:AG26 AC29:AG30 AB33:AG35 G36:AG37 AA42:AG42 AA46:AG46 AA48:AG49 AA54:AG54 AA58:AG60">
    <cfRule type="containsBlanks" dxfId="1" priority="2">
      <formula>LEN(TRIM(C4))=0</formula>
    </cfRule>
  </conditionalFormatting>
  <conditionalFormatting sqref="C10:F10 AG10 F11:F12 F14 F17 F22 F26 F30 F33 F36:F37 F42 F48:F49 F53:F55 F58:F59 F61 H10:M10 P10:T10 T11:T12 T14 T17:T19 T22 T29 T33 T46:T49 T54 T58:T60 W10:AD10 Z11:Z12 Z14 Z17 Z19 Z21 Z24:Z26 Z30 Z33:Z34 Z38 Z42 Z46 Z48:Z49 Z54 Z58:Z59">
    <cfRule type="containsBlanks" dxfId="0" priority="1">
      <formula>LEN(TRIM(C10))=0</formula>
    </cfRule>
  </conditionalFormatting>
  <pageMargins left="0.25" right="0.25" top="0.75" bottom="0.75" header="0.3" footer="0.3"/>
  <pageSetup paperSize="9" scale="62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11</vt:i4>
      </vt:variant>
    </vt:vector>
  </HeadingPairs>
  <TitlesOfParts>
    <vt:vector size="11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Август 2019</vt:lpstr>
      <vt:lpstr>Сентябрь 2019</vt:lpstr>
      <vt:lpstr>Октябрь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2019-08-02T08:49:16Z</cp:lastPrinted>
  <dcterms:created xsi:type="dcterms:W3CDTF">2018-09-27T16:52:37Z</dcterms:created>
  <dcterms:modified xsi:type="dcterms:W3CDTF">2019-10-01T11:19:05Z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