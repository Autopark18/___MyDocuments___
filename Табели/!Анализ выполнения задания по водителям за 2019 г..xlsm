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4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Май 2019" sheetId="8" r:id="rId5"/>
    <sheet name="Данные" sheetId="2" state="hidden" r:id="rId6"/>
  </sheets>
  <functionGroups builtInGroupCount="18"/>
  <definedNames>
    <definedName name="_xlnm._FilterDatabase" localSheetId="3" hidden="1">'Апрель 2019'!$C$2:$AF$62</definedName>
    <definedName name="_xlnm._FilterDatabase" localSheetId="4" hidden="1">'Май 2019'!$C$2:$AG$63</definedName>
    <definedName name="_xlnm._FilterDatabase" localSheetId="2" hidden="1">'Март 2019'!$C$2:$AG$63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48" i="8" l="1"/>
  <c r="AI48" i="8"/>
  <c r="AJ48" i="8" s="1"/>
  <c r="AI61" i="8" l="1"/>
  <c r="AH61" i="8"/>
  <c r="AI60" i="8"/>
  <c r="AH60" i="8"/>
  <c r="AI59" i="8"/>
  <c r="AH59" i="8"/>
  <c r="AI58" i="8"/>
  <c r="AH58" i="8"/>
  <c r="AI57" i="8"/>
  <c r="AH57" i="8"/>
  <c r="AI56" i="8"/>
  <c r="AH56" i="8"/>
  <c r="AI55" i="8"/>
  <c r="AH55" i="8"/>
  <c r="AI54" i="8"/>
  <c r="AH54" i="8"/>
  <c r="AI53" i="8"/>
  <c r="AH53" i="8"/>
  <c r="AI52" i="8"/>
  <c r="AH52" i="8"/>
  <c r="AI51" i="8"/>
  <c r="AH51" i="8"/>
  <c r="AI50" i="8"/>
  <c r="AH50" i="8"/>
  <c r="AI49" i="8"/>
  <c r="AH49" i="8"/>
  <c r="AI47" i="8"/>
  <c r="AH47" i="8"/>
  <c r="AI46" i="8"/>
  <c r="AH46" i="8"/>
  <c r="AI45" i="8"/>
  <c r="AH45" i="8"/>
  <c r="AI44" i="8"/>
  <c r="AH44" i="8"/>
  <c r="AI43" i="8"/>
  <c r="AH43" i="8"/>
  <c r="AI42" i="8"/>
  <c r="AH42" i="8"/>
  <c r="AI41" i="8"/>
  <c r="AH41" i="8"/>
  <c r="AI40" i="8"/>
  <c r="AH40" i="8"/>
  <c r="AI39" i="8"/>
  <c r="AH39" i="8"/>
  <c r="AI38" i="8"/>
  <c r="AH38" i="8"/>
  <c r="AI37" i="8"/>
  <c r="AH37" i="8"/>
  <c r="AI36" i="8"/>
  <c r="AH36" i="8"/>
  <c r="AI35" i="8"/>
  <c r="AH35" i="8"/>
  <c r="AI34" i="8"/>
  <c r="AH34" i="8"/>
  <c r="AI33" i="8"/>
  <c r="AH33" i="8"/>
  <c r="AI32" i="8"/>
  <c r="AH32" i="8"/>
  <c r="AI31" i="8"/>
  <c r="AH31" i="8"/>
  <c r="AI30" i="8"/>
  <c r="AH30" i="8"/>
  <c r="AI29" i="8"/>
  <c r="AH29" i="8"/>
  <c r="AI28" i="8"/>
  <c r="AH28" i="8"/>
  <c r="AI27" i="8"/>
  <c r="AH27" i="8"/>
  <c r="AI26" i="8"/>
  <c r="AH26" i="8"/>
  <c r="AI25" i="8"/>
  <c r="AH25" i="8"/>
  <c r="AI24" i="8"/>
  <c r="AH24" i="8"/>
  <c r="AI23" i="8"/>
  <c r="AH23" i="8"/>
  <c r="AI22" i="8"/>
  <c r="AH22" i="8"/>
  <c r="AI21" i="8"/>
  <c r="AH21" i="8"/>
  <c r="AI20" i="8"/>
  <c r="AH20" i="8"/>
  <c r="AI19" i="8"/>
  <c r="AH19" i="8"/>
  <c r="AI18" i="8"/>
  <c r="AH18" i="8"/>
  <c r="AI17" i="8"/>
  <c r="AH17" i="8"/>
  <c r="AI16" i="8"/>
  <c r="AH16" i="8"/>
  <c r="AI15" i="8"/>
  <c r="AH15" i="8"/>
  <c r="AI14" i="8"/>
  <c r="AH14" i="8"/>
  <c r="AI13" i="8"/>
  <c r="AH13" i="8"/>
  <c r="AI12" i="8"/>
  <c r="AH12" i="8"/>
  <c r="AI11" i="8"/>
  <c r="AH11" i="8"/>
  <c r="AI10" i="8"/>
  <c r="AH10" i="8"/>
  <c r="AI9" i="8"/>
  <c r="AH9" i="8"/>
  <c r="AI8" i="8"/>
  <c r="AH8" i="8"/>
  <c r="AI7" i="8"/>
  <c r="AH7" i="8"/>
  <c r="AI6" i="8"/>
  <c r="AH6" i="8"/>
  <c r="AI5" i="8"/>
  <c r="AH5" i="8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I4" i="8"/>
  <c r="AH4" i="8"/>
  <c r="A1" i="8"/>
  <c r="A48" i="8" l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J32" i="8"/>
  <c r="AJ47" i="8"/>
  <c r="AJ53" i="8"/>
  <c r="AJ56" i="8"/>
  <c r="AJ61" i="8"/>
  <c r="AJ58" i="8"/>
  <c r="AJ34" i="8"/>
  <c r="AJ51" i="8"/>
  <c r="AJ49" i="8"/>
  <c r="AJ52" i="8"/>
  <c r="AJ46" i="8"/>
  <c r="AJ35" i="8"/>
  <c r="AJ41" i="8"/>
  <c r="AJ59" i="8"/>
  <c r="AJ55" i="8"/>
  <c r="AJ60" i="8"/>
  <c r="AJ42" i="8"/>
  <c r="AJ50" i="8"/>
  <c r="AJ5" i="8"/>
  <c r="AJ6" i="8"/>
  <c r="AJ7" i="8"/>
  <c r="AJ9" i="8"/>
  <c r="AJ13" i="8"/>
  <c r="AJ14" i="8"/>
  <c r="AJ20" i="8"/>
  <c r="AJ21" i="8"/>
  <c r="AJ25" i="8"/>
  <c r="AJ26" i="8"/>
  <c r="AJ27" i="8"/>
  <c r="AJ29" i="8"/>
  <c r="AJ54" i="8"/>
  <c r="AJ37" i="8"/>
  <c r="AJ45" i="8"/>
  <c r="AJ28" i="8"/>
  <c r="AJ8" i="8"/>
  <c r="AJ24" i="8"/>
  <c r="AJ40" i="8"/>
  <c r="AJ15" i="8"/>
  <c r="AJ12" i="8"/>
  <c r="AJ10" i="8"/>
  <c r="AJ31" i="8"/>
  <c r="AJ23" i="8"/>
  <c r="AJ19" i="8"/>
  <c r="AJ18" i="8"/>
  <c r="AJ33" i="8"/>
  <c r="AJ38" i="8"/>
  <c r="AJ39" i="8"/>
  <c r="AJ57" i="8"/>
  <c r="AJ43" i="8"/>
  <c r="AJ17" i="8"/>
  <c r="AJ44" i="8"/>
  <c r="AJ16" i="8"/>
  <c r="AJ36" i="8"/>
  <c r="AJ11" i="8"/>
  <c r="AJ30" i="8"/>
  <c r="AJ22" i="8"/>
  <c r="AJ4" i="8"/>
  <c r="AH54" i="7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<sst xmlns="http://schemas.openxmlformats.org/spreadsheetml/2006/main" count="8284" uniqueCount="76">
  <si>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</si>
  <si>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</si>
  <si>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</si>
  <si>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</si>
  <si>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</si>
  <si>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</si>
  <si>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</si>
  <si>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</si>
  <si>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</si>
  <si>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</si>
  <si>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</si>
  <si>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</si>
  <si>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</si>
  <si>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</si>
  <si>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</si>
  <si>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</si>
  <si>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</si>
  <si>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</si>
  <si>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</si>
  <si>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</si>
  <si>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</si>
  <si>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</si>
  <si>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</si>
  <si>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</si>
  <si>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</si>
  <si>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</si>
  <si>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</si>
  <si>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</si>
  <si>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</si>
  <si>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</si>
  <si>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</si>
  <si>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</si>
  <si>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</si>
  <si>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</si>
  <si>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</si>
  <si>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</si>
  <si>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</si>
  <si>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</si>
  <si>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</si>
  <si>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</si>
  <si>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</si>
  <si>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</si>
  <si>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</si>
  <si>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</si>
  <si>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</si>
  <si>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</si>
  <si>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</si>
  <si>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</si>
  <si>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</si>
  <si>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</si>
  <si>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</si>
  <si>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</si>
  <si>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</si>
  <si>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</si>
  <si>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</si>
  <si>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</si>
  <si>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</si>
  <si>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</si>
  <si>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</si>
  <si>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</si>
  <si>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</si>
  <si>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</si>
  <si>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</si>
  <si>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</si>
  <si>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</si>
  <si>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</si>
  <si>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</si>
  <si>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</si>
  <si>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</si>
  <si>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</si>
  <si>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</si>
  <si>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</si>
  <si>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</si>
  <si>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</si>
  <si>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</si>
  <si>
    <t>Сэу В.И.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</si>
</sst>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5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4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4" sqref="A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3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2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3" si="0">COUNTIF(C4:AF4,"+")</f>
        <v>18</v>
      </c>
      <c r="AH4" s="25">
        <f t="shared" ref="AH4:AH33" si="1">COUNTIF(C4:AF4,"-")</f>
        <v>12</v>
      </c>
      <c r="AI4" s="29">
        <f t="shared" ref="AI4:AI48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48</v>
      </c>
      <c r="AE5" s="4" t="s">
        <v>48</v>
      </c>
      <c r="AF5" s="4" t="s">
        <v>47</v>
      </c>
      <c r="AG5" s="7">
        <f t="shared" si="0"/>
        <v>22</v>
      </c>
      <c r="AH5" s="25">
        <f t="shared" si="1"/>
        <v>8</v>
      </c>
      <c r="AI5" s="29">
        <f t="shared" si="2"/>
        <v>30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 t="s">
        <v>48</v>
      </c>
      <c r="AB6" s="6" t="s">
        <v>48</v>
      </c>
      <c r="AC6" s="6" t="s">
        <v>48</v>
      </c>
      <c r="AD6" s="4" t="s">
        <v>48</v>
      </c>
      <c r="AE6" s="4" t="s">
        <v>48</v>
      </c>
      <c r="AF6" s="6" t="s">
        <v>48</v>
      </c>
      <c r="AG6" s="21">
        <f t="shared" si="0"/>
        <v>12</v>
      </c>
      <c r="AH6" s="23">
        <f t="shared" si="1"/>
        <v>18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 t="s">
        <v>48</v>
      </c>
      <c r="AB7" s="6" t="s">
        <v>48</v>
      </c>
      <c r="AC7" s="6" t="s">
        <v>48</v>
      </c>
      <c r="AD7" s="4" t="s">
        <v>48</v>
      </c>
      <c r="AE7" s="4" t="s">
        <v>48</v>
      </c>
      <c r="AF7" s="6" t="s">
        <v>48</v>
      </c>
      <c r="AG7" s="21">
        <f t="shared" si="0"/>
        <v>17</v>
      </c>
      <c r="AH7" s="23">
        <f t="shared" si="1"/>
        <v>13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 t="s">
        <v>47</v>
      </c>
      <c r="AB8" s="4" t="s">
        <v>47</v>
      </c>
      <c r="AC8" s="6" t="s">
        <v>48</v>
      </c>
      <c r="AD8" s="4" t="s">
        <v>48</v>
      </c>
      <c r="AE8" s="6" t="s">
        <v>47</v>
      </c>
      <c r="AF8" s="4" t="s">
        <v>47</v>
      </c>
      <c r="AG8" s="21">
        <f t="shared" si="0"/>
        <v>20</v>
      </c>
      <c r="AH8" s="23">
        <f t="shared" si="1"/>
        <v>10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 t="s">
        <v>48</v>
      </c>
      <c r="AB9" s="6" t="s">
        <v>48</v>
      </c>
      <c r="AC9" s="6" t="s">
        <v>48</v>
      </c>
      <c r="AD9" s="6" t="s">
        <v>47</v>
      </c>
      <c r="AE9" s="4" t="s">
        <v>48</v>
      </c>
      <c r="AF9" s="6" t="s">
        <v>48</v>
      </c>
      <c r="AG9" s="21">
        <f t="shared" si="0"/>
        <v>17</v>
      </c>
      <c r="AH9" s="23">
        <f t="shared" si="1"/>
        <v>13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47</v>
      </c>
      <c r="AD10" s="6" t="s">
        <v>47</v>
      </c>
      <c r="AE10" s="6" t="s">
        <v>47</v>
      </c>
      <c r="AF10" s="6" t="s">
        <v>47</v>
      </c>
      <c r="AG10" s="21">
        <f t="shared" si="0"/>
        <v>25</v>
      </c>
      <c r="AH10" s="23">
        <f t="shared" si="1"/>
        <v>5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 t="s">
        <v>47</v>
      </c>
      <c r="AB11" s="6" t="s">
        <v>47</v>
      </c>
      <c r="AC11" s="6" t="s">
        <v>47</v>
      </c>
      <c r="AD11" s="6" t="s">
        <v>47</v>
      </c>
      <c r="AE11" s="4" t="s">
        <v>48</v>
      </c>
      <c r="AF11" s="6" t="s">
        <v>48</v>
      </c>
      <c r="AG11" s="21">
        <f t="shared" si="0"/>
        <v>18</v>
      </c>
      <c r="AH11" s="23">
        <f t="shared" si="1"/>
        <v>12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 t="s">
        <v>47</v>
      </c>
      <c r="AB12" s="6" t="s">
        <v>47</v>
      </c>
      <c r="AC12" s="6" t="s">
        <v>48</v>
      </c>
      <c r="AD12" s="4" t="s">
        <v>48</v>
      </c>
      <c r="AE12" s="6" t="s">
        <v>47</v>
      </c>
      <c r="AF12" s="4" t="s">
        <v>47</v>
      </c>
      <c r="AG12" s="21">
        <f t="shared" si="0"/>
        <v>25</v>
      </c>
      <c r="AH12" s="23">
        <f t="shared" si="1"/>
        <v>5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47</v>
      </c>
      <c r="AG13" s="21">
        <f t="shared" si="0"/>
        <v>21</v>
      </c>
      <c r="AH13" s="23">
        <f t="shared" si="1"/>
        <v>9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4" t="s">
        <v>48</v>
      </c>
      <c r="AB14" s="6" t="s">
        <v>47</v>
      </c>
      <c r="AC14" s="6" t="s">
        <v>47</v>
      </c>
      <c r="AD14" s="6" t="s">
        <v>47</v>
      </c>
      <c r="AE14" s="6" t="s">
        <v>47</v>
      </c>
      <c r="AF14" s="6" t="s">
        <v>48</v>
      </c>
      <c r="AG14" s="21">
        <f t="shared" si="0"/>
        <v>17</v>
      </c>
      <c r="AH14" s="23">
        <f t="shared" si="1"/>
        <v>13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4" t="s">
        <v>48</v>
      </c>
      <c r="AB15" s="6" t="s">
        <v>48</v>
      </c>
      <c r="AC15" s="6" t="s">
        <v>47</v>
      </c>
      <c r="AD15" s="6" t="s">
        <v>47</v>
      </c>
      <c r="AE15" s="6" t="s">
        <v>47</v>
      </c>
      <c r="AF15" s="6" t="s">
        <v>47</v>
      </c>
      <c r="AG15" s="21">
        <f t="shared" si="0"/>
        <v>19</v>
      </c>
      <c r="AH15" s="23">
        <f t="shared" si="1"/>
        <v>11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 t="s">
        <v>47</v>
      </c>
      <c r="AB16" s="6" t="s">
        <v>47</v>
      </c>
      <c r="AC16" s="4" t="s">
        <v>47</v>
      </c>
      <c r="AD16" s="4" t="s">
        <v>48</v>
      </c>
      <c r="AE16" s="4" t="s">
        <v>48</v>
      </c>
      <c r="AF16" s="4" t="s">
        <v>47</v>
      </c>
      <c r="AG16" s="21">
        <f t="shared" si="0"/>
        <v>22</v>
      </c>
      <c r="AH16" s="23">
        <f t="shared" si="1"/>
        <v>8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4" t="s">
        <v>48</v>
      </c>
      <c r="AB17" s="6" t="s">
        <v>47</v>
      </c>
      <c r="AC17" s="6" t="s">
        <v>48</v>
      </c>
      <c r="AD17" s="4" t="s">
        <v>47</v>
      </c>
      <c r="AE17" s="6" t="s">
        <v>47</v>
      </c>
      <c r="AF17" s="6" t="s">
        <v>47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30</v>
      </c>
      <c r="AH18" s="23">
        <f t="shared" si="1"/>
        <v>0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47</v>
      </c>
      <c r="AB19" s="6" t="s">
        <v>48</v>
      </c>
      <c r="AC19" s="6" t="s">
        <v>47</v>
      </c>
      <c r="AD19" s="6" t="s">
        <v>47</v>
      </c>
      <c r="AE19" s="4" t="s">
        <v>48</v>
      </c>
      <c r="AF19" s="6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 t="s">
        <v>47</v>
      </c>
      <c r="AB20" s="6" t="s">
        <v>48</v>
      </c>
      <c r="AC20" s="6" t="s">
        <v>47</v>
      </c>
      <c r="AD20" s="6" t="s">
        <v>47</v>
      </c>
      <c r="AE20" s="6" t="s">
        <v>47</v>
      </c>
      <c r="AF20" s="6" t="s">
        <v>47</v>
      </c>
      <c r="AG20" s="21">
        <f t="shared" si="0"/>
        <v>24</v>
      </c>
      <c r="AH20" s="23">
        <f t="shared" si="1"/>
        <v>6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4" t="s">
        <v>48</v>
      </c>
      <c r="AB21" s="6" t="s">
        <v>47</v>
      </c>
      <c r="AC21" s="6" t="s">
        <v>47</v>
      </c>
      <c r="AD21" s="4" t="s">
        <v>48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 t="s">
        <v>47</v>
      </c>
      <c r="AB22" s="4" t="s">
        <v>47</v>
      </c>
      <c r="AC22" s="4" t="s">
        <v>47</v>
      </c>
      <c r="AD22" s="4" t="s">
        <v>47</v>
      </c>
      <c r="AE22" s="6" t="s">
        <v>47</v>
      </c>
      <c r="AF22" s="6" t="s">
        <v>47</v>
      </c>
      <c r="AG22" s="21">
        <f t="shared" si="0"/>
        <v>22</v>
      </c>
      <c r="AH22" s="23">
        <f t="shared" si="1"/>
        <v>8</v>
      </c>
      <c r="AI22" s="30">
        <f>SUM(AG22:AH22)</f>
        <v>30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 t="s">
        <v>47</v>
      </c>
      <c r="AB23" s="6" t="s">
        <v>47</v>
      </c>
      <c r="AC23" s="4" t="s">
        <v>47</v>
      </c>
      <c r="AD23" s="4" t="s">
        <v>47</v>
      </c>
      <c r="AE23" s="4" t="s">
        <v>47</v>
      </c>
      <c r="AF23" s="4" t="s">
        <v>47</v>
      </c>
      <c r="AG23" s="21">
        <f t="shared" si="0"/>
        <v>13</v>
      </c>
      <c r="AH23" s="23">
        <f t="shared" si="1"/>
        <v>17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 t="s">
        <v>47</v>
      </c>
      <c r="AE24" s="6" t="s">
        <v>47</v>
      </c>
      <c r="AF24" s="6" t="s">
        <v>47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48</v>
      </c>
      <c r="AC25" s="4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21</v>
      </c>
      <c r="AH25" s="23">
        <f t="shared" si="1"/>
        <v>9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 t="s">
        <v>47</v>
      </c>
      <c r="AB26" s="4" t="s">
        <v>47</v>
      </c>
      <c r="AC26" s="6" t="s">
        <v>47</v>
      </c>
      <c r="AD26" s="6" t="s">
        <v>47</v>
      </c>
      <c r="AE26" s="4" t="s">
        <v>47</v>
      </c>
      <c r="AF26" s="6" t="s">
        <v>48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 t="s">
        <v>47</v>
      </c>
      <c r="AB27" s="6" t="s">
        <v>48</v>
      </c>
      <c r="AC27" s="6" t="s">
        <v>48</v>
      </c>
      <c r="AD27" s="6" t="s">
        <v>47</v>
      </c>
      <c r="AE27" s="6" t="s">
        <v>47</v>
      </c>
      <c r="AF27" s="6" t="s">
        <v>48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27</v>
      </c>
      <c r="AH28" s="23">
        <f t="shared" si="1"/>
        <v>3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47</v>
      </c>
      <c r="AC29" s="6" t="s">
        <v>47</v>
      </c>
      <c r="AD29" s="4" t="s">
        <v>48</v>
      </c>
      <c r="AE29" s="4" t="s">
        <v>48</v>
      </c>
      <c r="AF29" s="4" t="s">
        <v>47</v>
      </c>
      <c r="AG29" s="21">
        <f t="shared" si="0"/>
        <v>20</v>
      </c>
      <c r="AH29" s="23">
        <f t="shared" si="1"/>
        <v>10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4" t="s">
        <v>47</v>
      </c>
      <c r="AG30" s="21">
        <f t="shared" si="0"/>
        <v>26</v>
      </c>
      <c r="AH30" s="23">
        <f t="shared" si="1"/>
        <v>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6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6" t="s">
        <v>48</v>
      </c>
      <c r="AG32" s="21">
        <f t="shared" si="0"/>
        <v>12</v>
      </c>
      <c r="AH32" s="23">
        <f t="shared" si="1"/>
        <v>18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6" t="s">
        <v>48</v>
      </c>
      <c r="AC33" s="6" t="s">
        <v>48</v>
      </c>
      <c r="AD33" s="4" t="s">
        <v>48</v>
      </c>
      <c r="AE33" s="4" t="s">
        <v>47</v>
      </c>
      <c r="AF33" s="4" t="s">
        <v>47</v>
      </c>
      <c r="AG33" s="21">
        <f t="shared" si="0"/>
        <v>18</v>
      </c>
      <c r="AH33" s="23">
        <f t="shared" si="1"/>
        <v>12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4" t="s">
        <v>48</v>
      </c>
      <c r="AB34" s="6" t="s">
        <v>48</v>
      </c>
      <c r="AC34" s="6" t="s">
        <v>48</v>
      </c>
      <c r="AD34" s="4" t="s">
        <v>48</v>
      </c>
      <c r="AE34" s="6" t="s">
        <v>47</v>
      </c>
      <c r="AF34" s="4" t="s">
        <v>47</v>
      </c>
      <c r="AG34" s="21">
        <f t="shared" ref="AG34:AG60" si="4">COUNTIF(C34:AF34,"+")</f>
        <v>23</v>
      </c>
      <c r="AH34" s="23">
        <f t="shared" ref="AH34:AH60" si="5">COUNTIF(C34:AF34,"-")</f>
        <v>7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 t="s">
        <v>48</v>
      </c>
      <c r="AD35" s="4" t="s">
        <v>48</v>
      </c>
      <c r="AE35" s="4" t="s">
        <v>48</v>
      </c>
      <c r="AF35" s="4" t="s">
        <v>47</v>
      </c>
      <c r="AG35" s="21">
        <f t="shared" si="4"/>
        <v>25</v>
      </c>
      <c r="AH35" s="23">
        <f t="shared" si="5"/>
        <v>5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4" t="s">
        <v>48</v>
      </c>
      <c r="AB36" s="6" t="s">
        <v>47</v>
      </c>
      <c r="AC36" s="6" t="s">
        <v>48</v>
      </c>
      <c r="AD36" s="4" t="s">
        <v>48</v>
      </c>
      <c r="AE36" s="4" t="s">
        <v>47</v>
      </c>
      <c r="AF36" s="6" t="s">
        <v>47</v>
      </c>
      <c r="AG36" s="21">
        <f t="shared" si="4"/>
        <v>20</v>
      </c>
      <c r="AH36" s="23">
        <f t="shared" si="5"/>
        <v>10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 t="s">
        <v>47</v>
      </c>
      <c r="AE37" s="4" t="s">
        <v>47</v>
      </c>
      <c r="AF37" s="6" t="s">
        <v>47</v>
      </c>
      <c r="AG37" s="21">
        <f t="shared" si="4"/>
        <v>22</v>
      </c>
      <c r="AH37" s="23">
        <f t="shared" si="5"/>
        <v>8</v>
      </c>
      <c r="AI37" s="30">
        <f t="shared" si="2"/>
        <v>30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6" t="s">
        <v>47</v>
      </c>
      <c r="AF38" s="6" t="s">
        <v>47</v>
      </c>
      <c r="AG38" s="21">
        <f t="shared" si="4"/>
        <v>26</v>
      </c>
      <c r="AH38" s="23">
        <f t="shared" si="5"/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 t="s">
        <v>47</v>
      </c>
      <c r="AB39" s="6" t="s">
        <v>47</v>
      </c>
      <c r="AC39" s="6" t="s">
        <v>48</v>
      </c>
      <c r="AD39" s="4" t="s">
        <v>48</v>
      </c>
      <c r="AE39" s="4" t="s">
        <v>47</v>
      </c>
      <c r="AF39" s="4" t="s">
        <v>47</v>
      </c>
      <c r="AG39" s="21">
        <f t="shared" si="4"/>
        <v>20</v>
      </c>
      <c r="AH39" s="23">
        <f t="shared" si="5"/>
        <v>10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21">
        <f t="shared" si="4"/>
        <v>25</v>
      </c>
      <c r="AH40" s="23">
        <f t="shared" si="5"/>
        <v>5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21">
        <f t="shared" si="4"/>
        <v>26</v>
      </c>
      <c r="AH41" s="23">
        <f t="shared" si="5"/>
        <v>4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 t="s">
        <v>47</v>
      </c>
      <c r="AB42" s="6" t="s">
        <v>47</v>
      </c>
      <c r="AC42" s="4" t="s">
        <v>47</v>
      </c>
      <c r="AD42" s="4" t="s">
        <v>48</v>
      </c>
      <c r="AE42" s="6" t="s">
        <v>47</v>
      </c>
      <c r="AF42" s="6" t="s">
        <v>47</v>
      </c>
      <c r="AG42" s="21">
        <f t="shared" si="4"/>
        <v>24</v>
      </c>
      <c r="AH42" s="23">
        <f t="shared" si="5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 t="s">
        <v>47</v>
      </c>
      <c r="AB43" s="6" t="s">
        <v>47</v>
      </c>
      <c r="AC43" s="6" t="s">
        <v>48</v>
      </c>
      <c r="AD43" s="4" t="s">
        <v>48</v>
      </c>
      <c r="AE43" s="6" t="s">
        <v>47</v>
      </c>
      <c r="AF43" s="6" t="s">
        <v>47</v>
      </c>
      <c r="AG43" s="21">
        <f t="shared" si="4"/>
        <v>17</v>
      </c>
      <c r="AH43" s="23">
        <f t="shared" si="5"/>
        <v>13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 t="s">
        <v>47</v>
      </c>
      <c r="AB44" s="6" t="s">
        <v>47</v>
      </c>
      <c r="AC44" s="6" t="s">
        <v>47</v>
      </c>
      <c r="AD44" s="4" t="s">
        <v>48</v>
      </c>
      <c r="AE44" s="6" t="s">
        <v>47</v>
      </c>
      <c r="AF44" s="6" t="s">
        <v>47</v>
      </c>
      <c r="AG44" s="21">
        <f t="shared" si="4"/>
        <v>23</v>
      </c>
      <c r="AH44" s="23">
        <f t="shared" si="5"/>
        <v>7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4" t="s">
        <v>47</v>
      </c>
      <c r="AG45" s="21">
        <f t="shared" si="4"/>
        <v>26</v>
      </c>
      <c r="AH45" s="23">
        <f t="shared" si="5"/>
        <v>4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47</v>
      </c>
      <c r="AC46" s="4" t="s">
        <v>47</v>
      </c>
      <c r="AD46" s="4" t="s">
        <v>47</v>
      </c>
      <c r="AE46" s="4" t="s">
        <v>47</v>
      </c>
      <c r="AF46" s="4" t="s">
        <v>47</v>
      </c>
      <c r="AG46" s="21">
        <f t="shared" si="4"/>
        <v>28</v>
      </c>
      <c r="AH46" s="23">
        <f t="shared" si="5"/>
        <v>2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 t="s">
        <v>48</v>
      </c>
      <c r="AB47" s="6" t="s">
        <v>48</v>
      </c>
      <c r="AC47" s="4" t="s">
        <v>47</v>
      </c>
      <c r="AD47" s="4" t="s">
        <v>48</v>
      </c>
      <c r="AE47" s="4" t="s">
        <v>48</v>
      </c>
      <c r="AF47" s="6" t="s">
        <v>48</v>
      </c>
      <c r="AG47" s="21">
        <f t="shared" si="4"/>
        <v>4</v>
      </c>
      <c r="AH47" s="23">
        <f t="shared" si="5"/>
        <v>26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4" t="s">
        <v>48</v>
      </c>
      <c r="AB48" s="4" t="s">
        <v>47</v>
      </c>
      <c r="AC48" s="6" t="s">
        <v>48</v>
      </c>
      <c r="AD48" s="4" t="s">
        <v>48</v>
      </c>
      <c r="AE48" s="4" t="s">
        <v>47</v>
      </c>
      <c r="AF48" s="6" t="s">
        <v>48</v>
      </c>
      <c r="AG48" s="21">
        <f t="shared" si="4"/>
        <v>9</v>
      </c>
      <c r="AH48" s="23">
        <f t="shared" si="5"/>
        <v>21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 t="s">
        <v>47</v>
      </c>
      <c r="AB49" s="5" t="s">
        <v>47</v>
      </c>
      <c r="AC49" s="5" t="s">
        <v>47</v>
      </c>
      <c r="AD49" s="6" t="s">
        <v>47</v>
      </c>
      <c r="AE49" s="4" t="s">
        <v>47</v>
      </c>
      <c r="AF49" s="5" t="s">
        <v>47</v>
      </c>
      <c r="AG49" s="21">
        <f t="shared" si="4"/>
        <v>30</v>
      </c>
      <c r="AH49" s="23">
        <f t="shared" si="5"/>
        <v>0</v>
      </c>
      <c r="AI49" s="30">
        <f>SUM(AG49:AH49)</f>
        <v>30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 t="s">
        <v>47</v>
      </c>
      <c r="AB50" s="6" t="s">
        <v>48</v>
      </c>
      <c r="AC50" s="6" t="s">
        <v>48</v>
      </c>
      <c r="AD50" s="4" t="s">
        <v>48</v>
      </c>
      <c r="AE50" s="4" t="s">
        <v>47</v>
      </c>
      <c r="AF50" s="4" t="s">
        <v>47</v>
      </c>
      <c r="AG50" s="21">
        <f t="shared" si="4"/>
        <v>14</v>
      </c>
      <c r="AH50" s="23">
        <f t="shared" si="5"/>
        <v>16</v>
      </c>
      <c r="AI50" s="30">
        <f>SUM(AG50:AH50)</f>
        <v>30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 t="s">
        <v>47</v>
      </c>
      <c r="AB51" s="4" t="s">
        <v>47</v>
      </c>
      <c r="AC51" s="4" t="s">
        <v>47</v>
      </c>
      <c r="AD51" s="6" t="s">
        <v>47</v>
      </c>
      <c r="AE51" s="4" t="s">
        <v>48</v>
      </c>
      <c r="AF51" s="6" t="s">
        <v>48</v>
      </c>
      <c r="AG51" s="21">
        <f t="shared" si="4"/>
        <v>15</v>
      </c>
      <c r="AH51" s="23">
        <f t="shared" si="5"/>
        <v>15</v>
      </c>
      <c r="AI51" s="30">
        <f t="shared" ref="AI51:AI60" si="6">SUM(AG51:AH51)</f>
        <v>30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4" t="s">
        <v>48</v>
      </c>
      <c r="AB52" s="6" t="s">
        <v>48</v>
      </c>
      <c r="AC52" s="4" t="s">
        <v>47</v>
      </c>
      <c r="AD52" s="4" t="s">
        <v>47</v>
      </c>
      <c r="AE52" s="4" t="s">
        <v>47</v>
      </c>
      <c r="AF52" s="4" t="s">
        <v>47</v>
      </c>
      <c r="AG52" s="21">
        <f t="shared" si="4"/>
        <v>22</v>
      </c>
      <c r="AH52" s="23">
        <f t="shared" si="5"/>
        <v>8</v>
      </c>
      <c r="AI52" s="30">
        <f t="shared" si="6"/>
        <v>30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4" t="s">
        <v>48</v>
      </c>
      <c r="AF53" s="4" t="s">
        <v>47</v>
      </c>
      <c r="AG53" s="21">
        <f t="shared" si="4"/>
        <v>25</v>
      </c>
      <c r="AH53" s="23">
        <f t="shared" si="5"/>
        <v>5</v>
      </c>
      <c r="AI53" s="30">
        <f t="shared" si="6"/>
        <v>30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 t="s">
        <v>47</v>
      </c>
      <c r="AB54" s="4" t="s">
        <v>47</v>
      </c>
      <c r="AC54" s="4" t="s">
        <v>47</v>
      </c>
      <c r="AD54" s="4" t="s">
        <v>48</v>
      </c>
      <c r="AE54" s="4" t="s">
        <v>47</v>
      </c>
      <c r="AF54" s="6" t="s">
        <v>48</v>
      </c>
      <c r="AG54" s="21">
        <f t="shared" ref="AG54" si="7">COUNTIF(C54:AF54,"+")</f>
        <v>16</v>
      </c>
      <c r="AH54" s="23">
        <f t="shared" ref="AH54" si="8">COUNTIF(C54:AF54,"-")</f>
        <v>6</v>
      </c>
      <c r="AI54" s="30">
        <f t="shared" ref="AI54" si="9">SUM(AG54:AH54)</f>
        <v>22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 t="s">
        <v>48</v>
      </c>
      <c r="AB55" s="6" t="s">
        <v>48</v>
      </c>
      <c r="AC55" s="6" t="s">
        <v>48</v>
      </c>
      <c r="AD55" s="6" t="s">
        <v>47</v>
      </c>
      <c r="AE55" s="4" t="s">
        <v>48</v>
      </c>
      <c r="AF55" s="6" t="s">
        <v>48</v>
      </c>
      <c r="AG55" s="21">
        <f t="shared" si="4"/>
        <v>23</v>
      </c>
      <c r="AH55" s="23">
        <f t="shared" si="5"/>
        <v>7</v>
      </c>
      <c r="AI55" s="30">
        <f t="shared" si="6"/>
        <v>30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4" t="s">
        <v>48</v>
      </c>
      <c r="AB56" s="6" t="s">
        <v>48</v>
      </c>
      <c r="AC56" s="6" t="s">
        <v>48</v>
      </c>
      <c r="AD56" s="4" t="s">
        <v>48</v>
      </c>
      <c r="AE56" s="4" t="s">
        <v>48</v>
      </c>
      <c r="AF56" s="6" t="s">
        <v>47</v>
      </c>
      <c r="AG56" s="21">
        <f t="shared" si="4"/>
        <v>14</v>
      </c>
      <c r="AH56" s="23">
        <f t="shared" si="5"/>
        <v>16</v>
      </c>
      <c r="AI56" s="30">
        <f t="shared" si="6"/>
        <v>30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 t="s">
        <v>48</v>
      </c>
      <c r="AB57" s="4" t="s">
        <v>47</v>
      </c>
      <c r="AC57" s="6" t="s">
        <v>47</v>
      </c>
      <c r="AD57" s="4" t="s">
        <v>47</v>
      </c>
      <c r="AE57" s="4" t="s">
        <v>48</v>
      </c>
      <c r="AF57" s="6" t="s">
        <v>47</v>
      </c>
      <c r="AG57" s="21">
        <f t="shared" si="4"/>
        <v>20</v>
      </c>
      <c r="AH57" s="23">
        <f t="shared" si="5"/>
        <v>10</v>
      </c>
      <c r="AI57" s="30">
        <f>SUM(AG57:AH57)</f>
        <v>30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 t="s">
        <v>47</v>
      </c>
      <c r="AB58" s="6" t="s">
        <v>47</v>
      </c>
      <c r="AC58" s="6" t="s">
        <v>48</v>
      </c>
      <c r="AD58" s="4" t="s">
        <v>48</v>
      </c>
      <c r="AE58" s="6" t="s">
        <v>47</v>
      </c>
      <c r="AF58" s="6" t="s">
        <v>47</v>
      </c>
      <c r="AG58" s="21">
        <f t="shared" si="4"/>
        <v>25</v>
      </c>
      <c r="AH58" s="23">
        <f t="shared" si="5"/>
        <v>5</v>
      </c>
      <c r="AI58" s="30">
        <f t="shared" si="6"/>
        <v>30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 t="s">
        <v>47</v>
      </c>
      <c r="AB59" s="4" t="s">
        <v>47</v>
      </c>
      <c r="AC59" s="6" t="s">
        <v>48</v>
      </c>
      <c r="AD59" s="4" t="s">
        <v>48</v>
      </c>
      <c r="AE59" s="34" t="s">
        <v>47</v>
      </c>
      <c r="AF59" s="4" t="s">
        <v>47</v>
      </c>
      <c r="AG59" s="21">
        <f t="shared" si="4"/>
        <v>21</v>
      </c>
      <c r="AH59" s="23">
        <f t="shared" si="5"/>
        <v>9</v>
      </c>
      <c r="AI59" s="30">
        <f t="shared" si="6"/>
        <v>30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4" t="s">
        <v>48</v>
      </c>
      <c r="AB60" s="6" t="s">
        <v>48</v>
      </c>
      <c r="AC60" s="6" t="s">
        <v>48</v>
      </c>
      <c r="AD60" s="4" t="s">
        <v>48</v>
      </c>
      <c r="AE60" s="4" t="s">
        <v>48</v>
      </c>
      <c r="AF60" s="6" t="s">
        <v>48</v>
      </c>
      <c r="AG60" s="22">
        <f t="shared" si="4"/>
        <v>16</v>
      </c>
      <c r="AH60" s="24">
        <f t="shared" si="5"/>
        <v>14</v>
      </c>
      <c r="AI60" s="31">
        <f t="shared" si="6"/>
        <v>30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2" t="s">
        <v>53</v>
      </c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</sheetData>
  <autoFilter ref="C2:AF62"/>
  <mergeCells count="2">
    <mergeCell ref="A1:AI1"/>
    <mergeCell ref="A62:AI62"/>
  </mergeCells>
  <conditionalFormatting sqref="C4:AF60">
    <cfRule type="containsBlanks" dxfId="1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L63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T4" sqref="T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Май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7">
        <f t="shared" ref="AH4:AH61" si="0">COUNTIF(C4:AG4,"+")</f>
        <v>17</v>
      </c>
      <c r="AI4" s="25">
        <f t="shared" ref="AI4:AI61" si="1">COUNTIF(C4:AG4,"-")</f>
        <v>0</v>
      </c>
      <c r="AJ4" s="29">
        <f t="shared" ref="AJ4:AJ49" si="2">SUM(AH4:AI4)</f>
        <v>17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7">
        <f t="shared" si="0"/>
        <v>12</v>
      </c>
      <c r="AI5" s="25">
        <f t="shared" si="1"/>
        <v>5</v>
      </c>
      <c r="AJ5" s="29">
        <f t="shared" si="2"/>
        <v>17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4" t="s">
        <v>48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47</v>
      </c>
      <c r="R6" s="4" t="s">
        <v>47</v>
      </c>
      <c r="S6" s="4" t="s">
        <v>47</v>
      </c>
      <c r="T6" s="4"/>
      <c r="U6" s="4"/>
      <c r="V6" s="4"/>
      <c r="W6" s="4"/>
      <c r="X6" s="4"/>
      <c r="Y6" s="4"/>
      <c r="Z6" s="4"/>
      <c r="AA6" s="4"/>
      <c r="AB6" s="6"/>
      <c r="AC6" s="6"/>
      <c r="AD6" s="4"/>
      <c r="AE6" s="4"/>
      <c r="AF6" s="4"/>
      <c r="AG6" s="6"/>
      <c r="AH6" s="21">
        <f t="shared" si="0"/>
        <v>11</v>
      </c>
      <c r="AI6" s="23">
        <f t="shared" si="1"/>
        <v>6</v>
      </c>
      <c r="AJ6" s="30">
        <f t="shared" si="2"/>
        <v>17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48</v>
      </c>
      <c r="E7" s="6" t="s">
        <v>48</v>
      </c>
      <c r="F7" s="6" t="s">
        <v>48</v>
      </c>
      <c r="G7" s="4" t="s">
        <v>48</v>
      </c>
      <c r="H7" s="4" t="s">
        <v>48</v>
      </c>
      <c r="I7" s="4" t="s">
        <v>48</v>
      </c>
      <c r="J7" s="6" t="s">
        <v>48</v>
      </c>
      <c r="K7" s="4" t="s">
        <v>48</v>
      </c>
      <c r="L7" s="6" t="s">
        <v>48</v>
      </c>
      <c r="M7" s="6" t="s">
        <v>48</v>
      </c>
      <c r="N7" s="6" t="s">
        <v>48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/>
      <c r="U7" s="6"/>
      <c r="V7" s="6"/>
      <c r="W7" s="4"/>
      <c r="X7" s="4"/>
      <c r="Y7" s="4"/>
      <c r="Z7" s="4"/>
      <c r="AA7" s="4"/>
      <c r="AB7" s="6"/>
      <c r="AC7" s="6"/>
      <c r="AD7" s="4"/>
      <c r="AE7" s="4"/>
      <c r="AF7" s="4"/>
      <c r="AG7" s="6"/>
      <c r="AH7" s="21">
        <f t="shared" si="0"/>
        <v>5</v>
      </c>
      <c r="AI7" s="23">
        <f t="shared" si="1"/>
        <v>12</v>
      </c>
      <c r="AJ7" s="30">
        <f t="shared" si="2"/>
        <v>17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48</v>
      </c>
      <c r="G8" s="4" t="s">
        <v>48</v>
      </c>
      <c r="H8" s="4" t="s">
        <v>48</v>
      </c>
      <c r="I8" s="4" t="s">
        <v>48</v>
      </c>
      <c r="J8" s="6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4" t="s">
        <v>47</v>
      </c>
      <c r="P8" s="4" t="s">
        <v>47</v>
      </c>
      <c r="Q8" s="4" t="s">
        <v>47</v>
      </c>
      <c r="R8" s="4" t="s">
        <v>48</v>
      </c>
      <c r="S8" s="6" t="s">
        <v>48</v>
      </c>
      <c r="T8" s="6"/>
      <c r="U8" s="4"/>
      <c r="V8" s="4"/>
      <c r="W8" s="4"/>
      <c r="X8" s="6"/>
      <c r="Y8" s="4"/>
      <c r="Z8" s="4"/>
      <c r="AA8" s="4"/>
      <c r="AB8" s="4"/>
      <c r="AC8" s="6"/>
      <c r="AD8" s="4"/>
      <c r="AE8" s="6"/>
      <c r="AF8" s="4"/>
      <c r="AG8" s="4"/>
      <c r="AH8" s="21">
        <f t="shared" si="0"/>
        <v>9</v>
      </c>
      <c r="AI8" s="23">
        <f t="shared" si="1"/>
        <v>8</v>
      </c>
      <c r="AJ8" s="30">
        <f t="shared" si="2"/>
        <v>17</v>
      </c>
    </row>
    <row r="9" spans="1:38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48</v>
      </c>
      <c r="G9" s="6" t="s">
        <v>47</v>
      </c>
      <c r="H9" s="6" t="s">
        <v>47</v>
      </c>
      <c r="I9" s="6" t="s">
        <v>47</v>
      </c>
      <c r="J9" s="6" t="s">
        <v>48</v>
      </c>
      <c r="K9" s="4" t="s">
        <v>47</v>
      </c>
      <c r="L9" s="4" t="s">
        <v>47</v>
      </c>
      <c r="M9" s="6" t="s">
        <v>48</v>
      </c>
      <c r="N9" s="6" t="s">
        <v>48</v>
      </c>
      <c r="O9" s="4" t="s">
        <v>48</v>
      </c>
      <c r="P9" s="4" t="s">
        <v>48</v>
      </c>
      <c r="Q9" s="4" t="s">
        <v>48</v>
      </c>
      <c r="R9" s="4" t="s">
        <v>48</v>
      </c>
      <c r="S9" s="4" t="s">
        <v>47</v>
      </c>
      <c r="T9" s="4"/>
      <c r="U9" s="6"/>
      <c r="V9" s="4"/>
      <c r="W9" s="4"/>
      <c r="X9" s="4"/>
      <c r="Y9" s="4"/>
      <c r="Z9" s="4"/>
      <c r="AA9" s="4"/>
      <c r="AB9" s="6"/>
      <c r="AC9" s="6"/>
      <c r="AD9" s="6"/>
      <c r="AE9" s="4"/>
      <c r="AF9" s="4"/>
      <c r="AG9" s="6"/>
      <c r="AH9" s="21">
        <f t="shared" si="0"/>
        <v>6</v>
      </c>
      <c r="AI9" s="23">
        <f t="shared" si="1"/>
        <v>11</v>
      </c>
      <c r="AJ9" s="30">
        <f t="shared" si="2"/>
        <v>17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4" t="s">
        <v>48</v>
      </c>
      <c r="I10" s="4" t="s">
        <v>48</v>
      </c>
      <c r="J10" s="6" t="s">
        <v>48</v>
      </c>
      <c r="K10" s="4" t="s">
        <v>48</v>
      </c>
      <c r="L10" s="6" t="s">
        <v>48</v>
      </c>
      <c r="M10" s="6" t="s">
        <v>48</v>
      </c>
      <c r="N10" s="6" t="s">
        <v>48</v>
      </c>
      <c r="O10" s="4" t="s">
        <v>48</v>
      </c>
      <c r="P10" s="4" t="s">
        <v>48</v>
      </c>
      <c r="Q10" s="4" t="s">
        <v>48</v>
      </c>
      <c r="R10" s="4" t="s">
        <v>48</v>
      </c>
      <c r="S10" s="6" t="s">
        <v>48</v>
      </c>
      <c r="T10" s="6"/>
      <c r="U10" s="4"/>
      <c r="V10" s="4"/>
      <c r="W10" s="4"/>
      <c r="X10" s="6"/>
      <c r="Y10" s="6"/>
      <c r="Z10" s="6"/>
      <c r="AA10" s="6"/>
      <c r="AB10" s="6"/>
      <c r="AC10" s="4"/>
      <c r="AD10" s="6"/>
      <c r="AE10" s="6"/>
      <c r="AF10" s="6"/>
      <c r="AG10" s="6"/>
      <c r="AH10" s="21">
        <f t="shared" si="0"/>
        <v>5</v>
      </c>
      <c r="AI10" s="23">
        <f t="shared" si="1"/>
        <v>12</v>
      </c>
      <c r="AJ10" s="30">
        <f t="shared" si="2"/>
        <v>17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6" t="s">
        <v>48</v>
      </c>
      <c r="N11" s="6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6" t="s">
        <v>48</v>
      </c>
      <c r="T11" s="4"/>
      <c r="U11" s="4"/>
      <c r="V11" s="6"/>
      <c r="W11" s="6"/>
      <c r="X11" s="6"/>
      <c r="Y11" s="4"/>
      <c r="Z11" s="4"/>
      <c r="AA11" s="4"/>
      <c r="AB11" s="6"/>
      <c r="AC11" s="6"/>
      <c r="AD11" s="6"/>
      <c r="AE11" s="4"/>
      <c r="AF11" s="4"/>
      <c r="AG11" s="6"/>
      <c r="AH11" s="21">
        <f t="shared" si="0"/>
        <v>2</v>
      </c>
      <c r="AI11" s="23">
        <f t="shared" si="1"/>
        <v>15</v>
      </c>
      <c r="AJ11" s="30">
        <f t="shared" si="2"/>
        <v>17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48</v>
      </c>
      <c r="S12" s="6" t="s">
        <v>48</v>
      </c>
      <c r="T12" s="4"/>
      <c r="U12" s="4"/>
      <c r="V12" s="4"/>
      <c r="W12" s="6"/>
      <c r="X12" s="6"/>
      <c r="Y12" s="4"/>
      <c r="Z12" s="4"/>
      <c r="AA12" s="6"/>
      <c r="AB12" s="6"/>
      <c r="AC12" s="6"/>
      <c r="AD12" s="4"/>
      <c r="AE12" s="6"/>
      <c r="AF12" s="4"/>
      <c r="AG12" s="4"/>
      <c r="AH12" s="21">
        <f t="shared" si="0"/>
        <v>15</v>
      </c>
      <c r="AI12" s="23">
        <f t="shared" si="1"/>
        <v>2</v>
      </c>
      <c r="AJ12" s="30">
        <f t="shared" si="2"/>
        <v>17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6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6" t="s">
        <v>48</v>
      </c>
      <c r="T13" s="4"/>
      <c r="U13" s="4"/>
      <c r="V13" s="4"/>
      <c r="W13" s="6"/>
      <c r="X13" s="6"/>
      <c r="Y13" s="6"/>
      <c r="Z13" s="6"/>
      <c r="AA13" s="6"/>
      <c r="AB13" s="6"/>
      <c r="AC13" s="6"/>
      <c r="AD13" s="6"/>
      <c r="AE13" s="6"/>
      <c r="AF13" s="4"/>
      <c r="AG13" s="4"/>
      <c r="AH13" s="21">
        <f t="shared" si="0"/>
        <v>0</v>
      </c>
      <c r="AI13" s="23">
        <f t="shared" si="1"/>
        <v>17</v>
      </c>
      <c r="AJ13" s="30">
        <f t="shared" si="2"/>
        <v>17</v>
      </c>
    </row>
    <row r="14" spans="1:38" x14ac:dyDescent="0.25">
      <c r="A14" s="15">
        <f t="shared" si="3"/>
        <v>11</v>
      </c>
      <c r="B14" s="16" t="s">
        <v>73</v>
      </c>
      <c r="C14" s="5" t="s">
        <v>48</v>
      </c>
      <c r="D14" s="6" t="s">
        <v>47</v>
      </c>
      <c r="E14" s="6" t="s">
        <v>47</v>
      </c>
      <c r="F14" s="6" t="s">
        <v>47</v>
      </c>
      <c r="G14" s="6" t="s">
        <v>47</v>
      </c>
      <c r="H14" s="4" t="s">
        <v>48</v>
      </c>
      <c r="I14" s="4" t="s">
        <v>47</v>
      </c>
      <c r="J14" s="4" t="s">
        <v>47</v>
      </c>
      <c r="K14" s="4" t="s">
        <v>47</v>
      </c>
      <c r="L14" s="6" t="s">
        <v>47</v>
      </c>
      <c r="M14" s="6" t="s">
        <v>47</v>
      </c>
      <c r="N14" s="6" t="s">
        <v>48</v>
      </c>
      <c r="O14" s="6" t="s">
        <v>47</v>
      </c>
      <c r="P14" s="4" t="s">
        <v>47</v>
      </c>
      <c r="Q14" s="6" t="s">
        <v>47</v>
      </c>
      <c r="R14" s="4" t="s">
        <v>47</v>
      </c>
      <c r="S14" s="4" t="s">
        <v>47</v>
      </c>
      <c r="T14" s="4"/>
      <c r="U14" s="4"/>
      <c r="V14" s="4"/>
      <c r="W14" s="6"/>
      <c r="X14" s="6"/>
      <c r="Y14" s="6"/>
      <c r="Z14" s="4"/>
      <c r="AA14" s="4"/>
      <c r="AB14" s="6"/>
      <c r="AC14" s="6"/>
      <c r="AD14" s="6"/>
      <c r="AE14" s="6"/>
      <c r="AF14" s="6"/>
      <c r="AG14" s="6"/>
      <c r="AH14" s="21">
        <f t="shared" si="0"/>
        <v>14</v>
      </c>
      <c r="AI14" s="23">
        <f t="shared" si="1"/>
        <v>3</v>
      </c>
      <c r="AJ14" s="30">
        <f>SUM(AH14:AI14)</f>
        <v>17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48</v>
      </c>
      <c r="Q15" s="4" t="s">
        <v>48</v>
      </c>
      <c r="R15" s="4" t="s">
        <v>48</v>
      </c>
      <c r="S15" s="4" t="s">
        <v>47</v>
      </c>
      <c r="T15" s="6"/>
      <c r="U15" s="4"/>
      <c r="V15" s="4"/>
      <c r="W15" s="4"/>
      <c r="X15" s="4"/>
      <c r="Y15" s="4"/>
      <c r="Z15" s="4"/>
      <c r="AA15" s="4"/>
      <c r="AB15" s="6"/>
      <c r="AC15" s="6"/>
      <c r="AD15" s="6"/>
      <c r="AE15" s="6"/>
      <c r="AF15" s="6"/>
      <c r="AG15" s="6"/>
      <c r="AH15" s="21">
        <f t="shared" si="0"/>
        <v>14</v>
      </c>
      <c r="AI15" s="23">
        <f t="shared" si="1"/>
        <v>3</v>
      </c>
      <c r="AJ15" s="30">
        <f t="shared" si="2"/>
        <v>17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48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6" t="s">
        <v>47</v>
      </c>
      <c r="R16" s="4" t="s">
        <v>47</v>
      </c>
      <c r="S16" s="4" t="s">
        <v>47</v>
      </c>
      <c r="T16" s="6"/>
      <c r="U16" s="6"/>
      <c r="V16" s="4"/>
      <c r="W16" s="6"/>
      <c r="X16" s="4"/>
      <c r="Y16" s="4"/>
      <c r="Z16" s="6"/>
      <c r="AA16" s="6"/>
      <c r="AB16" s="6"/>
      <c r="AC16" s="4"/>
      <c r="AD16" s="4"/>
      <c r="AE16" s="4"/>
      <c r="AF16" s="4"/>
      <c r="AG16" s="4"/>
      <c r="AH16" s="21">
        <f t="shared" si="0"/>
        <v>14</v>
      </c>
      <c r="AI16" s="23">
        <f t="shared" si="1"/>
        <v>3</v>
      </c>
      <c r="AJ16" s="30">
        <f t="shared" si="2"/>
        <v>17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4" t="s">
        <v>48</v>
      </c>
      <c r="I17" s="4" t="s">
        <v>47</v>
      </c>
      <c r="J17" s="4" t="s">
        <v>47</v>
      </c>
      <c r="K17" s="6" t="s">
        <v>47</v>
      </c>
      <c r="L17" s="6" t="s">
        <v>47</v>
      </c>
      <c r="M17" s="4" t="s">
        <v>47</v>
      </c>
      <c r="N17" s="6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47</v>
      </c>
      <c r="T17" s="6"/>
      <c r="U17" s="6"/>
      <c r="V17" s="6"/>
      <c r="W17" s="4"/>
      <c r="X17" s="6"/>
      <c r="Y17" s="6"/>
      <c r="Z17" s="6"/>
      <c r="AA17" s="4"/>
      <c r="AB17" s="6"/>
      <c r="AC17" s="6"/>
      <c r="AD17" s="4"/>
      <c r="AE17" s="6"/>
      <c r="AF17" s="6"/>
      <c r="AG17" s="6"/>
      <c r="AH17" s="21">
        <f t="shared" si="0"/>
        <v>14</v>
      </c>
      <c r="AI17" s="23">
        <f t="shared" si="1"/>
        <v>3</v>
      </c>
      <c r="AJ17" s="30">
        <f t="shared" si="2"/>
        <v>17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/>
      <c r="U18" s="6"/>
      <c r="V18" s="6"/>
      <c r="W18" s="6"/>
      <c r="X18" s="6"/>
      <c r="Y18" s="4"/>
      <c r="Z18" s="6"/>
      <c r="AA18" s="6"/>
      <c r="AB18" s="6"/>
      <c r="AC18" s="6"/>
      <c r="AD18" s="6"/>
      <c r="AE18" s="6"/>
      <c r="AF18" s="6"/>
      <c r="AG18" s="6"/>
      <c r="AH18" s="21">
        <f t="shared" si="0"/>
        <v>17</v>
      </c>
      <c r="AI18" s="23">
        <f t="shared" si="1"/>
        <v>0</v>
      </c>
      <c r="AJ18" s="30">
        <f t="shared" si="2"/>
        <v>17</v>
      </c>
    </row>
    <row r="19" spans="1:36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48</v>
      </c>
      <c r="G19" s="6" t="s">
        <v>47</v>
      </c>
      <c r="H19" s="6" t="s">
        <v>47</v>
      </c>
      <c r="I19" s="4" t="s">
        <v>47</v>
      </c>
      <c r="J19" s="4" t="s">
        <v>47</v>
      </c>
      <c r="K19" s="6" t="s">
        <v>47</v>
      </c>
      <c r="L19" s="6" t="s">
        <v>48</v>
      </c>
      <c r="M19" s="4" t="s">
        <v>47</v>
      </c>
      <c r="N19" s="4" t="s">
        <v>47</v>
      </c>
      <c r="O19" s="4" t="s">
        <v>48</v>
      </c>
      <c r="P19" s="6" t="s">
        <v>47</v>
      </c>
      <c r="Q19" s="4" t="s">
        <v>47</v>
      </c>
      <c r="R19" s="6" t="s">
        <v>47</v>
      </c>
      <c r="S19" s="6" t="s">
        <v>48</v>
      </c>
      <c r="T19" s="4"/>
      <c r="U19" s="4"/>
      <c r="V19" s="6"/>
      <c r="W19" s="4"/>
      <c r="X19" s="4"/>
      <c r="Y19" s="6"/>
      <c r="Z19" s="6"/>
      <c r="AA19" s="4"/>
      <c r="AB19" s="6"/>
      <c r="AC19" s="6"/>
      <c r="AD19" s="6"/>
      <c r="AE19" s="4"/>
      <c r="AF19" s="4"/>
      <c r="AG19" s="6"/>
      <c r="AH19" s="21">
        <f t="shared" si="0"/>
        <v>12</v>
      </c>
      <c r="AI19" s="23">
        <f t="shared" si="1"/>
        <v>5</v>
      </c>
      <c r="AJ19" s="30">
        <f t="shared" si="2"/>
        <v>17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47</v>
      </c>
      <c r="E20" s="6" t="s">
        <v>47</v>
      </c>
      <c r="F20" s="6" t="s">
        <v>47</v>
      </c>
      <c r="G20" s="4" t="s">
        <v>48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6" t="s">
        <v>48</v>
      </c>
      <c r="O20" s="4" t="s">
        <v>48</v>
      </c>
      <c r="P20" s="4" t="s">
        <v>47</v>
      </c>
      <c r="Q20" s="6" t="s">
        <v>47</v>
      </c>
      <c r="R20" s="6" t="s">
        <v>47</v>
      </c>
      <c r="S20" s="6" t="s">
        <v>47</v>
      </c>
      <c r="T20" s="6"/>
      <c r="U20" s="4"/>
      <c r="V20" s="4"/>
      <c r="W20" s="4"/>
      <c r="X20" s="4"/>
      <c r="Y20" s="6"/>
      <c r="Z20" s="6"/>
      <c r="AA20" s="6"/>
      <c r="AB20" s="6"/>
      <c r="AC20" s="6"/>
      <c r="AD20" s="6"/>
      <c r="AE20" s="6"/>
      <c r="AF20" s="6"/>
      <c r="AG20" s="6"/>
      <c r="AH20" s="21">
        <f t="shared" si="0"/>
        <v>13</v>
      </c>
      <c r="AI20" s="23">
        <f t="shared" si="1"/>
        <v>4</v>
      </c>
      <c r="AJ20" s="30">
        <f t="shared" si="2"/>
        <v>17</v>
      </c>
    </row>
    <row r="21" spans="1:36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47</v>
      </c>
      <c r="F21" s="6" t="s">
        <v>47</v>
      </c>
      <c r="G21" s="6" t="s">
        <v>47</v>
      </c>
      <c r="H21" s="4" t="s">
        <v>47</v>
      </c>
      <c r="I21" s="6" t="s">
        <v>47</v>
      </c>
      <c r="J21" s="6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48</v>
      </c>
      <c r="R21" s="4" t="s">
        <v>48</v>
      </c>
      <c r="S21" s="6" t="s">
        <v>48</v>
      </c>
      <c r="T21" s="4"/>
      <c r="U21" s="6"/>
      <c r="V21" s="6"/>
      <c r="W21" s="4"/>
      <c r="X21" s="6"/>
      <c r="Y21" s="4"/>
      <c r="Z21" s="4"/>
      <c r="AA21" s="4"/>
      <c r="AB21" s="6"/>
      <c r="AC21" s="6"/>
      <c r="AD21" s="4"/>
      <c r="AE21" s="6"/>
      <c r="AF21" s="4"/>
      <c r="AG21" s="4"/>
      <c r="AH21" s="21">
        <f t="shared" si="0"/>
        <v>10</v>
      </c>
      <c r="AI21" s="23">
        <f t="shared" si="1"/>
        <v>7</v>
      </c>
      <c r="AJ21" s="30">
        <f t="shared" si="2"/>
        <v>17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47</v>
      </c>
      <c r="H22" s="4" t="s">
        <v>48</v>
      </c>
      <c r="I22" s="4" t="s">
        <v>48</v>
      </c>
      <c r="J22" s="6" t="s">
        <v>48</v>
      </c>
      <c r="K22" s="4" t="s">
        <v>48</v>
      </c>
      <c r="L22" s="6" t="s">
        <v>47</v>
      </c>
      <c r="M22" s="6" t="s">
        <v>47</v>
      </c>
      <c r="N22" s="6" t="s">
        <v>47</v>
      </c>
      <c r="O22" s="4" t="s">
        <v>47</v>
      </c>
      <c r="P22" s="4" t="s">
        <v>47</v>
      </c>
      <c r="Q22" s="6" t="s">
        <v>47</v>
      </c>
      <c r="R22" s="4" t="s">
        <v>47</v>
      </c>
      <c r="S22" s="4" t="s">
        <v>47</v>
      </c>
      <c r="T22" s="6"/>
      <c r="U22" s="6"/>
      <c r="V22" s="6"/>
      <c r="W22" s="6"/>
      <c r="X22" s="6"/>
      <c r="Y22" s="4"/>
      <c r="Z22" s="4"/>
      <c r="AA22" s="4"/>
      <c r="AB22" s="4"/>
      <c r="AC22" s="4"/>
      <c r="AD22" s="4"/>
      <c r="AE22" s="6"/>
      <c r="AF22" s="6"/>
      <c r="AG22" s="6"/>
      <c r="AH22" s="21">
        <f t="shared" si="0"/>
        <v>13</v>
      </c>
      <c r="AI22" s="23">
        <f t="shared" si="1"/>
        <v>4</v>
      </c>
      <c r="AJ22" s="30">
        <f>SUM(AH22:AI22)</f>
        <v>17</v>
      </c>
    </row>
    <row r="23" spans="1:36" x14ac:dyDescent="0.25">
      <c r="A23" s="15">
        <f t="shared" si="3"/>
        <v>20</v>
      </c>
      <c r="B23" s="16" t="s">
        <v>52</v>
      </c>
      <c r="C23" s="3" t="s">
        <v>47</v>
      </c>
      <c r="D23" s="6" t="s">
        <v>47</v>
      </c>
      <c r="E23" s="6" t="s">
        <v>48</v>
      </c>
      <c r="F23" s="6" t="s">
        <v>48</v>
      </c>
      <c r="G23" s="6" t="s">
        <v>47</v>
      </c>
      <c r="H23" s="6" t="s">
        <v>47</v>
      </c>
      <c r="I23" s="4" t="s">
        <v>47</v>
      </c>
      <c r="J23" s="4" t="s">
        <v>47</v>
      </c>
      <c r="K23" s="4" t="s">
        <v>47</v>
      </c>
      <c r="L23" s="6" t="s">
        <v>47</v>
      </c>
      <c r="M23" s="6" t="s">
        <v>47</v>
      </c>
      <c r="N23" s="4" t="s">
        <v>47</v>
      </c>
      <c r="O23" s="4" t="s">
        <v>47</v>
      </c>
      <c r="P23" s="4" t="s">
        <v>48</v>
      </c>
      <c r="Q23" s="4" t="s">
        <v>47</v>
      </c>
      <c r="R23" s="6" t="s">
        <v>47</v>
      </c>
      <c r="S23" s="4" t="s">
        <v>47</v>
      </c>
      <c r="T23" s="6"/>
      <c r="U23" s="6"/>
      <c r="V23" s="4"/>
      <c r="W23" s="4"/>
      <c r="X23" s="6"/>
      <c r="Y23" s="6"/>
      <c r="Z23" s="6"/>
      <c r="AA23" s="6"/>
      <c r="AB23" s="6"/>
      <c r="AC23" s="4"/>
      <c r="AD23" s="4"/>
      <c r="AE23" s="4"/>
      <c r="AF23" s="4"/>
      <c r="AG23" s="4"/>
      <c r="AH23" s="21">
        <f t="shared" si="0"/>
        <v>14</v>
      </c>
      <c r="AI23" s="23">
        <f t="shared" si="1"/>
        <v>3</v>
      </c>
      <c r="AJ23" s="30">
        <f t="shared" si="2"/>
        <v>17</v>
      </c>
    </row>
    <row r="24" spans="1:36" x14ac:dyDescent="0.25">
      <c r="A24" s="15">
        <f t="shared" si="3"/>
        <v>21</v>
      </c>
      <c r="B24" s="16" t="s">
        <v>14</v>
      </c>
      <c r="C24" s="5" t="s">
        <v>47</v>
      </c>
      <c r="D24" s="6" t="s">
        <v>48</v>
      </c>
      <c r="E24" s="6" t="s">
        <v>48</v>
      </c>
      <c r="F24" s="6" t="s">
        <v>48</v>
      </c>
      <c r="G24" s="4" t="s">
        <v>48</v>
      </c>
      <c r="H24" s="4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6" t="s">
        <v>48</v>
      </c>
      <c r="O24" s="4" t="s">
        <v>48</v>
      </c>
      <c r="P24" s="6" t="s">
        <v>47</v>
      </c>
      <c r="Q24" s="4" t="s">
        <v>47</v>
      </c>
      <c r="R24" s="4" t="s">
        <v>47</v>
      </c>
      <c r="S24" s="4" t="s">
        <v>47</v>
      </c>
      <c r="T24" s="4"/>
      <c r="U24" s="4"/>
      <c r="V24" s="6"/>
      <c r="W24" s="6"/>
      <c r="X24" s="6"/>
      <c r="Y24" s="4"/>
      <c r="Z24" s="6"/>
      <c r="AA24" s="6"/>
      <c r="AB24" s="6"/>
      <c r="AC24" s="6"/>
      <c r="AD24" s="6"/>
      <c r="AE24" s="6"/>
      <c r="AF24" s="6"/>
      <c r="AG24" s="6"/>
      <c r="AH24" s="21">
        <f t="shared" si="0"/>
        <v>5</v>
      </c>
      <c r="AI24" s="23">
        <f t="shared" si="1"/>
        <v>12</v>
      </c>
      <c r="AJ24" s="30">
        <f t="shared" si="2"/>
        <v>17</v>
      </c>
    </row>
    <row r="25" spans="1:36" x14ac:dyDescent="0.25">
      <c r="A25" s="15">
        <f t="shared" si="3"/>
        <v>22</v>
      </c>
      <c r="B25" s="17" t="s">
        <v>15</v>
      </c>
      <c r="C25" s="5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47</v>
      </c>
      <c r="J25" s="6" t="s">
        <v>48</v>
      </c>
      <c r="K25" s="4" t="s">
        <v>48</v>
      </c>
      <c r="L25" s="6" t="s">
        <v>47</v>
      </c>
      <c r="M25" s="6" t="s">
        <v>47</v>
      </c>
      <c r="N25" s="6" t="s">
        <v>48</v>
      </c>
      <c r="O25" s="4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/>
      <c r="U25" s="6"/>
      <c r="V25" s="4"/>
      <c r="W25" s="4"/>
      <c r="X25" s="6"/>
      <c r="Y25" s="6"/>
      <c r="Z25" s="6"/>
      <c r="AA25" s="6"/>
      <c r="AB25" s="6"/>
      <c r="AC25" s="4"/>
      <c r="AD25" s="6"/>
      <c r="AE25" s="6"/>
      <c r="AF25" s="6"/>
      <c r="AG25" s="6"/>
      <c r="AH25" s="21">
        <f t="shared" si="0"/>
        <v>12</v>
      </c>
      <c r="AI25" s="23">
        <f t="shared" si="1"/>
        <v>5</v>
      </c>
      <c r="AJ25" s="30">
        <f t="shared" si="2"/>
        <v>17</v>
      </c>
    </row>
    <row r="26" spans="1:36" x14ac:dyDescent="0.25">
      <c r="A26" s="15">
        <f t="shared" si="3"/>
        <v>23</v>
      </c>
      <c r="B26" s="17" t="s">
        <v>69</v>
      </c>
      <c r="C26" s="5" t="s">
        <v>48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47</v>
      </c>
      <c r="L26" s="6" t="s">
        <v>48</v>
      </c>
      <c r="M26" s="4" t="s">
        <v>47</v>
      </c>
      <c r="N26" s="4" t="s">
        <v>47</v>
      </c>
      <c r="O26" s="4" t="s">
        <v>48</v>
      </c>
      <c r="P26" s="4" t="s">
        <v>47</v>
      </c>
      <c r="Q26" s="4" t="s">
        <v>48</v>
      </c>
      <c r="R26" s="4" t="s">
        <v>48</v>
      </c>
      <c r="S26" s="6" t="s">
        <v>48</v>
      </c>
      <c r="T26" s="4"/>
      <c r="U26" s="4"/>
      <c r="V26" s="4"/>
      <c r="W26" s="6"/>
      <c r="X26" s="6"/>
      <c r="Y26" s="4"/>
      <c r="Z26" s="4"/>
      <c r="AA26" s="4"/>
      <c r="AB26" s="4"/>
      <c r="AC26" s="6"/>
      <c r="AD26" s="6"/>
      <c r="AE26" s="4"/>
      <c r="AF26" s="4"/>
      <c r="AG26" s="6"/>
      <c r="AH26" s="21">
        <f t="shared" si="0"/>
        <v>11</v>
      </c>
      <c r="AI26" s="23">
        <f t="shared" si="1"/>
        <v>6</v>
      </c>
      <c r="AJ26" s="30">
        <f t="shared" si="2"/>
        <v>17</v>
      </c>
    </row>
    <row r="27" spans="1:36" x14ac:dyDescent="0.25">
      <c r="A27" s="15">
        <f t="shared" si="3"/>
        <v>24</v>
      </c>
      <c r="B27" s="16" t="s">
        <v>42</v>
      </c>
      <c r="C27" s="5" t="s">
        <v>48</v>
      </c>
      <c r="D27" s="6" t="s">
        <v>47</v>
      </c>
      <c r="E27" s="6" t="s">
        <v>47</v>
      </c>
      <c r="F27" s="6" t="s">
        <v>47</v>
      </c>
      <c r="G27" s="6" t="s">
        <v>47</v>
      </c>
      <c r="H27" s="4" t="s">
        <v>48</v>
      </c>
      <c r="I27" s="4" t="s">
        <v>47</v>
      </c>
      <c r="J27" s="6" t="s">
        <v>48</v>
      </c>
      <c r="K27" s="4" t="s">
        <v>47</v>
      </c>
      <c r="L27" s="6" t="s">
        <v>48</v>
      </c>
      <c r="M27" s="6" t="s">
        <v>48</v>
      </c>
      <c r="N27" s="4" t="s">
        <v>47</v>
      </c>
      <c r="O27" s="4" t="s">
        <v>47</v>
      </c>
      <c r="P27" s="6" t="s">
        <v>47</v>
      </c>
      <c r="Q27" s="6" t="s">
        <v>47</v>
      </c>
      <c r="R27" s="6" t="s">
        <v>47</v>
      </c>
      <c r="S27" s="6" t="s">
        <v>48</v>
      </c>
      <c r="T27" s="4"/>
      <c r="U27" s="4"/>
      <c r="V27" s="4"/>
      <c r="W27" s="4"/>
      <c r="X27" s="4"/>
      <c r="Y27" s="4"/>
      <c r="Z27" s="6"/>
      <c r="AA27" s="6"/>
      <c r="AB27" s="6"/>
      <c r="AC27" s="6"/>
      <c r="AD27" s="6"/>
      <c r="AE27" s="6"/>
      <c r="AF27" s="6"/>
      <c r="AG27" s="6"/>
      <c r="AH27" s="21">
        <f t="shared" si="0"/>
        <v>11</v>
      </c>
      <c r="AI27" s="23">
        <f t="shared" si="1"/>
        <v>6</v>
      </c>
      <c r="AJ27" s="30">
        <f t="shared" si="2"/>
        <v>17</v>
      </c>
    </row>
    <row r="28" spans="1:36" x14ac:dyDescent="0.25">
      <c r="A28" s="15">
        <f t="shared" si="3"/>
        <v>25</v>
      </c>
      <c r="B28" s="17" t="s">
        <v>17</v>
      </c>
      <c r="C28" s="5" t="s">
        <v>47</v>
      </c>
      <c r="D28" s="6" t="s">
        <v>48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47</v>
      </c>
      <c r="J28" s="4" t="s">
        <v>47</v>
      </c>
      <c r="K28" s="4" t="s">
        <v>48</v>
      </c>
      <c r="L28" s="6" t="s">
        <v>48</v>
      </c>
      <c r="M28" s="6" t="s">
        <v>48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/>
      <c r="U28" s="6"/>
      <c r="V28" s="4"/>
      <c r="W28" s="6"/>
      <c r="X28" s="4"/>
      <c r="Y28" s="4"/>
      <c r="Z28" s="6"/>
      <c r="AA28" s="6"/>
      <c r="AB28" s="6"/>
      <c r="AC28" s="6"/>
      <c r="AD28" s="6"/>
      <c r="AE28" s="6"/>
      <c r="AF28" s="6"/>
      <c r="AG28" s="6"/>
      <c r="AH28" s="21">
        <f t="shared" si="0"/>
        <v>12</v>
      </c>
      <c r="AI28" s="23">
        <f t="shared" si="1"/>
        <v>5</v>
      </c>
      <c r="AJ28" s="30">
        <f t="shared" si="2"/>
        <v>17</v>
      </c>
    </row>
    <row r="29" spans="1:36" x14ac:dyDescent="0.25">
      <c r="A29" s="15">
        <f t="shared" si="3"/>
        <v>26</v>
      </c>
      <c r="B29" s="17" t="s">
        <v>63</v>
      </c>
      <c r="C29" s="5" t="s">
        <v>48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48</v>
      </c>
      <c r="L29" s="6" t="s">
        <v>48</v>
      </c>
      <c r="M29" s="6" t="s">
        <v>47</v>
      </c>
      <c r="N29" s="4" t="s">
        <v>47</v>
      </c>
      <c r="O29" s="4" t="s">
        <v>47</v>
      </c>
      <c r="P29" s="6" t="s">
        <v>47</v>
      </c>
      <c r="Q29" s="6" t="s">
        <v>47</v>
      </c>
      <c r="R29" s="6" t="s">
        <v>47</v>
      </c>
      <c r="S29" s="4" t="s">
        <v>47</v>
      </c>
      <c r="T29" s="6"/>
      <c r="U29" s="4"/>
      <c r="V29" s="6"/>
      <c r="W29" s="4"/>
      <c r="X29" s="4"/>
      <c r="Y29" s="4"/>
      <c r="Z29" s="6"/>
      <c r="AA29" s="6"/>
      <c r="AB29" s="4"/>
      <c r="AC29" s="6"/>
      <c r="AD29" s="4"/>
      <c r="AE29" s="4"/>
      <c r="AF29" s="4"/>
      <c r="AG29" s="4"/>
      <c r="AH29" s="21">
        <f t="shared" si="0"/>
        <v>14</v>
      </c>
      <c r="AI29" s="23">
        <f t="shared" si="1"/>
        <v>3</v>
      </c>
      <c r="AJ29" s="30">
        <f t="shared" si="2"/>
        <v>17</v>
      </c>
    </row>
    <row r="30" spans="1:36" x14ac:dyDescent="0.25">
      <c r="A30" s="15">
        <f t="shared" si="3"/>
        <v>27</v>
      </c>
      <c r="B30" s="17" t="s">
        <v>18</v>
      </c>
      <c r="C30" s="5" t="s">
        <v>47</v>
      </c>
      <c r="D30" s="6" t="s">
        <v>48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48</v>
      </c>
      <c r="O30" s="6" t="s">
        <v>47</v>
      </c>
      <c r="P30" s="6" t="s">
        <v>47</v>
      </c>
      <c r="Q30" s="4" t="s">
        <v>47</v>
      </c>
      <c r="R30" s="6" t="s">
        <v>47</v>
      </c>
      <c r="S30" s="4" t="s">
        <v>47</v>
      </c>
      <c r="T30" s="6"/>
      <c r="U30" s="6"/>
      <c r="V30" s="6"/>
      <c r="W30" s="6"/>
      <c r="X30" s="6"/>
      <c r="Y30" s="4"/>
      <c r="Z30" s="6"/>
      <c r="AA30" s="6"/>
      <c r="AB30" s="6"/>
      <c r="AC30" s="6"/>
      <c r="AD30" s="4"/>
      <c r="AE30" s="6"/>
      <c r="AF30" s="4"/>
      <c r="AG30" s="4"/>
      <c r="AH30" s="21">
        <f t="shared" si="0"/>
        <v>15</v>
      </c>
      <c r="AI30" s="23">
        <f t="shared" si="1"/>
        <v>2</v>
      </c>
      <c r="AJ30" s="30">
        <f t="shared" si="2"/>
        <v>17</v>
      </c>
    </row>
    <row r="31" spans="1:36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47</v>
      </c>
      <c r="K31" s="4" t="s">
        <v>47</v>
      </c>
      <c r="L31" s="6" t="s">
        <v>47</v>
      </c>
      <c r="M31" s="6" t="s">
        <v>47</v>
      </c>
      <c r="N31" s="6" t="s">
        <v>48</v>
      </c>
      <c r="O31" s="4" t="s">
        <v>48</v>
      </c>
      <c r="P31" s="6" t="s">
        <v>47</v>
      </c>
      <c r="Q31" s="4" t="s">
        <v>47</v>
      </c>
      <c r="R31" s="6" t="s">
        <v>47</v>
      </c>
      <c r="S31" s="4" t="s">
        <v>47</v>
      </c>
      <c r="T31" s="4"/>
      <c r="U31" s="6"/>
      <c r="V31" s="4"/>
      <c r="W31" s="6"/>
      <c r="X31" s="6"/>
      <c r="Y31" s="4"/>
      <c r="Z31" s="4"/>
      <c r="AA31" s="4"/>
      <c r="AB31" s="4"/>
      <c r="AC31" s="4"/>
      <c r="AD31" s="6"/>
      <c r="AE31" s="6"/>
      <c r="AF31" s="6"/>
      <c r="AG31" s="6"/>
      <c r="AH31" s="21">
        <f t="shared" si="0"/>
        <v>15</v>
      </c>
      <c r="AI31" s="23">
        <f t="shared" si="1"/>
        <v>2</v>
      </c>
      <c r="AJ31" s="30">
        <f t="shared" si="2"/>
        <v>17</v>
      </c>
    </row>
    <row r="32" spans="1:36" x14ac:dyDescent="0.25">
      <c r="A32" s="15">
        <f t="shared" si="3"/>
        <v>29</v>
      </c>
      <c r="B32" s="17" t="s">
        <v>19</v>
      </c>
      <c r="C32" s="5" t="s">
        <v>48</v>
      </c>
      <c r="D32" s="6" t="s">
        <v>48</v>
      </c>
      <c r="E32" s="6" t="s">
        <v>48</v>
      </c>
      <c r="F32" s="6" t="s">
        <v>48</v>
      </c>
      <c r="G32" s="4" t="s">
        <v>48</v>
      </c>
      <c r="H32" s="4" t="s">
        <v>48</v>
      </c>
      <c r="I32" s="4" t="s">
        <v>48</v>
      </c>
      <c r="J32" s="6" t="s">
        <v>48</v>
      </c>
      <c r="K32" s="4" t="s">
        <v>48</v>
      </c>
      <c r="L32" s="6" t="s">
        <v>48</v>
      </c>
      <c r="M32" s="6" t="s">
        <v>48</v>
      </c>
      <c r="N32" s="6" t="s">
        <v>48</v>
      </c>
      <c r="O32" s="4" t="s">
        <v>48</v>
      </c>
      <c r="P32" s="4" t="s">
        <v>48</v>
      </c>
      <c r="Q32" s="4" t="s">
        <v>48</v>
      </c>
      <c r="R32" s="4" t="s">
        <v>48</v>
      </c>
      <c r="S32" s="6" t="s">
        <v>48</v>
      </c>
      <c r="T32" s="4"/>
      <c r="U32" s="4"/>
      <c r="V32" s="4"/>
      <c r="W32" s="4"/>
      <c r="X32" s="4"/>
      <c r="Y32" s="4"/>
      <c r="Z32" s="4"/>
      <c r="AA32" s="4"/>
      <c r="AB32" s="6"/>
      <c r="AC32" s="6"/>
      <c r="AD32" s="4"/>
      <c r="AE32" s="4"/>
      <c r="AF32" s="4"/>
      <c r="AG32" s="6"/>
      <c r="AH32" s="21">
        <f t="shared" si="0"/>
        <v>0</v>
      </c>
      <c r="AI32" s="23">
        <f t="shared" si="1"/>
        <v>17</v>
      </c>
      <c r="AJ32" s="30">
        <f t="shared" si="2"/>
        <v>17</v>
      </c>
    </row>
    <row r="33" spans="1:36" x14ac:dyDescent="0.25">
      <c r="A33" s="15">
        <f t="shared" si="3"/>
        <v>30</v>
      </c>
      <c r="B33" s="17" t="s">
        <v>20</v>
      </c>
      <c r="C33" s="3" t="s">
        <v>47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47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48</v>
      </c>
      <c r="P33" s="6" t="s">
        <v>47</v>
      </c>
      <c r="Q33" s="4" t="s">
        <v>48</v>
      </c>
      <c r="R33" s="6" t="s">
        <v>47</v>
      </c>
      <c r="S33" s="4" t="s">
        <v>47</v>
      </c>
      <c r="T33" s="4"/>
      <c r="U33" s="4"/>
      <c r="V33" s="4"/>
      <c r="W33" s="4"/>
      <c r="X33" s="4"/>
      <c r="Y33" s="4"/>
      <c r="Z33" s="4"/>
      <c r="AA33" s="4"/>
      <c r="AB33" s="6"/>
      <c r="AC33" s="6"/>
      <c r="AD33" s="4"/>
      <c r="AE33" s="4"/>
      <c r="AF33" s="4"/>
      <c r="AG33" s="4"/>
      <c r="AH33" s="21">
        <f t="shared" si="0"/>
        <v>15</v>
      </c>
      <c r="AI33" s="23">
        <f t="shared" si="1"/>
        <v>2</v>
      </c>
      <c r="AJ33" s="30">
        <f t="shared" si="2"/>
        <v>17</v>
      </c>
    </row>
    <row r="34" spans="1:36" x14ac:dyDescent="0.25">
      <c r="A34" s="15">
        <f t="shared" si="3"/>
        <v>31</v>
      </c>
      <c r="B34" s="17" t="s">
        <v>21</v>
      </c>
      <c r="C34" s="5" t="s">
        <v>48</v>
      </c>
      <c r="D34" s="6" t="s">
        <v>47</v>
      </c>
      <c r="E34" s="6" t="s">
        <v>47</v>
      </c>
      <c r="F34" s="6" t="s">
        <v>47</v>
      </c>
      <c r="G34" s="4" t="s">
        <v>48</v>
      </c>
      <c r="H34" s="4" t="s">
        <v>48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47</v>
      </c>
      <c r="P34" s="6" t="s">
        <v>47</v>
      </c>
      <c r="Q34" s="6" t="s">
        <v>47</v>
      </c>
      <c r="R34" s="6" t="s">
        <v>47</v>
      </c>
      <c r="S34" s="4" t="s">
        <v>47</v>
      </c>
      <c r="T34" s="4"/>
      <c r="U34" s="4"/>
      <c r="V34" s="4"/>
      <c r="W34" s="6"/>
      <c r="X34" s="6"/>
      <c r="Y34" s="4"/>
      <c r="Z34" s="6"/>
      <c r="AA34" s="4"/>
      <c r="AB34" s="6"/>
      <c r="AC34" s="6"/>
      <c r="AD34" s="4"/>
      <c r="AE34" s="6"/>
      <c r="AF34" s="4"/>
      <c r="AG34" s="4"/>
      <c r="AH34" s="21">
        <f t="shared" si="0"/>
        <v>14</v>
      </c>
      <c r="AI34" s="23">
        <f t="shared" si="1"/>
        <v>3</v>
      </c>
      <c r="AJ34" s="30">
        <f t="shared" si="2"/>
        <v>17</v>
      </c>
    </row>
    <row r="35" spans="1:36" x14ac:dyDescent="0.25">
      <c r="A35" s="15">
        <f t="shared" si="3"/>
        <v>32</v>
      </c>
      <c r="B35" s="16" t="s">
        <v>22</v>
      </c>
      <c r="C35" s="5" t="s">
        <v>48</v>
      </c>
      <c r="D35" s="6" t="s">
        <v>47</v>
      </c>
      <c r="E35" s="6" t="s">
        <v>47</v>
      </c>
      <c r="F35" s="6" t="s">
        <v>48</v>
      </c>
      <c r="G35" s="4" t="s">
        <v>48</v>
      </c>
      <c r="H35" s="6" t="s">
        <v>47</v>
      </c>
      <c r="I35" s="4" t="s">
        <v>48</v>
      </c>
      <c r="J35" s="6" t="s">
        <v>47</v>
      </c>
      <c r="K35" s="4" t="s">
        <v>47</v>
      </c>
      <c r="L35" s="6" t="s">
        <v>47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/>
      <c r="U35" s="6"/>
      <c r="V35" s="4"/>
      <c r="W35" s="6"/>
      <c r="X35" s="6"/>
      <c r="Y35" s="6"/>
      <c r="Z35" s="6"/>
      <c r="AA35" s="6"/>
      <c r="AB35" s="6"/>
      <c r="AC35" s="6"/>
      <c r="AD35" s="4"/>
      <c r="AE35" s="4"/>
      <c r="AF35" s="4"/>
      <c r="AG35" s="4"/>
      <c r="AH35" s="21">
        <f t="shared" si="0"/>
        <v>13</v>
      </c>
      <c r="AI35" s="23">
        <f t="shared" si="1"/>
        <v>4</v>
      </c>
      <c r="AJ35" s="30">
        <f t="shared" si="2"/>
        <v>17</v>
      </c>
    </row>
    <row r="36" spans="1:36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47</v>
      </c>
      <c r="F36" s="6" t="s">
        <v>48</v>
      </c>
      <c r="G36" s="4" t="s">
        <v>48</v>
      </c>
      <c r="H36" s="6" t="s">
        <v>47</v>
      </c>
      <c r="I36" s="4" t="s">
        <v>47</v>
      </c>
      <c r="J36" s="6" t="s">
        <v>47</v>
      </c>
      <c r="K36" s="4" t="s">
        <v>47</v>
      </c>
      <c r="L36" s="6" t="s">
        <v>47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/>
      <c r="U36" s="4"/>
      <c r="V36" s="4"/>
      <c r="W36" s="6"/>
      <c r="X36" s="4"/>
      <c r="Y36" s="4"/>
      <c r="Z36" s="6"/>
      <c r="AA36" s="4"/>
      <c r="AB36" s="6"/>
      <c r="AC36" s="6"/>
      <c r="AD36" s="4"/>
      <c r="AE36" s="4"/>
      <c r="AF36" s="4"/>
      <c r="AG36" s="6"/>
      <c r="AH36" s="21">
        <f t="shared" si="0"/>
        <v>14</v>
      </c>
      <c r="AI36" s="23">
        <f t="shared" si="1"/>
        <v>3</v>
      </c>
      <c r="AJ36" s="30">
        <f>SUM(AH36:AI36)</f>
        <v>17</v>
      </c>
    </row>
    <row r="37" spans="1:36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48</v>
      </c>
      <c r="H37" s="6" t="s">
        <v>47</v>
      </c>
      <c r="I37" s="4" t="s">
        <v>48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48</v>
      </c>
      <c r="O37" s="4" t="s">
        <v>48</v>
      </c>
      <c r="P37" s="4" t="s">
        <v>47</v>
      </c>
      <c r="Q37" s="4" t="s">
        <v>47</v>
      </c>
      <c r="R37" s="6" t="s">
        <v>47</v>
      </c>
      <c r="S37" s="6" t="s">
        <v>47</v>
      </c>
      <c r="T37" s="4"/>
      <c r="U37" s="4"/>
      <c r="V37" s="4"/>
      <c r="W37" s="4"/>
      <c r="X37" s="4"/>
      <c r="Y37" s="4"/>
      <c r="Z37" s="4"/>
      <c r="AA37" s="6"/>
      <c r="AB37" s="6"/>
      <c r="AC37" s="6"/>
      <c r="AD37" s="6"/>
      <c r="AE37" s="4"/>
      <c r="AF37" s="4"/>
      <c r="AG37" s="6"/>
      <c r="AH37" s="21">
        <f t="shared" si="0"/>
        <v>13</v>
      </c>
      <c r="AI37" s="23">
        <f t="shared" si="1"/>
        <v>4</v>
      </c>
      <c r="AJ37" s="30">
        <f t="shared" si="2"/>
        <v>17</v>
      </c>
    </row>
    <row r="38" spans="1:36" x14ac:dyDescent="0.25">
      <c r="A38" s="15">
        <f t="shared" si="3"/>
        <v>35</v>
      </c>
      <c r="B38" s="16" t="s">
        <v>54</v>
      </c>
      <c r="C38" s="5" t="s">
        <v>47</v>
      </c>
      <c r="D38" s="6" t="s">
        <v>48</v>
      </c>
      <c r="E38" s="6" t="s">
        <v>47</v>
      </c>
      <c r="F38" s="6" t="s">
        <v>47</v>
      </c>
      <c r="G38" s="6" t="s">
        <v>47</v>
      </c>
      <c r="H38" s="6" t="s">
        <v>47</v>
      </c>
      <c r="I38" s="4" t="s">
        <v>48</v>
      </c>
      <c r="J38" s="6" t="s">
        <v>48</v>
      </c>
      <c r="K38" s="4" t="s">
        <v>48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/>
      <c r="U38" s="6"/>
      <c r="V38" s="4"/>
      <c r="W38" s="4"/>
      <c r="X38" s="6"/>
      <c r="Y38" s="4"/>
      <c r="Z38" s="4"/>
      <c r="AA38" s="6"/>
      <c r="AB38" s="6"/>
      <c r="AC38" s="6"/>
      <c r="AD38" s="6"/>
      <c r="AE38" s="6"/>
      <c r="AF38" s="6"/>
      <c r="AG38" s="6"/>
      <c r="AH38" s="21">
        <f t="shared" si="0"/>
        <v>13</v>
      </c>
      <c r="AI38" s="23">
        <f t="shared" si="1"/>
        <v>4</v>
      </c>
      <c r="AJ38" s="30">
        <f t="shared" si="2"/>
        <v>17</v>
      </c>
    </row>
    <row r="39" spans="1:36" x14ac:dyDescent="0.25">
      <c r="A39" s="15">
        <f t="shared" si="3"/>
        <v>36</v>
      </c>
      <c r="B39" s="16" t="s">
        <v>38</v>
      </c>
      <c r="C39" s="3" t="s">
        <v>47</v>
      </c>
      <c r="D39" s="6" t="s">
        <v>47</v>
      </c>
      <c r="E39" s="6" t="s">
        <v>47</v>
      </c>
      <c r="F39" s="6" t="s">
        <v>47</v>
      </c>
      <c r="G39" s="4" t="s">
        <v>48</v>
      </c>
      <c r="H39" s="4" t="s">
        <v>48</v>
      </c>
      <c r="I39" s="4" t="s">
        <v>47</v>
      </c>
      <c r="J39" s="4" t="s">
        <v>47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48</v>
      </c>
      <c r="Q39" s="4" t="s">
        <v>48</v>
      </c>
      <c r="R39" s="6" t="s">
        <v>47</v>
      </c>
      <c r="S39" s="4" t="s">
        <v>47</v>
      </c>
      <c r="T39" s="4"/>
      <c r="U39" s="4"/>
      <c r="V39" s="4"/>
      <c r="W39" s="4"/>
      <c r="X39" s="4"/>
      <c r="Y39" s="6"/>
      <c r="Z39" s="4"/>
      <c r="AA39" s="6"/>
      <c r="AB39" s="6"/>
      <c r="AC39" s="6"/>
      <c r="AD39" s="4"/>
      <c r="AE39" s="4"/>
      <c r="AF39" s="4"/>
      <c r="AG39" s="4"/>
      <c r="AH39" s="21">
        <f t="shared" si="0"/>
        <v>13</v>
      </c>
      <c r="AI39" s="23">
        <f t="shared" si="1"/>
        <v>4</v>
      </c>
      <c r="AJ39" s="30">
        <f t="shared" si="2"/>
        <v>17</v>
      </c>
    </row>
    <row r="40" spans="1:36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4" t="s">
        <v>48</v>
      </c>
      <c r="H40" s="4" t="s">
        <v>48</v>
      </c>
      <c r="I40" s="4" t="s">
        <v>47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47</v>
      </c>
      <c r="S40" s="6" t="s">
        <v>47</v>
      </c>
      <c r="T40" s="6"/>
      <c r="U40" s="4"/>
      <c r="V40" s="4"/>
      <c r="W40" s="4"/>
      <c r="X40" s="6"/>
      <c r="Y40" s="4"/>
      <c r="Z40" s="4"/>
      <c r="AA40" s="6"/>
      <c r="AB40" s="6"/>
      <c r="AC40" s="6"/>
      <c r="AD40" s="6"/>
      <c r="AE40" s="6"/>
      <c r="AF40" s="6"/>
      <c r="AG40" s="6"/>
      <c r="AH40" s="21">
        <f t="shared" si="0"/>
        <v>15</v>
      </c>
      <c r="AI40" s="23">
        <f t="shared" si="1"/>
        <v>2</v>
      </c>
      <c r="AJ40" s="30">
        <f t="shared" si="2"/>
        <v>17</v>
      </c>
    </row>
    <row r="41" spans="1:36" x14ac:dyDescent="0.25">
      <c r="A41" s="15">
        <f t="shared" si="3"/>
        <v>38</v>
      </c>
      <c r="B41" s="16" t="s">
        <v>25</v>
      </c>
      <c r="C41" s="5" t="s">
        <v>48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6" t="s">
        <v>48</v>
      </c>
      <c r="O41" s="4" t="s">
        <v>47</v>
      </c>
      <c r="P41" s="6" t="s">
        <v>47</v>
      </c>
      <c r="Q41" s="6" t="s">
        <v>47</v>
      </c>
      <c r="R41" s="6" t="s">
        <v>47</v>
      </c>
      <c r="S41" s="6" t="s">
        <v>48</v>
      </c>
      <c r="T41" s="4"/>
      <c r="U41" s="4"/>
      <c r="V41" s="4"/>
      <c r="W41" s="6"/>
      <c r="X41" s="6"/>
      <c r="Y41" s="6"/>
      <c r="Z41" s="4"/>
      <c r="AA41" s="6"/>
      <c r="AB41" s="6"/>
      <c r="AC41" s="6"/>
      <c r="AD41" s="6"/>
      <c r="AE41" s="6"/>
      <c r="AF41" s="6"/>
      <c r="AG41" s="6"/>
      <c r="AH41" s="21">
        <f t="shared" si="0"/>
        <v>14</v>
      </c>
      <c r="AI41" s="23">
        <f t="shared" si="1"/>
        <v>3</v>
      </c>
      <c r="AJ41" s="30">
        <f t="shared" si="2"/>
        <v>17</v>
      </c>
    </row>
    <row r="42" spans="1:36" x14ac:dyDescent="0.25">
      <c r="A42" s="15">
        <f t="shared" si="3"/>
        <v>39</v>
      </c>
      <c r="B42" s="16" t="s">
        <v>26</v>
      </c>
      <c r="C42" s="5" t="s">
        <v>48</v>
      </c>
      <c r="D42" s="6" t="s">
        <v>47</v>
      </c>
      <c r="E42" s="6" t="s">
        <v>47</v>
      </c>
      <c r="F42" s="6" t="s">
        <v>47</v>
      </c>
      <c r="G42" s="4" t="s">
        <v>48</v>
      </c>
      <c r="H42" s="4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48</v>
      </c>
      <c r="O42" s="4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/>
      <c r="U42" s="6"/>
      <c r="V42" s="4"/>
      <c r="W42" s="4"/>
      <c r="X42" s="6"/>
      <c r="Y42" s="4"/>
      <c r="Z42" s="4"/>
      <c r="AA42" s="6"/>
      <c r="AB42" s="6"/>
      <c r="AC42" s="4"/>
      <c r="AD42" s="4"/>
      <c r="AE42" s="6"/>
      <c r="AF42" s="6"/>
      <c r="AG42" s="6"/>
      <c r="AH42" s="21">
        <f t="shared" si="0"/>
        <v>13</v>
      </c>
      <c r="AI42" s="23">
        <f t="shared" si="1"/>
        <v>4</v>
      </c>
      <c r="AJ42" s="30">
        <f t="shared" si="2"/>
        <v>17</v>
      </c>
    </row>
    <row r="43" spans="1:36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4" t="s">
        <v>48</v>
      </c>
      <c r="J43" s="6" t="s">
        <v>48</v>
      </c>
      <c r="K43" s="6" t="s">
        <v>47</v>
      </c>
      <c r="L43" s="6" t="s">
        <v>47</v>
      </c>
      <c r="M43" s="6" t="s">
        <v>47</v>
      </c>
      <c r="N43" s="4" t="s">
        <v>47</v>
      </c>
      <c r="O43" s="4" t="s">
        <v>47</v>
      </c>
      <c r="P43" s="6" t="s">
        <v>47</v>
      </c>
      <c r="Q43" s="4" t="s">
        <v>47</v>
      </c>
      <c r="R43" s="4" t="s">
        <v>47</v>
      </c>
      <c r="S43" s="6" t="s">
        <v>48</v>
      </c>
      <c r="T43" s="4"/>
      <c r="U43" s="6"/>
      <c r="V43" s="4"/>
      <c r="W43" s="4"/>
      <c r="X43" s="6"/>
      <c r="Y43" s="4"/>
      <c r="Z43" s="4"/>
      <c r="AA43" s="6"/>
      <c r="AB43" s="6"/>
      <c r="AC43" s="6"/>
      <c r="AD43" s="4"/>
      <c r="AE43" s="6"/>
      <c r="AF43" s="6"/>
      <c r="AG43" s="6"/>
      <c r="AH43" s="21">
        <f t="shared" si="0"/>
        <v>14</v>
      </c>
      <c r="AI43" s="23">
        <f t="shared" si="1"/>
        <v>3</v>
      </c>
      <c r="AJ43" s="30">
        <f t="shared" si="2"/>
        <v>17</v>
      </c>
    </row>
    <row r="44" spans="1:36" x14ac:dyDescent="0.25">
      <c r="A44" s="15">
        <f t="shared" si="3"/>
        <v>41</v>
      </c>
      <c r="B44" s="16" t="s">
        <v>28</v>
      </c>
      <c r="C44" s="3" t="s">
        <v>47</v>
      </c>
      <c r="D44" s="6" t="s">
        <v>47</v>
      </c>
      <c r="E44" s="6" t="s">
        <v>47</v>
      </c>
      <c r="F44" s="6" t="s">
        <v>48</v>
      </c>
      <c r="G44" s="4" t="s">
        <v>48</v>
      </c>
      <c r="H44" s="4" t="s">
        <v>48</v>
      </c>
      <c r="I44" s="4" t="s">
        <v>47</v>
      </c>
      <c r="J44" s="4" t="s">
        <v>47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4" t="s">
        <v>47</v>
      </c>
      <c r="T44" s="4"/>
      <c r="U44" s="4"/>
      <c r="V44" s="6"/>
      <c r="W44" s="6"/>
      <c r="X44" s="4"/>
      <c r="Y44" s="6"/>
      <c r="Z44" s="4"/>
      <c r="AA44" s="4"/>
      <c r="AB44" s="6"/>
      <c r="AC44" s="6"/>
      <c r="AD44" s="4"/>
      <c r="AE44" s="6"/>
      <c r="AF44" s="6"/>
      <c r="AG44" s="6"/>
      <c r="AH44" s="21">
        <f t="shared" si="0"/>
        <v>12</v>
      </c>
      <c r="AI44" s="23">
        <f t="shared" si="1"/>
        <v>5</v>
      </c>
      <c r="AJ44" s="30">
        <f t="shared" si="2"/>
        <v>17</v>
      </c>
    </row>
    <row r="45" spans="1:36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47</v>
      </c>
      <c r="P45" s="6" t="s">
        <v>47</v>
      </c>
      <c r="Q45" s="4" t="s">
        <v>48</v>
      </c>
      <c r="R45" s="4" t="s">
        <v>47</v>
      </c>
      <c r="S45" s="4" t="s">
        <v>47</v>
      </c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4"/>
      <c r="AG45" s="4"/>
      <c r="AH45" s="21">
        <f t="shared" si="0"/>
        <v>16</v>
      </c>
      <c r="AI45" s="23">
        <f t="shared" si="1"/>
        <v>1</v>
      </c>
      <c r="AJ45" s="30">
        <f t="shared" si="2"/>
        <v>17</v>
      </c>
    </row>
    <row r="46" spans="1:36" x14ac:dyDescent="0.25">
      <c r="A46" s="15">
        <f t="shared" si="3"/>
        <v>43</v>
      </c>
      <c r="B46" s="16" t="s">
        <v>31</v>
      </c>
      <c r="C46" s="5" t="s">
        <v>47</v>
      </c>
      <c r="D46" s="6" t="s">
        <v>48</v>
      </c>
      <c r="E46" s="6" t="s">
        <v>47</v>
      </c>
      <c r="F46" s="6" t="s">
        <v>47</v>
      </c>
      <c r="G46" s="4" t="s">
        <v>48</v>
      </c>
      <c r="H46" s="4" t="s">
        <v>48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/>
      <c r="U46" s="6"/>
      <c r="V46" s="4"/>
      <c r="W46" s="4"/>
      <c r="X46" s="6"/>
      <c r="Y46" s="4"/>
      <c r="Z46" s="4"/>
      <c r="AA46" s="4"/>
      <c r="AB46" s="4"/>
      <c r="AC46" s="4"/>
      <c r="AD46" s="4"/>
      <c r="AE46" s="4"/>
      <c r="AF46" s="4"/>
      <c r="AG46" s="4"/>
      <c r="AH46" s="21">
        <f t="shared" si="0"/>
        <v>14</v>
      </c>
      <c r="AI46" s="23">
        <f t="shared" si="1"/>
        <v>3</v>
      </c>
      <c r="AJ46" s="30">
        <f t="shared" si="2"/>
        <v>17</v>
      </c>
    </row>
    <row r="47" spans="1:36" x14ac:dyDescent="0.25">
      <c r="A47" s="15">
        <f t="shared" si="3"/>
        <v>44</v>
      </c>
      <c r="B47" s="16" t="s">
        <v>66</v>
      </c>
      <c r="C47" s="5" t="s">
        <v>48</v>
      </c>
      <c r="D47" s="6" t="s">
        <v>48</v>
      </c>
      <c r="E47" s="6" t="s">
        <v>48</v>
      </c>
      <c r="F47" s="6" t="s">
        <v>48</v>
      </c>
      <c r="G47" s="4" t="s">
        <v>48</v>
      </c>
      <c r="H47" s="4" t="s">
        <v>48</v>
      </c>
      <c r="I47" s="4" t="s">
        <v>47</v>
      </c>
      <c r="J47" s="4" t="s">
        <v>47</v>
      </c>
      <c r="K47" s="4" t="s">
        <v>47</v>
      </c>
      <c r="L47" s="6" t="s">
        <v>48</v>
      </c>
      <c r="M47" s="6" t="s">
        <v>48</v>
      </c>
      <c r="N47" s="6" t="s">
        <v>48</v>
      </c>
      <c r="O47" s="4" t="s">
        <v>48</v>
      </c>
      <c r="P47" s="4" t="s">
        <v>48</v>
      </c>
      <c r="Q47" s="4" t="s">
        <v>48</v>
      </c>
      <c r="R47" s="4" t="s">
        <v>48</v>
      </c>
      <c r="S47" s="6" t="s">
        <v>48</v>
      </c>
      <c r="T47" s="4"/>
      <c r="U47" s="4"/>
      <c r="V47" s="4"/>
      <c r="W47" s="4"/>
      <c r="X47" s="4"/>
      <c r="Y47" s="4"/>
      <c r="Z47" s="4"/>
      <c r="AA47" s="4"/>
      <c r="AB47" s="6"/>
      <c r="AC47" s="4"/>
      <c r="AD47" s="4"/>
      <c r="AE47" s="4"/>
      <c r="AF47" s="4"/>
      <c r="AG47" s="6"/>
      <c r="AH47" s="21">
        <f t="shared" si="0"/>
        <v>3</v>
      </c>
      <c r="AI47" s="23">
        <f t="shared" si="1"/>
        <v>14</v>
      </c>
      <c r="AJ47" s="30">
        <f t="shared" si="2"/>
        <v>17</v>
      </c>
    </row>
    <row r="48" spans="1:36" x14ac:dyDescent="0.25">
      <c r="A48" s="15">
        <f t="shared" si="3"/>
        <v>45</v>
      </c>
      <c r="B48" s="16" t="s">
        <v>75</v>
      </c>
      <c r="C48" s="5"/>
      <c r="D48" s="6"/>
      <c r="E48" s="6"/>
      <c r="F48" s="6"/>
      <c r="G48" s="4"/>
      <c r="H48" s="4"/>
      <c r="I48" s="4"/>
      <c r="J48" s="4"/>
      <c r="K48" s="4"/>
      <c r="L48" s="6"/>
      <c r="M48" s="6"/>
      <c r="N48" s="6"/>
      <c r="O48" s="4"/>
      <c r="P48" s="4"/>
      <c r="Q48" s="4"/>
      <c r="R48" s="4"/>
      <c r="S48" s="4" t="s">
        <v>47</v>
      </c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6"/>
      <c r="AH48" s="21">
        <f t="shared" ref="AH48" si="4">COUNTIF(C48:AG48,"+")</f>
        <v>1</v>
      </c>
      <c r="AI48" s="23">
        <f t="shared" ref="AI48" si="5">COUNTIF(C48:AG48,"-")</f>
        <v>0</v>
      </c>
      <c r="AJ48" s="30">
        <f t="shared" ref="AJ48" si="6">SUM(AH48:AI48)</f>
        <v>1</v>
      </c>
    </row>
    <row r="49" spans="1:36" x14ac:dyDescent="0.25">
      <c r="A49" s="15">
        <f t="shared" si="3"/>
        <v>46</v>
      </c>
      <c r="B49" s="16" t="s">
        <v>32</v>
      </c>
      <c r="C49" s="5" t="s">
        <v>48</v>
      </c>
      <c r="D49" s="6" t="s">
        <v>48</v>
      </c>
      <c r="E49" s="6" t="s">
        <v>47</v>
      </c>
      <c r="F49" s="6" t="s">
        <v>47</v>
      </c>
      <c r="G49" s="4" t="s">
        <v>48</v>
      </c>
      <c r="H49" s="4" t="s">
        <v>48</v>
      </c>
      <c r="I49" s="4" t="s">
        <v>48</v>
      </c>
      <c r="J49" s="6" t="s">
        <v>48</v>
      </c>
      <c r="K49" s="4" t="s">
        <v>48</v>
      </c>
      <c r="L49" s="6" t="s">
        <v>47</v>
      </c>
      <c r="M49" s="6" t="s">
        <v>48</v>
      </c>
      <c r="N49" s="6" t="s">
        <v>48</v>
      </c>
      <c r="O49" s="4" t="s">
        <v>47</v>
      </c>
      <c r="P49" s="4" t="s">
        <v>48</v>
      </c>
      <c r="Q49" s="4" t="s">
        <v>48</v>
      </c>
      <c r="R49" s="4" t="s">
        <v>48</v>
      </c>
      <c r="S49" s="4" t="s">
        <v>47</v>
      </c>
      <c r="T49" s="4"/>
      <c r="U49" s="4"/>
      <c r="V49" s="4"/>
      <c r="W49" s="4"/>
      <c r="X49" s="6"/>
      <c r="Y49" s="4"/>
      <c r="Z49" s="4"/>
      <c r="AA49" s="4"/>
      <c r="AB49" s="4"/>
      <c r="AC49" s="6"/>
      <c r="AD49" s="4"/>
      <c r="AE49" s="4"/>
      <c r="AF49" s="4"/>
      <c r="AG49" s="6"/>
      <c r="AH49" s="21">
        <f t="shared" si="0"/>
        <v>5</v>
      </c>
      <c r="AI49" s="23">
        <f t="shared" si="1"/>
        <v>12</v>
      </c>
      <c r="AJ49" s="30">
        <f t="shared" si="2"/>
        <v>17</v>
      </c>
    </row>
    <row r="50" spans="1:36" x14ac:dyDescent="0.25">
      <c r="A50" s="15">
        <f t="shared" si="3"/>
        <v>47</v>
      </c>
      <c r="B50" s="16" t="s">
        <v>33</v>
      </c>
      <c r="C50" s="5" t="s">
        <v>47</v>
      </c>
      <c r="D50" s="6" t="s">
        <v>47</v>
      </c>
      <c r="E50" s="5" t="s">
        <v>47</v>
      </c>
      <c r="F50" s="5" t="s">
        <v>47</v>
      </c>
      <c r="G50" s="5" t="s">
        <v>47</v>
      </c>
      <c r="H50" s="5" t="s">
        <v>47</v>
      </c>
      <c r="I50" s="4" t="s">
        <v>48</v>
      </c>
      <c r="J50" s="6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6" t="s">
        <v>47</v>
      </c>
      <c r="P50" s="4" t="s">
        <v>48</v>
      </c>
      <c r="Q50" s="4" t="s">
        <v>48</v>
      </c>
      <c r="R50" s="4" t="s">
        <v>48</v>
      </c>
      <c r="S50" s="6" t="s">
        <v>48</v>
      </c>
      <c r="T50" s="5"/>
      <c r="U50" s="5"/>
      <c r="V50" s="4"/>
      <c r="W50" s="5"/>
      <c r="X50" s="5"/>
      <c r="Y50" s="4"/>
      <c r="Z50" s="4"/>
      <c r="AA50" s="5"/>
      <c r="AB50" s="5"/>
      <c r="AC50" s="5"/>
      <c r="AD50" s="6"/>
      <c r="AE50" s="4"/>
      <c r="AF50" s="3"/>
      <c r="AG50" s="5"/>
      <c r="AH50" s="21">
        <f t="shared" si="0"/>
        <v>10</v>
      </c>
      <c r="AI50" s="23">
        <f t="shared" si="1"/>
        <v>7</v>
      </c>
      <c r="AJ50" s="30">
        <f>SUM(AH50:AI50)</f>
        <v>17</v>
      </c>
    </row>
    <row r="51" spans="1:36" x14ac:dyDescent="0.25">
      <c r="A51" s="15">
        <f t="shared" si="3"/>
        <v>48</v>
      </c>
      <c r="B51" s="16" t="s">
        <v>70</v>
      </c>
      <c r="C51" s="5" t="s">
        <v>48</v>
      </c>
      <c r="D51" s="6" t="s">
        <v>47</v>
      </c>
      <c r="E51" s="5" t="s">
        <v>47</v>
      </c>
      <c r="F51" s="6" t="s">
        <v>47</v>
      </c>
      <c r="G51" s="4" t="s">
        <v>48</v>
      </c>
      <c r="H51" s="4" t="s">
        <v>48</v>
      </c>
      <c r="I51" s="4" t="s">
        <v>48</v>
      </c>
      <c r="J51" s="6" t="s">
        <v>48</v>
      </c>
      <c r="K51" s="4" t="s">
        <v>48</v>
      </c>
      <c r="L51" s="4" t="s">
        <v>47</v>
      </c>
      <c r="M51" s="6" t="s">
        <v>47</v>
      </c>
      <c r="N51" s="6" t="s">
        <v>48</v>
      </c>
      <c r="O51" s="4" t="s">
        <v>47</v>
      </c>
      <c r="P51" s="6" t="s">
        <v>47</v>
      </c>
      <c r="Q51" s="6" t="s">
        <v>47</v>
      </c>
      <c r="R51" s="6" t="s">
        <v>47</v>
      </c>
      <c r="S51" s="4" t="s">
        <v>47</v>
      </c>
      <c r="T51" s="5"/>
      <c r="U51" s="5"/>
      <c r="V51" s="4"/>
      <c r="W51" s="4"/>
      <c r="X51" s="4"/>
      <c r="Y51" s="4"/>
      <c r="Z51" s="4"/>
      <c r="AA51" s="4"/>
      <c r="AB51" s="6"/>
      <c r="AC51" s="6"/>
      <c r="AD51" s="4"/>
      <c r="AE51" s="4"/>
      <c r="AF51" s="4"/>
      <c r="AG51" s="4"/>
      <c r="AH51" s="21">
        <f t="shared" si="0"/>
        <v>10</v>
      </c>
      <c r="AI51" s="23">
        <f t="shared" si="1"/>
        <v>7</v>
      </c>
      <c r="AJ51" s="30">
        <f>SUM(AH51:AI51)</f>
        <v>17</v>
      </c>
    </row>
    <row r="52" spans="1:36" x14ac:dyDescent="0.25">
      <c r="A52" s="15">
        <f t="shared" si="3"/>
        <v>49</v>
      </c>
      <c r="B52" s="16" t="s">
        <v>44</v>
      </c>
      <c r="C52" s="5" t="s">
        <v>48</v>
      </c>
      <c r="D52" s="6" t="s">
        <v>48</v>
      </c>
      <c r="E52" s="6" t="s">
        <v>47</v>
      </c>
      <c r="F52" s="4" t="s">
        <v>47</v>
      </c>
      <c r="G52" s="6" t="s">
        <v>47</v>
      </c>
      <c r="H52" s="6" t="s">
        <v>47</v>
      </c>
      <c r="I52" s="4" t="s">
        <v>48</v>
      </c>
      <c r="J52" s="4" t="s">
        <v>47</v>
      </c>
      <c r="K52" s="4" t="s">
        <v>47</v>
      </c>
      <c r="L52" s="6" t="s">
        <v>47</v>
      </c>
      <c r="M52" s="6" t="s">
        <v>47</v>
      </c>
      <c r="N52" s="4" t="s">
        <v>47</v>
      </c>
      <c r="O52" s="4" t="s">
        <v>47</v>
      </c>
      <c r="P52" s="6" t="s">
        <v>47</v>
      </c>
      <c r="Q52" s="4" t="s">
        <v>47</v>
      </c>
      <c r="R52" s="4" t="s">
        <v>47</v>
      </c>
      <c r="S52" s="4" t="s">
        <v>47</v>
      </c>
      <c r="T52" s="6"/>
      <c r="U52" s="4"/>
      <c r="V52" s="4"/>
      <c r="W52" s="6"/>
      <c r="X52" s="6"/>
      <c r="Y52" s="6"/>
      <c r="Z52" s="4"/>
      <c r="AA52" s="4"/>
      <c r="AB52" s="4"/>
      <c r="AC52" s="4"/>
      <c r="AD52" s="6"/>
      <c r="AE52" s="4"/>
      <c r="AF52" s="4"/>
      <c r="AG52" s="6"/>
      <c r="AH52" s="21">
        <f t="shared" si="0"/>
        <v>14</v>
      </c>
      <c r="AI52" s="23">
        <f t="shared" si="1"/>
        <v>3</v>
      </c>
      <c r="AJ52" s="30">
        <f t="shared" ref="AJ52:AJ61" si="7">SUM(AH52:AI52)</f>
        <v>17</v>
      </c>
    </row>
    <row r="53" spans="1:36" x14ac:dyDescent="0.25">
      <c r="A53" s="15">
        <f t="shared" si="3"/>
        <v>50</v>
      </c>
      <c r="B53" s="16" t="s">
        <v>72</v>
      </c>
      <c r="C53" s="3" t="s">
        <v>47</v>
      </c>
      <c r="D53" s="6" t="s">
        <v>48</v>
      </c>
      <c r="E53" s="6" t="s">
        <v>48</v>
      </c>
      <c r="F53" s="6" t="s">
        <v>47</v>
      </c>
      <c r="G53" s="4" t="s">
        <v>47</v>
      </c>
      <c r="H53" s="4" t="s">
        <v>47</v>
      </c>
      <c r="I53" s="4" t="s">
        <v>47</v>
      </c>
      <c r="J53" s="4" t="s">
        <v>47</v>
      </c>
      <c r="K53" s="4" t="s">
        <v>47</v>
      </c>
      <c r="L53" s="4" t="s">
        <v>47</v>
      </c>
      <c r="M53" s="6" t="s">
        <v>48</v>
      </c>
      <c r="N53" s="6" t="s">
        <v>48</v>
      </c>
      <c r="O53" s="4" t="s">
        <v>48</v>
      </c>
      <c r="P53" s="4" t="s">
        <v>47</v>
      </c>
      <c r="Q53" s="6" t="s">
        <v>47</v>
      </c>
      <c r="R53" s="4" t="s">
        <v>47</v>
      </c>
      <c r="S53" s="4" t="s">
        <v>47</v>
      </c>
      <c r="T53" s="4"/>
      <c r="U53" s="4"/>
      <c r="V53" s="4"/>
      <c r="W53" s="4"/>
      <c r="X53" s="6"/>
      <c r="Y53" s="6"/>
      <c r="Z53" s="6"/>
      <c r="AA53" s="4"/>
      <c r="AB53" s="6"/>
      <c r="AC53" s="4"/>
      <c r="AD53" s="4"/>
      <c r="AE53" s="4"/>
      <c r="AF53" s="4"/>
      <c r="AG53" s="4"/>
      <c r="AH53" s="21">
        <f t="shared" si="0"/>
        <v>12</v>
      </c>
      <c r="AI53" s="23">
        <f t="shared" si="1"/>
        <v>5</v>
      </c>
      <c r="AJ53" s="30">
        <f t="shared" si="7"/>
        <v>17</v>
      </c>
    </row>
    <row r="54" spans="1:36" x14ac:dyDescent="0.25">
      <c r="A54" s="15">
        <f t="shared" si="3"/>
        <v>51</v>
      </c>
      <c r="B54" s="16" t="s">
        <v>34</v>
      </c>
      <c r="C54" s="5" t="s">
        <v>47</v>
      </c>
      <c r="D54" s="6" t="s">
        <v>47</v>
      </c>
      <c r="E54" s="6" t="s">
        <v>47</v>
      </c>
      <c r="F54" s="6" t="s">
        <v>48</v>
      </c>
      <c r="G54" s="4" t="s">
        <v>48</v>
      </c>
      <c r="H54" s="4" t="s">
        <v>48</v>
      </c>
      <c r="I54" s="6" t="s">
        <v>47</v>
      </c>
      <c r="J54" s="6" t="s">
        <v>47</v>
      </c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6" t="s">
        <v>47</v>
      </c>
      <c r="Q54" s="4" t="s">
        <v>48</v>
      </c>
      <c r="R54" s="6" t="s">
        <v>47</v>
      </c>
      <c r="S54" s="6" t="s">
        <v>47</v>
      </c>
      <c r="T54" s="6"/>
      <c r="U54" s="6"/>
      <c r="V54" s="4"/>
      <c r="W54" s="4"/>
      <c r="X54" s="6"/>
      <c r="Y54" s="4"/>
      <c r="Z54" s="4"/>
      <c r="AA54" s="6"/>
      <c r="AB54" s="6"/>
      <c r="AC54" s="6"/>
      <c r="AD54" s="6"/>
      <c r="AE54" s="4"/>
      <c r="AF54" s="4"/>
      <c r="AG54" s="4"/>
      <c r="AH54" s="21">
        <f t="shared" si="0"/>
        <v>13</v>
      </c>
      <c r="AI54" s="23">
        <f t="shared" si="1"/>
        <v>4</v>
      </c>
      <c r="AJ54" s="30">
        <f t="shared" si="7"/>
        <v>17</v>
      </c>
    </row>
    <row r="55" spans="1:36" x14ac:dyDescent="0.25">
      <c r="A55" s="15">
        <f t="shared" si="3"/>
        <v>52</v>
      </c>
      <c r="B55" s="16" t="s">
        <v>74</v>
      </c>
      <c r="C55" s="5" t="s">
        <v>48</v>
      </c>
      <c r="D55" s="6" t="s">
        <v>47</v>
      </c>
      <c r="E55" s="6" t="s">
        <v>47</v>
      </c>
      <c r="F55" s="6" t="s">
        <v>47</v>
      </c>
      <c r="G55" s="4" t="s">
        <v>48</v>
      </c>
      <c r="H55" s="4" t="s">
        <v>47</v>
      </c>
      <c r="I55" s="6" t="s">
        <v>47</v>
      </c>
      <c r="J55" s="6" t="s">
        <v>48</v>
      </c>
      <c r="K55" s="4" t="s">
        <v>48</v>
      </c>
      <c r="L55" s="4" t="s">
        <v>48</v>
      </c>
      <c r="M55" s="6" t="s">
        <v>47</v>
      </c>
      <c r="N55" s="6" t="s">
        <v>48</v>
      </c>
      <c r="O55" s="4" t="s">
        <v>48</v>
      </c>
      <c r="P55" s="4" t="s">
        <v>47</v>
      </c>
      <c r="Q55" s="6" t="s">
        <v>47</v>
      </c>
      <c r="R55" s="4" t="s">
        <v>47</v>
      </c>
      <c r="S55" s="4" t="s">
        <v>47</v>
      </c>
      <c r="T55" s="6"/>
      <c r="U55" s="6"/>
      <c r="V55" s="6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6"/>
      <c r="AH55" s="21">
        <f t="shared" si="0"/>
        <v>10</v>
      </c>
      <c r="AI55" s="23">
        <f t="shared" si="1"/>
        <v>7</v>
      </c>
      <c r="AJ55" s="30">
        <f t="shared" ref="AJ55" si="8">SUM(AH55:AI55)</f>
        <v>17</v>
      </c>
    </row>
    <row r="56" spans="1:36" x14ac:dyDescent="0.25">
      <c r="A56" s="15">
        <f t="shared" si="3"/>
        <v>53</v>
      </c>
      <c r="B56" s="16" t="s">
        <v>43</v>
      </c>
      <c r="C56" s="5" t="s">
        <v>48</v>
      </c>
      <c r="D56" s="6" t="s">
        <v>48</v>
      </c>
      <c r="E56" s="6" t="s">
        <v>48</v>
      </c>
      <c r="F56" s="6" t="s">
        <v>47</v>
      </c>
      <c r="G56" s="6" t="s">
        <v>47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47</v>
      </c>
      <c r="S56" s="4" t="s">
        <v>47</v>
      </c>
      <c r="T56" s="6"/>
      <c r="U56" s="6"/>
      <c r="V56" s="6"/>
      <c r="W56" s="4"/>
      <c r="X56" s="6"/>
      <c r="Y56" s="6"/>
      <c r="Z56" s="4"/>
      <c r="AA56" s="4"/>
      <c r="AB56" s="6"/>
      <c r="AC56" s="6"/>
      <c r="AD56" s="6"/>
      <c r="AE56" s="4"/>
      <c r="AF56" s="4"/>
      <c r="AG56" s="6"/>
      <c r="AH56" s="21">
        <f t="shared" si="0"/>
        <v>14</v>
      </c>
      <c r="AI56" s="23">
        <f t="shared" si="1"/>
        <v>3</v>
      </c>
      <c r="AJ56" s="30">
        <f t="shared" si="7"/>
        <v>17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48</v>
      </c>
      <c r="G57" s="4" t="s">
        <v>48</v>
      </c>
      <c r="H57" s="4" t="s">
        <v>48</v>
      </c>
      <c r="I57" s="4" t="s">
        <v>48</v>
      </c>
      <c r="J57" s="6" t="s">
        <v>48</v>
      </c>
      <c r="K57" s="4" t="s">
        <v>48</v>
      </c>
      <c r="L57" s="6" t="s">
        <v>48</v>
      </c>
      <c r="M57" s="6" t="s">
        <v>48</v>
      </c>
      <c r="N57" s="4" t="s">
        <v>47</v>
      </c>
      <c r="O57" s="4" t="s">
        <v>47</v>
      </c>
      <c r="P57" s="6" t="s">
        <v>47</v>
      </c>
      <c r="Q57" s="6" t="s">
        <v>47</v>
      </c>
      <c r="R57" s="6" t="s">
        <v>47</v>
      </c>
      <c r="S57" s="6" t="s">
        <v>47</v>
      </c>
      <c r="T57" s="4"/>
      <c r="U57" s="4"/>
      <c r="V57" s="4"/>
      <c r="W57" s="4"/>
      <c r="X57" s="4"/>
      <c r="Y57" s="4"/>
      <c r="Z57" s="4"/>
      <c r="AA57" s="4"/>
      <c r="AB57" s="6"/>
      <c r="AC57" s="6"/>
      <c r="AD57" s="4"/>
      <c r="AE57" s="4"/>
      <c r="AF57" s="4"/>
      <c r="AG57" s="6"/>
      <c r="AH57" s="21">
        <f t="shared" si="0"/>
        <v>7</v>
      </c>
      <c r="AI57" s="23">
        <f t="shared" si="1"/>
        <v>10</v>
      </c>
      <c r="AJ57" s="30">
        <f t="shared" si="7"/>
        <v>17</v>
      </c>
    </row>
    <row r="58" spans="1:36" x14ac:dyDescent="0.25">
      <c r="A58" s="15">
        <f t="shared" si="3"/>
        <v>55</v>
      </c>
      <c r="B58" s="16" t="s">
        <v>68</v>
      </c>
      <c r="C58" s="5" t="s">
        <v>48</v>
      </c>
      <c r="D58" s="6" t="s">
        <v>48</v>
      </c>
      <c r="E58" s="6" t="s">
        <v>47</v>
      </c>
      <c r="F58" s="6" t="s">
        <v>47</v>
      </c>
      <c r="G58" s="6" t="s">
        <v>47</v>
      </c>
      <c r="H58" s="4" t="s">
        <v>48</v>
      </c>
      <c r="I58" s="4" t="s">
        <v>48</v>
      </c>
      <c r="J58" s="6" t="s">
        <v>48</v>
      </c>
      <c r="K58" s="4" t="s">
        <v>48</v>
      </c>
      <c r="L58" s="6" t="s">
        <v>48</v>
      </c>
      <c r="M58" s="6" t="s">
        <v>47</v>
      </c>
      <c r="N58" s="4" t="s">
        <v>47</v>
      </c>
      <c r="O58" s="4" t="s">
        <v>47</v>
      </c>
      <c r="P58" s="4" t="s">
        <v>48</v>
      </c>
      <c r="Q58" s="4" t="s">
        <v>48</v>
      </c>
      <c r="R58" s="4" t="s">
        <v>48</v>
      </c>
      <c r="S58" s="6" t="s">
        <v>48</v>
      </c>
      <c r="T58" s="4"/>
      <c r="U58" s="6"/>
      <c r="V58" s="6"/>
      <c r="W58" s="6"/>
      <c r="X58" s="6"/>
      <c r="Y58" s="4"/>
      <c r="Z58" s="4"/>
      <c r="AA58" s="4"/>
      <c r="AB58" s="4"/>
      <c r="AC58" s="6"/>
      <c r="AD58" s="4"/>
      <c r="AE58" s="4"/>
      <c r="AF58" s="4"/>
      <c r="AG58" s="6"/>
      <c r="AH58" s="21">
        <f t="shared" si="0"/>
        <v>6</v>
      </c>
      <c r="AI58" s="23">
        <f t="shared" si="1"/>
        <v>11</v>
      </c>
      <c r="AJ58" s="30">
        <f>SUM(AH58:AI58)</f>
        <v>17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47</v>
      </c>
      <c r="H59" s="4" t="s">
        <v>47</v>
      </c>
      <c r="I59" s="4" t="s">
        <v>47</v>
      </c>
      <c r="J59" s="6" t="s">
        <v>48</v>
      </c>
      <c r="K59" s="4" t="s">
        <v>48</v>
      </c>
      <c r="L59" s="4" t="s">
        <v>47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47</v>
      </c>
      <c r="S59" s="4" t="s">
        <v>47</v>
      </c>
      <c r="T59" s="6"/>
      <c r="U59" s="6"/>
      <c r="V59" s="6"/>
      <c r="W59" s="4"/>
      <c r="X59" s="6"/>
      <c r="Y59" s="4"/>
      <c r="Z59" s="4"/>
      <c r="AA59" s="6"/>
      <c r="AB59" s="6"/>
      <c r="AC59" s="6"/>
      <c r="AD59" s="4"/>
      <c r="AE59" s="6"/>
      <c r="AF59" s="6"/>
      <c r="AG59" s="6"/>
      <c r="AH59" s="21">
        <f t="shared" si="0"/>
        <v>15</v>
      </c>
      <c r="AI59" s="23">
        <f t="shared" si="1"/>
        <v>2</v>
      </c>
      <c r="AJ59" s="30">
        <f t="shared" si="7"/>
        <v>17</v>
      </c>
    </row>
    <row r="60" spans="1:36" x14ac:dyDescent="0.25">
      <c r="A60" s="15">
        <f t="shared" si="3"/>
        <v>57</v>
      </c>
      <c r="B60" s="33" t="s">
        <v>62</v>
      </c>
      <c r="C60" s="5" t="s">
        <v>48</v>
      </c>
      <c r="D60" s="4" t="s">
        <v>47</v>
      </c>
      <c r="E60" s="4" t="s">
        <v>47</v>
      </c>
      <c r="F60" s="6" t="s">
        <v>47</v>
      </c>
      <c r="G60" s="4" t="s">
        <v>48</v>
      </c>
      <c r="H60" s="4" t="s">
        <v>48</v>
      </c>
      <c r="I60" s="4" t="s">
        <v>48</v>
      </c>
      <c r="J60" s="6" t="s">
        <v>48</v>
      </c>
      <c r="K60" s="4" t="s">
        <v>48</v>
      </c>
      <c r="L60" s="6" t="s">
        <v>47</v>
      </c>
      <c r="M60" s="6" t="s">
        <v>47</v>
      </c>
      <c r="N60" s="6" t="s">
        <v>48</v>
      </c>
      <c r="O60" s="4" t="s">
        <v>47</v>
      </c>
      <c r="P60" s="6" t="s">
        <v>47</v>
      </c>
      <c r="Q60" s="6" t="s">
        <v>47</v>
      </c>
      <c r="R60" s="4" t="s">
        <v>47</v>
      </c>
      <c r="S60" s="6" t="s">
        <v>47</v>
      </c>
      <c r="T60" s="6"/>
      <c r="U60" s="6"/>
      <c r="V60" s="4"/>
      <c r="W60" s="4"/>
      <c r="X60" s="6"/>
      <c r="Y60" s="6"/>
      <c r="Z60" s="4"/>
      <c r="AA60" s="4"/>
      <c r="AB60" s="4"/>
      <c r="AC60" s="6"/>
      <c r="AD60" s="4"/>
      <c r="AE60" s="6"/>
      <c r="AF60" s="6"/>
      <c r="AG60" s="4"/>
      <c r="AH60" s="21">
        <f t="shared" si="0"/>
        <v>10</v>
      </c>
      <c r="AI60" s="23">
        <f t="shared" si="1"/>
        <v>7</v>
      </c>
      <c r="AJ60" s="30">
        <f t="shared" si="7"/>
        <v>17</v>
      </c>
    </row>
    <row r="61" spans="1:36" ht="16.3" thickBot="1" x14ac:dyDescent="0.3">
      <c r="A61" s="35">
        <f t="shared" si="3"/>
        <v>58</v>
      </c>
      <c r="B61" s="19" t="s">
        <v>37</v>
      </c>
      <c r="C61" s="5" t="s">
        <v>48</v>
      </c>
      <c r="D61" s="6" t="s">
        <v>48</v>
      </c>
      <c r="E61" s="6" t="s">
        <v>48</v>
      </c>
      <c r="F61" s="6" t="s">
        <v>48</v>
      </c>
      <c r="G61" s="4" t="s">
        <v>48</v>
      </c>
      <c r="H61" s="4" t="s">
        <v>48</v>
      </c>
      <c r="I61" s="4" t="s">
        <v>48</v>
      </c>
      <c r="J61" s="6" t="s">
        <v>48</v>
      </c>
      <c r="K61" s="4" t="s">
        <v>48</v>
      </c>
      <c r="L61" s="6" t="s">
        <v>48</v>
      </c>
      <c r="M61" s="6" t="s">
        <v>48</v>
      </c>
      <c r="N61" s="6" t="s">
        <v>48</v>
      </c>
      <c r="O61" s="4" t="s">
        <v>48</v>
      </c>
      <c r="P61" s="4" t="s">
        <v>48</v>
      </c>
      <c r="Q61" s="4" t="s">
        <v>48</v>
      </c>
      <c r="R61" s="4" t="s">
        <v>48</v>
      </c>
      <c r="S61" s="6" t="s">
        <v>48</v>
      </c>
      <c r="T61" s="20"/>
      <c r="U61" s="20"/>
      <c r="V61" s="20"/>
      <c r="W61" s="20"/>
      <c r="X61" s="4"/>
      <c r="Y61" s="4"/>
      <c r="Z61" s="4"/>
      <c r="AA61" s="4"/>
      <c r="AB61" s="6"/>
      <c r="AC61" s="6"/>
      <c r="AD61" s="4"/>
      <c r="AE61" s="4"/>
      <c r="AF61" s="4"/>
      <c r="AG61" s="6"/>
      <c r="AH61" s="22">
        <f t="shared" si="0"/>
        <v>0</v>
      </c>
      <c r="AI61" s="24">
        <f t="shared" si="1"/>
        <v>17</v>
      </c>
      <c r="AJ61" s="31">
        <f t="shared" si="7"/>
        <v>17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3"/>
  <mergeCells count="2">
    <mergeCell ref="A1:AJ1"/>
    <mergeCell ref="A63:AJ63"/>
  </mergeCells>
  <conditionalFormatting sqref="C4:AG61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Январь 2019</vt:lpstr>
      <vt:lpstr>Февраль 2019</vt:lpstr>
      <vt:lpstr>Март 2019</vt:lpstr>
      <vt:lpstr>Апрель 2019</vt:lpstr>
      <vt:lpstr>Май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2019-04-02T06:53:56Z</cp:lastPrinted>
  <dcterms:created xsi:type="dcterms:W3CDTF">2018-09-27T16:52:37Z</dcterms:created>
  <dcterms:modified xsi:type="dcterms:W3CDTF">2019-05-23T11:53:41Z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