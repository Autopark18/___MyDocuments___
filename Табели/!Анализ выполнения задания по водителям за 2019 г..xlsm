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Данные" sheetId="2" state="hidden" r:id="rId10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8" hidden="1">'Сентябрь 2019'!$C$2:$AF$62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6" i="12" l="1"/>
  <c r="AH36" i="12"/>
  <c r="AI36" i="12" s="1"/>
  <c r="AH60" i="12" l="1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41" i="12"/>
  <c r="AG41" i="12"/>
  <c r="AH40" i="12"/>
  <c r="AG40" i="12"/>
  <c r="AH39" i="12"/>
  <c r="AG39" i="12"/>
  <c r="AH38" i="12"/>
  <c r="AG38" i="12"/>
  <c r="AH37" i="12"/>
  <c r="AG37" i="12"/>
  <c r="AH35" i="12"/>
  <c r="AG35" i="12"/>
  <c r="AH34" i="12"/>
  <c r="AG34" i="12"/>
  <c r="AH33" i="12"/>
  <c r="AG33" i="12"/>
  <c r="AH32" i="12"/>
  <c r="AG32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H4" i="12"/>
  <c r="AG4" i="12"/>
  <c r="A1" i="12"/>
  <c r="A36" i="12" l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2" i="12"/>
  <c r="AI33" i="12"/>
  <c r="AI34" i="12"/>
  <c r="AI35" i="12"/>
  <c r="AI37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J43" i="11" l="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<sst xmlns="http://schemas.openxmlformats.org/spreadsheetml/2006/main" count="15321" uniqueCount="82">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</sst>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8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5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3" priority="2">
      <formula>LEN(TRIM(C4))=0</formula>
    </cfRule>
  </conditionalFormatting>
  <conditionalFormatting sqref="C10:AD10 AF10:AG10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O4" sqref="O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11</v>
      </c>
      <c r="AH4" s="25">
        <f t="shared" ref="AH4:AH35" si="1">COUNTIF(C4:AF4,"-")</f>
        <v>2</v>
      </c>
      <c r="AI4" s="29">
        <f t="shared" ref="AI4:AI49" si="2">SUM(AG4:AH4)</f>
        <v>13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9</v>
      </c>
      <c r="AH5" s="25">
        <f t="shared" si="1"/>
        <v>4</v>
      </c>
      <c r="AI5" s="29">
        <f t="shared" si="2"/>
        <v>13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21">
        <f t="shared" si="0"/>
        <v>8</v>
      </c>
      <c r="AH6" s="23">
        <f t="shared" si="1"/>
        <v>5</v>
      </c>
      <c r="AI6" s="30">
        <f t="shared" si="2"/>
        <v>13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21">
        <f t="shared" si="0"/>
        <v>11</v>
      </c>
      <c r="AH7" s="23">
        <f t="shared" si="1"/>
        <v>2</v>
      </c>
      <c r="AI7" s="30">
        <f t="shared" si="2"/>
        <v>13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/>
      <c r="Q8" s="4"/>
      <c r="R8" s="4"/>
      <c r="S8" s="4"/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21">
        <f t="shared" si="0"/>
        <v>11</v>
      </c>
      <c r="AH8" s="23">
        <f t="shared" si="1"/>
        <v>2</v>
      </c>
      <c r="AI8" s="30">
        <f t="shared" si="2"/>
        <v>13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21">
        <f t="shared" si="0"/>
        <v>12</v>
      </c>
      <c r="AH9" s="23">
        <f t="shared" si="1"/>
        <v>1</v>
      </c>
      <c r="AI9" s="30">
        <f t="shared" si="2"/>
        <v>13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/>
      <c r="Q10" s="4"/>
      <c r="R10" s="4"/>
      <c r="S10" s="6"/>
      <c r="T10" s="4"/>
      <c r="U10" s="4"/>
      <c r="V10" s="4"/>
      <c r="W10" s="4"/>
      <c r="X10" s="6"/>
      <c r="Y10" s="4"/>
      <c r="Z10" s="4"/>
      <c r="AA10" s="4"/>
      <c r="AB10" s="6"/>
      <c r="AC10" s="6"/>
      <c r="AD10" s="4"/>
      <c r="AE10" s="4"/>
      <c r="AF10" s="4"/>
      <c r="AG10" s="21">
        <f t="shared" si="0"/>
        <v>9</v>
      </c>
      <c r="AH10" s="23">
        <f t="shared" si="1"/>
        <v>4</v>
      </c>
      <c r="AI10" s="30">
        <f t="shared" si="2"/>
        <v>13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/>
      <c r="Q11" s="4"/>
      <c r="R11" s="4"/>
      <c r="S11" s="6"/>
      <c r="T11" s="4"/>
      <c r="U11" s="4"/>
      <c r="V11" s="4"/>
      <c r="W11" s="4"/>
      <c r="X11" s="4"/>
      <c r="Y11" s="4"/>
      <c r="Z11" s="4"/>
      <c r="AA11" s="4"/>
      <c r="AB11" s="6"/>
      <c r="AC11" s="6"/>
      <c r="AD11" s="4"/>
      <c r="AE11" s="4"/>
      <c r="AF11" s="4"/>
      <c r="AG11" s="21">
        <f t="shared" si="0"/>
        <v>0</v>
      </c>
      <c r="AH11" s="23">
        <f t="shared" si="1"/>
        <v>13</v>
      </c>
      <c r="AI11" s="30">
        <f t="shared" si="2"/>
        <v>13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6"/>
      <c r="AD12" s="4"/>
      <c r="AE12" s="4"/>
      <c r="AF12" s="4"/>
      <c r="AG12" s="21">
        <f t="shared" si="0"/>
        <v>0</v>
      </c>
      <c r="AH12" s="23">
        <f t="shared" si="1"/>
        <v>13</v>
      </c>
      <c r="AI12" s="30">
        <f>SUM(AG12:AH12)</f>
        <v>13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6"/>
      <c r="AC13" s="4"/>
      <c r="AD13" s="4"/>
      <c r="AE13" s="6"/>
      <c r="AF13" s="6"/>
      <c r="AG13" s="21">
        <f t="shared" si="0"/>
        <v>11</v>
      </c>
      <c r="AH13" s="23">
        <f t="shared" si="1"/>
        <v>2</v>
      </c>
      <c r="AI13" s="30">
        <f t="shared" si="2"/>
        <v>13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/>
      <c r="Q14" s="4"/>
      <c r="R14" s="4"/>
      <c r="S14" s="4"/>
      <c r="T14" s="4"/>
      <c r="U14" s="4"/>
      <c r="V14" s="4"/>
      <c r="W14" s="6"/>
      <c r="X14" s="6"/>
      <c r="Y14" s="4"/>
      <c r="Z14" s="6"/>
      <c r="AA14" s="4"/>
      <c r="AB14" s="6"/>
      <c r="AC14" s="6"/>
      <c r="AD14" s="4"/>
      <c r="AE14" s="4"/>
      <c r="AF14" s="4"/>
      <c r="AG14" s="21">
        <f t="shared" si="0"/>
        <v>0</v>
      </c>
      <c r="AH14" s="23">
        <f t="shared" si="1"/>
        <v>13</v>
      </c>
      <c r="AI14" s="30">
        <f t="shared" si="2"/>
        <v>13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/>
      <c r="Q15" s="4"/>
      <c r="R15" s="4"/>
      <c r="S15" s="4"/>
      <c r="T15" s="6"/>
      <c r="U15" s="6"/>
      <c r="V15" s="6"/>
      <c r="W15" s="4"/>
      <c r="X15" s="6"/>
      <c r="Y15" s="6"/>
      <c r="Z15" s="6"/>
      <c r="AA15" s="4"/>
      <c r="AB15" s="4"/>
      <c r="AC15" s="6"/>
      <c r="AD15" s="4"/>
      <c r="AE15" s="6"/>
      <c r="AF15" s="4"/>
      <c r="AG15" s="21">
        <f t="shared" si="0"/>
        <v>9</v>
      </c>
      <c r="AH15" s="23">
        <f t="shared" si="1"/>
        <v>4</v>
      </c>
      <c r="AI15" s="30">
        <f t="shared" si="2"/>
        <v>13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21">
        <f t="shared" si="0"/>
        <v>13</v>
      </c>
      <c r="AH16" s="23">
        <f t="shared" si="1"/>
        <v>0</v>
      </c>
      <c r="AI16" s="30">
        <f t="shared" si="2"/>
        <v>13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6"/>
      <c r="AC17" s="6"/>
      <c r="AD17" s="4"/>
      <c r="AE17" s="4"/>
      <c r="AF17" s="4"/>
      <c r="AG17" s="21">
        <f t="shared" si="0"/>
        <v>3</v>
      </c>
      <c r="AH17" s="23">
        <f t="shared" si="1"/>
        <v>10</v>
      </c>
      <c r="AI17" s="30">
        <f t="shared" si="2"/>
        <v>13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6"/>
      <c r="AC18" s="4"/>
      <c r="AD18" s="4"/>
      <c r="AE18" s="4"/>
      <c r="AF18" s="4"/>
      <c r="AG18" s="21">
        <f t="shared" si="0"/>
        <v>10</v>
      </c>
      <c r="AH18" s="23">
        <f t="shared" si="1"/>
        <v>3</v>
      </c>
      <c r="AI18" s="30">
        <f t="shared" si="2"/>
        <v>13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/>
      <c r="Q19" s="4"/>
      <c r="R19" s="4"/>
      <c r="S19" s="4"/>
      <c r="T19" s="6"/>
      <c r="U19" s="4"/>
      <c r="V19" s="4"/>
      <c r="W19" s="4"/>
      <c r="X19" s="4"/>
      <c r="Y19" s="4"/>
      <c r="Z19" s="4"/>
      <c r="AA19" s="4"/>
      <c r="AB19" s="4"/>
      <c r="AC19" s="4"/>
      <c r="AD19" s="4"/>
      <c r="AE19" s="6"/>
      <c r="AF19" s="4"/>
      <c r="AG19" s="21">
        <f t="shared" si="0"/>
        <v>9</v>
      </c>
      <c r="AH19" s="23">
        <f t="shared" si="1"/>
        <v>4</v>
      </c>
      <c r="AI19" s="30">
        <f t="shared" si="2"/>
        <v>13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/>
      <c r="Q20" s="4"/>
      <c r="R20" s="4"/>
      <c r="S20" s="6"/>
      <c r="T20" s="4"/>
      <c r="U20" s="4"/>
      <c r="V20" s="4"/>
      <c r="W20" s="4"/>
      <c r="X20" s="6"/>
      <c r="Y20" s="4"/>
      <c r="Z20" s="4"/>
      <c r="AA20" s="4"/>
      <c r="AB20" s="6"/>
      <c r="AC20" s="6"/>
      <c r="AD20" s="4"/>
      <c r="AE20" s="4"/>
      <c r="AF20" s="4"/>
      <c r="AG20" s="21">
        <f t="shared" si="0"/>
        <v>8</v>
      </c>
      <c r="AH20" s="23">
        <f t="shared" si="1"/>
        <v>5</v>
      </c>
      <c r="AI20" s="30">
        <f t="shared" si="2"/>
        <v>13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21">
        <f t="shared" si="0"/>
        <v>11</v>
      </c>
      <c r="AH21" s="23">
        <f t="shared" si="1"/>
        <v>2</v>
      </c>
      <c r="AI21" s="30">
        <f>SUM(AG21:AH21)</f>
        <v>13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21">
        <f t="shared" si="0"/>
        <v>0</v>
      </c>
      <c r="AH22" s="23">
        <f t="shared" si="1"/>
        <v>13</v>
      </c>
      <c r="AI22" s="30">
        <f t="shared" si="2"/>
        <v>13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/>
      <c r="Q23" s="4"/>
      <c r="R23" s="4"/>
      <c r="S23" s="4"/>
      <c r="T23" s="4"/>
      <c r="U23" s="4"/>
      <c r="V23" s="6"/>
      <c r="W23" s="6"/>
      <c r="X23" s="6"/>
      <c r="Y23" s="4"/>
      <c r="Z23" s="4"/>
      <c r="AA23" s="4"/>
      <c r="AB23" s="6"/>
      <c r="AC23" s="4"/>
      <c r="AD23" s="4"/>
      <c r="AE23" s="6"/>
      <c r="AF23" s="6"/>
      <c r="AG23" s="21">
        <f t="shared" si="0"/>
        <v>13</v>
      </c>
      <c r="AH23" s="23">
        <f t="shared" si="1"/>
        <v>0</v>
      </c>
      <c r="AI23" s="30">
        <f t="shared" si="2"/>
        <v>13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/>
      <c r="Q24" s="4"/>
      <c r="R24" s="4"/>
      <c r="S24" s="4"/>
      <c r="T24" s="4"/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21">
        <f t="shared" si="0"/>
        <v>12</v>
      </c>
      <c r="AH24" s="23">
        <f t="shared" si="1"/>
        <v>1</v>
      </c>
      <c r="AI24" s="30">
        <f t="shared" si="2"/>
        <v>13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/>
      <c r="Q25" s="4"/>
      <c r="R25" s="4"/>
      <c r="S25" s="4"/>
      <c r="T25" s="4"/>
      <c r="U25" s="4"/>
      <c r="V25" s="4"/>
      <c r="W25" s="4"/>
      <c r="X25" s="6"/>
      <c r="Y25" s="4"/>
      <c r="Z25" s="4"/>
      <c r="AA25" s="4"/>
      <c r="AB25" s="4"/>
      <c r="AC25" s="4"/>
      <c r="AD25" s="4"/>
      <c r="AE25" s="4"/>
      <c r="AF25" s="4"/>
      <c r="AG25" s="21">
        <f t="shared" si="0"/>
        <v>10</v>
      </c>
      <c r="AH25" s="23">
        <f t="shared" si="1"/>
        <v>3</v>
      </c>
      <c r="AI25" s="30">
        <f t="shared" si="2"/>
        <v>13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/>
      <c r="Q26" s="4"/>
      <c r="R26" s="4"/>
      <c r="S26" s="4"/>
      <c r="T26" s="4"/>
      <c r="U26" s="4"/>
      <c r="V26" s="4"/>
      <c r="W26" s="4"/>
      <c r="X26" s="6"/>
      <c r="Y26" s="4"/>
      <c r="Z26" s="4"/>
      <c r="AA26" s="4"/>
      <c r="AB26" s="6"/>
      <c r="AC26" s="6"/>
      <c r="AD26" s="4"/>
      <c r="AE26" s="4"/>
      <c r="AF26" s="4"/>
      <c r="AG26" s="21">
        <f t="shared" si="0"/>
        <v>9</v>
      </c>
      <c r="AH26" s="23">
        <f t="shared" si="1"/>
        <v>4</v>
      </c>
      <c r="AI26" s="30">
        <f t="shared" si="2"/>
        <v>13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21">
        <f t="shared" si="0"/>
        <v>11</v>
      </c>
      <c r="AH27" s="23">
        <f t="shared" si="1"/>
        <v>2</v>
      </c>
      <c r="AI27" s="30">
        <f t="shared" si="2"/>
        <v>13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21">
        <f t="shared" si="0"/>
        <v>13</v>
      </c>
      <c r="AH28" s="23">
        <f t="shared" si="1"/>
        <v>0</v>
      </c>
      <c r="AI28" s="30">
        <f t="shared" si="2"/>
        <v>13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/>
      <c r="Q29" s="6"/>
      <c r="R29" s="6"/>
      <c r="S29" s="4"/>
      <c r="T29" s="4"/>
      <c r="U29" s="4"/>
      <c r="V29" s="4"/>
      <c r="W29" s="4"/>
      <c r="X29" s="6"/>
      <c r="Y29" s="4"/>
      <c r="Z29" s="6"/>
      <c r="AA29" s="4"/>
      <c r="AB29" s="6"/>
      <c r="AC29" s="4"/>
      <c r="AD29" s="4"/>
      <c r="AE29" s="4"/>
      <c r="AF29" s="4"/>
      <c r="AG29" s="21">
        <f t="shared" si="0"/>
        <v>9</v>
      </c>
      <c r="AH29" s="23">
        <f t="shared" si="1"/>
        <v>4</v>
      </c>
      <c r="AI29" s="30">
        <f t="shared" si="2"/>
        <v>13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/>
      <c r="Q30" s="4"/>
      <c r="R30" s="6"/>
      <c r="S30" s="4"/>
      <c r="T30" s="4"/>
      <c r="U30" s="6"/>
      <c r="V30" s="6"/>
      <c r="W30" s="6"/>
      <c r="X30" s="6"/>
      <c r="Y30" s="4"/>
      <c r="Z30" s="4"/>
      <c r="AA30" s="6"/>
      <c r="AB30" s="6"/>
      <c r="AC30" s="6"/>
      <c r="AD30" s="4"/>
      <c r="AE30" s="6"/>
      <c r="AF30" s="4"/>
      <c r="AG30" s="21">
        <f t="shared" si="0"/>
        <v>10</v>
      </c>
      <c r="AH30" s="23">
        <f t="shared" si="1"/>
        <v>3</v>
      </c>
      <c r="AI30" s="30">
        <f t="shared" si="2"/>
        <v>13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/>
      <c r="Q31" s="4"/>
      <c r="R31" s="6"/>
      <c r="S31" s="4"/>
      <c r="T31" s="4"/>
      <c r="U31" s="4"/>
      <c r="V31" s="4"/>
      <c r="W31" s="4"/>
      <c r="X31" s="6"/>
      <c r="Y31" s="4"/>
      <c r="Z31" s="4"/>
      <c r="AA31" s="4"/>
      <c r="AB31" s="4"/>
      <c r="AC31" s="4"/>
      <c r="AD31" s="6"/>
      <c r="AE31" s="6"/>
      <c r="AF31" s="4"/>
      <c r="AG31" s="21">
        <f t="shared" si="0"/>
        <v>12</v>
      </c>
      <c r="AH31" s="23">
        <f t="shared" si="1"/>
        <v>1</v>
      </c>
      <c r="AI31" s="30">
        <f t="shared" si="2"/>
        <v>13</v>
      </c>
    </row>
    <row r="32" spans="1:35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4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21">
        <f t="shared" si="0"/>
        <v>0</v>
      </c>
      <c r="AH32" s="23">
        <f t="shared" si="1"/>
        <v>13</v>
      </c>
      <c r="AI32" s="30">
        <f t="shared" si="2"/>
        <v>13</v>
      </c>
    </row>
    <row r="33" spans="1:35" x14ac:dyDescent="0.25">
      <c r="A33" s="15">
        <f t="shared" si="3"/>
        <v>30</v>
      </c>
      <c r="B33" s="17" t="s">
        <v>21</v>
      </c>
      <c r="C33" s="3" t="s">
        <v>48</v>
      </c>
      <c r="D33" s="4" t="s">
        <v>48</v>
      </c>
      <c r="E33" s="6" t="s">
        <v>47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4"/>
      <c r="Q33" s="6"/>
      <c r="R33" s="6"/>
      <c r="S33" s="4"/>
      <c r="T33" s="4"/>
      <c r="U33" s="4"/>
      <c r="V33" s="4"/>
      <c r="W33" s="4"/>
      <c r="X33" s="6"/>
      <c r="Y33" s="4"/>
      <c r="Z33" s="6"/>
      <c r="AA33" s="4"/>
      <c r="AB33" s="4"/>
      <c r="AC33" s="4"/>
      <c r="AD33" s="4"/>
      <c r="AE33" s="4"/>
      <c r="AF33" s="4"/>
      <c r="AG33" s="21">
        <f t="shared" si="0"/>
        <v>11</v>
      </c>
      <c r="AH33" s="23">
        <f t="shared" si="1"/>
        <v>2</v>
      </c>
      <c r="AI33" s="30">
        <f t="shared" si="2"/>
        <v>13</v>
      </c>
    </row>
    <row r="34" spans="1:35" x14ac:dyDescent="0.25">
      <c r="A34" s="15">
        <f t="shared" si="3"/>
        <v>31</v>
      </c>
      <c r="B34" s="16" t="s">
        <v>22</v>
      </c>
      <c r="C34" s="3" t="s">
        <v>48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/>
      <c r="Q34" s="6"/>
      <c r="R34" s="6"/>
      <c r="S34" s="4"/>
      <c r="T34" s="4"/>
      <c r="U34" s="6"/>
      <c r="V34" s="4"/>
      <c r="W34" s="6"/>
      <c r="X34" s="6"/>
      <c r="Y34" s="4"/>
      <c r="Z34" s="4"/>
      <c r="AA34" s="6"/>
      <c r="AB34" s="6"/>
      <c r="AC34" s="4"/>
      <c r="AD34" s="4"/>
      <c r="AE34" s="4"/>
      <c r="AF34" s="4"/>
      <c r="AG34" s="21">
        <f t="shared" si="0"/>
        <v>12</v>
      </c>
      <c r="AH34" s="23">
        <f t="shared" si="1"/>
        <v>1</v>
      </c>
      <c r="AI34" s="30">
        <f t="shared" si="2"/>
        <v>13</v>
      </c>
    </row>
    <row r="35" spans="1:35" x14ac:dyDescent="0.25">
      <c r="A35" s="15">
        <f t="shared" si="3"/>
        <v>32</v>
      </c>
      <c r="B35" s="16" t="s">
        <v>71</v>
      </c>
      <c r="C35" s="3" t="s">
        <v>48</v>
      </c>
      <c r="D35" s="4" t="s">
        <v>48</v>
      </c>
      <c r="E35" s="4" t="s">
        <v>48</v>
      </c>
      <c r="F35" s="6" t="s">
        <v>48</v>
      </c>
      <c r="G35" s="4" t="s">
        <v>48</v>
      </c>
      <c r="H35" s="4" t="s">
        <v>48</v>
      </c>
      <c r="I35" s="4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4" t="s">
        <v>48</v>
      </c>
      <c r="O35" s="4" t="s">
        <v>48</v>
      </c>
      <c r="P35" s="4"/>
      <c r="Q35" s="4"/>
      <c r="R35" s="6"/>
      <c r="S35" s="4"/>
      <c r="T35" s="4"/>
      <c r="U35" s="4"/>
      <c r="V35" s="4"/>
      <c r="W35" s="4"/>
      <c r="X35" s="4"/>
      <c r="Y35" s="4"/>
      <c r="Z35" s="4"/>
      <c r="AA35" s="4"/>
      <c r="AB35" s="6"/>
      <c r="AC35" s="6"/>
      <c r="AD35" s="4"/>
      <c r="AE35" s="4"/>
      <c r="AF35" s="4"/>
      <c r="AG35" s="21">
        <f t="shared" si="0"/>
        <v>0</v>
      </c>
      <c r="AH35" s="23">
        <f t="shared" si="1"/>
        <v>13</v>
      </c>
      <c r="AI35" s="30">
        <f>SUM(AG35:AH35)</f>
        <v>13</v>
      </c>
    </row>
    <row r="36" spans="1:35" x14ac:dyDescent="0.25">
      <c r="A36" s="15">
        <f t="shared" si="3"/>
        <v>33</v>
      </c>
      <c r="B36" s="16" t="s">
        <v>23</v>
      </c>
      <c r="C36" s="3"/>
      <c r="D36" s="4"/>
      <c r="E36" s="4"/>
      <c r="F36" s="6"/>
      <c r="G36" s="4"/>
      <c r="H36" s="4" t="s">
        <v>47</v>
      </c>
      <c r="I36" s="4" t="s">
        <v>48</v>
      </c>
      <c r="J36" s="4" t="s">
        <v>48</v>
      </c>
      <c r="K36" s="4" t="s">
        <v>48</v>
      </c>
      <c r="L36" s="4" t="s">
        <v>48</v>
      </c>
      <c r="M36" s="6" t="s">
        <v>48</v>
      </c>
      <c r="N36" s="4" t="s">
        <v>48</v>
      </c>
      <c r="O36" s="4" t="s">
        <v>48</v>
      </c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21">
        <f t="shared" ref="AG36" si="4">COUNTIF(C36:AF36,"+")</f>
        <v>1</v>
      </c>
      <c r="AH36" s="23">
        <f t="shared" ref="AH36" si="5">COUNTIF(C36:AF36,"-")</f>
        <v>7</v>
      </c>
      <c r="AI36" s="30">
        <f>SUM(AG36:AH36)</f>
        <v>8</v>
      </c>
    </row>
    <row r="37" spans="1:35" x14ac:dyDescent="0.25">
      <c r="A37" s="15">
        <f t="shared" si="3"/>
        <v>34</v>
      </c>
      <c r="B37" s="16" t="s">
        <v>41</v>
      </c>
      <c r="C37" s="5" t="s">
        <v>47</v>
      </c>
      <c r="D37" s="4" t="s">
        <v>47</v>
      </c>
      <c r="E37" s="4" t="s">
        <v>47</v>
      </c>
      <c r="F37" s="6" t="s">
        <v>47</v>
      </c>
      <c r="G37" s="4" t="s">
        <v>47</v>
      </c>
      <c r="H37" s="4" t="s">
        <v>47</v>
      </c>
      <c r="I37" s="4" t="s">
        <v>48</v>
      </c>
      <c r="J37" s="6" t="s">
        <v>48</v>
      </c>
      <c r="K37" s="4" t="s">
        <v>47</v>
      </c>
      <c r="L37" s="4" t="s">
        <v>47</v>
      </c>
      <c r="M37" s="4" t="s">
        <v>47</v>
      </c>
      <c r="N37" s="4" t="s">
        <v>47</v>
      </c>
      <c r="O37" s="6" t="s">
        <v>47</v>
      </c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6"/>
      <c r="AE37" s="4"/>
      <c r="AF37" s="4"/>
      <c r="AG37" s="21">
        <f t="shared" ref="AG37:AG60" si="6">COUNTIF(C37:AF37,"+")</f>
        <v>11</v>
      </c>
      <c r="AH37" s="23">
        <f t="shared" ref="AH37:AH60" si="7">COUNTIF(C37:AF37,"-")</f>
        <v>2</v>
      </c>
      <c r="AI37" s="30">
        <f t="shared" si="2"/>
        <v>13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4" t="s">
        <v>47</v>
      </c>
      <c r="I38" s="4" t="s">
        <v>47</v>
      </c>
      <c r="J38" s="6" t="s">
        <v>47</v>
      </c>
      <c r="K38" s="4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/>
      <c r="Q38" s="6"/>
      <c r="R38" s="4"/>
      <c r="S38" s="4"/>
      <c r="T38" s="6"/>
      <c r="U38" s="4"/>
      <c r="V38" s="4"/>
      <c r="W38" s="4"/>
      <c r="X38" s="4"/>
      <c r="Y38" s="4"/>
      <c r="Z38" s="4"/>
      <c r="AA38" s="4"/>
      <c r="AB38" s="6"/>
      <c r="AC38" s="6"/>
      <c r="AD38" s="4"/>
      <c r="AE38" s="6"/>
      <c r="AF38" s="6"/>
      <c r="AG38" s="21">
        <f t="shared" si="6"/>
        <v>13</v>
      </c>
      <c r="AH38" s="23">
        <f t="shared" si="7"/>
        <v>0</v>
      </c>
      <c r="AI38" s="30">
        <f t="shared" si="2"/>
        <v>13</v>
      </c>
    </row>
    <row r="39" spans="1:35" x14ac:dyDescent="0.25">
      <c r="A39" s="15">
        <f t="shared" si="3"/>
        <v>36</v>
      </c>
      <c r="B39" s="16" t="s">
        <v>81</v>
      </c>
      <c r="C39" s="5" t="s">
        <v>47</v>
      </c>
      <c r="D39" s="6" t="s">
        <v>47</v>
      </c>
      <c r="E39" s="6" t="s">
        <v>47</v>
      </c>
      <c r="F39" s="6" t="s">
        <v>48</v>
      </c>
      <c r="G39" s="4" t="s">
        <v>48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47</v>
      </c>
      <c r="N39" s="6" t="s">
        <v>47</v>
      </c>
      <c r="O39" s="4" t="s">
        <v>47</v>
      </c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21">
        <f t="shared" si="6"/>
        <v>11</v>
      </c>
      <c r="AH39" s="23">
        <f t="shared" si="7"/>
        <v>2</v>
      </c>
      <c r="AI39" s="30">
        <f t="shared" si="2"/>
        <v>13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48</v>
      </c>
      <c r="J40" s="6" t="s">
        <v>48</v>
      </c>
      <c r="K40" s="6" t="s">
        <v>48</v>
      </c>
      <c r="L40" s="6" t="s">
        <v>48</v>
      </c>
      <c r="M40" s="4" t="s">
        <v>47</v>
      </c>
      <c r="N40" s="6" t="s">
        <v>47</v>
      </c>
      <c r="O40" s="4" t="s">
        <v>47</v>
      </c>
      <c r="P40" s="4"/>
      <c r="Q40" s="4"/>
      <c r="R40" s="4"/>
      <c r="S40" s="4"/>
      <c r="T40" s="4"/>
      <c r="U40" s="4"/>
      <c r="V40" s="4"/>
      <c r="W40" s="4"/>
      <c r="X40" s="6"/>
      <c r="Y40" s="4"/>
      <c r="Z40" s="4"/>
      <c r="AA40" s="4"/>
      <c r="AB40" s="6"/>
      <c r="AC40" s="4"/>
      <c r="AD40" s="4"/>
      <c r="AE40" s="4"/>
      <c r="AF40" s="4"/>
      <c r="AG40" s="21">
        <f t="shared" si="6"/>
        <v>7</v>
      </c>
      <c r="AH40" s="23">
        <f t="shared" si="7"/>
        <v>6</v>
      </c>
      <c r="AI40" s="30">
        <f t="shared" si="2"/>
        <v>13</v>
      </c>
    </row>
    <row r="41" spans="1:35" x14ac:dyDescent="0.25">
      <c r="A41" s="15">
        <f t="shared" si="3"/>
        <v>38</v>
      </c>
      <c r="B41" s="16" t="s">
        <v>25</v>
      </c>
      <c r="C41" s="3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6" t="s">
        <v>47</v>
      </c>
      <c r="K41" s="4" t="s">
        <v>47</v>
      </c>
      <c r="L41" s="4" t="s">
        <v>47</v>
      </c>
      <c r="M41" s="4" t="s">
        <v>47</v>
      </c>
      <c r="N41" s="6" t="s">
        <v>47</v>
      </c>
      <c r="O41" s="4" t="s">
        <v>47</v>
      </c>
      <c r="P41" s="6"/>
      <c r="Q41" s="6"/>
      <c r="R41" s="4"/>
      <c r="S41" s="6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6"/>
      <c r="AF41" s="6"/>
      <c r="AG41" s="21">
        <f t="shared" si="6"/>
        <v>12</v>
      </c>
      <c r="AH41" s="23">
        <f t="shared" si="7"/>
        <v>1</v>
      </c>
      <c r="AI41" s="30">
        <f t="shared" si="2"/>
        <v>13</v>
      </c>
    </row>
    <row r="42" spans="1:35" x14ac:dyDescent="0.25">
      <c r="A42" s="15">
        <f t="shared" si="3"/>
        <v>39</v>
      </c>
      <c r="B42" s="16" t="s">
        <v>26</v>
      </c>
      <c r="C42" s="3" t="s">
        <v>47</v>
      </c>
      <c r="D42" s="4" t="s">
        <v>47</v>
      </c>
      <c r="E42" s="6" t="s">
        <v>47</v>
      </c>
      <c r="F42" s="6" t="s">
        <v>47</v>
      </c>
      <c r="G42" s="4" t="s">
        <v>47</v>
      </c>
      <c r="H42" s="4" t="s">
        <v>47</v>
      </c>
      <c r="I42" s="4" t="s">
        <v>48</v>
      </c>
      <c r="J42" s="6" t="s">
        <v>48</v>
      </c>
      <c r="K42" s="4" t="s">
        <v>47</v>
      </c>
      <c r="L42" s="6" t="s">
        <v>47</v>
      </c>
      <c r="M42" s="4" t="s">
        <v>47</v>
      </c>
      <c r="N42" s="4" t="s">
        <v>47</v>
      </c>
      <c r="O42" s="4" t="s">
        <v>47</v>
      </c>
      <c r="P42" s="4"/>
      <c r="Q42" s="4"/>
      <c r="R42" s="4"/>
      <c r="S42" s="4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4"/>
      <c r="AF42" s="4"/>
      <c r="AG42" s="21">
        <f t="shared" si="6"/>
        <v>11</v>
      </c>
      <c r="AH42" s="23">
        <f t="shared" si="7"/>
        <v>2</v>
      </c>
      <c r="AI42" s="30">
        <f t="shared" si="2"/>
        <v>13</v>
      </c>
    </row>
    <row r="43" spans="1:35" x14ac:dyDescent="0.25">
      <c r="A43" s="15">
        <f t="shared" si="3"/>
        <v>40</v>
      </c>
      <c r="B43" s="16" t="s">
        <v>29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4" t="s">
        <v>47</v>
      </c>
      <c r="M43" s="6" t="s">
        <v>47</v>
      </c>
      <c r="N43" s="6" t="s">
        <v>47</v>
      </c>
      <c r="O43" s="4" t="s">
        <v>47</v>
      </c>
      <c r="P43" s="6"/>
      <c r="Q43" s="4"/>
      <c r="R43" s="4"/>
      <c r="S43" s="4"/>
      <c r="T43" s="4"/>
      <c r="U43" s="4"/>
      <c r="V43" s="4"/>
      <c r="W43" s="4"/>
      <c r="X43" s="6"/>
      <c r="Y43" s="4"/>
      <c r="Z43" s="6"/>
      <c r="AA43" s="4"/>
      <c r="AB43" s="4"/>
      <c r="AC43" s="6"/>
      <c r="AD43" s="6"/>
      <c r="AE43" s="6"/>
      <c r="AF43" s="4"/>
      <c r="AG43" s="21">
        <f t="shared" si="6"/>
        <v>11</v>
      </c>
      <c r="AH43" s="23">
        <f t="shared" si="7"/>
        <v>2</v>
      </c>
      <c r="AI43" s="30">
        <f t="shared" si="2"/>
        <v>13</v>
      </c>
    </row>
    <row r="44" spans="1:35" x14ac:dyDescent="0.25">
      <c r="A44" s="15">
        <f t="shared" si="3"/>
        <v>41</v>
      </c>
      <c r="B44" s="16" t="s">
        <v>77</v>
      </c>
      <c r="C44" s="3" t="s">
        <v>48</v>
      </c>
      <c r="D44" s="4" t="s">
        <v>47</v>
      </c>
      <c r="E44" s="4" t="s">
        <v>47</v>
      </c>
      <c r="F44" s="6" t="s">
        <v>47</v>
      </c>
      <c r="G44" s="4" t="s">
        <v>47</v>
      </c>
      <c r="H44" s="4" t="s">
        <v>47</v>
      </c>
      <c r="I44" s="4" t="s">
        <v>47</v>
      </c>
      <c r="J44" s="4" t="s">
        <v>47</v>
      </c>
      <c r="K44" s="4" t="s">
        <v>47</v>
      </c>
      <c r="L44" s="4" t="s">
        <v>47</v>
      </c>
      <c r="M44" s="4" t="s">
        <v>47</v>
      </c>
      <c r="N44" s="4" t="s">
        <v>48</v>
      </c>
      <c r="O44" s="4" t="s">
        <v>48</v>
      </c>
      <c r="P44" s="4"/>
      <c r="Q44" s="4"/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21">
        <f t="shared" si="6"/>
        <v>10</v>
      </c>
      <c r="AH44" s="23">
        <f t="shared" si="7"/>
        <v>3</v>
      </c>
      <c r="AI44" s="30">
        <f t="shared" si="2"/>
        <v>13</v>
      </c>
    </row>
    <row r="45" spans="1:35" x14ac:dyDescent="0.25">
      <c r="A45" s="15">
        <f t="shared" si="3"/>
        <v>42</v>
      </c>
      <c r="B45" s="16" t="s">
        <v>31</v>
      </c>
      <c r="C45" s="3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4" t="s">
        <v>48</v>
      </c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6"/>
      <c r="AC45" s="6"/>
      <c r="AD45" s="4"/>
      <c r="AE45" s="4"/>
      <c r="AF45" s="4"/>
      <c r="AG45" s="21">
        <f t="shared" si="6"/>
        <v>0</v>
      </c>
      <c r="AH45" s="23">
        <f t="shared" si="7"/>
        <v>13</v>
      </c>
      <c r="AI45" s="30">
        <f t="shared" si="2"/>
        <v>13</v>
      </c>
    </row>
    <row r="46" spans="1:35" x14ac:dyDescent="0.25">
      <c r="A46" s="15">
        <f t="shared" si="3"/>
        <v>43</v>
      </c>
      <c r="B46" s="16" t="s">
        <v>66</v>
      </c>
      <c r="C46" s="3" t="s">
        <v>48</v>
      </c>
      <c r="D46" s="4" t="s">
        <v>48</v>
      </c>
      <c r="E46" s="4" t="s">
        <v>48</v>
      </c>
      <c r="F46" s="6" t="s">
        <v>48</v>
      </c>
      <c r="G46" s="4" t="s">
        <v>48</v>
      </c>
      <c r="H46" s="4" t="s">
        <v>48</v>
      </c>
      <c r="I46" s="4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4" t="s">
        <v>48</v>
      </c>
      <c r="O46" s="4" t="s">
        <v>48</v>
      </c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6"/>
      <c r="AC46" s="6"/>
      <c r="AD46" s="4"/>
      <c r="AE46" s="4"/>
      <c r="AF46" s="4"/>
      <c r="AG46" s="21">
        <f t="shared" si="6"/>
        <v>0</v>
      </c>
      <c r="AH46" s="23">
        <f t="shared" si="7"/>
        <v>13</v>
      </c>
      <c r="AI46" s="30">
        <f t="shared" si="2"/>
        <v>13</v>
      </c>
    </row>
    <row r="47" spans="1:35" x14ac:dyDescent="0.25">
      <c r="A47" s="15">
        <f t="shared" si="3"/>
        <v>44</v>
      </c>
      <c r="B47" s="16" t="s">
        <v>78</v>
      </c>
      <c r="C47" s="5" t="s">
        <v>47</v>
      </c>
      <c r="D47" s="4" t="s">
        <v>48</v>
      </c>
      <c r="E47" s="4" t="s">
        <v>48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6" t="s">
        <v>48</v>
      </c>
      <c r="N47" s="4" t="s">
        <v>48</v>
      </c>
      <c r="O47" s="4" t="s">
        <v>47</v>
      </c>
      <c r="P47" s="4"/>
      <c r="Q47" s="4"/>
      <c r="R47" s="4"/>
      <c r="S47" s="4"/>
      <c r="T47" s="4"/>
      <c r="U47" s="4"/>
      <c r="V47" s="4"/>
      <c r="W47" s="4"/>
      <c r="X47" s="6"/>
      <c r="Y47" s="4"/>
      <c r="Z47" s="4"/>
      <c r="AA47" s="4"/>
      <c r="AB47" s="6"/>
      <c r="AC47" s="4"/>
      <c r="AD47" s="4"/>
      <c r="AE47" s="4"/>
      <c r="AF47" s="4"/>
      <c r="AG47" s="21">
        <f t="shared" si="6"/>
        <v>9</v>
      </c>
      <c r="AH47" s="23">
        <f t="shared" si="7"/>
        <v>4</v>
      </c>
      <c r="AI47" s="30">
        <f t="shared" si="2"/>
        <v>13</v>
      </c>
    </row>
    <row r="48" spans="1:35" x14ac:dyDescent="0.25">
      <c r="A48" s="15">
        <f t="shared" si="3"/>
        <v>45</v>
      </c>
      <c r="B48" s="16" t="s">
        <v>75</v>
      </c>
      <c r="C48" s="5" t="s">
        <v>47</v>
      </c>
      <c r="D48" s="6" t="s">
        <v>47</v>
      </c>
      <c r="E48" s="6" t="s">
        <v>47</v>
      </c>
      <c r="F48" s="6" t="s">
        <v>47</v>
      </c>
      <c r="G48" s="4" t="s">
        <v>47</v>
      </c>
      <c r="H48" s="4" t="s">
        <v>47</v>
      </c>
      <c r="I48" s="4" t="s">
        <v>48</v>
      </c>
      <c r="J48" s="6" t="s">
        <v>48</v>
      </c>
      <c r="K48" s="4" t="s">
        <v>47</v>
      </c>
      <c r="L48" s="4" t="s">
        <v>47</v>
      </c>
      <c r="M48" s="4" t="s">
        <v>47</v>
      </c>
      <c r="N48" s="6" t="s">
        <v>47</v>
      </c>
      <c r="O48" s="4" t="s">
        <v>47</v>
      </c>
      <c r="P48" s="4"/>
      <c r="Q48" s="4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21">
        <f t="shared" si="6"/>
        <v>11</v>
      </c>
      <c r="AH48" s="23">
        <f t="shared" si="7"/>
        <v>2</v>
      </c>
      <c r="AI48" s="30">
        <f t="shared" si="2"/>
        <v>13</v>
      </c>
    </row>
    <row r="49" spans="1:35" x14ac:dyDescent="0.25">
      <c r="A49" s="15">
        <f t="shared" si="3"/>
        <v>46</v>
      </c>
      <c r="B49" s="16" t="s">
        <v>32</v>
      </c>
      <c r="C49" s="3" t="s">
        <v>48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48</v>
      </c>
      <c r="J49" s="6" t="s">
        <v>48</v>
      </c>
      <c r="K49" s="4" t="s">
        <v>47</v>
      </c>
      <c r="L49" s="4" t="s">
        <v>47</v>
      </c>
      <c r="M49" s="4" t="s">
        <v>47</v>
      </c>
      <c r="N49" s="6" t="s">
        <v>47</v>
      </c>
      <c r="O49" s="4" t="s">
        <v>47</v>
      </c>
      <c r="P49" s="4"/>
      <c r="Q49" s="4"/>
      <c r="R49" s="4"/>
      <c r="S49" s="4"/>
      <c r="T49" s="4"/>
      <c r="U49" s="4"/>
      <c r="V49" s="4"/>
      <c r="W49" s="4"/>
      <c r="X49" s="6"/>
      <c r="Y49" s="4"/>
      <c r="Z49" s="4"/>
      <c r="AA49" s="4"/>
      <c r="AB49" s="4"/>
      <c r="AC49" s="4"/>
      <c r="AD49" s="4"/>
      <c r="AE49" s="4"/>
      <c r="AF49" s="4"/>
      <c r="AG49" s="21">
        <f t="shared" si="6"/>
        <v>10</v>
      </c>
      <c r="AH49" s="23">
        <f t="shared" si="7"/>
        <v>3</v>
      </c>
      <c r="AI49" s="30">
        <f t="shared" si="2"/>
        <v>13</v>
      </c>
    </row>
    <row r="50" spans="1:35" x14ac:dyDescent="0.25">
      <c r="A50" s="15">
        <f t="shared" si="3"/>
        <v>47</v>
      </c>
      <c r="B50" s="16" t="s">
        <v>33</v>
      </c>
      <c r="C50" s="3" t="s">
        <v>48</v>
      </c>
      <c r="D50" s="4" t="s">
        <v>47</v>
      </c>
      <c r="E50" s="4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4" t="s">
        <v>47</v>
      </c>
      <c r="N50" s="6" t="s">
        <v>47</v>
      </c>
      <c r="O50" s="4" t="s">
        <v>47</v>
      </c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21">
        <f t="shared" si="6"/>
        <v>10</v>
      </c>
      <c r="AH50" s="23">
        <f t="shared" si="7"/>
        <v>3</v>
      </c>
      <c r="AI50" s="30">
        <f>SUM(AG50:AH50)</f>
        <v>13</v>
      </c>
    </row>
    <row r="51" spans="1:35" x14ac:dyDescent="0.25">
      <c r="A51" s="15">
        <f t="shared" si="3"/>
        <v>48</v>
      </c>
      <c r="B51" s="16" t="s">
        <v>70</v>
      </c>
      <c r="C51" s="3" t="s">
        <v>48</v>
      </c>
      <c r="D51" s="4" t="s">
        <v>48</v>
      </c>
      <c r="E51" s="4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6" t="s">
        <v>48</v>
      </c>
      <c r="L51" s="6" t="s">
        <v>48</v>
      </c>
      <c r="M51" s="6" t="s">
        <v>48</v>
      </c>
      <c r="N51" s="4" t="s">
        <v>48</v>
      </c>
      <c r="O51" s="4" t="s">
        <v>48</v>
      </c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21">
        <f t="shared" si="6"/>
        <v>0</v>
      </c>
      <c r="AH51" s="23">
        <f t="shared" si="7"/>
        <v>13</v>
      </c>
      <c r="AI51" s="30">
        <f>SUM(AG51:AH51)</f>
        <v>13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48</v>
      </c>
      <c r="H52" s="4" t="s">
        <v>47</v>
      </c>
      <c r="I52" s="4" t="s">
        <v>47</v>
      </c>
      <c r="J52" s="6" t="s">
        <v>47</v>
      </c>
      <c r="K52" s="4" t="s">
        <v>47</v>
      </c>
      <c r="L52" s="6" t="s">
        <v>47</v>
      </c>
      <c r="M52" s="4" t="s">
        <v>47</v>
      </c>
      <c r="N52" s="4" t="s">
        <v>48</v>
      </c>
      <c r="O52" s="4" t="s">
        <v>47</v>
      </c>
      <c r="P52" s="4"/>
      <c r="Q52" s="6"/>
      <c r="R52" s="4"/>
      <c r="S52" s="4"/>
      <c r="T52" s="4"/>
      <c r="U52" s="4"/>
      <c r="V52" s="4"/>
      <c r="W52" s="4"/>
      <c r="X52" s="6"/>
      <c r="Y52" s="6"/>
      <c r="Z52" s="4"/>
      <c r="AA52" s="4"/>
      <c r="AB52" s="6"/>
      <c r="AC52" s="4"/>
      <c r="AD52" s="4"/>
      <c r="AE52" s="4"/>
      <c r="AF52" s="4"/>
      <c r="AG52" s="21">
        <f t="shared" si="6"/>
        <v>10</v>
      </c>
      <c r="AH52" s="23">
        <f t="shared" si="7"/>
        <v>3</v>
      </c>
      <c r="AI52" s="30">
        <f t="shared" ref="AI52:AI60" si="8">SUM(AG52:AH52)</f>
        <v>13</v>
      </c>
    </row>
    <row r="53" spans="1:35" x14ac:dyDescent="0.25">
      <c r="A53" s="15">
        <f t="shared" si="3"/>
        <v>50</v>
      </c>
      <c r="B53" s="16" t="s">
        <v>34</v>
      </c>
      <c r="C53" s="3" t="s">
        <v>47</v>
      </c>
      <c r="D53" s="4" t="s">
        <v>47</v>
      </c>
      <c r="E53" s="6" t="s">
        <v>47</v>
      </c>
      <c r="F53" s="6" t="s">
        <v>47</v>
      </c>
      <c r="G53" s="4" t="s">
        <v>47</v>
      </c>
      <c r="H53" s="4" t="s">
        <v>47</v>
      </c>
      <c r="I53" s="4" t="s">
        <v>48</v>
      </c>
      <c r="J53" s="6" t="s">
        <v>48</v>
      </c>
      <c r="K53" s="4" t="s">
        <v>47</v>
      </c>
      <c r="L53" s="4" t="s">
        <v>47</v>
      </c>
      <c r="M53" s="4" t="s">
        <v>47</v>
      </c>
      <c r="N53" s="6" t="s">
        <v>47</v>
      </c>
      <c r="O53" s="4" t="s">
        <v>47</v>
      </c>
      <c r="P53" s="4"/>
      <c r="Q53" s="4"/>
      <c r="R53" s="4"/>
      <c r="S53" s="4"/>
      <c r="T53" s="4"/>
      <c r="U53" s="4"/>
      <c r="V53" s="4"/>
      <c r="W53" s="4"/>
      <c r="X53" s="6"/>
      <c r="Y53" s="4"/>
      <c r="Z53" s="4"/>
      <c r="AA53" s="4"/>
      <c r="AB53" s="4"/>
      <c r="AC53" s="4"/>
      <c r="AD53" s="4"/>
      <c r="AE53" s="4"/>
      <c r="AF53" s="4"/>
      <c r="AG53" s="21">
        <f t="shared" si="6"/>
        <v>11</v>
      </c>
      <c r="AH53" s="23">
        <f t="shared" si="7"/>
        <v>2</v>
      </c>
      <c r="AI53" s="30">
        <f t="shared" si="8"/>
        <v>13</v>
      </c>
    </row>
    <row r="54" spans="1:35" x14ac:dyDescent="0.25">
      <c r="A54" s="15">
        <f t="shared" si="3"/>
        <v>51</v>
      </c>
      <c r="B54" s="16" t="s">
        <v>76</v>
      </c>
      <c r="C54" s="5" t="s">
        <v>47</v>
      </c>
      <c r="D54" s="6" t="s">
        <v>47</v>
      </c>
      <c r="E54" s="6" t="s">
        <v>47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47</v>
      </c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21">
        <f t="shared" si="6"/>
        <v>13</v>
      </c>
      <c r="AH54" s="23">
        <f t="shared" si="7"/>
        <v>0</v>
      </c>
      <c r="AI54" s="30">
        <f t="shared" si="8"/>
        <v>13</v>
      </c>
    </row>
    <row r="55" spans="1:35" x14ac:dyDescent="0.25">
      <c r="A55" s="15">
        <f t="shared" si="3"/>
        <v>52</v>
      </c>
      <c r="B55" s="16" t="s">
        <v>74</v>
      </c>
      <c r="C55" s="3" t="s">
        <v>48</v>
      </c>
      <c r="D55" s="4" t="s">
        <v>48</v>
      </c>
      <c r="E55" s="4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6" t="s">
        <v>48</v>
      </c>
      <c r="K55" s="6" t="s">
        <v>48</v>
      </c>
      <c r="L55" s="6" t="s">
        <v>48</v>
      </c>
      <c r="M55" s="6" t="s">
        <v>48</v>
      </c>
      <c r="N55" s="4" t="s">
        <v>48</v>
      </c>
      <c r="O55" s="4" t="s">
        <v>48</v>
      </c>
      <c r="P55" s="4"/>
      <c r="Q55" s="6"/>
      <c r="R55" s="4"/>
      <c r="S55" s="4"/>
      <c r="T55" s="4"/>
      <c r="U55" s="4"/>
      <c r="V55" s="4"/>
      <c r="W55" s="4"/>
      <c r="X55" s="4"/>
      <c r="Y55" s="4"/>
      <c r="Z55" s="4"/>
      <c r="AA55" s="4"/>
      <c r="AB55" s="6"/>
      <c r="AC55" s="6"/>
      <c r="AD55" s="4"/>
      <c r="AE55" s="4"/>
      <c r="AF55" s="4"/>
      <c r="AG55" s="21">
        <f t="shared" si="6"/>
        <v>0</v>
      </c>
      <c r="AH55" s="23">
        <f t="shared" si="7"/>
        <v>13</v>
      </c>
      <c r="AI55" s="30">
        <f t="shared" si="8"/>
        <v>13</v>
      </c>
    </row>
    <row r="56" spans="1:35" x14ac:dyDescent="0.25">
      <c r="A56" s="15">
        <f t="shared" si="3"/>
        <v>53</v>
      </c>
      <c r="B56" s="16" t="s">
        <v>43</v>
      </c>
      <c r="C56" s="3" t="s">
        <v>48</v>
      </c>
      <c r="D56" s="4" t="s">
        <v>48</v>
      </c>
      <c r="E56" s="4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6" t="s">
        <v>48</v>
      </c>
      <c r="L56" s="6" t="s">
        <v>48</v>
      </c>
      <c r="M56" s="6" t="s">
        <v>48</v>
      </c>
      <c r="N56" s="4" t="s">
        <v>48</v>
      </c>
      <c r="O56" s="4" t="s">
        <v>48</v>
      </c>
      <c r="P56" s="5"/>
      <c r="Q56" s="4"/>
      <c r="R56" s="6"/>
      <c r="S56" s="5"/>
      <c r="T56" s="4"/>
      <c r="U56" s="6"/>
      <c r="V56" s="5"/>
      <c r="W56" s="4"/>
      <c r="X56" s="6"/>
      <c r="Y56" s="5"/>
      <c r="Z56" s="4"/>
      <c r="AA56" s="6"/>
      <c r="AB56" s="5"/>
      <c r="AC56" s="4"/>
      <c r="AD56" s="6"/>
      <c r="AE56" s="5"/>
      <c r="AF56" s="4"/>
      <c r="AG56" s="21">
        <f t="shared" si="6"/>
        <v>0</v>
      </c>
      <c r="AH56" s="23">
        <f t="shared" si="7"/>
        <v>13</v>
      </c>
      <c r="AI56" s="30">
        <f t="shared" si="8"/>
        <v>13</v>
      </c>
    </row>
    <row r="57" spans="1:35" x14ac:dyDescent="0.25">
      <c r="A57" s="15">
        <f t="shared" si="3"/>
        <v>54</v>
      </c>
      <c r="B57" s="16" t="s">
        <v>35</v>
      </c>
      <c r="C57" s="3" t="s">
        <v>48</v>
      </c>
      <c r="D57" s="6" t="s">
        <v>47</v>
      </c>
      <c r="E57" s="4" t="s">
        <v>48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6" t="s">
        <v>48</v>
      </c>
      <c r="L57" s="6" t="s">
        <v>48</v>
      </c>
      <c r="M57" s="6" t="s">
        <v>48</v>
      </c>
      <c r="N57" s="4" t="s">
        <v>48</v>
      </c>
      <c r="O57" s="4" t="s">
        <v>47</v>
      </c>
      <c r="P57" s="4"/>
      <c r="Q57" s="4"/>
      <c r="R57" s="4"/>
      <c r="S57" s="4"/>
      <c r="T57" s="4"/>
      <c r="U57" s="4"/>
      <c r="V57" s="4"/>
      <c r="W57" s="4"/>
      <c r="X57" s="6"/>
      <c r="Y57" s="4"/>
      <c r="Z57" s="4"/>
      <c r="AA57" s="4"/>
      <c r="AB57" s="4"/>
      <c r="AC57" s="4"/>
      <c r="AD57" s="4"/>
      <c r="AE57" s="4"/>
      <c r="AF57" s="4"/>
      <c r="AG57" s="21">
        <f t="shared" si="6"/>
        <v>7</v>
      </c>
      <c r="AH57" s="23">
        <f t="shared" si="7"/>
        <v>6</v>
      </c>
      <c r="AI57" s="30">
        <f t="shared" si="8"/>
        <v>13</v>
      </c>
    </row>
    <row r="58" spans="1:35" x14ac:dyDescent="0.25">
      <c r="A58" s="15">
        <f t="shared" si="3"/>
        <v>55</v>
      </c>
      <c r="B58" s="16" t="s">
        <v>36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48</v>
      </c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6"/>
      <c r="AC58" s="6"/>
      <c r="AD58" s="4"/>
      <c r="AE58" s="4"/>
      <c r="AF58" s="4"/>
      <c r="AG58" s="21">
        <f t="shared" si="6"/>
        <v>0</v>
      </c>
      <c r="AH58" s="23">
        <f t="shared" si="7"/>
        <v>13</v>
      </c>
      <c r="AI58" s="30">
        <f t="shared" si="8"/>
        <v>13</v>
      </c>
    </row>
    <row r="59" spans="1:35" x14ac:dyDescent="0.25">
      <c r="A59" s="15">
        <f t="shared" si="3"/>
        <v>56</v>
      </c>
      <c r="B59" s="33" t="s">
        <v>62</v>
      </c>
      <c r="C59" s="3" t="s">
        <v>48</v>
      </c>
      <c r="D59" s="4" t="s">
        <v>47</v>
      </c>
      <c r="E59" s="4" t="s">
        <v>47</v>
      </c>
      <c r="F59" s="6" t="s">
        <v>47</v>
      </c>
      <c r="G59" s="4" t="s">
        <v>47</v>
      </c>
      <c r="H59" s="4" t="s">
        <v>47</v>
      </c>
      <c r="I59" s="4" t="s">
        <v>48</v>
      </c>
      <c r="J59" s="6" t="s">
        <v>48</v>
      </c>
      <c r="K59" s="4" t="s">
        <v>47</v>
      </c>
      <c r="L59" s="6" t="s">
        <v>47</v>
      </c>
      <c r="M59" s="4" t="s">
        <v>47</v>
      </c>
      <c r="N59" s="4" t="s">
        <v>47</v>
      </c>
      <c r="O59" s="4" t="s">
        <v>47</v>
      </c>
      <c r="P59" s="4"/>
      <c r="Q59" s="4"/>
      <c r="R59" s="4"/>
      <c r="S59" s="4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6"/>
      <c r="AF59" s="6"/>
      <c r="AG59" s="21">
        <f t="shared" si="6"/>
        <v>10</v>
      </c>
      <c r="AH59" s="23">
        <f t="shared" si="7"/>
        <v>3</v>
      </c>
      <c r="AI59" s="30">
        <f t="shared" si="8"/>
        <v>13</v>
      </c>
    </row>
    <row r="60" spans="1:35" ht="16.3" thickBot="1" x14ac:dyDescent="0.3">
      <c r="A60" s="35">
        <f t="shared" si="3"/>
        <v>57</v>
      </c>
      <c r="B60" s="19" t="s">
        <v>37</v>
      </c>
      <c r="C60" s="3" t="s">
        <v>47</v>
      </c>
      <c r="D60" s="6" t="s">
        <v>47</v>
      </c>
      <c r="E60" s="6" t="s">
        <v>47</v>
      </c>
      <c r="F60" s="6" t="s">
        <v>47</v>
      </c>
      <c r="G60" s="4" t="s">
        <v>47</v>
      </c>
      <c r="H60" s="4" t="s">
        <v>47</v>
      </c>
      <c r="I60" s="4" t="s">
        <v>47</v>
      </c>
      <c r="J60" s="4" t="s">
        <v>47</v>
      </c>
      <c r="K60" s="4" t="s">
        <v>47</v>
      </c>
      <c r="L60" s="6" t="s">
        <v>47</v>
      </c>
      <c r="M60" s="6" t="s">
        <v>47</v>
      </c>
      <c r="N60" s="6" t="s">
        <v>47</v>
      </c>
      <c r="O60" s="4" t="s">
        <v>47</v>
      </c>
      <c r="P60" s="4"/>
      <c r="Q60" s="4"/>
      <c r="R60" s="4"/>
      <c r="S60" s="6"/>
      <c r="T60" s="4"/>
      <c r="U60" s="4"/>
      <c r="V60" s="4"/>
      <c r="W60" s="4"/>
      <c r="X60" s="6"/>
      <c r="Y60" s="4"/>
      <c r="Z60" s="4"/>
      <c r="AA60" s="4"/>
      <c r="AB60" s="4"/>
      <c r="AC60" s="4"/>
      <c r="AD60" s="4"/>
      <c r="AE60" s="4"/>
      <c r="AF60" s="4"/>
      <c r="AG60" s="22">
        <f t="shared" si="6"/>
        <v>13</v>
      </c>
      <c r="AH60" s="24">
        <f t="shared" si="7"/>
        <v>0</v>
      </c>
      <c r="AI60" s="31">
        <f t="shared" si="8"/>
        <v>13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AE10:AE12 AF11:AF12 C13:AF13 C11:E12 C16:AF16 C14:E14 C17:E17 C22:E22 C26:E26 C31:AF31 C30:E30 C33:AF34 C32:E32 C37:AF38 C35:E36 C41:AF43 C39:E39 C48:AF49 C45:E46 C53:AF54 C50:E52 C57:L57 C55:E56 C59:AF60 C58:E58 G10:G12 C18:F18 C40:F40 G39:AF40 G45:L46 G55:L56 G58:L58 C47:L47 H11:M12 G14:M14 C19:AF21 M45:M47 C4:AF9 P11:AD12 C15:M15 C23:AF25 G30:AF30 C44:M44 N10:O12 N14:AF15 G17:AF18 G22:AF22 G26:AF26 C27:AF29 G32:AF32 G35:AF36 N44:AF47 G50:AF52 M55:AF58">
    <cfRule type="containsBlanks" dxfId="1" priority="2">
      <formula>LEN(TRIM(C4))=0</formula>
    </cfRule>
  </conditionalFormatting>
  <conditionalFormatting sqref="C10:F10 AF10 F11:F12 F14 F17 F22 F26 F30 F32 F35:F36 F39 F45:F46 F50:F52 F55:F56 F58 H10:M10 P10:AD10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2019-09-13T06:37:52Z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