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state="hidden" r:id="rId4"/>
  </sheets>
  <functionGroups/>
  <definedNames>
    <definedName name="_xlnm._FilterDatabase" localSheetId="2" hidden="1">'Декабрь 2018'!$E$2:$AM$59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АХД">'Декабрь 2018'!$C$2</definedName>
  </definedNames>
  <calcPr calcId="125725" iterate="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6"/>
  <c r="AJ65"/>
  <c r="AJ63"/>
  <c r="AJ57"/>
  <c r="AJ56"/>
  <c r="AJ54"/>
  <c r="AJ53"/>
  <c r="AJ46"/>
  <c r="AJ47"/>
  <c r="AJ48"/>
  <c r="AJ49"/>
  <c r="AJ50"/>
  <c r="AJ51"/>
  <c r="AJ45"/>
  <c r="AJ42"/>
  <c r="AJ43"/>
  <c r="AJ41"/>
  <c r="AJ39"/>
  <c r="AJ37"/>
  <c r="AJ36"/>
  <c r="AJ33"/>
  <c r="AJ34"/>
  <c r="AJ32"/>
  <c r="AJ25"/>
  <c r="AJ26"/>
  <c r="AJ27"/>
  <c r="AJ28"/>
  <c r="AJ29"/>
  <c r="AJ30"/>
  <c r="AJ24"/>
  <c r="AJ8"/>
  <c r="AJ9"/>
  <c r="AJ10"/>
  <c r="AJ11"/>
  <c r="AJ12"/>
  <c r="AJ13"/>
  <c r="AJ14"/>
  <c r="AJ15"/>
  <c r="AJ16"/>
  <c r="AJ17"/>
  <c r="AJ18"/>
  <c r="AJ19"/>
  <c r="AJ20"/>
  <c r="AJ21"/>
  <c r="AJ22"/>
  <c r="AJ7"/>
  <c r="AJ23" s="1"/>
  <c r="AJ5"/>
  <c r="AJ4"/>
  <c r="AJ40"/>
  <c r="AJ67"/>
  <c r="AK64"/>
  <c r="AL64"/>
  <c r="AM64"/>
  <c r="AJ64"/>
  <c r="AJ68" s="1"/>
  <c r="AJ58"/>
  <c r="AJ55"/>
  <c r="AJ52"/>
  <c r="AJ44"/>
  <c r="AJ38"/>
  <c r="AJ35"/>
  <c r="AJ6"/>
  <c r="AJ31"/>
  <c r="AM66"/>
  <c r="AL66"/>
  <c r="AK66"/>
  <c r="AM65"/>
  <c r="AL65"/>
  <c r="AK65"/>
  <c r="AM63"/>
  <c r="AL63"/>
  <c r="AK63"/>
  <c r="A61"/>
  <c r="AM57"/>
  <c r="AL57"/>
  <c r="AK57"/>
  <c r="AM56"/>
  <c r="AL56"/>
  <c r="AK56"/>
  <c r="AM54"/>
  <c r="AL54"/>
  <c r="AK54"/>
  <c r="AM53"/>
  <c r="AL53"/>
  <c r="AK53"/>
  <c r="AM51"/>
  <c r="AL51"/>
  <c r="AK51"/>
  <c r="AM50"/>
  <c r="AL50"/>
  <c r="AK50"/>
  <c r="AM49"/>
  <c r="AL49"/>
  <c r="AK49"/>
  <c r="AM48"/>
  <c r="AL48"/>
  <c r="AK48"/>
  <c r="AM47"/>
  <c r="AL47"/>
  <c r="AK47"/>
  <c r="AM46"/>
  <c r="AL46"/>
  <c r="AK46"/>
  <c r="AM45"/>
  <c r="AL45"/>
  <c r="AK45"/>
  <c r="AM43"/>
  <c r="AL43"/>
  <c r="AK43"/>
  <c r="AM42"/>
  <c r="AL42"/>
  <c r="AK42"/>
  <c r="AM41"/>
  <c r="AL41"/>
  <c r="AK41"/>
  <c r="AM39"/>
  <c r="AM40" s="1"/>
  <c r="AL39"/>
  <c r="AL40" s="1"/>
  <c r="AK39"/>
  <c r="AK40" s="1"/>
  <c r="AM37"/>
  <c r="AL37"/>
  <c r="AK37"/>
  <c r="AM36"/>
  <c r="AL36"/>
  <c r="AK36"/>
  <c r="AM34"/>
  <c r="AL34"/>
  <c r="AK34"/>
  <c r="AM33"/>
  <c r="AL33"/>
  <c r="AK33"/>
  <c r="AM32"/>
  <c r="AL32"/>
  <c r="AK32"/>
  <c r="AM30"/>
  <c r="AL30"/>
  <c r="AK30"/>
  <c r="AM29"/>
  <c r="AL29"/>
  <c r="AK29"/>
  <c r="AM28"/>
  <c r="AL28"/>
  <c r="AK28"/>
  <c r="AM27"/>
  <c r="AL27"/>
  <c r="AK27"/>
  <c r="AM26"/>
  <c r="AL26"/>
  <c r="AK26"/>
  <c r="AM25"/>
  <c r="AL25"/>
  <c r="AK25"/>
  <c r="AM24"/>
  <c r="AL24"/>
  <c r="AK24"/>
  <c r="AM22"/>
  <c r="AL22"/>
  <c r="AK22"/>
  <c r="AM21"/>
  <c r="AL21"/>
  <c r="AK21"/>
  <c r="AM20"/>
  <c r="AL20"/>
  <c r="AK20"/>
  <c r="AM19"/>
  <c r="AL19"/>
  <c r="AK19"/>
  <c r="AM18"/>
  <c r="AL18"/>
  <c r="AK18"/>
  <c r="AM17"/>
  <c r="AL17"/>
  <c r="AK17"/>
  <c r="AM16"/>
  <c r="AL16"/>
  <c r="AK16"/>
  <c r="AM15"/>
  <c r="AL15"/>
  <c r="AK15"/>
  <c r="AM14"/>
  <c r="AL14"/>
  <c r="AK14"/>
  <c r="AM13"/>
  <c r="AL13"/>
  <c r="AK13"/>
  <c r="AM12"/>
  <c r="AL12"/>
  <c r="AK12"/>
  <c r="AM11"/>
  <c r="AL11"/>
  <c r="AK11"/>
  <c r="AM10"/>
  <c r="AL10"/>
  <c r="AK10"/>
  <c r="AM9"/>
  <c r="AL9"/>
  <c r="AK9"/>
  <c r="AM8"/>
  <c r="AL8"/>
  <c r="AK8"/>
  <c r="AM7"/>
  <c r="AL7"/>
  <c r="AK7"/>
  <c r="AM5"/>
  <c r="AL5"/>
  <c r="AK5"/>
  <c r="A5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4" s="1"/>
  <c r="A25" s="1"/>
  <c r="A26" s="1"/>
  <c r="A27" s="1"/>
  <c r="A28" s="1"/>
  <c r="A29" s="1"/>
  <c r="A30" s="1"/>
  <c r="A32" s="1"/>
  <c r="A33" s="1"/>
  <c r="A34" s="1"/>
  <c r="A36" s="1"/>
  <c r="A37" s="1"/>
  <c r="A39" s="1"/>
  <c r="A41" s="1"/>
  <c r="A42" s="1"/>
  <c r="A43" s="1"/>
  <c r="A45" s="1"/>
  <c r="A46" s="1"/>
  <c r="A47" s="1"/>
  <c r="A48" s="1"/>
  <c r="A49" s="1"/>
  <c r="A50" s="1"/>
  <c r="A51" s="1"/>
  <c r="A53" s="1"/>
  <c r="A54" s="1"/>
  <c r="A56" s="1"/>
  <c r="A57" s="1"/>
  <c r="AM4"/>
  <c r="AM6" s="1"/>
  <c r="AL4"/>
  <c r="AK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38" i="6" l="1"/>
  <c r="AM44"/>
  <c r="AK55"/>
  <c r="AM55"/>
  <c r="AK58"/>
  <c r="AM58"/>
  <c r="AK67"/>
  <c r="AM67"/>
  <c r="AL31"/>
  <c r="AL52"/>
  <c r="AL67"/>
  <c r="AL23"/>
  <c r="AL6"/>
  <c r="AK6"/>
  <c r="AK35"/>
  <c r="AM35"/>
  <c r="AK23"/>
  <c r="AM23"/>
  <c r="AK44"/>
  <c r="AJ59"/>
  <c r="AK31"/>
  <c r="AM31"/>
  <c r="AL35"/>
  <c r="AK38"/>
  <c r="AM38"/>
  <c r="AL44"/>
  <c r="AK52"/>
  <c r="AM52"/>
  <c r="AL55"/>
  <c r="AL58"/>
  <c r="A49" i="4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<sst xmlns="http://schemas.openxmlformats.org/spreadsheetml/2006/main" count="2103" uniqueCount="74">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</sst>
</file>

<file path=xl/styles.xml><?xml version="1.0" encoding="utf-8"?>
<styleSheet xmlns="http://schemas.openxmlformats.org/spreadsheetml/2006/main">
  <numFmts count="1">
    <numFmt numFmtId="164" formatCode="#"/>
  </numFmts>
  <fonts count="6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horizontal="left"/>
    </xf>
    <xf numFmtId="49" fontId="1" fillId="3" borderId="31" xfId="0" applyNumberFormat="1" applyFont="1" applyFill="1" applyBorder="1" applyAlignment="1">
      <alignment horizontal="center"/>
    </xf>
    <xf numFmtId="49" fontId="1" fillId="3" borderId="32" xfId="0" applyNumberFormat="1" applyFont="1" applyFill="1" applyBorder="1" applyAlignment="1">
      <alignment horizontal="center"/>
    </xf>
    <xf numFmtId="0" fontId="2" fillId="0" borderId="31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/>
    </xf>
    <xf numFmtId="0" fontId="1" fillId="3" borderId="3" xfId="0" applyFont="1" applyFill="1" applyBorder="1" applyAlignment="1"/>
    <xf numFmtId="0" fontId="2" fillId="0" borderId="3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left"/>
    </xf>
    <xf numFmtId="49" fontId="1" fillId="3" borderId="27" xfId="0" applyNumberFormat="1" applyFont="1" applyFill="1" applyBorder="1" applyAlignment="1">
      <alignment horizontal="center"/>
    </xf>
    <xf numFmtId="49" fontId="1" fillId="3" borderId="28" xfId="0" applyNumberFormat="1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left"/>
    </xf>
    <xf numFmtId="0" fontId="1" fillId="3" borderId="31" xfId="0" applyFont="1" applyFill="1" applyBorder="1" applyAlignment="1"/>
    <xf numFmtId="0" fontId="1" fillId="3" borderId="3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4" fontId="3" fillId="2" borderId="29" xfId="0" applyNumberFormat="1" applyFont="1" applyFill="1" applyBorder="1" applyAlignment="1">
      <alignment horizontal="center" vertical="center"/>
    </xf>
    <xf numFmtId="164" fontId="3" fillId="2" borderId="11" xfId="0" applyNumberFormat="1" applyFont="1" applyFill="1" applyBorder="1" applyAlignment="1">
      <alignment horizontal="center" vertical="center"/>
    </xf>
    <xf numFmtId="164" fontId="3" fillId="2" borderId="12" xfId="0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11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11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113" t="s">
        <v>63</v>
      </c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11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6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5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11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M68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9" width="5.7109375" style="3" customWidth="1"/>
    <col min="40" max="16384" width="9.140625" style="3"/>
  </cols>
  <sheetData>
    <row r="1" spans="1:39">
      <c r="A1" s="11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</row>
    <row r="2" spans="1:39" ht="16.5" thickBot="1">
      <c r="A2" s="50"/>
      <c r="B2" s="50"/>
      <c r="C2" s="111">
        <v>31</v>
      </c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</row>
    <row r="3" spans="1:39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85">
        <v>31</v>
      </c>
      <c r="AJ3" s="55" t="s">
        <v>67</v>
      </c>
      <c r="AK3" s="60" t="s">
        <v>66</v>
      </c>
      <c r="AL3" s="60" t="s">
        <v>62</v>
      </c>
      <c r="AM3" s="61" t="s">
        <v>61</v>
      </c>
    </row>
    <row r="4" spans="1:39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109">
        <f>АХД</f>
        <v>31</v>
      </c>
      <c r="AK4" s="36">
        <f t="shared" ref="AK4:AK57" si="0">COUNTIF(E4:AI4,1)</f>
        <v>0</v>
      </c>
      <c r="AL4" s="36">
        <f t="shared" ref="AL4:AL57" si="1">COUNTIF(E4:AI4,"тр")</f>
        <v>31</v>
      </c>
      <c r="AM4" s="37">
        <f t="shared" ref="AM4:AM57" si="2">COUNTIF(E4:AI4,"бв")</f>
        <v>0</v>
      </c>
    </row>
    <row r="5" spans="1:39" ht="16.5" thickBot="1">
      <c r="A5" s="75">
        <f>A4+1</f>
        <v>2</v>
      </c>
      <c r="B5" s="70" t="s">
        <v>0</v>
      </c>
      <c r="C5" s="71" t="s">
        <v>2</v>
      </c>
      <c r="D5" s="72">
        <v>1637</v>
      </c>
      <c r="E5" s="77" t="s">
        <v>62</v>
      </c>
      <c r="F5" s="73" t="s">
        <v>62</v>
      </c>
      <c r="G5" s="73" t="s">
        <v>62</v>
      </c>
      <c r="H5" s="73" t="s">
        <v>62</v>
      </c>
      <c r="I5" s="73" t="s">
        <v>62</v>
      </c>
      <c r="J5" s="73">
        <v>1</v>
      </c>
      <c r="K5" s="73" t="s">
        <v>62</v>
      </c>
      <c r="L5" s="73" t="s">
        <v>62</v>
      </c>
      <c r="M5" s="73" t="s">
        <v>62</v>
      </c>
      <c r="N5" s="73" t="s">
        <v>62</v>
      </c>
      <c r="O5" s="73" t="s">
        <v>62</v>
      </c>
      <c r="P5" s="73" t="s">
        <v>62</v>
      </c>
      <c r="Q5" s="73" t="s">
        <v>62</v>
      </c>
      <c r="R5" s="73" t="s">
        <v>62</v>
      </c>
      <c r="S5" s="73" t="s">
        <v>62</v>
      </c>
      <c r="T5" s="73" t="s">
        <v>62</v>
      </c>
      <c r="U5" s="73" t="s">
        <v>62</v>
      </c>
      <c r="V5" s="73" t="s">
        <v>62</v>
      </c>
      <c r="W5" s="73" t="s">
        <v>62</v>
      </c>
      <c r="X5" s="73" t="s">
        <v>62</v>
      </c>
      <c r="Y5" s="73" t="s">
        <v>62</v>
      </c>
      <c r="Z5" s="73" t="s">
        <v>62</v>
      </c>
      <c r="AA5" s="73" t="s">
        <v>62</v>
      </c>
      <c r="AB5" s="73" t="s">
        <v>62</v>
      </c>
      <c r="AC5" s="73" t="s">
        <v>62</v>
      </c>
      <c r="AD5" s="73" t="s">
        <v>62</v>
      </c>
      <c r="AE5" s="73" t="s">
        <v>62</v>
      </c>
      <c r="AF5" s="73" t="s">
        <v>62</v>
      </c>
      <c r="AG5" s="73" t="s">
        <v>62</v>
      </c>
      <c r="AH5" s="73" t="s">
        <v>62</v>
      </c>
      <c r="AI5" s="90" t="s">
        <v>62</v>
      </c>
      <c r="AJ5" s="110">
        <f>АХД</f>
        <v>31</v>
      </c>
      <c r="AK5" s="88">
        <f t="shared" si="0"/>
        <v>1</v>
      </c>
      <c r="AL5" s="88">
        <f t="shared" si="1"/>
        <v>30</v>
      </c>
      <c r="AM5" s="89">
        <f t="shared" si="2"/>
        <v>0</v>
      </c>
    </row>
    <row r="6" spans="1:39" s="62" customFormat="1" ht="16.5" thickBot="1">
      <c r="A6" s="98"/>
      <c r="B6" s="102" t="s">
        <v>68</v>
      </c>
      <c r="C6" s="99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1"/>
      <c r="AJ6" s="106">
        <f>SUM(AJ4:AJ5)</f>
        <v>62</v>
      </c>
      <c r="AK6" s="107">
        <f t="shared" ref="AK6:AM6" si="3">SUM(AK4:AK5)</f>
        <v>1</v>
      </c>
      <c r="AL6" s="107">
        <f t="shared" si="3"/>
        <v>61</v>
      </c>
      <c r="AM6" s="108">
        <f t="shared" si="3"/>
        <v>0</v>
      </c>
    </row>
    <row r="7" spans="1:39">
      <c r="A7" s="21">
        <f>A5+1</f>
        <v>3</v>
      </c>
      <c r="B7" s="22" t="s">
        <v>57</v>
      </c>
      <c r="C7" s="23" t="s">
        <v>3</v>
      </c>
      <c r="D7" s="47">
        <v>6981</v>
      </c>
      <c r="E7" s="15" t="s">
        <v>62</v>
      </c>
      <c r="F7" s="64" t="s">
        <v>62</v>
      </c>
      <c r="G7" s="64" t="s">
        <v>62</v>
      </c>
      <c r="H7" s="64" t="s">
        <v>62</v>
      </c>
      <c r="I7" s="64" t="s">
        <v>62</v>
      </c>
      <c r="J7" s="64" t="s">
        <v>62</v>
      </c>
      <c r="K7" s="64" t="s">
        <v>62</v>
      </c>
      <c r="L7" s="64" t="s">
        <v>62</v>
      </c>
      <c r="M7" s="64" t="s">
        <v>62</v>
      </c>
      <c r="N7" s="64" t="s">
        <v>62</v>
      </c>
      <c r="O7" s="64" t="s">
        <v>62</v>
      </c>
      <c r="P7" s="64" t="s">
        <v>62</v>
      </c>
      <c r="Q7" s="64" t="s">
        <v>62</v>
      </c>
      <c r="R7" s="64" t="s">
        <v>62</v>
      </c>
      <c r="S7" s="64" t="s">
        <v>62</v>
      </c>
      <c r="T7" s="64" t="s">
        <v>62</v>
      </c>
      <c r="U7" s="64" t="s">
        <v>62</v>
      </c>
      <c r="V7" s="64" t="s">
        <v>62</v>
      </c>
      <c r="W7" s="64" t="s">
        <v>62</v>
      </c>
      <c r="X7" s="64" t="s">
        <v>62</v>
      </c>
      <c r="Y7" s="64" t="s">
        <v>62</v>
      </c>
      <c r="Z7" s="64" t="s">
        <v>62</v>
      </c>
      <c r="AA7" s="64" t="s">
        <v>62</v>
      </c>
      <c r="AB7" s="64" t="s">
        <v>62</v>
      </c>
      <c r="AC7" s="64" t="s">
        <v>62</v>
      </c>
      <c r="AD7" s="64" t="s">
        <v>62</v>
      </c>
      <c r="AE7" s="64" t="s">
        <v>62</v>
      </c>
      <c r="AF7" s="64" t="s">
        <v>62</v>
      </c>
      <c r="AG7" s="64" t="s">
        <v>62</v>
      </c>
      <c r="AH7" s="64" t="s">
        <v>62</v>
      </c>
      <c r="AI7" s="91" t="s">
        <v>62</v>
      </c>
      <c r="AJ7" s="109">
        <f t="shared" ref="AJ7:AJ22" si="4">АХД</f>
        <v>31</v>
      </c>
      <c r="AK7" s="36">
        <f t="shared" si="0"/>
        <v>0</v>
      </c>
      <c r="AL7" s="36">
        <f t="shared" si="1"/>
        <v>31</v>
      </c>
      <c r="AM7" s="37">
        <f t="shared" si="2"/>
        <v>0</v>
      </c>
    </row>
    <row r="8" spans="1:39">
      <c r="A8" s="24">
        <f t="shared" ref="A8:A57" si="5">A7+1</f>
        <v>4</v>
      </c>
      <c r="B8" s="25" t="s">
        <v>57</v>
      </c>
      <c r="C8" s="26" t="s">
        <v>4</v>
      </c>
      <c r="D8" s="48">
        <v>6982</v>
      </c>
      <c r="E8" s="16">
        <v>1</v>
      </c>
      <c r="F8" s="6">
        <v>1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6">
        <v>1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>
        <v>1</v>
      </c>
      <c r="T8" s="6">
        <v>1</v>
      </c>
      <c r="U8" s="6">
        <v>1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 t="s">
        <v>61</v>
      </c>
      <c r="AD8" s="6">
        <v>1</v>
      </c>
      <c r="AE8" s="6">
        <v>1</v>
      </c>
      <c r="AF8" s="6">
        <v>1</v>
      </c>
      <c r="AG8" s="6">
        <v>1</v>
      </c>
      <c r="AH8" s="6">
        <v>1</v>
      </c>
      <c r="AI8" s="8" t="s">
        <v>61</v>
      </c>
      <c r="AJ8" s="109">
        <f t="shared" si="4"/>
        <v>31</v>
      </c>
      <c r="AK8" s="86">
        <f t="shared" si="0"/>
        <v>28</v>
      </c>
      <c r="AL8" s="86">
        <f t="shared" si="1"/>
        <v>1</v>
      </c>
      <c r="AM8" s="87">
        <f t="shared" si="2"/>
        <v>2</v>
      </c>
    </row>
    <row r="9" spans="1:39">
      <c r="A9" s="24">
        <f t="shared" si="5"/>
        <v>5</v>
      </c>
      <c r="B9" s="25" t="s">
        <v>57</v>
      </c>
      <c r="C9" s="26" t="s">
        <v>5</v>
      </c>
      <c r="D9" s="48">
        <v>5721</v>
      </c>
      <c r="E9" s="16" t="s">
        <v>62</v>
      </c>
      <c r="F9" s="16" t="s">
        <v>62</v>
      </c>
      <c r="G9" s="1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8" t="s">
        <v>62</v>
      </c>
      <c r="AJ9" s="109">
        <f t="shared" si="4"/>
        <v>31</v>
      </c>
      <c r="AK9" s="86">
        <f t="shared" si="0"/>
        <v>0</v>
      </c>
      <c r="AL9" s="86">
        <f t="shared" si="1"/>
        <v>31</v>
      </c>
      <c r="AM9" s="87">
        <f t="shared" si="2"/>
        <v>0</v>
      </c>
    </row>
    <row r="10" spans="1:39">
      <c r="A10" s="24">
        <f t="shared" si="5"/>
        <v>6</v>
      </c>
      <c r="B10" s="25" t="s">
        <v>57</v>
      </c>
      <c r="C10" s="26" t="s">
        <v>6</v>
      </c>
      <c r="D10" s="52" t="s">
        <v>54</v>
      </c>
      <c r="E10" s="16">
        <v>1</v>
      </c>
      <c r="F10" s="6">
        <v>1</v>
      </c>
      <c r="G10" s="6" t="s">
        <v>62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 t="s">
        <v>62</v>
      </c>
      <c r="X10" s="6" t="s">
        <v>62</v>
      </c>
      <c r="Y10" s="6" t="s">
        <v>62</v>
      </c>
      <c r="Z10" s="6" t="s">
        <v>62</v>
      </c>
      <c r="AA10" s="6" t="s">
        <v>62</v>
      </c>
      <c r="AB10" s="6" t="s">
        <v>62</v>
      </c>
      <c r="AC10" s="6" t="s">
        <v>62</v>
      </c>
      <c r="AD10" s="6" t="s">
        <v>62</v>
      </c>
      <c r="AE10" s="6" t="s">
        <v>62</v>
      </c>
      <c r="AF10" s="6" t="s">
        <v>62</v>
      </c>
      <c r="AG10" s="6" t="s">
        <v>62</v>
      </c>
      <c r="AH10" s="6" t="s">
        <v>62</v>
      </c>
      <c r="AI10" s="8" t="s">
        <v>62</v>
      </c>
      <c r="AJ10" s="109">
        <f t="shared" si="4"/>
        <v>31</v>
      </c>
      <c r="AK10" s="86">
        <f t="shared" si="0"/>
        <v>17</v>
      </c>
      <c r="AL10" s="86">
        <f t="shared" si="1"/>
        <v>14</v>
      </c>
      <c r="AM10" s="87">
        <f t="shared" si="2"/>
        <v>0</v>
      </c>
    </row>
    <row r="11" spans="1:39">
      <c r="A11" s="24">
        <f t="shared" si="5"/>
        <v>7</v>
      </c>
      <c r="B11" s="25" t="s">
        <v>57</v>
      </c>
      <c r="C11" s="26" t="s">
        <v>7</v>
      </c>
      <c r="D11" s="48">
        <v>1291</v>
      </c>
      <c r="E11" s="16">
        <v>1</v>
      </c>
      <c r="F11" s="6">
        <v>1</v>
      </c>
      <c r="G11" s="6" t="s">
        <v>62</v>
      </c>
      <c r="H11" s="6">
        <v>1</v>
      </c>
      <c r="I11" s="6" t="s">
        <v>62</v>
      </c>
      <c r="J11" s="6" t="s">
        <v>62</v>
      </c>
      <c r="K11" s="6" t="s">
        <v>62</v>
      </c>
      <c r="L11" s="6" t="s">
        <v>62</v>
      </c>
      <c r="M11" s="6" t="s">
        <v>62</v>
      </c>
      <c r="N11" s="6" t="s">
        <v>62</v>
      </c>
      <c r="O11" s="6" t="s">
        <v>62</v>
      </c>
      <c r="P11" s="6">
        <v>1</v>
      </c>
      <c r="Q11" s="6">
        <v>1</v>
      </c>
      <c r="R11" s="6">
        <v>1</v>
      </c>
      <c r="S11" s="6">
        <v>1</v>
      </c>
      <c r="T11" s="6" t="s">
        <v>61</v>
      </c>
      <c r="U11" s="6">
        <v>1</v>
      </c>
      <c r="V11" s="6" t="s">
        <v>62</v>
      </c>
      <c r="W11" s="6" t="s">
        <v>62</v>
      </c>
      <c r="X11" s="6" t="s">
        <v>62</v>
      </c>
      <c r="Y11" s="6" t="s">
        <v>62</v>
      </c>
      <c r="Z11" s="6" t="s">
        <v>62</v>
      </c>
      <c r="AA11" s="6" t="s">
        <v>62</v>
      </c>
      <c r="AB11" s="6" t="s">
        <v>62</v>
      </c>
      <c r="AC11" s="6" t="s">
        <v>62</v>
      </c>
      <c r="AD11" s="6" t="s">
        <v>62</v>
      </c>
      <c r="AE11" s="6" t="s">
        <v>62</v>
      </c>
      <c r="AF11" s="6">
        <v>1</v>
      </c>
      <c r="AG11" s="6">
        <v>1</v>
      </c>
      <c r="AH11" s="6">
        <v>1</v>
      </c>
      <c r="AI11" s="8">
        <v>1</v>
      </c>
      <c r="AJ11" s="109">
        <f t="shared" si="4"/>
        <v>31</v>
      </c>
      <c r="AK11" s="86">
        <f t="shared" si="0"/>
        <v>12</v>
      </c>
      <c r="AL11" s="86">
        <f t="shared" si="1"/>
        <v>18</v>
      </c>
      <c r="AM11" s="87">
        <f t="shared" si="2"/>
        <v>1</v>
      </c>
    </row>
    <row r="12" spans="1:39">
      <c r="A12" s="24">
        <f t="shared" si="5"/>
        <v>8</v>
      </c>
      <c r="B12" s="25" t="s">
        <v>57</v>
      </c>
      <c r="C12" s="26" t="s">
        <v>8</v>
      </c>
      <c r="D12" s="48">
        <v>6850</v>
      </c>
      <c r="E12" s="16" t="s">
        <v>61</v>
      </c>
      <c r="F12" s="16" t="s">
        <v>61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 t="s">
        <v>61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 t="s">
        <v>61</v>
      </c>
      <c r="AB12" s="6" t="s">
        <v>61</v>
      </c>
      <c r="AC12" s="6" t="s">
        <v>61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 t="s">
        <v>61</v>
      </c>
      <c r="AJ12" s="109">
        <f t="shared" si="4"/>
        <v>31</v>
      </c>
      <c r="AK12" s="86">
        <f t="shared" si="0"/>
        <v>21</v>
      </c>
      <c r="AL12" s="86">
        <f t="shared" si="1"/>
        <v>0</v>
      </c>
      <c r="AM12" s="87">
        <f t="shared" si="2"/>
        <v>10</v>
      </c>
    </row>
    <row r="13" spans="1:39">
      <c r="A13" s="24">
        <f t="shared" si="5"/>
        <v>9</v>
      </c>
      <c r="B13" s="25" t="s">
        <v>57</v>
      </c>
      <c r="C13" s="26" t="s">
        <v>9</v>
      </c>
      <c r="D13" s="48">
        <v>7540</v>
      </c>
      <c r="E13" s="16">
        <v>1</v>
      </c>
      <c r="F13" s="6">
        <v>1</v>
      </c>
      <c r="G13" s="6">
        <v>1</v>
      </c>
      <c r="H13" s="6" t="s">
        <v>62</v>
      </c>
      <c r="I13" s="6" t="s">
        <v>62</v>
      </c>
      <c r="J13" s="6" t="s">
        <v>62</v>
      </c>
      <c r="K13" s="6">
        <v>1</v>
      </c>
      <c r="L13" s="6" t="s">
        <v>61</v>
      </c>
      <c r="M13" s="6" t="s">
        <v>61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>
        <v>1</v>
      </c>
      <c r="W13" s="6" t="s">
        <v>61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 t="s">
        <v>61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109">
        <f t="shared" si="4"/>
        <v>31</v>
      </c>
      <c r="AK13" s="86">
        <f t="shared" si="0"/>
        <v>23</v>
      </c>
      <c r="AL13" s="86">
        <f t="shared" si="1"/>
        <v>3</v>
      </c>
      <c r="AM13" s="87">
        <f t="shared" si="2"/>
        <v>5</v>
      </c>
    </row>
    <row r="14" spans="1:39">
      <c r="A14" s="24">
        <f t="shared" si="5"/>
        <v>10</v>
      </c>
      <c r="B14" s="25" t="s">
        <v>57</v>
      </c>
      <c r="C14" s="26" t="s">
        <v>10</v>
      </c>
      <c r="D14" s="48">
        <v>4729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 t="s">
        <v>61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 t="s">
        <v>61</v>
      </c>
      <c r="AI14" s="8" t="s">
        <v>61</v>
      </c>
      <c r="AJ14" s="109">
        <f t="shared" si="4"/>
        <v>31</v>
      </c>
      <c r="AK14" s="86">
        <f t="shared" si="0"/>
        <v>28</v>
      </c>
      <c r="AL14" s="86">
        <f t="shared" si="1"/>
        <v>0</v>
      </c>
      <c r="AM14" s="87">
        <f t="shared" si="2"/>
        <v>3</v>
      </c>
    </row>
    <row r="15" spans="1:39">
      <c r="A15" s="24">
        <f t="shared" si="5"/>
        <v>11</v>
      </c>
      <c r="B15" s="25" t="s">
        <v>57</v>
      </c>
      <c r="C15" s="26" t="s">
        <v>11</v>
      </c>
      <c r="D15" s="48">
        <v>4769</v>
      </c>
      <c r="E15" s="16" t="s">
        <v>61</v>
      </c>
      <c r="F15" s="1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 t="s">
        <v>62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62</v>
      </c>
      <c r="V15" s="6" t="s">
        <v>62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 t="s">
        <v>61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109">
        <f t="shared" si="4"/>
        <v>31</v>
      </c>
      <c r="AK15" s="86">
        <f t="shared" si="0"/>
        <v>26</v>
      </c>
      <c r="AL15" s="86">
        <f t="shared" si="1"/>
        <v>3</v>
      </c>
      <c r="AM15" s="87">
        <f t="shared" si="2"/>
        <v>2</v>
      </c>
    </row>
    <row r="16" spans="1:39">
      <c r="A16" s="24">
        <f t="shared" si="5"/>
        <v>12</v>
      </c>
      <c r="B16" s="25" t="s">
        <v>57</v>
      </c>
      <c r="C16" s="26" t="s">
        <v>12</v>
      </c>
      <c r="D16" s="48">
        <v>4730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109">
        <f t="shared" si="4"/>
        <v>31</v>
      </c>
      <c r="AK16" s="86">
        <f t="shared" si="0"/>
        <v>31</v>
      </c>
      <c r="AL16" s="86">
        <f t="shared" si="1"/>
        <v>0</v>
      </c>
      <c r="AM16" s="87">
        <f t="shared" si="2"/>
        <v>0</v>
      </c>
    </row>
    <row r="17" spans="1:39">
      <c r="A17" s="24">
        <f t="shared" si="5"/>
        <v>13</v>
      </c>
      <c r="B17" s="25" t="s">
        <v>57</v>
      </c>
      <c r="C17" s="26" t="s">
        <v>13</v>
      </c>
      <c r="D17" s="48">
        <v>1213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 t="s">
        <v>61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 t="s">
        <v>61</v>
      </c>
      <c r="AI17" s="8">
        <v>1</v>
      </c>
      <c r="AJ17" s="109">
        <f t="shared" si="4"/>
        <v>31</v>
      </c>
      <c r="AK17" s="86">
        <f t="shared" si="0"/>
        <v>28</v>
      </c>
      <c r="AL17" s="86">
        <f t="shared" si="1"/>
        <v>0</v>
      </c>
      <c r="AM17" s="87">
        <f t="shared" si="2"/>
        <v>3</v>
      </c>
    </row>
    <row r="18" spans="1:39">
      <c r="A18" s="24">
        <f t="shared" si="5"/>
        <v>14</v>
      </c>
      <c r="B18" s="25" t="s">
        <v>57</v>
      </c>
      <c r="C18" s="26" t="s">
        <v>14</v>
      </c>
      <c r="D18" s="48">
        <v>4189</v>
      </c>
      <c r="E18" s="16">
        <v>1</v>
      </c>
      <c r="F18" s="6" t="s">
        <v>61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>
        <v>1</v>
      </c>
      <c r="U18" s="6">
        <v>1</v>
      </c>
      <c r="V18" s="6">
        <v>1</v>
      </c>
      <c r="W18" s="6">
        <v>1</v>
      </c>
      <c r="X18" s="6">
        <v>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>
        <v>1</v>
      </c>
      <c r="AG18" s="6">
        <v>1</v>
      </c>
      <c r="AH18" s="6">
        <v>1</v>
      </c>
      <c r="AI18" s="8">
        <v>1</v>
      </c>
      <c r="AJ18" s="109">
        <f t="shared" si="4"/>
        <v>31</v>
      </c>
      <c r="AK18" s="86">
        <f t="shared" si="0"/>
        <v>30</v>
      </c>
      <c r="AL18" s="86">
        <f t="shared" si="1"/>
        <v>0</v>
      </c>
      <c r="AM18" s="87">
        <f t="shared" si="2"/>
        <v>1</v>
      </c>
    </row>
    <row r="19" spans="1:39">
      <c r="A19" s="24">
        <f t="shared" si="5"/>
        <v>15</v>
      </c>
      <c r="B19" s="25" t="s">
        <v>57</v>
      </c>
      <c r="C19" s="26" t="s">
        <v>15</v>
      </c>
      <c r="D19" s="48">
        <v>3584</v>
      </c>
      <c r="E19" s="16" t="s">
        <v>62</v>
      </c>
      <c r="F19" s="16" t="s">
        <v>62</v>
      </c>
      <c r="G19" s="16" t="s">
        <v>62</v>
      </c>
      <c r="H19" s="6" t="s">
        <v>62</v>
      </c>
      <c r="I19" s="6" t="s">
        <v>62</v>
      </c>
      <c r="J19" s="6" t="s">
        <v>62</v>
      </c>
      <c r="K19" s="6" t="s">
        <v>62</v>
      </c>
      <c r="L19" s="6" t="s">
        <v>61</v>
      </c>
      <c r="M19" s="6" t="s">
        <v>61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 t="s">
        <v>61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 t="s">
        <v>61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 t="s">
        <v>61</v>
      </c>
      <c r="AI19" s="8">
        <v>1</v>
      </c>
      <c r="AJ19" s="109">
        <f t="shared" si="4"/>
        <v>31</v>
      </c>
      <c r="AK19" s="86">
        <f t="shared" si="0"/>
        <v>19</v>
      </c>
      <c r="AL19" s="86">
        <f t="shared" si="1"/>
        <v>7</v>
      </c>
      <c r="AM19" s="87">
        <f t="shared" si="2"/>
        <v>5</v>
      </c>
    </row>
    <row r="20" spans="1:39">
      <c r="A20" s="24">
        <f t="shared" si="5"/>
        <v>16</v>
      </c>
      <c r="B20" s="25" t="s">
        <v>57</v>
      </c>
      <c r="C20" s="26" t="s">
        <v>16</v>
      </c>
      <c r="D20" s="48">
        <v>1661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109">
        <f t="shared" si="4"/>
        <v>31</v>
      </c>
      <c r="AK20" s="86">
        <f t="shared" si="0"/>
        <v>31</v>
      </c>
      <c r="AL20" s="86">
        <f t="shared" si="1"/>
        <v>0</v>
      </c>
      <c r="AM20" s="87">
        <f t="shared" si="2"/>
        <v>0</v>
      </c>
    </row>
    <row r="21" spans="1:39">
      <c r="A21" s="24">
        <f t="shared" si="5"/>
        <v>17</v>
      </c>
      <c r="B21" s="25" t="s">
        <v>57</v>
      </c>
      <c r="C21" s="26" t="s">
        <v>17</v>
      </c>
      <c r="D21" s="48">
        <v>1662</v>
      </c>
      <c r="E21" s="16">
        <v>1</v>
      </c>
      <c r="F21" s="6">
        <v>1</v>
      </c>
      <c r="G21" s="6">
        <v>1</v>
      </c>
      <c r="H21" s="6">
        <v>1</v>
      </c>
      <c r="I21" s="6">
        <v>1</v>
      </c>
      <c r="J21" s="6">
        <v>1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1</v>
      </c>
      <c r="Q21" s="6">
        <v>1</v>
      </c>
      <c r="R21" s="6">
        <v>1</v>
      </c>
      <c r="S21" s="6">
        <v>1</v>
      </c>
      <c r="T21" s="6">
        <v>1</v>
      </c>
      <c r="U21" s="6">
        <v>1</v>
      </c>
      <c r="V21" s="6">
        <v>1</v>
      </c>
      <c r="W21" s="6">
        <v>1</v>
      </c>
      <c r="X21" s="6">
        <v>1</v>
      </c>
      <c r="Y21" s="6">
        <v>1</v>
      </c>
      <c r="Z21" s="6">
        <v>1</v>
      </c>
      <c r="AA21" s="6">
        <v>1</v>
      </c>
      <c r="AB21" s="6">
        <v>1</v>
      </c>
      <c r="AC21" s="6">
        <v>1</v>
      </c>
      <c r="AD21" s="6">
        <v>1</v>
      </c>
      <c r="AE21" s="6">
        <v>1</v>
      </c>
      <c r="AF21" s="6">
        <v>1</v>
      </c>
      <c r="AG21" s="6">
        <v>1</v>
      </c>
      <c r="AH21" s="6">
        <v>1</v>
      </c>
      <c r="AI21" s="8">
        <v>1</v>
      </c>
      <c r="AJ21" s="109">
        <f t="shared" si="4"/>
        <v>31</v>
      </c>
      <c r="AK21" s="86">
        <f t="shared" si="0"/>
        <v>31</v>
      </c>
      <c r="AL21" s="86">
        <f t="shared" si="1"/>
        <v>0</v>
      </c>
      <c r="AM21" s="87">
        <f t="shared" si="2"/>
        <v>0</v>
      </c>
    </row>
    <row r="22" spans="1:39" ht="16.5" thickBot="1">
      <c r="A22" s="75">
        <f t="shared" si="5"/>
        <v>18</v>
      </c>
      <c r="B22" s="70" t="s">
        <v>57</v>
      </c>
      <c r="C22" s="71" t="s">
        <v>18</v>
      </c>
      <c r="D22" s="72">
        <v>4302</v>
      </c>
      <c r="E22" s="74" t="s">
        <v>61</v>
      </c>
      <c r="F22" s="74">
        <v>1</v>
      </c>
      <c r="G22" s="73">
        <v>1</v>
      </c>
      <c r="H22" s="73">
        <v>1</v>
      </c>
      <c r="I22" s="73">
        <v>1</v>
      </c>
      <c r="J22" s="73">
        <v>1</v>
      </c>
      <c r="K22" s="73">
        <v>1</v>
      </c>
      <c r="L22" s="73" t="s">
        <v>61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1</v>
      </c>
      <c r="S22" s="73" t="s">
        <v>61</v>
      </c>
      <c r="T22" s="73">
        <v>1</v>
      </c>
      <c r="U22" s="73">
        <v>1</v>
      </c>
      <c r="V22" s="73">
        <v>1</v>
      </c>
      <c r="W22" s="73">
        <v>1</v>
      </c>
      <c r="X22" s="73">
        <v>1</v>
      </c>
      <c r="Y22" s="73">
        <v>1</v>
      </c>
      <c r="Z22" s="73">
        <v>1</v>
      </c>
      <c r="AA22" s="73" t="s">
        <v>61</v>
      </c>
      <c r="AB22" s="73" t="s">
        <v>61</v>
      </c>
      <c r="AC22" s="73">
        <v>1</v>
      </c>
      <c r="AD22" s="73">
        <v>1</v>
      </c>
      <c r="AE22" s="73">
        <v>1</v>
      </c>
      <c r="AF22" s="73">
        <v>1</v>
      </c>
      <c r="AG22" s="73">
        <v>1</v>
      </c>
      <c r="AH22" s="73">
        <v>1</v>
      </c>
      <c r="AI22" s="90" t="s">
        <v>61</v>
      </c>
      <c r="AJ22" s="109">
        <f t="shared" si="4"/>
        <v>31</v>
      </c>
      <c r="AK22" s="88">
        <f t="shared" si="0"/>
        <v>25</v>
      </c>
      <c r="AL22" s="88">
        <f t="shared" si="1"/>
        <v>0</v>
      </c>
      <c r="AM22" s="89">
        <f t="shared" si="2"/>
        <v>6</v>
      </c>
    </row>
    <row r="23" spans="1:39" s="62" customFormat="1" ht="16.5" thickBot="1">
      <c r="A23" s="98"/>
      <c r="B23" s="102" t="s">
        <v>68</v>
      </c>
      <c r="C23" s="99"/>
      <c r="D23" s="99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1"/>
      <c r="AJ23" s="106">
        <f>SUM(AJ7:AJ22)</f>
        <v>496</v>
      </c>
      <c r="AK23" s="106">
        <f t="shared" ref="AK23:AM23" si="6">SUM(AK7:AK22)</f>
        <v>350</v>
      </c>
      <c r="AL23" s="106">
        <f t="shared" si="6"/>
        <v>108</v>
      </c>
      <c r="AM23" s="106">
        <f t="shared" si="6"/>
        <v>38</v>
      </c>
    </row>
    <row r="24" spans="1:39">
      <c r="A24" s="21">
        <f>A22+1</f>
        <v>19</v>
      </c>
      <c r="B24" s="76" t="s">
        <v>19</v>
      </c>
      <c r="C24" s="23" t="s">
        <v>20</v>
      </c>
      <c r="D24" s="47">
        <v>2961</v>
      </c>
      <c r="E24" s="15">
        <v>1</v>
      </c>
      <c r="F24" s="64">
        <v>1</v>
      </c>
      <c r="G24" s="64">
        <v>1</v>
      </c>
      <c r="H24" s="64">
        <v>1</v>
      </c>
      <c r="I24" s="64">
        <v>1</v>
      </c>
      <c r="J24" s="64">
        <v>1</v>
      </c>
      <c r="K24" s="64">
        <v>1</v>
      </c>
      <c r="L24" s="64" t="s">
        <v>61</v>
      </c>
      <c r="M24" s="64" t="s">
        <v>61</v>
      </c>
      <c r="N24" s="64">
        <v>1</v>
      </c>
      <c r="O24" s="64">
        <v>1</v>
      </c>
      <c r="P24" s="64" t="s">
        <v>62</v>
      </c>
      <c r="Q24" s="64">
        <v>1</v>
      </c>
      <c r="R24" s="64">
        <v>1</v>
      </c>
      <c r="S24" s="64">
        <v>1</v>
      </c>
      <c r="T24" s="64">
        <v>1</v>
      </c>
      <c r="U24" s="64">
        <v>1</v>
      </c>
      <c r="V24" s="64">
        <v>1</v>
      </c>
      <c r="W24" s="64" t="s">
        <v>61</v>
      </c>
      <c r="X24" s="64">
        <v>1</v>
      </c>
      <c r="Y24" s="64">
        <v>1</v>
      </c>
      <c r="Z24" s="64" t="s">
        <v>62</v>
      </c>
      <c r="AA24" s="64">
        <v>1</v>
      </c>
      <c r="AB24" s="64">
        <v>1</v>
      </c>
      <c r="AC24" s="64">
        <v>1</v>
      </c>
      <c r="AD24" s="64">
        <v>1</v>
      </c>
      <c r="AE24" s="64">
        <v>1</v>
      </c>
      <c r="AF24" s="64">
        <v>1</v>
      </c>
      <c r="AG24" s="64">
        <v>1</v>
      </c>
      <c r="AH24" s="64" t="s">
        <v>61</v>
      </c>
      <c r="AI24" s="91" t="s">
        <v>61</v>
      </c>
      <c r="AJ24" s="109">
        <f t="shared" ref="AJ24:AJ30" si="7">АХД</f>
        <v>31</v>
      </c>
      <c r="AK24" s="36">
        <f t="shared" si="0"/>
        <v>24</v>
      </c>
      <c r="AL24" s="36">
        <f t="shared" si="1"/>
        <v>2</v>
      </c>
      <c r="AM24" s="37">
        <f t="shared" si="2"/>
        <v>5</v>
      </c>
    </row>
    <row r="25" spans="1:39">
      <c r="A25" s="24">
        <f t="shared" si="5"/>
        <v>20</v>
      </c>
      <c r="B25" s="30" t="s">
        <v>19</v>
      </c>
      <c r="C25" s="26" t="s">
        <v>21</v>
      </c>
      <c r="D25" s="48">
        <v>2962</v>
      </c>
      <c r="E25" s="16" t="s">
        <v>62</v>
      </c>
      <c r="F25" s="6" t="s">
        <v>62</v>
      </c>
      <c r="G25" s="6" t="s">
        <v>62</v>
      </c>
      <c r="H25" s="6" t="s">
        <v>62</v>
      </c>
      <c r="I25" s="6" t="s">
        <v>62</v>
      </c>
      <c r="J25" s="6" t="s">
        <v>62</v>
      </c>
      <c r="K25" s="6" t="s">
        <v>62</v>
      </c>
      <c r="L25" s="6" t="s">
        <v>62</v>
      </c>
      <c r="M25" s="6" t="s">
        <v>62</v>
      </c>
      <c r="N25" s="6" t="s">
        <v>62</v>
      </c>
      <c r="O25" s="6" t="s">
        <v>62</v>
      </c>
      <c r="P25" s="6" t="s">
        <v>62</v>
      </c>
      <c r="Q25" s="6" t="s">
        <v>62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 t="s">
        <v>62</v>
      </c>
      <c r="AC25" s="6" t="s">
        <v>62</v>
      </c>
      <c r="AD25" s="6" t="s">
        <v>62</v>
      </c>
      <c r="AE25" s="6" t="s">
        <v>62</v>
      </c>
      <c r="AF25" s="6" t="s">
        <v>62</v>
      </c>
      <c r="AG25" s="6" t="s">
        <v>62</v>
      </c>
      <c r="AH25" s="6" t="s">
        <v>62</v>
      </c>
      <c r="AI25" s="8" t="s">
        <v>62</v>
      </c>
      <c r="AJ25" s="109">
        <f t="shared" si="7"/>
        <v>31</v>
      </c>
      <c r="AK25" s="86">
        <f t="shared" si="0"/>
        <v>0</v>
      </c>
      <c r="AL25" s="86">
        <f t="shared" si="1"/>
        <v>31</v>
      </c>
      <c r="AM25" s="87">
        <f t="shared" si="2"/>
        <v>0</v>
      </c>
    </row>
    <row r="26" spans="1:39">
      <c r="A26" s="24">
        <f t="shared" si="5"/>
        <v>21</v>
      </c>
      <c r="B26" s="30" t="s">
        <v>19</v>
      </c>
      <c r="C26" s="26" t="s">
        <v>22</v>
      </c>
      <c r="D26" s="48">
        <v>2963</v>
      </c>
      <c r="E26" s="16" t="s">
        <v>62</v>
      </c>
      <c r="F26" s="6" t="s">
        <v>62</v>
      </c>
      <c r="G26" s="6" t="s">
        <v>62</v>
      </c>
      <c r="H26" s="6" t="s">
        <v>62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 t="s">
        <v>62</v>
      </c>
      <c r="Q26" s="6" t="s">
        <v>62</v>
      </c>
      <c r="R26" s="6" t="s">
        <v>62</v>
      </c>
      <c r="S26" s="6" t="s">
        <v>62</v>
      </c>
      <c r="T26" s="6" t="s">
        <v>62</v>
      </c>
      <c r="U26" s="6" t="s">
        <v>62</v>
      </c>
      <c r="V26" s="6" t="s">
        <v>62</v>
      </c>
      <c r="W26" s="6">
        <v>1</v>
      </c>
      <c r="X26" s="6">
        <v>1</v>
      </c>
      <c r="Y26" s="6" t="s">
        <v>62</v>
      </c>
      <c r="Z26" s="6" t="s">
        <v>62</v>
      </c>
      <c r="AA26" s="6" t="s">
        <v>62</v>
      </c>
      <c r="AB26" s="6">
        <v>1</v>
      </c>
      <c r="AC26" s="6">
        <v>1</v>
      </c>
      <c r="AD26" s="6" t="s">
        <v>61</v>
      </c>
      <c r="AE26" s="6">
        <v>1</v>
      </c>
      <c r="AF26" s="6">
        <v>1</v>
      </c>
      <c r="AG26" s="6">
        <v>1</v>
      </c>
      <c r="AH26" s="6">
        <v>1</v>
      </c>
      <c r="AI26" s="8" t="s">
        <v>61</v>
      </c>
      <c r="AJ26" s="109">
        <f t="shared" si="7"/>
        <v>31</v>
      </c>
      <c r="AK26" s="86">
        <f t="shared" si="0"/>
        <v>8</v>
      </c>
      <c r="AL26" s="86">
        <f t="shared" si="1"/>
        <v>21</v>
      </c>
      <c r="AM26" s="87">
        <f t="shared" si="2"/>
        <v>2</v>
      </c>
    </row>
    <row r="27" spans="1:39">
      <c r="A27" s="24">
        <f t="shared" si="5"/>
        <v>22</v>
      </c>
      <c r="B27" s="30" t="s">
        <v>19</v>
      </c>
      <c r="C27" s="26" t="s">
        <v>23</v>
      </c>
      <c r="D27" s="48">
        <v>4309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 t="s">
        <v>61</v>
      </c>
      <c r="R27" s="6" t="s">
        <v>61</v>
      </c>
      <c r="S27" s="6">
        <v>1</v>
      </c>
      <c r="T27" s="6">
        <v>1</v>
      </c>
      <c r="U27" s="6">
        <v>1</v>
      </c>
      <c r="V27" s="6">
        <v>1</v>
      </c>
      <c r="W27" s="6" t="s">
        <v>61</v>
      </c>
      <c r="X27" s="6">
        <v>1</v>
      </c>
      <c r="Y27" s="6">
        <v>1</v>
      </c>
      <c r="Z27" s="6">
        <v>1</v>
      </c>
      <c r="AA27" s="6">
        <v>1</v>
      </c>
      <c r="AB27" s="6" t="s">
        <v>61</v>
      </c>
      <c r="AC27" s="6" t="s">
        <v>61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8">
        <v>1</v>
      </c>
      <c r="AJ27" s="109">
        <f t="shared" si="7"/>
        <v>31</v>
      </c>
      <c r="AK27" s="86">
        <f t="shared" si="0"/>
        <v>26</v>
      </c>
      <c r="AL27" s="86">
        <f t="shared" si="1"/>
        <v>0</v>
      </c>
      <c r="AM27" s="87">
        <f t="shared" si="2"/>
        <v>5</v>
      </c>
    </row>
    <row r="28" spans="1:39">
      <c r="A28" s="24">
        <f t="shared" si="5"/>
        <v>23</v>
      </c>
      <c r="B28" s="30" t="s">
        <v>19</v>
      </c>
      <c r="C28" s="31">
        <v>162</v>
      </c>
      <c r="D28" s="48" t="s">
        <v>55</v>
      </c>
      <c r="E28" s="16" t="s">
        <v>61</v>
      </c>
      <c r="F28" s="16" t="s">
        <v>61</v>
      </c>
      <c r="G28" s="6">
        <v>1</v>
      </c>
      <c r="H28" s="6">
        <v>1</v>
      </c>
      <c r="I28" s="6">
        <v>1</v>
      </c>
      <c r="J28" s="6">
        <v>1</v>
      </c>
      <c r="K28" s="6">
        <v>1</v>
      </c>
      <c r="L28" s="6" t="s">
        <v>61</v>
      </c>
      <c r="M28" s="6" t="s">
        <v>61</v>
      </c>
      <c r="N28" s="6" t="s">
        <v>62</v>
      </c>
      <c r="O28" s="6" t="s">
        <v>62</v>
      </c>
      <c r="P28" s="6" t="s">
        <v>62</v>
      </c>
      <c r="Q28" s="6">
        <v>1</v>
      </c>
      <c r="R28" s="6">
        <v>1</v>
      </c>
      <c r="S28" s="6" t="s">
        <v>61</v>
      </c>
      <c r="T28" s="6" t="s">
        <v>61</v>
      </c>
      <c r="U28" s="6" t="s">
        <v>61</v>
      </c>
      <c r="V28" s="6" t="s">
        <v>61</v>
      </c>
      <c r="W28" s="6" t="s">
        <v>61</v>
      </c>
      <c r="X28" s="6" t="s">
        <v>62</v>
      </c>
      <c r="Y28" s="6" t="s">
        <v>62</v>
      </c>
      <c r="Z28" s="6">
        <v>1</v>
      </c>
      <c r="AA28" s="6" t="s">
        <v>61</v>
      </c>
      <c r="AB28" s="6" t="s">
        <v>61</v>
      </c>
      <c r="AC28" s="6" t="s">
        <v>61</v>
      </c>
      <c r="AD28" s="6" t="s">
        <v>61</v>
      </c>
      <c r="AE28" s="6" t="s">
        <v>62</v>
      </c>
      <c r="AF28" s="6" t="s">
        <v>62</v>
      </c>
      <c r="AG28" s="6" t="s">
        <v>62</v>
      </c>
      <c r="AH28" s="6" t="s">
        <v>62</v>
      </c>
      <c r="AI28" s="8" t="s">
        <v>62</v>
      </c>
      <c r="AJ28" s="109">
        <f t="shared" si="7"/>
        <v>31</v>
      </c>
      <c r="AK28" s="86">
        <f t="shared" si="0"/>
        <v>8</v>
      </c>
      <c r="AL28" s="86">
        <f t="shared" si="1"/>
        <v>10</v>
      </c>
      <c r="AM28" s="87">
        <f t="shared" si="2"/>
        <v>13</v>
      </c>
    </row>
    <row r="29" spans="1:39">
      <c r="A29" s="24">
        <f t="shared" si="5"/>
        <v>24</v>
      </c>
      <c r="B29" s="30" t="s">
        <v>19</v>
      </c>
      <c r="C29" s="31">
        <v>163</v>
      </c>
      <c r="D29" s="48" t="s">
        <v>56</v>
      </c>
      <c r="E29" s="16">
        <v>1</v>
      </c>
      <c r="F29" s="6" t="s">
        <v>61</v>
      </c>
      <c r="G29" s="6">
        <v>1</v>
      </c>
      <c r="H29" s="6">
        <v>1</v>
      </c>
      <c r="I29" s="6">
        <v>1</v>
      </c>
      <c r="J29" s="6">
        <v>1</v>
      </c>
      <c r="K29" s="6" t="s">
        <v>62</v>
      </c>
      <c r="L29" s="6">
        <v>1</v>
      </c>
      <c r="M29" s="6">
        <v>1</v>
      </c>
      <c r="N29" s="6" t="s">
        <v>62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 t="s">
        <v>61</v>
      </c>
      <c r="AG29" s="6">
        <v>1</v>
      </c>
      <c r="AH29" s="6">
        <v>1</v>
      </c>
      <c r="AI29" s="8">
        <v>1</v>
      </c>
      <c r="AJ29" s="109">
        <f t="shared" si="7"/>
        <v>31</v>
      </c>
      <c r="AK29" s="86">
        <f t="shared" si="0"/>
        <v>26</v>
      </c>
      <c r="AL29" s="86">
        <f t="shared" si="1"/>
        <v>2</v>
      </c>
      <c r="AM29" s="87">
        <f t="shared" si="2"/>
        <v>3</v>
      </c>
    </row>
    <row r="30" spans="1:39" ht="16.5" thickBot="1">
      <c r="A30" s="75">
        <f t="shared" si="5"/>
        <v>25</v>
      </c>
      <c r="B30" s="103" t="s">
        <v>19</v>
      </c>
      <c r="C30" s="71" t="s">
        <v>24</v>
      </c>
      <c r="D30" s="72">
        <v>1276</v>
      </c>
      <c r="E30" s="74">
        <v>1</v>
      </c>
      <c r="F30" s="73">
        <v>1</v>
      </c>
      <c r="G30" s="73">
        <v>1</v>
      </c>
      <c r="H30" s="73">
        <v>1</v>
      </c>
      <c r="I30" s="73">
        <v>1</v>
      </c>
      <c r="J30" s="73">
        <v>1</v>
      </c>
      <c r="K30" s="73">
        <v>1</v>
      </c>
      <c r="L30" s="73">
        <v>1</v>
      </c>
      <c r="M30" s="73">
        <v>1</v>
      </c>
      <c r="N30" s="73">
        <v>1</v>
      </c>
      <c r="O30" s="73">
        <v>1</v>
      </c>
      <c r="P30" s="73">
        <v>1</v>
      </c>
      <c r="Q30" s="73" t="s">
        <v>61</v>
      </c>
      <c r="R30" s="73" t="s">
        <v>61</v>
      </c>
      <c r="S30" s="73">
        <v>1</v>
      </c>
      <c r="T30" s="73">
        <v>1</v>
      </c>
      <c r="U30" s="73">
        <v>1</v>
      </c>
      <c r="V30" s="73">
        <v>1</v>
      </c>
      <c r="W30" s="73">
        <v>1</v>
      </c>
      <c r="X30" s="73">
        <v>1</v>
      </c>
      <c r="Y30" s="73">
        <v>1</v>
      </c>
      <c r="Z30" s="73">
        <v>1</v>
      </c>
      <c r="AA30" s="73">
        <v>1</v>
      </c>
      <c r="AB30" s="73">
        <v>1</v>
      </c>
      <c r="AC30" s="73">
        <v>1</v>
      </c>
      <c r="AD30" s="73">
        <v>1</v>
      </c>
      <c r="AE30" s="73">
        <v>1</v>
      </c>
      <c r="AF30" s="73">
        <v>1</v>
      </c>
      <c r="AG30" s="73">
        <v>1</v>
      </c>
      <c r="AH30" s="73">
        <v>1</v>
      </c>
      <c r="AI30" s="90" t="s">
        <v>61</v>
      </c>
      <c r="AJ30" s="109">
        <f t="shared" si="7"/>
        <v>31</v>
      </c>
      <c r="AK30" s="88">
        <f t="shared" si="0"/>
        <v>28</v>
      </c>
      <c r="AL30" s="88">
        <f t="shared" si="1"/>
        <v>0</v>
      </c>
      <c r="AM30" s="89">
        <f t="shared" si="2"/>
        <v>3</v>
      </c>
    </row>
    <row r="31" spans="1:39" s="62" customFormat="1" ht="16.5" thickBot="1">
      <c r="A31" s="98"/>
      <c r="B31" s="102" t="s">
        <v>68</v>
      </c>
      <c r="C31" s="99"/>
      <c r="D31" s="99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1"/>
      <c r="AJ31" s="106">
        <f>SUM(AJ24:AJ30)</f>
        <v>217</v>
      </c>
      <c r="AK31" s="106">
        <f t="shared" ref="AK31:AM31" si="8">SUM(AK24:AK30)</f>
        <v>120</v>
      </c>
      <c r="AL31" s="106">
        <f t="shared" si="8"/>
        <v>66</v>
      </c>
      <c r="AM31" s="106">
        <f t="shared" si="8"/>
        <v>31</v>
      </c>
    </row>
    <row r="32" spans="1:39">
      <c r="A32" s="21">
        <f>A30+1</f>
        <v>26</v>
      </c>
      <c r="B32" s="22" t="s">
        <v>25</v>
      </c>
      <c r="C32" s="23" t="s">
        <v>26</v>
      </c>
      <c r="D32" s="47">
        <v>3111</v>
      </c>
      <c r="E32" s="15">
        <v>1</v>
      </c>
      <c r="F32" s="64">
        <v>1</v>
      </c>
      <c r="G32" s="64">
        <v>1</v>
      </c>
      <c r="H32" s="64">
        <v>1</v>
      </c>
      <c r="I32" s="64">
        <v>1</v>
      </c>
      <c r="J32" s="64">
        <v>1</v>
      </c>
      <c r="K32" s="64">
        <v>1</v>
      </c>
      <c r="L32" s="64">
        <v>1</v>
      </c>
      <c r="M32" s="64">
        <v>1</v>
      </c>
      <c r="N32" s="64">
        <v>1</v>
      </c>
      <c r="O32" s="64">
        <v>1</v>
      </c>
      <c r="P32" s="64">
        <v>1</v>
      </c>
      <c r="Q32" s="64">
        <v>1</v>
      </c>
      <c r="R32" s="64">
        <v>1</v>
      </c>
      <c r="S32" s="64">
        <v>1</v>
      </c>
      <c r="T32" s="64">
        <v>1</v>
      </c>
      <c r="U32" s="64">
        <v>1</v>
      </c>
      <c r="V32" s="64">
        <v>1</v>
      </c>
      <c r="W32" s="64" t="s">
        <v>61</v>
      </c>
      <c r="X32" s="64" t="s">
        <v>61</v>
      </c>
      <c r="Y32" s="64">
        <v>1</v>
      </c>
      <c r="Z32" s="64">
        <v>1</v>
      </c>
      <c r="AA32" s="64">
        <v>1</v>
      </c>
      <c r="AB32" s="64">
        <v>1</v>
      </c>
      <c r="AC32" s="64" t="s">
        <v>62</v>
      </c>
      <c r="AD32" s="64" t="s">
        <v>62</v>
      </c>
      <c r="AE32" s="64">
        <v>1</v>
      </c>
      <c r="AF32" s="64">
        <v>1</v>
      </c>
      <c r="AG32" s="64">
        <v>1</v>
      </c>
      <c r="AH32" s="64">
        <v>1</v>
      </c>
      <c r="AI32" s="91">
        <v>1</v>
      </c>
      <c r="AJ32" s="109">
        <f>АХД</f>
        <v>31</v>
      </c>
      <c r="AK32" s="36">
        <f t="shared" si="0"/>
        <v>27</v>
      </c>
      <c r="AL32" s="36">
        <f t="shared" si="1"/>
        <v>2</v>
      </c>
      <c r="AM32" s="37">
        <f t="shared" si="2"/>
        <v>2</v>
      </c>
    </row>
    <row r="33" spans="1:39">
      <c r="A33" s="24">
        <f t="shared" si="5"/>
        <v>27</v>
      </c>
      <c r="B33" s="33" t="s">
        <v>25</v>
      </c>
      <c r="C33" s="26" t="s">
        <v>27</v>
      </c>
      <c r="D33" s="48">
        <v>1290</v>
      </c>
      <c r="E33" s="16" t="s">
        <v>62</v>
      </c>
      <c r="F33" s="6" t="s">
        <v>62</v>
      </c>
      <c r="G33" s="6" t="s">
        <v>62</v>
      </c>
      <c r="H33" s="6" t="s">
        <v>62</v>
      </c>
      <c r="I33" s="6" t="s">
        <v>62</v>
      </c>
      <c r="J33" s="6" t="s">
        <v>62</v>
      </c>
      <c r="K33" s="6" t="s">
        <v>62</v>
      </c>
      <c r="L33" s="6" t="s">
        <v>62</v>
      </c>
      <c r="M33" s="6" t="s">
        <v>62</v>
      </c>
      <c r="N33" s="6" t="s">
        <v>62</v>
      </c>
      <c r="O33" s="6" t="s">
        <v>62</v>
      </c>
      <c r="P33" s="6" t="s">
        <v>62</v>
      </c>
      <c r="Q33" s="6" t="s">
        <v>62</v>
      </c>
      <c r="R33" s="6" t="s">
        <v>62</v>
      </c>
      <c r="S33" s="6" t="s">
        <v>62</v>
      </c>
      <c r="T33" s="6" t="s">
        <v>62</v>
      </c>
      <c r="U33" s="6" t="s">
        <v>62</v>
      </c>
      <c r="V33" s="6" t="s">
        <v>62</v>
      </c>
      <c r="W33" s="6" t="s">
        <v>62</v>
      </c>
      <c r="X33" s="6" t="s">
        <v>62</v>
      </c>
      <c r="Y33" s="6" t="s">
        <v>62</v>
      </c>
      <c r="Z33" s="6" t="s">
        <v>62</v>
      </c>
      <c r="AA33" s="6" t="s">
        <v>62</v>
      </c>
      <c r="AB33" s="6" t="s">
        <v>62</v>
      </c>
      <c r="AC33" s="6" t="s">
        <v>62</v>
      </c>
      <c r="AD33" s="6" t="s">
        <v>62</v>
      </c>
      <c r="AE33" s="6">
        <v>1</v>
      </c>
      <c r="AF33" s="6">
        <v>1</v>
      </c>
      <c r="AG33" s="6">
        <v>1</v>
      </c>
      <c r="AH33" s="6">
        <v>1</v>
      </c>
      <c r="AI33" s="8" t="s">
        <v>61</v>
      </c>
      <c r="AJ33" s="109">
        <f>АХД</f>
        <v>31</v>
      </c>
      <c r="AK33" s="86">
        <f t="shared" si="0"/>
        <v>4</v>
      </c>
      <c r="AL33" s="86">
        <f t="shared" si="1"/>
        <v>26</v>
      </c>
      <c r="AM33" s="87">
        <f t="shared" si="2"/>
        <v>1</v>
      </c>
    </row>
    <row r="34" spans="1:39" ht="16.5" thickBot="1">
      <c r="A34" s="75">
        <f t="shared" si="5"/>
        <v>28</v>
      </c>
      <c r="B34" s="70" t="s">
        <v>25</v>
      </c>
      <c r="C34" s="104">
        <v>147</v>
      </c>
      <c r="D34" s="72">
        <v>4711</v>
      </c>
      <c r="E34" s="74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90" t="s">
        <v>62</v>
      </c>
      <c r="AJ34" s="109">
        <f>АХД</f>
        <v>31</v>
      </c>
      <c r="AK34" s="88">
        <f t="shared" si="0"/>
        <v>0</v>
      </c>
      <c r="AL34" s="88">
        <f t="shared" si="1"/>
        <v>31</v>
      </c>
      <c r="AM34" s="89">
        <f t="shared" si="2"/>
        <v>0</v>
      </c>
    </row>
    <row r="35" spans="1:39" s="62" customFormat="1" ht="16.5" thickBot="1">
      <c r="A35" s="98"/>
      <c r="B35" s="102" t="s">
        <v>68</v>
      </c>
      <c r="C35" s="99"/>
      <c r="D35" s="99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1"/>
      <c r="AJ35" s="106">
        <f>SUM(AJ32:AJ34)</f>
        <v>93</v>
      </c>
      <c r="AK35" s="106">
        <f t="shared" ref="AK35:AM35" si="9">SUM(AK32:AK34)</f>
        <v>31</v>
      </c>
      <c r="AL35" s="106">
        <f t="shared" si="9"/>
        <v>59</v>
      </c>
      <c r="AM35" s="106">
        <f t="shared" si="9"/>
        <v>3</v>
      </c>
    </row>
    <row r="36" spans="1:39">
      <c r="A36" s="21">
        <f>A34+1</f>
        <v>29</v>
      </c>
      <c r="B36" s="22" t="s">
        <v>59</v>
      </c>
      <c r="C36" s="23" t="s">
        <v>28</v>
      </c>
      <c r="D36" s="47">
        <v>3810</v>
      </c>
      <c r="E36" s="15" t="s">
        <v>62</v>
      </c>
      <c r="F36" s="64" t="s">
        <v>62</v>
      </c>
      <c r="G36" s="64" t="s">
        <v>62</v>
      </c>
      <c r="H36" s="64" t="s">
        <v>62</v>
      </c>
      <c r="I36" s="64" t="s">
        <v>62</v>
      </c>
      <c r="J36" s="64" t="s">
        <v>62</v>
      </c>
      <c r="K36" s="64" t="s">
        <v>62</v>
      </c>
      <c r="L36" s="64" t="s">
        <v>62</v>
      </c>
      <c r="M36" s="64" t="s">
        <v>62</v>
      </c>
      <c r="N36" s="64" t="s">
        <v>62</v>
      </c>
      <c r="O36" s="64" t="s">
        <v>62</v>
      </c>
      <c r="P36" s="64" t="s">
        <v>62</v>
      </c>
      <c r="Q36" s="64" t="s">
        <v>62</v>
      </c>
      <c r="R36" s="64" t="s">
        <v>62</v>
      </c>
      <c r="S36" s="64" t="s">
        <v>62</v>
      </c>
      <c r="T36" s="64" t="s">
        <v>62</v>
      </c>
      <c r="U36" s="64" t="s">
        <v>62</v>
      </c>
      <c r="V36" s="64" t="s">
        <v>62</v>
      </c>
      <c r="W36" s="64" t="s">
        <v>62</v>
      </c>
      <c r="X36" s="64" t="s">
        <v>62</v>
      </c>
      <c r="Y36" s="64" t="s">
        <v>62</v>
      </c>
      <c r="Z36" s="64" t="s">
        <v>62</v>
      </c>
      <c r="AA36" s="64" t="s">
        <v>62</v>
      </c>
      <c r="AB36" s="64" t="s">
        <v>62</v>
      </c>
      <c r="AC36" s="64" t="s">
        <v>62</v>
      </c>
      <c r="AD36" s="64" t="s">
        <v>62</v>
      </c>
      <c r="AE36" s="64" t="s">
        <v>62</v>
      </c>
      <c r="AF36" s="64" t="s">
        <v>62</v>
      </c>
      <c r="AG36" s="64" t="s">
        <v>62</v>
      </c>
      <c r="AH36" s="64" t="s">
        <v>62</v>
      </c>
      <c r="AI36" s="91" t="s">
        <v>62</v>
      </c>
      <c r="AJ36" s="109">
        <f>АХД</f>
        <v>31</v>
      </c>
      <c r="AK36" s="36">
        <f t="shared" si="0"/>
        <v>0</v>
      </c>
      <c r="AL36" s="36">
        <f t="shared" si="1"/>
        <v>31</v>
      </c>
      <c r="AM36" s="37">
        <f t="shared" si="2"/>
        <v>0</v>
      </c>
    </row>
    <row r="37" spans="1:39" ht="16.5" thickBot="1">
      <c r="A37" s="75">
        <f t="shared" si="5"/>
        <v>30</v>
      </c>
      <c r="B37" s="70" t="s">
        <v>59</v>
      </c>
      <c r="C37" s="71" t="s">
        <v>29</v>
      </c>
      <c r="D37" s="72">
        <v>3811</v>
      </c>
      <c r="E37" s="74" t="s">
        <v>62</v>
      </c>
      <c r="F37" s="73" t="s">
        <v>62</v>
      </c>
      <c r="G37" s="73" t="s">
        <v>62</v>
      </c>
      <c r="H37" s="73" t="s">
        <v>62</v>
      </c>
      <c r="I37" s="73" t="s">
        <v>62</v>
      </c>
      <c r="J37" s="73" t="s">
        <v>62</v>
      </c>
      <c r="K37" s="73" t="s">
        <v>62</v>
      </c>
      <c r="L37" s="73" t="s">
        <v>62</v>
      </c>
      <c r="M37" s="73" t="s">
        <v>62</v>
      </c>
      <c r="N37" s="73" t="s">
        <v>62</v>
      </c>
      <c r="O37" s="73" t="s">
        <v>62</v>
      </c>
      <c r="P37" s="73" t="s">
        <v>62</v>
      </c>
      <c r="Q37" s="73" t="s">
        <v>62</v>
      </c>
      <c r="R37" s="73" t="s">
        <v>62</v>
      </c>
      <c r="S37" s="73" t="s">
        <v>62</v>
      </c>
      <c r="T37" s="73" t="s">
        <v>62</v>
      </c>
      <c r="U37" s="73" t="s">
        <v>62</v>
      </c>
      <c r="V37" s="73" t="s">
        <v>62</v>
      </c>
      <c r="W37" s="73" t="s">
        <v>62</v>
      </c>
      <c r="X37" s="73" t="s">
        <v>62</v>
      </c>
      <c r="Y37" s="73" t="s">
        <v>62</v>
      </c>
      <c r="Z37" s="73" t="s">
        <v>62</v>
      </c>
      <c r="AA37" s="73" t="s">
        <v>62</v>
      </c>
      <c r="AB37" s="73" t="s">
        <v>62</v>
      </c>
      <c r="AC37" s="73" t="s">
        <v>62</v>
      </c>
      <c r="AD37" s="73" t="s">
        <v>62</v>
      </c>
      <c r="AE37" s="73" t="s">
        <v>62</v>
      </c>
      <c r="AF37" s="73" t="s">
        <v>62</v>
      </c>
      <c r="AG37" s="73" t="s">
        <v>62</v>
      </c>
      <c r="AH37" s="73" t="s">
        <v>62</v>
      </c>
      <c r="AI37" s="90" t="s">
        <v>62</v>
      </c>
      <c r="AJ37" s="109">
        <f>АХД</f>
        <v>31</v>
      </c>
      <c r="AK37" s="88">
        <f t="shared" si="0"/>
        <v>0</v>
      </c>
      <c r="AL37" s="88">
        <f t="shared" si="1"/>
        <v>31</v>
      </c>
      <c r="AM37" s="89">
        <f t="shared" si="2"/>
        <v>0</v>
      </c>
    </row>
    <row r="38" spans="1:39" s="62" customFormat="1" ht="16.5" thickBot="1">
      <c r="A38" s="98"/>
      <c r="B38" s="102" t="s">
        <v>68</v>
      </c>
      <c r="C38" s="99"/>
      <c r="D38" s="99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1"/>
      <c r="AJ38" s="106">
        <f>SUM(AJ36:AJ37)</f>
        <v>62</v>
      </c>
      <c r="AK38" s="106">
        <f t="shared" ref="AK38:AM38" si="10">SUM(AK36:AK37)</f>
        <v>0</v>
      </c>
      <c r="AL38" s="106">
        <f t="shared" si="10"/>
        <v>62</v>
      </c>
      <c r="AM38" s="106">
        <f t="shared" si="10"/>
        <v>0</v>
      </c>
    </row>
    <row r="39" spans="1:39" ht="16.5" thickBot="1">
      <c r="A39" s="92">
        <f>A37+1</f>
        <v>31</v>
      </c>
      <c r="B39" s="93" t="s">
        <v>30</v>
      </c>
      <c r="C39" s="94" t="s">
        <v>31</v>
      </c>
      <c r="D39" s="95">
        <v>4253</v>
      </c>
      <c r="E39" s="69" t="s">
        <v>62</v>
      </c>
      <c r="F39" s="96" t="s">
        <v>62</v>
      </c>
      <c r="G39" s="96" t="s">
        <v>62</v>
      </c>
      <c r="H39" s="96" t="s">
        <v>62</v>
      </c>
      <c r="I39" s="96" t="s">
        <v>62</v>
      </c>
      <c r="J39" s="96" t="s">
        <v>62</v>
      </c>
      <c r="K39" s="96" t="s">
        <v>62</v>
      </c>
      <c r="L39" s="96" t="s">
        <v>62</v>
      </c>
      <c r="M39" s="96" t="s">
        <v>62</v>
      </c>
      <c r="N39" s="96" t="s">
        <v>62</v>
      </c>
      <c r="O39" s="96" t="s">
        <v>62</v>
      </c>
      <c r="P39" s="96" t="s">
        <v>62</v>
      </c>
      <c r="Q39" s="96" t="s">
        <v>62</v>
      </c>
      <c r="R39" s="96" t="s">
        <v>62</v>
      </c>
      <c r="S39" s="96" t="s">
        <v>62</v>
      </c>
      <c r="T39" s="96" t="s">
        <v>62</v>
      </c>
      <c r="U39" s="96" t="s">
        <v>62</v>
      </c>
      <c r="V39" s="96" t="s">
        <v>62</v>
      </c>
      <c r="W39" s="96" t="s">
        <v>62</v>
      </c>
      <c r="X39" s="96" t="s">
        <v>62</v>
      </c>
      <c r="Y39" s="96" t="s">
        <v>62</v>
      </c>
      <c r="Z39" s="96" t="s">
        <v>62</v>
      </c>
      <c r="AA39" s="96" t="s">
        <v>62</v>
      </c>
      <c r="AB39" s="96" t="s">
        <v>62</v>
      </c>
      <c r="AC39" s="96" t="s">
        <v>62</v>
      </c>
      <c r="AD39" s="96" t="s">
        <v>62</v>
      </c>
      <c r="AE39" s="96" t="s">
        <v>62</v>
      </c>
      <c r="AF39" s="96" t="s">
        <v>62</v>
      </c>
      <c r="AG39" s="96" t="s">
        <v>62</v>
      </c>
      <c r="AH39" s="96" t="s">
        <v>62</v>
      </c>
      <c r="AI39" s="97" t="s">
        <v>62</v>
      </c>
      <c r="AJ39" s="109">
        <f>АХД</f>
        <v>31</v>
      </c>
      <c r="AK39" s="39">
        <f t="shared" si="0"/>
        <v>0</v>
      </c>
      <c r="AL39" s="39">
        <f t="shared" si="1"/>
        <v>31</v>
      </c>
      <c r="AM39" s="40">
        <f t="shared" si="2"/>
        <v>0</v>
      </c>
    </row>
    <row r="40" spans="1:39" ht="16.5" thickBot="1">
      <c r="A40" s="98"/>
      <c r="B40" s="102" t="s">
        <v>68</v>
      </c>
      <c r="C40" s="99"/>
      <c r="D40" s="99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1"/>
      <c r="AJ40" s="106">
        <f>SUM(AJ39)</f>
        <v>31</v>
      </c>
      <c r="AK40" s="106">
        <f t="shared" ref="AK40:AM40" si="11">SUM(AK39)</f>
        <v>0</v>
      </c>
      <c r="AL40" s="106">
        <f t="shared" si="11"/>
        <v>31</v>
      </c>
      <c r="AM40" s="106">
        <f t="shared" si="11"/>
        <v>0</v>
      </c>
    </row>
    <row r="41" spans="1:39">
      <c r="A41" s="21">
        <f>A39+1</f>
        <v>32</v>
      </c>
      <c r="B41" s="22" t="s">
        <v>35</v>
      </c>
      <c r="C41" s="23" t="s">
        <v>34</v>
      </c>
      <c r="D41" s="47">
        <v>2831</v>
      </c>
      <c r="E41" s="15">
        <v>1</v>
      </c>
      <c r="F41" s="64" t="s">
        <v>61</v>
      </c>
      <c r="G41" s="64">
        <v>1</v>
      </c>
      <c r="H41" s="64">
        <v>1</v>
      </c>
      <c r="I41" s="64">
        <v>1</v>
      </c>
      <c r="J41" s="64">
        <v>1</v>
      </c>
      <c r="K41" s="64" t="s">
        <v>62</v>
      </c>
      <c r="L41" s="64" t="s">
        <v>61</v>
      </c>
      <c r="M41" s="64">
        <v>1</v>
      </c>
      <c r="N41" s="64">
        <v>1</v>
      </c>
      <c r="O41" s="64">
        <v>1</v>
      </c>
      <c r="P41" s="64">
        <v>1</v>
      </c>
      <c r="Q41" s="64">
        <v>1</v>
      </c>
      <c r="R41" s="64">
        <v>1</v>
      </c>
      <c r="S41" s="64">
        <v>1</v>
      </c>
      <c r="T41" s="64">
        <v>1</v>
      </c>
      <c r="U41" s="64" t="s">
        <v>62</v>
      </c>
      <c r="V41" s="64" t="s">
        <v>62</v>
      </c>
      <c r="W41" s="64" t="s">
        <v>62</v>
      </c>
      <c r="X41" s="64" t="s">
        <v>62</v>
      </c>
      <c r="Y41" s="64" t="s">
        <v>62</v>
      </c>
      <c r="Z41" s="64" t="s">
        <v>62</v>
      </c>
      <c r="AA41" s="64" t="s">
        <v>62</v>
      </c>
      <c r="AB41" s="64" t="s">
        <v>62</v>
      </c>
      <c r="AC41" s="64" t="s">
        <v>62</v>
      </c>
      <c r="AD41" s="64" t="s">
        <v>62</v>
      </c>
      <c r="AE41" s="64" t="s">
        <v>62</v>
      </c>
      <c r="AF41" s="64" t="s">
        <v>62</v>
      </c>
      <c r="AG41" s="64" t="s">
        <v>62</v>
      </c>
      <c r="AH41" s="64" t="s">
        <v>62</v>
      </c>
      <c r="AI41" s="91" t="s">
        <v>62</v>
      </c>
      <c r="AJ41" s="109">
        <f>АХД</f>
        <v>31</v>
      </c>
      <c r="AK41" s="36">
        <f t="shared" si="0"/>
        <v>13</v>
      </c>
      <c r="AL41" s="36">
        <f t="shared" si="1"/>
        <v>16</v>
      </c>
      <c r="AM41" s="37">
        <f t="shared" si="2"/>
        <v>2</v>
      </c>
    </row>
    <row r="42" spans="1:39">
      <c r="A42" s="24">
        <f t="shared" si="5"/>
        <v>33</v>
      </c>
      <c r="B42" s="25" t="s">
        <v>35</v>
      </c>
      <c r="C42" s="26" t="s">
        <v>36</v>
      </c>
      <c r="D42" s="48">
        <v>7945</v>
      </c>
      <c r="E42" s="16" t="s">
        <v>62</v>
      </c>
      <c r="F42" s="16" t="s">
        <v>62</v>
      </c>
      <c r="G42" s="16" t="s">
        <v>62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 t="s">
        <v>62</v>
      </c>
      <c r="P42" s="6" t="s">
        <v>62</v>
      </c>
      <c r="Q42" s="6" t="s">
        <v>62</v>
      </c>
      <c r="R42" s="6" t="s">
        <v>62</v>
      </c>
      <c r="S42" s="6" t="s">
        <v>62</v>
      </c>
      <c r="T42" s="6" t="s">
        <v>62</v>
      </c>
      <c r="U42" s="6" t="s">
        <v>62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109">
        <f>АХД</f>
        <v>31</v>
      </c>
      <c r="AK42" s="86">
        <f t="shared" si="0"/>
        <v>21</v>
      </c>
      <c r="AL42" s="86">
        <f t="shared" si="1"/>
        <v>10</v>
      </c>
      <c r="AM42" s="87">
        <f t="shared" si="2"/>
        <v>0</v>
      </c>
    </row>
    <row r="43" spans="1:39" ht="16.5" thickBot="1">
      <c r="A43" s="75">
        <f t="shared" si="5"/>
        <v>34</v>
      </c>
      <c r="B43" s="70" t="s">
        <v>37</v>
      </c>
      <c r="C43" s="104">
        <v>135</v>
      </c>
      <c r="D43" s="72">
        <v>8933</v>
      </c>
      <c r="E43" s="74" t="s">
        <v>62</v>
      </c>
      <c r="F43" s="74" t="s">
        <v>62</v>
      </c>
      <c r="G43" s="74" t="s">
        <v>62</v>
      </c>
      <c r="H43" s="73" t="s">
        <v>62</v>
      </c>
      <c r="I43" s="73" t="s">
        <v>62</v>
      </c>
      <c r="J43" s="73" t="s">
        <v>62</v>
      </c>
      <c r="K43" s="73" t="s">
        <v>62</v>
      </c>
      <c r="L43" s="73" t="s">
        <v>62</v>
      </c>
      <c r="M43" s="73" t="s">
        <v>62</v>
      </c>
      <c r="N43" s="73" t="s">
        <v>62</v>
      </c>
      <c r="O43" s="73" t="s">
        <v>62</v>
      </c>
      <c r="P43" s="73" t="s">
        <v>62</v>
      </c>
      <c r="Q43" s="73" t="s">
        <v>62</v>
      </c>
      <c r="R43" s="73" t="s">
        <v>62</v>
      </c>
      <c r="S43" s="73" t="s">
        <v>62</v>
      </c>
      <c r="T43" s="73" t="s">
        <v>62</v>
      </c>
      <c r="U43" s="73" t="s">
        <v>62</v>
      </c>
      <c r="V43" s="73" t="s">
        <v>62</v>
      </c>
      <c r="W43" s="73" t="s">
        <v>62</v>
      </c>
      <c r="X43" s="73" t="s">
        <v>62</v>
      </c>
      <c r="Y43" s="73" t="s">
        <v>62</v>
      </c>
      <c r="Z43" s="73" t="s">
        <v>62</v>
      </c>
      <c r="AA43" s="73" t="s">
        <v>62</v>
      </c>
      <c r="AB43" s="73" t="s">
        <v>62</v>
      </c>
      <c r="AC43" s="73">
        <v>1</v>
      </c>
      <c r="AD43" s="73">
        <v>1</v>
      </c>
      <c r="AE43" s="73">
        <v>1</v>
      </c>
      <c r="AF43" s="73">
        <v>1</v>
      </c>
      <c r="AG43" s="73">
        <v>1</v>
      </c>
      <c r="AH43" s="73">
        <v>1</v>
      </c>
      <c r="AI43" s="90">
        <v>1</v>
      </c>
      <c r="AJ43" s="109">
        <f>АХД</f>
        <v>31</v>
      </c>
      <c r="AK43" s="88">
        <f t="shared" si="0"/>
        <v>7</v>
      </c>
      <c r="AL43" s="88">
        <f t="shared" si="1"/>
        <v>24</v>
      </c>
      <c r="AM43" s="89">
        <f t="shared" si="2"/>
        <v>0</v>
      </c>
    </row>
    <row r="44" spans="1:39" s="62" customFormat="1" ht="16.5" thickBot="1">
      <c r="A44" s="98"/>
      <c r="B44" s="102" t="s">
        <v>68</v>
      </c>
      <c r="C44" s="99"/>
      <c r="D44" s="99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1"/>
      <c r="AJ44" s="106">
        <f>SUM(AJ41:AJ43)</f>
        <v>93</v>
      </c>
      <c r="AK44" s="106">
        <f t="shared" ref="AK44:AM44" si="12">SUM(AK41:AK43)</f>
        <v>41</v>
      </c>
      <c r="AL44" s="106">
        <f t="shared" si="12"/>
        <v>50</v>
      </c>
      <c r="AM44" s="106">
        <f t="shared" si="12"/>
        <v>2</v>
      </c>
    </row>
    <row r="45" spans="1:39">
      <c r="A45" s="21">
        <f>A43+1</f>
        <v>35</v>
      </c>
      <c r="B45" s="22" t="s">
        <v>58</v>
      </c>
      <c r="C45" s="23" t="s">
        <v>38</v>
      </c>
      <c r="D45" s="47">
        <v>4994</v>
      </c>
      <c r="E45" s="15" t="s">
        <v>62</v>
      </c>
      <c r="F45" s="15" t="s">
        <v>62</v>
      </c>
      <c r="G45" s="15" t="s">
        <v>62</v>
      </c>
      <c r="H45" s="64" t="s">
        <v>62</v>
      </c>
      <c r="I45" s="64" t="s">
        <v>62</v>
      </c>
      <c r="J45" s="64">
        <v>1</v>
      </c>
      <c r="K45" s="64">
        <v>1</v>
      </c>
      <c r="L45" s="64">
        <v>1</v>
      </c>
      <c r="M45" s="64">
        <v>1</v>
      </c>
      <c r="N45" s="64">
        <v>1</v>
      </c>
      <c r="O45" s="64">
        <v>1</v>
      </c>
      <c r="P45" s="64">
        <v>1</v>
      </c>
      <c r="Q45" s="64">
        <v>1</v>
      </c>
      <c r="R45" s="64">
        <v>1</v>
      </c>
      <c r="S45" s="64">
        <v>1</v>
      </c>
      <c r="T45" s="64">
        <v>1</v>
      </c>
      <c r="U45" s="64">
        <v>1</v>
      </c>
      <c r="V45" s="64">
        <v>1</v>
      </c>
      <c r="W45" s="64">
        <v>1</v>
      </c>
      <c r="X45" s="64">
        <v>1</v>
      </c>
      <c r="Y45" s="64">
        <v>1</v>
      </c>
      <c r="Z45" s="64">
        <v>1</v>
      </c>
      <c r="AA45" s="64">
        <v>1</v>
      </c>
      <c r="AB45" s="64">
        <v>1</v>
      </c>
      <c r="AC45" s="64">
        <v>1</v>
      </c>
      <c r="AD45" s="64" t="s">
        <v>62</v>
      </c>
      <c r="AE45" s="64" t="s">
        <v>62</v>
      </c>
      <c r="AF45" s="64">
        <v>1</v>
      </c>
      <c r="AG45" s="64">
        <v>1</v>
      </c>
      <c r="AH45" s="64">
        <v>1</v>
      </c>
      <c r="AI45" s="91">
        <v>1</v>
      </c>
      <c r="AJ45" s="109">
        <f t="shared" ref="AJ45:AJ51" si="13">АХД</f>
        <v>31</v>
      </c>
      <c r="AK45" s="36">
        <f t="shared" si="0"/>
        <v>24</v>
      </c>
      <c r="AL45" s="36">
        <f t="shared" si="1"/>
        <v>7</v>
      </c>
      <c r="AM45" s="37">
        <f t="shared" si="2"/>
        <v>0</v>
      </c>
    </row>
    <row r="46" spans="1:39">
      <c r="A46" s="24">
        <f t="shared" si="5"/>
        <v>36</v>
      </c>
      <c r="B46" s="25" t="s">
        <v>58</v>
      </c>
      <c r="C46" s="26" t="s">
        <v>39</v>
      </c>
      <c r="D46" s="48">
        <v>4995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>
        <v>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 t="s">
        <v>62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109">
        <f t="shared" si="13"/>
        <v>31</v>
      </c>
      <c r="AK46" s="86">
        <f t="shared" si="0"/>
        <v>30</v>
      </c>
      <c r="AL46" s="86">
        <f t="shared" si="1"/>
        <v>1</v>
      </c>
      <c r="AM46" s="87">
        <f t="shared" si="2"/>
        <v>0</v>
      </c>
    </row>
    <row r="47" spans="1:39">
      <c r="A47" s="24">
        <f t="shared" si="5"/>
        <v>37</v>
      </c>
      <c r="B47" s="25" t="s">
        <v>58</v>
      </c>
      <c r="C47" s="26" t="s">
        <v>40</v>
      </c>
      <c r="D47" s="48">
        <v>6129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 t="s">
        <v>61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Z47" s="6">
        <v>1</v>
      </c>
      <c r="AA47" s="6">
        <v>1</v>
      </c>
      <c r="AB47" s="6">
        <v>1</v>
      </c>
      <c r="AC47" s="6" t="s">
        <v>61</v>
      </c>
      <c r="AD47" s="6">
        <v>1</v>
      </c>
      <c r="AE47" s="6">
        <v>1</v>
      </c>
      <c r="AF47" s="6">
        <v>1</v>
      </c>
      <c r="AG47" s="6">
        <v>1</v>
      </c>
      <c r="AH47" s="6">
        <v>1</v>
      </c>
      <c r="AI47" s="8">
        <v>1</v>
      </c>
      <c r="AJ47" s="109">
        <f t="shared" si="13"/>
        <v>31</v>
      </c>
      <c r="AK47" s="86">
        <f t="shared" si="0"/>
        <v>28</v>
      </c>
      <c r="AL47" s="86">
        <f t="shared" si="1"/>
        <v>0</v>
      </c>
      <c r="AM47" s="87">
        <f t="shared" si="2"/>
        <v>3</v>
      </c>
    </row>
    <row r="48" spans="1:39">
      <c r="A48" s="24">
        <f t="shared" si="5"/>
        <v>38</v>
      </c>
      <c r="B48" s="25" t="s">
        <v>58</v>
      </c>
      <c r="C48" s="26" t="s">
        <v>41</v>
      </c>
      <c r="D48" s="48">
        <v>6130</v>
      </c>
      <c r="E48" s="16">
        <v>1</v>
      </c>
      <c r="F48" s="6">
        <v>1</v>
      </c>
      <c r="G48" s="6">
        <v>1</v>
      </c>
      <c r="H48" s="6">
        <v>1</v>
      </c>
      <c r="I48" s="6">
        <v>1</v>
      </c>
      <c r="J48" s="6">
        <v>1</v>
      </c>
      <c r="K48" s="6">
        <v>1</v>
      </c>
      <c r="L48" s="6">
        <v>1</v>
      </c>
      <c r="M48" s="6">
        <v>1</v>
      </c>
      <c r="N48" s="6">
        <v>1</v>
      </c>
      <c r="O48" s="6">
        <v>1</v>
      </c>
      <c r="P48" s="6">
        <v>1</v>
      </c>
      <c r="Q48" s="6">
        <v>1</v>
      </c>
      <c r="R48" s="6">
        <v>1</v>
      </c>
      <c r="S48" s="6">
        <v>1</v>
      </c>
      <c r="T48" s="6" t="s">
        <v>61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8">
        <v>1</v>
      </c>
      <c r="AJ48" s="109">
        <f t="shared" si="13"/>
        <v>31</v>
      </c>
      <c r="AK48" s="86">
        <f t="shared" si="0"/>
        <v>30</v>
      </c>
      <c r="AL48" s="86">
        <f t="shared" si="1"/>
        <v>0</v>
      </c>
      <c r="AM48" s="87">
        <f t="shared" si="2"/>
        <v>1</v>
      </c>
    </row>
    <row r="49" spans="1:39">
      <c r="A49" s="24">
        <f t="shared" si="5"/>
        <v>39</v>
      </c>
      <c r="B49" s="25" t="s">
        <v>58</v>
      </c>
      <c r="C49" s="26" t="s">
        <v>42</v>
      </c>
      <c r="D49" s="48">
        <v>1297</v>
      </c>
      <c r="E49" s="16">
        <v>1</v>
      </c>
      <c r="F49" s="6">
        <v>1</v>
      </c>
      <c r="G49" s="6">
        <v>1</v>
      </c>
      <c r="H49" s="6">
        <v>1</v>
      </c>
      <c r="I49" s="6">
        <v>1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6">
        <v>1</v>
      </c>
      <c r="P49" s="6">
        <v>1</v>
      </c>
      <c r="Q49" s="6">
        <v>1</v>
      </c>
      <c r="R49" s="6">
        <v>1</v>
      </c>
      <c r="S49" s="6">
        <v>1</v>
      </c>
      <c r="T49" s="6">
        <v>1</v>
      </c>
      <c r="U49" s="6">
        <v>1</v>
      </c>
      <c r="V49" s="6">
        <v>1</v>
      </c>
      <c r="W49" s="6">
        <v>1</v>
      </c>
      <c r="X49" s="6">
        <v>1</v>
      </c>
      <c r="Y49" s="6">
        <v>1</v>
      </c>
      <c r="Z49" s="6">
        <v>1</v>
      </c>
      <c r="AA49" s="6">
        <v>1</v>
      </c>
      <c r="AB49" s="6">
        <v>1</v>
      </c>
      <c r="AC49" s="6" t="s">
        <v>61</v>
      </c>
      <c r="AD49" s="6">
        <v>1</v>
      </c>
      <c r="AE49" s="6">
        <v>1</v>
      </c>
      <c r="AF49" s="6">
        <v>1</v>
      </c>
      <c r="AG49" s="6">
        <v>1</v>
      </c>
      <c r="AH49" s="6" t="s">
        <v>61</v>
      </c>
      <c r="AI49" s="8" t="s">
        <v>61</v>
      </c>
      <c r="AJ49" s="109">
        <f t="shared" si="13"/>
        <v>31</v>
      </c>
      <c r="AK49" s="86">
        <f t="shared" si="0"/>
        <v>28</v>
      </c>
      <c r="AL49" s="86">
        <f t="shared" si="1"/>
        <v>0</v>
      </c>
      <c r="AM49" s="87">
        <f t="shared" si="2"/>
        <v>3</v>
      </c>
    </row>
    <row r="50" spans="1:39">
      <c r="A50" s="24">
        <f t="shared" si="5"/>
        <v>40</v>
      </c>
      <c r="B50" s="25" t="s">
        <v>58</v>
      </c>
      <c r="C50" s="26" t="s">
        <v>43</v>
      </c>
      <c r="D50" s="48">
        <v>1296</v>
      </c>
      <c r="E50" s="16">
        <v>1</v>
      </c>
      <c r="F50" s="6">
        <v>1</v>
      </c>
      <c r="G50" s="6">
        <v>1</v>
      </c>
      <c r="H50" s="6">
        <v>1</v>
      </c>
      <c r="I50" s="6">
        <v>1</v>
      </c>
      <c r="J50" s="6">
        <v>1</v>
      </c>
      <c r="K50" s="6">
        <v>1</v>
      </c>
      <c r="L50" s="6">
        <v>1</v>
      </c>
      <c r="M50" s="6">
        <v>1</v>
      </c>
      <c r="N50" s="6">
        <v>1</v>
      </c>
      <c r="O50" s="6">
        <v>1</v>
      </c>
      <c r="P50" s="6">
        <v>1</v>
      </c>
      <c r="Q50" s="6">
        <v>1</v>
      </c>
      <c r="R50" s="6">
        <v>1</v>
      </c>
      <c r="S50" s="6">
        <v>1</v>
      </c>
      <c r="T50" s="6">
        <v>1</v>
      </c>
      <c r="U50" s="6">
        <v>1</v>
      </c>
      <c r="V50" s="6">
        <v>1</v>
      </c>
      <c r="W50" s="6">
        <v>1</v>
      </c>
      <c r="X50" s="6">
        <v>1</v>
      </c>
      <c r="Y50" s="6">
        <v>1</v>
      </c>
      <c r="Z50" s="6">
        <v>1</v>
      </c>
      <c r="AA50" s="6" t="s">
        <v>61</v>
      </c>
      <c r="AB50" s="6">
        <v>1</v>
      </c>
      <c r="AC50" s="6">
        <v>1</v>
      </c>
      <c r="AD50" s="6">
        <v>1</v>
      </c>
      <c r="AE50" s="6">
        <v>1</v>
      </c>
      <c r="AF50" s="6">
        <v>1</v>
      </c>
      <c r="AG50" s="6">
        <v>1</v>
      </c>
      <c r="AH50" s="6">
        <v>1</v>
      </c>
      <c r="AI50" s="8">
        <v>1</v>
      </c>
      <c r="AJ50" s="109">
        <f t="shared" si="13"/>
        <v>31</v>
      </c>
      <c r="AK50" s="86">
        <f t="shared" si="0"/>
        <v>30</v>
      </c>
      <c r="AL50" s="86">
        <f t="shared" si="1"/>
        <v>0</v>
      </c>
      <c r="AM50" s="87">
        <f t="shared" si="2"/>
        <v>1</v>
      </c>
    </row>
    <row r="51" spans="1:39" ht="16.5" thickBot="1">
      <c r="A51" s="75">
        <f t="shared" si="5"/>
        <v>41</v>
      </c>
      <c r="B51" s="70" t="s">
        <v>58</v>
      </c>
      <c r="C51" s="71" t="s">
        <v>44</v>
      </c>
      <c r="D51" s="72">
        <v>1344</v>
      </c>
      <c r="E51" s="74">
        <v>1</v>
      </c>
      <c r="F51" s="73">
        <v>1</v>
      </c>
      <c r="G51" s="73">
        <v>1</v>
      </c>
      <c r="H51" s="73">
        <v>1</v>
      </c>
      <c r="I51" s="73">
        <v>1</v>
      </c>
      <c r="J51" s="73">
        <v>1</v>
      </c>
      <c r="K51" s="73">
        <v>1</v>
      </c>
      <c r="L51" s="73">
        <v>1</v>
      </c>
      <c r="M51" s="73" t="s">
        <v>61</v>
      </c>
      <c r="N51" s="73">
        <v>1</v>
      </c>
      <c r="O51" s="73">
        <v>1</v>
      </c>
      <c r="P51" s="73">
        <v>1</v>
      </c>
      <c r="Q51" s="73">
        <v>1</v>
      </c>
      <c r="R51" s="73">
        <v>1</v>
      </c>
      <c r="S51" s="73">
        <v>1</v>
      </c>
      <c r="T51" s="73">
        <v>1</v>
      </c>
      <c r="U51" s="73">
        <v>1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>
        <v>1</v>
      </c>
      <c r="AH51" s="73" t="s">
        <v>61</v>
      </c>
      <c r="AI51" s="90" t="s">
        <v>61</v>
      </c>
      <c r="AJ51" s="109">
        <f t="shared" si="13"/>
        <v>31</v>
      </c>
      <c r="AK51" s="88">
        <f t="shared" si="0"/>
        <v>28</v>
      </c>
      <c r="AL51" s="88">
        <f t="shared" si="1"/>
        <v>0</v>
      </c>
      <c r="AM51" s="89">
        <f t="shared" si="2"/>
        <v>3</v>
      </c>
    </row>
    <row r="52" spans="1:39" s="62" customFormat="1" ht="16.5" thickBot="1">
      <c r="A52" s="98"/>
      <c r="B52" s="102" t="s">
        <v>68</v>
      </c>
      <c r="C52" s="99"/>
      <c r="D52" s="99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1"/>
      <c r="AJ52" s="106">
        <f>SUM(AJ45:AJ51)</f>
        <v>217</v>
      </c>
      <c r="AK52" s="106">
        <f t="shared" ref="AK52:AM52" si="14">SUM(AK45:AK51)</f>
        <v>198</v>
      </c>
      <c r="AL52" s="106">
        <f t="shared" si="14"/>
        <v>8</v>
      </c>
      <c r="AM52" s="106">
        <f t="shared" si="14"/>
        <v>11</v>
      </c>
    </row>
    <row r="53" spans="1:39">
      <c r="A53" s="21">
        <f>A51+1</f>
        <v>42</v>
      </c>
      <c r="B53" s="22" t="s">
        <v>45</v>
      </c>
      <c r="C53" s="23" t="s">
        <v>46</v>
      </c>
      <c r="D53" s="47">
        <v>1250</v>
      </c>
      <c r="E53" s="15">
        <v>1</v>
      </c>
      <c r="F53" s="64">
        <v>1</v>
      </c>
      <c r="G53" s="64">
        <v>1</v>
      </c>
      <c r="H53" s="64">
        <v>1</v>
      </c>
      <c r="I53" s="64">
        <v>1</v>
      </c>
      <c r="J53" s="64" t="s">
        <v>62</v>
      </c>
      <c r="K53" s="64">
        <v>1</v>
      </c>
      <c r="L53" s="64">
        <v>1</v>
      </c>
      <c r="M53" s="64">
        <v>1</v>
      </c>
      <c r="N53" s="64">
        <v>1</v>
      </c>
      <c r="O53" s="64">
        <v>1</v>
      </c>
      <c r="P53" s="64">
        <v>1</v>
      </c>
      <c r="Q53" s="64">
        <v>1</v>
      </c>
      <c r="R53" s="64">
        <v>1</v>
      </c>
      <c r="S53" s="64" t="s">
        <v>61</v>
      </c>
      <c r="T53" s="64" t="s">
        <v>61</v>
      </c>
      <c r="U53" s="64">
        <v>1</v>
      </c>
      <c r="V53" s="64">
        <v>1</v>
      </c>
      <c r="W53" s="64">
        <v>1</v>
      </c>
      <c r="X53" s="64">
        <v>1</v>
      </c>
      <c r="Y53" s="64">
        <v>1</v>
      </c>
      <c r="Z53" s="64">
        <v>1</v>
      </c>
      <c r="AA53" s="64">
        <v>1</v>
      </c>
      <c r="AB53" s="64">
        <v>1</v>
      </c>
      <c r="AC53" s="64">
        <v>1</v>
      </c>
      <c r="AD53" s="64">
        <v>1</v>
      </c>
      <c r="AE53" s="64">
        <v>1</v>
      </c>
      <c r="AF53" s="64">
        <v>1</v>
      </c>
      <c r="AG53" s="64">
        <v>1</v>
      </c>
      <c r="AH53" s="64" t="s">
        <v>61</v>
      </c>
      <c r="AI53" s="91" t="s">
        <v>61</v>
      </c>
      <c r="AJ53" s="109">
        <f>АХД</f>
        <v>31</v>
      </c>
      <c r="AK53" s="36">
        <f t="shared" si="0"/>
        <v>26</v>
      </c>
      <c r="AL53" s="36">
        <f t="shared" si="1"/>
        <v>1</v>
      </c>
      <c r="AM53" s="37">
        <f t="shared" si="2"/>
        <v>4</v>
      </c>
    </row>
    <row r="54" spans="1:39" ht="16.5" thickBot="1">
      <c r="A54" s="75">
        <f t="shared" si="5"/>
        <v>43</v>
      </c>
      <c r="B54" s="70" t="s">
        <v>45</v>
      </c>
      <c r="C54" s="71" t="s">
        <v>47</v>
      </c>
      <c r="D54" s="72">
        <v>1252</v>
      </c>
      <c r="E54" s="74">
        <v>1</v>
      </c>
      <c r="F54" s="73">
        <v>1</v>
      </c>
      <c r="G54" s="73">
        <v>1</v>
      </c>
      <c r="H54" s="73">
        <v>1</v>
      </c>
      <c r="I54" s="73">
        <v>1</v>
      </c>
      <c r="J54" s="73">
        <v>1</v>
      </c>
      <c r="K54" s="73">
        <v>1</v>
      </c>
      <c r="L54" s="73">
        <v>1</v>
      </c>
      <c r="M54" s="73">
        <v>1</v>
      </c>
      <c r="N54" s="73">
        <v>1</v>
      </c>
      <c r="O54" s="73">
        <v>1</v>
      </c>
      <c r="P54" s="73">
        <v>1</v>
      </c>
      <c r="Q54" s="73">
        <v>1</v>
      </c>
      <c r="R54" s="73">
        <v>1</v>
      </c>
      <c r="S54" s="73">
        <v>1</v>
      </c>
      <c r="T54" s="73" t="s">
        <v>61</v>
      </c>
      <c r="U54" s="73" t="s">
        <v>61</v>
      </c>
      <c r="V54" s="73">
        <v>1</v>
      </c>
      <c r="W54" s="73">
        <v>1</v>
      </c>
      <c r="X54" s="73">
        <v>1</v>
      </c>
      <c r="Y54" s="73">
        <v>1</v>
      </c>
      <c r="Z54" s="73">
        <v>1</v>
      </c>
      <c r="AA54" s="73">
        <v>1</v>
      </c>
      <c r="AB54" s="73" t="s">
        <v>61</v>
      </c>
      <c r="AC54" s="73">
        <v>1</v>
      </c>
      <c r="AD54" s="73" t="s">
        <v>62</v>
      </c>
      <c r="AE54" s="73" t="s">
        <v>62</v>
      </c>
      <c r="AF54" s="73" t="s">
        <v>62</v>
      </c>
      <c r="AG54" s="73" t="s">
        <v>62</v>
      </c>
      <c r="AH54" s="73" t="s">
        <v>62</v>
      </c>
      <c r="AI54" s="90" t="s">
        <v>62</v>
      </c>
      <c r="AJ54" s="109">
        <f>АХД</f>
        <v>31</v>
      </c>
      <c r="AK54" s="88">
        <f t="shared" si="0"/>
        <v>22</v>
      </c>
      <c r="AL54" s="88">
        <f t="shared" si="1"/>
        <v>6</v>
      </c>
      <c r="AM54" s="89">
        <f t="shared" si="2"/>
        <v>3</v>
      </c>
    </row>
    <row r="55" spans="1:39" s="62" customFormat="1" ht="16.5" thickBot="1">
      <c r="A55" s="98"/>
      <c r="B55" s="102" t="s">
        <v>68</v>
      </c>
      <c r="C55" s="99"/>
      <c r="D55" s="99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1"/>
      <c r="AJ55" s="106">
        <f>SUM(AJ53:AJ54)</f>
        <v>62</v>
      </c>
      <c r="AK55" s="106">
        <f t="shared" ref="AK55:AM55" si="15">SUM(AK53:AK54)</f>
        <v>48</v>
      </c>
      <c r="AL55" s="106">
        <f t="shared" si="15"/>
        <v>7</v>
      </c>
      <c r="AM55" s="106">
        <f t="shared" si="15"/>
        <v>7</v>
      </c>
    </row>
    <row r="56" spans="1:39">
      <c r="A56" s="21">
        <f>A54+1</f>
        <v>44</v>
      </c>
      <c r="B56" s="22" t="s">
        <v>69</v>
      </c>
      <c r="C56" s="23" t="s">
        <v>70</v>
      </c>
      <c r="D56" s="47" t="s">
        <v>64</v>
      </c>
      <c r="E56" s="15">
        <v>1</v>
      </c>
      <c r="F56" s="64">
        <v>1</v>
      </c>
      <c r="G56" s="64">
        <v>1</v>
      </c>
      <c r="H56" s="64">
        <v>1</v>
      </c>
      <c r="I56" s="64">
        <v>1</v>
      </c>
      <c r="J56" s="64">
        <v>1</v>
      </c>
      <c r="K56" s="64">
        <v>1</v>
      </c>
      <c r="L56" s="64">
        <v>1</v>
      </c>
      <c r="M56" s="64" t="s">
        <v>61</v>
      </c>
      <c r="N56" s="64">
        <v>1</v>
      </c>
      <c r="O56" s="64">
        <v>1</v>
      </c>
      <c r="P56" s="64">
        <v>1</v>
      </c>
      <c r="Q56" s="64">
        <v>1</v>
      </c>
      <c r="R56" s="64">
        <v>1</v>
      </c>
      <c r="S56" s="64">
        <v>1</v>
      </c>
      <c r="T56" s="64">
        <v>1</v>
      </c>
      <c r="U56" s="64">
        <v>1</v>
      </c>
      <c r="V56" s="64">
        <v>1</v>
      </c>
      <c r="W56" s="64">
        <v>1</v>
      </c>
      <c r="X56" s="64">
        <v>1</v>
      </c>
      <c r="Y56" s="64">
        <v>1</v>
      </c>
      <c r="Z56" s="64">
        <v>1</v>
      </c>
      <c r="AA56" s="64">
        <v>1</v>
      </c>
      <c r="AB56" s="64">
        <v>1</v>
      </c>
      <c r="AC56" s="64">
        <v>1</v>
      </c>
      <c r="AD56" s="64">
        <v>1</v>
      </c>
      <c r="AE56" s="64">
        <v>1</v>
      </c>
      <c r="AF56" s="64">
        <v>1</v>
      </c>
      <c r="AG56" s="64">
        <v>1</v>
      </c>
      <c r="AH56" s="64">
        <v>1</v>
      </c>
      <c r="AI56" s="91">
        <v>1</v>
      </c>
      <c r="AJ56" s="109">
        <f>АХД</f>
        <v>31</v>
      </c>
      <c r="AK56" s="36">
        <f t="shared" si="0"/>
        <v>30</v>
      </c>
      <c r="AL56" s="36">
        <f t="shared" si="1"/>
        <v>0</v>
      </c>
      <c r="AM56" s="37">
        <f t="shared" si="2"/>
        <v>1</v>
      </c>
    </row>
    <row r="57" spans="1:39" ht="16.5" thickBot="1">
      <c r="A57" s="92">
        <f t="shared" si="5"/>
        <v>45</v>
      </c>
      <c r="B57" s="70" t="s">
        <v>69</v>
      </c>
      <c r="C57" s="71" t="s">
        <v>71</v>
      </c>
      <c r="D57" s="72" t="s">
        <v>65</v>
      </c>
      <c r="E57" s="74">
        <v>1</v>
      </c>
      <c r="F57" s="73" t="s">
        <v>61</v>
      </c>
      <c r="G57" s="73">
        <v>1</v>
      </c>
      <c r="H57" s="73">
        <v>1</v>
      </c>
      <c r="I57" s="73">
        <v>1</v>
      </c>
      <c r="J57" s="73">
        <v>1</v>
      </c>
      <c r="K57" s="73">
        <v>1</v>
      </c>
      <c r="L57" s="73">
        <v>1</v>
      </c>
      <c r="M57" s="73">
        <v>1</v>
      </c>
      <c r="N57" s="73">
        <v>1</v>
      </c>
      <c r="O57" s="73">
        <v>1</v>
      </c>
      <c r="P57" s="73">
        <v>1</v>
      </c>
      <c r="Q57" s="73">
        <v>1</v>
      </c>
      <c r="R57" s="73">
        <v>1</v>
      </c>
      <c r="S57" s="73">
        <v>1</v>
      </c>
      <c r="T57" s="73">
        <v>1</v>
      </c>
      <c r="U57" s="73">
        <v>1</v>
      </c>
      <c r="V57" s="73">
        <v>1</v>
      </c>
      <c r="W57" s="73">
        <v>1</v>
      </c>
      <c r="X57" s="73">
        <v>1</v>
      </c>
      <c r="Y57" s="73">
        <v>1</v>
      </c>
      <c r="Z57" s="73">
        <v>1</v>
      </c>
      <c r="AA57" s="73">
        <v>1</v>
      </c>
      <c r="AB57" s="73">
        <v>1</v>
      </c>
      <c r="AC57" s="73">
        <v>1</v>
      </c>
      <c r="AD57" s="73">
        <v>1</v>
      </c>
      <c r="AE57" s="73">
        <v>1</v>
      </c>
      <c r="AF57" s="73">
        <v>1</v>
      </c>
      <c r="AG57" s="73">
        <v>1</v>
      </c>
      <c r="AH57" s="73">
        <v>1</v>
      </c>
      <c r="AI57" s="90">
        <v>1</v>
      </c>
      <c r="AJ57" s="109">
        <f>АХД</f>
        <v>31</v>
      </c>
      <c r="AK57" s="88">
        <f t="shared" si="0"/>
        <v>30</v>
      </c>
      <c r="AL57" s="88">
        <f t="shared" si="1"/>
        <v>0</v>
      </c>
      <c r="AM57" s="89">
        <f t="shared" si="2"/>
        <v>1</v>
      </c>
    </row>
    <row r="58" spans="1:39" s="62" customFormat="1" ht="16.5" thickBot="1">
      <c r="A58" s="98"/>
      <c r="B58" s="102" t="s">
        <v>68</v>
      </c>
      <c r="C58" s="99"/>
      <c r="D58" s="99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1"/>
      <c r="AJ58" s="106">
        <f>SUM(AJ56:AJ57)</f>
        <v>62</v>
      </c>
      <c r="AK58" s="106">
        <f t="shared" ref="AK58:AM58" si="16">SUM(AK56:AK57)</f>
        <v>60</v>
      </c>
      <c r="AL58" s="106">
        <f t="shared" si="16"/>
        <v>0</v>
      </c>
      <c r="AM58" s="106">
        <f t="shared" si="16"/>
        <v>2</v>
      </c>
    </row>
    <row r="59" spans="1:39" s="62" customFormat="1">
      <c r="A59" s="67"/>
      <c r="B59" s="80"/>
      <c r="C59" s="81"/>
      <c r="D59" s="81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2" t="s">
        <v>72</v>
      </c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4">
        <f>AJ6+AJ23+AJ31+AJ35+AJ38+AJ40+AJ44+AJ52+AJ55+AJ58</f>
        <v>1395</v>
      </c>
      <c r="AK59" s="84"/>
      <c r="AL59" s="84"/>
      <c r="AM59" s="84"/>
    </row>
    <row r="60" spans="1:39">
      <c r="A60" s="68"/>
      <c r="B60" s="1"/>
      <c r="C60" s="2"/>
      <c r="D60" s="2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9"/>
      <c r="AL60" s="79"/>
      <c r="AM60" s="79"/>
    </row>
    <row r="61" spans="1:39" ht="16.5" thickBot="1">
      <c r="A61" s="11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</row>
    <row r="62" spans="1:39" s="62" customFormat="1" ht="16.5" thickBot="1">
      <c r="A62" s="55" t="s">
        <v>60</v>
      </c>
      <c r="B62" s="56" t="s">
        <v>48</v>
      </c>
      <c r="C62" s="56" t="s">
        <v>52</v>
      </c>
      <c r="D62" s="57" t="s">
        <v>50</v>
      </c>
      <c r="E62" s="58">
        <v>1</v>
      </c>
      <c r="F62" s="58">
        <v>2</v>
      </c>
      <c r="G62" s="58">
        <v>3</v>
      </c>
      <c r="H62" s="58">
        <v>4</v>
      </c>
      <c r="I62" s="58">
        <v>5</v>
      </c>
      <c r="J62" s="58">
        <v>6</v>
      </c>
      <c r="K62" s="58">
        <v>7</v>
      </c>
      <c r="L62" s="58">
        <v>8</v>
      </c>
      <c r="M62" s="58">
        <v>9</v>
      </c>
      <c r="N62" s="58">
        <v>10</v>
      </c>
      <c r="O62" s="58">
        <v>11</v>
      </c>
      <c r="P62" s="58">
        <v>12</v>
      </c>
      <c r="Q62" s="58">
        <v>13</v>
      </c>
      <c r="R62" s="58">
        <v>14</v>
      </c>
      <c r="S62" s="58">
        <v>15</v>
      </c>
      <c r="T62" s="58">
        <v>16</v>
      </c>
      <c r="U62" s="58">
        <v>17</v>
      </c>
      <c r="V62" s="58">
        <v>18</v>
      </c>
      <c r="W62" s="58">
        <v>19</v>
      </c>
      <c r="X62" s="58">
        <v>20</v>
      </c>
      <c r="Y62" s="58">
        <v>21</v>
      </c>
      <c r="Z62" s="58">
        <v>22</v>
      </c>
      <c r="AA62" s="58">
        <v>23</v>
      </c>
      <c r="AB62" s="58">
        <v>24</v>
      </c>
      <c r="AC62" s="58">
        <v>25</v>
      </c>
      <c r="AD62" s="58">
        <v>26</v>
      </c>
      <c r="AE62" s="58">
        <v>27</v>
      </c>
      <c r="AF62" s="58">
        <v>28</v>
      </c>
      <c r="AG62" s="58">
        <v>29</v>
      </c>
      <c r="AH62" s="58">
        <v>30</v>
      </c>
      <c r="AI62" s="85">
        <v>31</v>
      </c>
      <c r="AJ62" s="55" t="s">
        <v>67</v>
      </c>
      <c r="AK62" s="60" t="s">
        <v>66</v>
      </c>
      <c r="AL62" s="60" t="s">
        <v>62</v>
      </c>
      <c r="AM62" s="61" t="s">
        <v>61</v>
      </c>
    </row>
    <row r="63" spans="1:39" ht="16.5" thickBot="1">
      <c r="A63" s="92">
        <v>1</v>
      </c>
      <c r="B63" s="93" t="s">
        <v>0</v>
      </c>
      <c r="C63" s="94" t="s">
        <v>51</v>
      </c>
      <c r="D63" s="95">
        <v>7334</v>
      </c>
      <c r="E63" s="69" t="s">
        <v>62</v>
      </c>
      <c r="F63" s="69" t="s">
        <v>62</v>
      </c>
      <c r="G63" s="69" t="s">
        <v>62</v>
      </c>
      <c r="H63" s="69" t="s">
        <v>62</v>
      </c>
      <c r="I63" s="69" t="s">
        <v>62</v>
      </c>
      <c r="J63" s="69" t="s">
        <v>62</v>
      </c>
      <c r="K63" s="69" t="s">
        <v>62</v>
      </c>
      <c r="L63" s="69" t="s">
        <v>62</v>
      </c>
      <c r="M63" s="69" t="s">
        <v>62</v>
      </c>
      <c r="N63" s="69" t="s">
        <v>62</v>
      </c>
      <c r="O63" s="69" t="s">
        <v>62</v>
      </c>
      <c r="P63" s="69" t="s">
        <v>62</v>
      </c>
      <c r="Q63" s="69" t="s">
        <v>62</v>
      </c>
      <c r="R63" s="69" t="s">
        <v>62</v>
      </c>
      <c r="S63" s="69" t="s">
        <v>62</v>
      </c>
      <c r="T63" s="69" t="s">
        <v>62</v>
      </c>
      <c r="U63" s="69" t="s">
        <v>62</v>
      </c>
      <c r="V63" s="69" t="s">
        <v>62</v>
      </c>
      <c r="W63" s="69" t="s">
        <v>62</v>
      </c>
      <c r="X63" s="69" t="s">
        <v>62</v>
      </c>
      <c r="Y63" s="69" t="s">
        <v>62</v>
      </c>
      <c r="Z63" s="69" t="s">
        <v>62</v>
      </c>
      <c r="AA63" s="69" t="s">
        <v>62</v>
      </c>
      <c r="AB63" s="69" t="s">
        <v>62</v>
      </c>
      <c r="AC63" s="69" t="s">
        <v>62</v>
      </c>
      <c r="AD63" s="69" t="s">
        <v>62</v>
      </c>
      <c r="AE63" s="69" t="s">
        <v>62</v>
      </c>
      <c r="AF63" s="69" t="s">
        <v>62</v>
      </c>
      <c r="AG63" s="69" t="s">
        <v>62</v>
      </c>
      <c r="AH63" s="69" t="s">
        <v>62</v>
      </c>
      <c r="AI63" s="78" t="s">
        <v>62</v>
      </c>
      <c r="AJ63" s="109">
        <f>АХД</f>
        <v>31</v>
      </c>
      <c r="AK63" s="39">
        <f>COUNTIF(E63:AI63,1)</f>
        <v>0</v>
      </c>
      <c r="AL63" s="39">
        <f>COUNTIF(E63:AI63,"тр")</f>
        <v>31</v>
      </c>
      <c r="AM63" s="40">
        <f>COUNTIF(E63:AI63,"бв")</f>
        <v>0</v>
      </c>
    </row>
    <row r="64" spans="1:39" s="62" customFormat="1" ht="16.5" thickBot="1">
      <c r="A64" s="98"/>
      <c r="B64" s="102" t="s">
        <v>68</v>
      </c>
      <c r="C64" s="99"/>
      <c r="D64" s="99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1"/>
      <c r="AJ64" s="106">
        <f>SUM(AJ63)</f>
        <v>31</v>
      </c>
      <c r="AK64" s="106">
        <f t="shared" ref="AK64:AM64" si="17">SUM(AK63)</f>
        <v>0</v>
      </c>
      <c r="AL64" s="106">
        <f t="shared" si="17"/>
        <v>31</v>
      </c>
      <c r="AM64" s="106">
        <f t="shared" si="17"/>
        <v>0</v>
      </c>
    </row>
    <row r="65" spans="1:39">
      <c r="A65" s="21">
        <v>2</v>
      </c>
      <c r="B65" s="22" t="s">
        <v>58</v>
      </c>
      <c r="C65" s="105">
        <v>176</v>
      </c>
      <c r="D65" s="47">
        <v>6172</v>
      </c>
      <c r="E65" s="15">
        <v>1</v>
      </c>
      <c r="F65" s="64">
        <v>1</v>
      </c>
      <c r="G65" s="64">
        <v>1</v>
      </c>
      <c r="H65" s="64">
        <v>1</v>
      </c>
      <c r="I65" s="64">
        <v>1</v>
      </c>
      <c r="J65" s="64">
        <v>1</v>
      </c>
      <c r="K65" s="64">
        <v>1</v>
      </c>
      <c r="L65" s="64">
        <v>1</v>
      </c>
      <c r="M65" s="64">
        <v>1</v>
      </c>
      <c r="N65" s="64">
        <v>1</v>
      </c>
      <c r="O65" s="64">
        <v>1</v>
      </c>
      <c r="P65" s="64">
        <v>1</v>
      </c>
      <c r="Q65" s="64">
        <v>1</v>
      </c>
      <c r="R65" s="64">
        <v>1</v>
      </c>
      <c r="S65" s="64">
        <v>1</v>
      </c>
      <c r="T65" s="64">
        <v>1</v>
      </c>
      <c r="U65" s="64">
        <v>1</v>
      </c>
      <c r="V65" s="64">
        <v>1</v>
      </c>
      <c r="W65" s="64">
        <v>1</v>
      </c>
      <c r="X65" s="64">
        <v>1</v>
      </c>
      <c r="Y65" s="64">
        <v>1</v>
      </c>
      <c r="Z65" s="64">
        <v>1</v>
      </c>
      <c r="AA65" s="64">
        <v>1</v>
      </c>
      <c r="AB65" s="64">
        <v>1</v>
      </c>
      <c r="AC65" s="64">
        <v>1</v>
      </c>
      <c r="AD65" s="64">
        <v>1</v>
      </c>
      <c r="AE65" s="64">
        <v>1</v>
      </c>
      <c r="AF65" s="64">
        <v>1</v>
      </c>
      <c r="AG65" s="64">
        <v>1</v>
      </c>
      <c r="AH65" s="64">
        <v>1</v>
      </c>
      <c r="AI65" s="91">
        <v>1</v>
      </c>
      <c r="AJ65" s="109">
        <f>АХД</f>
        <v>31</v>
      </c>
      <c r="AK65" s="36">
        <f>COUNTIF(E65:AI65,1)</f>
        <v>31</v>
      </c>
      <c r="AL65" s="36">
        <f>COUNTIF(E65:AI65,"тр")</f>
        <v>0</v>
      </c>
      <c r="AM65" s="37">
        <f>COUNTIF(E65:AI65,"бв")</f>
        <v>0</v>
      </c>
    </row>
    <row r="66" spans="1:39" ht="16.5" thickBot="1">
      <c r="A66" s="75">
        <v>3</v>
      </c>
      <c r="B66" s="70" t="s">
        <v>58</v>
      </c>
      <c r="C66" s="104">
        <v>177</v>
      </c>
      <c r="D66" s="72">
        <v>6173</v>
      </c>
      <c r="E66" s="74">
        <v>1</v>
      </c>
      <c r="F66" s="73">
        <v>1</v>
      </c>
      <c r="G66" s="73">
        <v>1</v>
      </c>
      <c r="H66" s="73">
        <v>1</v>
      </c>
      <c r="I66" s="73">
        <v>1</v>
      </c>
      <c r="J66" s="73">
        <v>1</v>
      </c>
      <c r="K66" s="73">
        <v>1</v>
      </c>
      <c r="L66" s="73">
        <v>1</v>
      </c>
      <c r="M66" s="73">
        <v>1</v>
      </c>
      <c r="N66" s="73">
        <v>1</v>
      </c>
      <c r="O66" s="73">
        <v>1</v>
      </c>
      <c r="P66" s="73">
        <v>1</v>
      </c>
      <c r="Q66" s="73">
        <v>1</v>
      </c>
      <c r="R66" s="73">
        <v>1</v>
      </c>
      <c r="S66" s="73">
        <v>1</v>
      </c>
      <c r="T66" s="73">
        <v>1</v>
      </c>
      <c r="U66" s="73">
        <v>1</v>
      </c>
      <c r="V66" s="73">
        <v>1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>
        <v>1</v>
      </c>
      <c r="AG66" s="73">
        <v>1</v>
      </c>
      <c r="AH66" s="73">
        <v>1</v>
      </c>
      <c r="AI66" s="90">
        <v>1</v>
      </c>
      <c r="AJ66" s="109">
        <f>АХД</f>
        <v>31</v>
      </c>
      <c r="AK66" s="88">
        <f>COUNTIF(E66:AI66,1)</f>
        <v>31</v>
      </c>
      <c r="AL66" s="88">
        <f>COUNTIF(E66:AI66,"тр")</f>
        <v>0</v>
      </c>
      <c r="AM66" s="89">
        <f>COUNTIF(E66:AI66,"бв")</f>
        <v>0</v>
      </c>
    </row>
    <row r="67" spans="1:39" s="62" customFormat="1" ht="16.5" thickBot="1">
      <c r="A67" s="98"/>
      <c r="B67" s="102" t="s">
        <v>68</v>
      </c>
      <c r="C67" s="99"/>
      <c r="D67" s="99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1"/>
      <c r="AJ67" s="106">
        <f>SUM(AJ65:AJ66)</f>
        <v>62</v>
      </c>
      <c r="AK67" s="106">
        <f t="shared" ref="AK67:AM67" si="18">SUM(AK65:AK66)</f>
        <v>62</v>
      </c>
      <c r="AL67" s="106">
        <f t="shared" si="18"/>
        <v>0</v>
      </c>
      <c r="AM67" s="106">
        <f t="shared" si="18"/>
        <v>0</v>
      </c>
    </row>
    <row r="68" spans="1:39" s="62" customFormat="1">
      <c r="A68" s="67"/>
      <c r="B68" s="80"/>
      <c r="C68" s="81"/>
      <c r="D68" s="81"/>
      <c r="Y68" s="82" t="s">
        <v>73</v>
      </c>
      <c r="AJ68" s="67">
        <f>AJ64+AJ67</f>
        <v>93</v>
      </c>
    </row>
  </sheetData>
  <autoFilter ref="E2:AM59">
    <filterColumn colId="9"/>
    <filterColumn colId="10"/>
    <filterColumn colId="11"/>
    <filterColumn colId="17"/>
    <filterColumn colId="19"/>
    <filterColumn colId="29"/>
    <filterColumn colId="31"/>
  </autoFilter>
  <mergeCells count="2">
    <mergeCell ref="A1:AM1"/>
    <mergeCell ref="A61:AM61"/>
  </mergeCells>
  <conditionalFormatting sqref="AK6:AM6 E4:AI5 E7:AI22 E24:AI30 E32:AI34 E36:AI37 E45:AI51 E53:AI54 E56:AI57 E65:AI66 E39:AI39 E41:AI43 AJ23:AM23 AJ31:AM31 AJ35:AM35 AJ38:AM38 AJ40:AM40 AJ44:AM44 AJ52:AM52 AJ55:AM55 AJ58:AM58 AJ64:AM64 AJ67:AM67 AJ4:AJ58 E63:AJ63 AJ63:AJ67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6:AM6 AJ23:AM23 AJ31:AM31 AJ35:AM35 AJ38:AM38 AJ40:AM40 AJ44:AM44 AJ52:AM52 AJ55:AM55 AJ64:AM6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activeCell="A6" sqref="A6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Октябрь 2018</vt:lpstr>
      <vt:lpstr>Ноябрь 2018</vt:lpstr>
      <vt:lpstr>Декабрь 2018</vt:lpstr>
      <vt:lpstr>Данные</vt:lpstr>
      <vt:lpstr>АХД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2018-12-27T07:47:39Z</cp:lastPrinted>
  <dcterms:created xsi:type="dcterms:W3CDTF">2018-09-27T18:15:43Z</dcterms:created>
  <dcterms:modified xsi:type="dcterms:W3CDTF">2019-01-02T10:28:43Z</dcterms:modified>
</cp:coreProperties>
</file>