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6" r:id="rId1"/>
    <sheet name="Февраль 2019" sheetId="7" r:id="rId2"/>
    <sheet name="Данные" sheetId="5" state="hidden" r:id="rId3"/>
  </sheets>
  <functionGroups builtInGroupCount="18"/>
  <definedNames>
    <definedName name="_xlnm._FilterDatabase" localSheetId="1" hidden="1">'Февраль 2019'!$E$2:$AJ$62</definedName>
    <definedName name="_xlnm._FilterDatabase" localSheetId="0" hidden="1">'Январь 2019'!$E$2:$AM$61</definedName>
    <definedName name="АХД">'Январь 2019'!$C$2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67" i="7" l="1"/>
  <c r="AG68" i="7"/>
  <c r="AG66" i="7"/>
  <c r="AG59" i="7"/>
  <c r="AG60" i="7"/>
  <c r="AG58" i="7"/>
  <c r="AG56" i="7"/>
  <c r="AG49" i="7"/>
  <c r="AG50" i="7"/>
  <c r="AG51" i="7"/>
  <c r="AG52" i="7"/>
  <c r="AG53" i="7"/>
  <c r="AG54" i="7"/>
  <c r="AG48" i="7"/>
  <c r="AG45" i="7"/>
  <c r="AG46" i="7"/>
  <c r="AG44" i="7"/>
  <c r="AG42" i="7"/>
  <c r="AG40" i="7"/>
  <c r="AG39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60" i="7"/>
  <c r="AI60" i="7"/>
  <c r="AJ60" i="7"/>
  <c r="AG61" i="7" l="1"/>
  <c r="AK26" i="6"/>
  <c r="AL26" i="6"/>
  <c r="AM26" i="6"/>
  <c r="A67" i="6" l="1"/>
  <c r="A66" i="6"/>
  <c r="A56" i="6"/>
  <c r="AJ68" i="7" l="1"/>
  <c r="AI68" i="7"/>
  <c r="AH68" i="7"/>
  <c r="AJ67" i="7"/>
  <c r="AI67" i="7"/>
  <c r="AH67" i="7"/>
  <c r="AJ66" i="7"/>
  <c r="AI66" i="7"/>
  <c r="AH66" i="7"/>
  <c r="AG69" i="7"/>
  <c r="AG70" i="7" s="1"/>
  <c r="A64" i="7"/>
  <c r="AJ59" i="7"/>
  <c r="AI59" i="7"/>
  <c r="AH59" i="7"/>
  <c r="AJ58" i="7"/>
  <c r="AI58" i="7"/>
  <c r="AH58" i="7"/>
  <c r="AJ56" i="7"/>
  <c r="AJ57" i="7" s="1"/>
  <c r="AI56" i="7"/>
  <c r="AI57" i="7" s="1"/>
  <c r="AH56" i="7"/>
  <c r="AH57" i="7" s="1"/>
  <c r="AG57" i="7"/>
  <c r="AJ54" i="7"/>
  <c r="AI54" i="7"/>
  <c r="AH54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G55" i="7"/>
  <c r="AJ46" i="7"/>
  <c r="AI46" i="7"/>
  <c r="AH46" i="7"/>
  <c r="AJ45" i="7"/>
  <c r="AI45" i="7"/>
  <c r="AH45" i="7"/>
  <c r="AJ44" i="7"/>
  <c r="AI44" i="7"/>
  <c r="AH44" i="7"/>
  <c r="AG47" i="7"/>
  <c r="AJ42" i="7"/>
  <c r="AJ43" i="7" s="1"/>
  <c r="AI42" i="7"/>
  <c r="AI43" i="7" s="1"/>
  <c r="AH42" i="7"/>
  <c r="AH43" i="7" s="1"/>
  <c r="AG43" i="7"/>
  <c r="AJ40" i="7"/>
  <c r="AI40" i="7"/>
  <c r="AH40" i="7"/>
  <c r="AJ39" i="7"/>
  <c r="AI39" i="7"/>
  <c r="AH39" i="7"/>
  <c r="AG41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39" i="7" s="1"/>
  <c r="A40" i="7" s="1"/>
  <c r="A42" i="7" s="1"/>
  <c r="A44" i="7" s="1"/>
  <c r="A45" i="7" s="1"/>
  <c r="A46" i="7" s="1"/>
  <c r="A48" i="7" s="1"/>
  <c r="A49" i="7" s="1"/>
  <c r="A50" i="7" s="1"/>
  <c r="A51" i="7" s="1"/>
  <c r="A52" i="7" s="1"/>
  <c r="A53" i="7" s="1"/>
  <c r="A54" i="7" s="1"/>
  <c r="A68" i="7" s="1"/>
  <c r="A56" i="7" s="1"/>
  <c r="A58" i="7" s="1"/>
  <c r="A59" i="7" s="1"/>
  <c r="AJ4" i="7"/>
  <c r="AI4" i="7"/>
  <c r="AH4" i="7"/>
  <c r="A1" i="7"/>
  <c r="AI41" i="7" l="1"/>
  <c r="AH61" i="7"/>
  <c r="AJ61" i="7"/>
  <c r="AI69" i="7"/>
  <c r="AH38" i="7"/>
  <c r="AI61" i="7"/>
  <c r="AJ34" i="7"/>
  <c r="AH34" i="7"/>
  <c r="AH55" i="7"/>
  <c r="AJ55" i="7"/>
  <c r="AJ47" i="7"/>
  <c r="AH69" i="7"/>
  <c r="AJ38" i="7"/>
  <c r="AI47" i="7"/>
  <c r="AI26" i="7"/>
  <c r="AH26" i="7"/>
  <c r="AJ26" i="7"/>
  <c r="AJ69" i="7"/>
  <c r="AH47" i="7"/>
  <c r="AH6" i="7"/>
  <c r="AJ6" i="7"/>
  <c r="AI6" i="7"/>
  <c r="AI38" i="7"/>
  <c r="AI55" i="7"/>
  <c r="AI34" i="7"/>
  <c r="AG6" i="7"/>
  <c r="AG62" i="7" s="1"/>
  <c r="AH41" i="7"/>
  <c r="AJ41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<sst xmlns="http://schemas.openxmlformats.org/spreadsheetml/2006/main" count="1285" uniqueCount="81">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</sst>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7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4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  <c r="AK1" s="146"/>
      <c r="AL1" s="146"/>
      <c r="AM1" s="146"/>
    </row>
    <row r="2" spans="1:39" ht="16.3" thickBot="1" x14ac:dyDescent="0.3">
      <c r="A2" s="23"/>
      <c r="B2" s="23"/>
      <c r="C2" s="75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3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4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8">
        <f>SUM(AJ4:AJ5)</f>
        <v>62</v>
      </c>
      <c r="AK6" s="71">
        <f>SUM(AK4:AK5)</f>
        <v>0</v>
      </c>
      <c r="AL6" s="71">
        <f>SUM(AL4:AL5)</f>
        <v>62</v>
      </c>
      <c r="AM6" s="72">
        <f>SUM(AM4:AM5)</f>
        <v>0</v>
      </c>
    </row>
    <row r="7" spans="1:39" x14ac:dyDescent="0.25">
      <c r="A7" s="104">
        <f>A5+1</f>
        <v>3</v>
      </c>
      <c r="B7" s="105" t="s">
        <v>53</v>
      </c>
      <c r="C7" s="106" t="s">
        <v>3</v>
      </c>
      <c r="D7" s="107">
        <v>6981</v>
      </c>
      <c r="E7" s="92" t="s">
        <v>58</v>
      </c>
      <c r="F7" s="93" t="s">
        <v>58</v>
      </c>
      <c r="G7" s="93" t="s">
        <v>58</v>
      </c>
      <c r="H7" s="93" t="s">
        <v>58</v>
      </c>
      <c r="I7" s="93" t="s">
        <v>58</v>
      </c>
      <c r="J7" s="93" t="s">
        <v>58</v>
      </c>
      <c r="K7" s="93" t="s">
        <v>58</v>
      </c>
      <c r="L7" s="93" t="s">
        <v>58</v>
      </c>
      <c r="M7" s="93" t="s">
        <v>58</v>
      </c>
      <c r="N7" s="93" t="s">
        <v>58</v>
      </c>
      <c r="O7" s="93" t="s">
        <v>58</v>
      </c>
      <c r="P7" s="93" t="s">
        <v>58</v>
      </c>
      <c r="Q7" s="93" t="s">
        <v>58</v>
      </c>
      <c r="R7" s="93" t="s">
        <v>58</v>
      </c>
      <c r="S7" s="93" t="s">
        <v>58</v>
      </c>
      <c r="T7" s="93" t="s">
        <v>58</v>
      </c>
      <c r="U7" s="93" t="s">
        <v>58</v>
      </c>
      <c r="V7" s="93" t="s">
        <v>58</v>
      </c>
      <c r="W7" s="93" t="s">
        <v>58</v>
      </c>
      <c r="X7" s="93" t="s">
        <v>58</v>
      </c>
      <c r="Y7" s="93" t="s">
        <v>58</v>
      </c>
      <c r="Z7" s="93" t="s">
        <v>58</v>
      </c>
      <c r="AA7" s="93" t="s">
        <v>58</v>
      </c>
      <c r="AB7" s="93" t="s">
        <v>58</v>
      </c>
      <c r="AC7" s="93" t="s">
        <v>58</v>
      </c>
      <c r="AD7" s="93" t="s">
        <v>58</v>
      </c>
      <c r="AE7" s="93" t="s">
        <v>58</v>
      </c>
      <c r="AF7" s="93" t="s">
        <v>58</v>
      </c>
      <c r="AG7" s="93" t="s">
        <v>58</v>
      </c>
      <c r="AH7" s="102" t="s">
        <v>58</v>
      </c>
      <c r="AI7" s="94" t="s">
        <v>58</v>
      </c>
      <c r="AJ7" s="80">
        <f t="shared" ref="AJ7:AJ22" si="0">АХД</f>
        <v>31</v>
      </c>
      <c r="AK7" s="81">
        <f t="shared" ref="AK7:AK22" si="1">COUNTIF(E7:AI7,1)</f>
        <v>0</v>
      </c>
      <c r="AL7" s="81">
        <f t="shared" ref="AL7:AL22" si="2">COUNTIF(E7:AI7,"тр")</f>
        <v>31</v>
      </c>
      <c r="AM7" s="82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5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9">
        <v>1</v>
      </c>
      <c r="AI8" s="96">
        <v>1</v>
      </c>
      <c r="AJ8" s="73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5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9" t="s">
        <v>58</v>
      </c>
      <c r="AI9" s="96" t="s">
        <v>58</v>
      </c>
      <c r="AJ9" s="73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5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9">
        <v>1</v>
      </c>
      <c r="AI10" s="96">
        <v>1</v>
      </c>
      <c r="AJ10" s="73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5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9">
        <v>1</v>
      </c>
      <c r="AI11" s="96">
        <v>1</v>
      </c>
      <c r="AJ11" s="73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5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9">
        <v>1</v>
      </c>
      <c r="AI12" s="96">
        <v>1</v>
      </c>
      <c r="AJ12" s="73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5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9">
        <v>1</v>
      </c>
      <c r="AI13" s="96">
        <v>1</v>
      </c>
      <c r="AJ13" s="73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9">
        <v>1</v>
      </c>
      <c r="AI14" s="96">
        <v>1</v>
      </c>
      <c r="AJ14" s="73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5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9">
        <v>1</v>
      </c>
      <c r="AI15" s="96">
        <v>1</v>
      </c>
      <c r="AJ15" s="73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9">
        <v>1</v>
      </c>
      <c r="AI16" s="96" t="s">
        <v>58</v>
      </c>
      <c r="AJ16" s="73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5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9">
        <v>1</v>
      </c>
      <c r="AI17" s="96">
        <v>1</v>
      </c>
      <c r="AJ17" s="73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9">
        <v>1</v>
      </c>
      <c r="AI18" s="96" t="s">
        <v>57</v>
      </c>
      <c r="AJ18" s="73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5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9">
        <v>1</v>
      </c>
      <c r="AI19" s="96">
        <v>1</v>
      </c>
      <c r="AJ19" s="73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9">
        <v>1</v>
      </c>
      <c r="AI20" s="96">
        <v>1</v>
      </c>
      <c r="AJ20" s="73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9">
        <v>1</v>
      </c>
      <c r="AI21" s="96">
        <v>1</v>
      </c>
      <c r="AJ21" s="73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5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9">
        <v>1</v>
      </c>
      <c r="AI22" s="96">
        <v>1</v>
      </c>
      <c r="AJ22" s="83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5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9" t="s">
        <v>58</v>
      </c>
      <c r="AI23" s="96" t="s">
        <v>58</v>
      </c>
      <c r="AJ23" s="83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5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9">
        <v>1</v>
      </c>
      <c r="AI24" s="96">
        <v>1</v>
      </c>
      <c r="AJ24" s="83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8">
        <f t="shared" si="4"/>
        <v>21</v>
      </c>
      <c r="B25" s="109" t="s">
        <v>53</v>
      </c>
      <c r="C25" s="110" t="s">
        <v>74</v>
      </c>
      <c r="D25" s="111" t="s">
        <v>71</v>
      </c>
      <c r="E25" s="97"/>
      <c r="F25" s="98"/>
      <c r="G25" s="98"/>
      <c r="H25" s="98"/>
      <c r="I25" s="98" t="s">
        <v>57</v>
      </c>
      <c r="J25" s="98" t="s">
        <v>57</v>
      </c>
      <c r="K25" s="98" t="s">
        <v>57</v>
      </c>
      <c r="L25" s="98" t="s">
        <v>58</v>
      </c>
      <c r="M25" s="98" t="s">
        <v>58</v>
      </c>
      <c r="N25" s="98">
        <v>1</v>
      </c>
      <c r="O25" s="98">
        <v>1</v>
      </c>
      <c r="P25" s="98">
        <v>1</v>
      </c>
      <c r="Q25" s="98">
        <v>1</v>
      </c>
      <c r="R25" s="98">
        <v>1</v>
      </c>
      <c r="S25" s="98">
        <v>1</v>
      </c>
      <c r="T25" s="98">
        <v>1</v>
      </c>
      <c r="U25" s="98">
        <v>1</v>
      </c>
      <c r="V25" s="98">
        <v>1</v>
      </c>
      <c r="W25" s="98">
        <v>1</v>
      </c>
      <c r="X25" s="98" t="s">
        <v>57</v>
      </c>
      <c r="Y25" s="98">
        <v>1</v>
      </c>
      <c r="Z25" s="98">
        <v>1</v>
      </c>
      <c r="AA25" s="98">
        <v>1</v>
      </c>
      <c r="AB25" s="98">
        <v>1</v>
      </c>
      <c r="AC25" s="98">
        <v>1</v>
      </c>
      <c r="AD25" s="98">
        <v>1</v>
      </c>
      <c r="AE25" s="98" t="s">
        <v>57</v>
      </c>
      <c r="AF25" s="98">
        <v>1</v>
      </c>
      <c r="AG25" s="98">
        <v>1</v>
      </c>
      <c r="AH25" s="103" t="s">
        <v>58</v>
      </c>
      <c r="AI25" s="99">
        <v>1</v>
      </c>
      <c r="AJ25" s="84">
        <v>27</v>
      </c>
      <c r="AK25" s="85">
        <f t="shared" si="5"/>
        <v>19</v>
      </c>
      <c r="AL25" s="85">
        <f t="shared" si="6"/>
        <v>3</v>
      </c>
      <c r="AM25" s="86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8">
        <f>SUM(AJ7:AJ25)</f>
        <v>577</v>
      </c>
      <c r="AK26" s="70">
        <f t="shared" ref="AK26:AM26" si="8">SUM(AK7:AK25)</f>
        <v>363</v>
      </c>
      <c r="AL26" s="70">
        <f t="shared" si="8"/>
        <v>172</v>
      </c>
      <c r="AM26" s="76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3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3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3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3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3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3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3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8">
        <f>SUM(AJ27:AJ33)</f>
        <v>217</v>
      </c>
      <c r="AK34" s="70">
        <f>SUM(AK27:AK33)</f>
        <v>135</v>
      </c>
      <c r="AL34" s="70">
        <f>SUM(AL27:AL33)</f>
        <v>52</v>
      </c>
      <c r="AM34" s="76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3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3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3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8">
        <f>SUM(AJ35:AJ37)</f>
        <v>93</v>
      </c>
      <c r="AK38" s="70">
        <f>SUM(AK35:AK37)</f>
        <v>47</v>
      </c>
      <c r="AL38" s="70">
        <f>SUM(AL35:AL37)</f>
        <v>31</v>
      </c>
      <c r="AM38" s="76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3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3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8">
        <f>SUM(AJ39:AJ40)</f>
        <v>62</v>
      </c>
      <c r="AK41" s="70">
        <f>SUM(AK39:AK40)</f>
        <v>0</v>
      </c>
      <c r="AL41" s="70">
        <f>SUM(AL39:AL40)</f>
        <v>62</v>
      </c>
      <c r="AM41" s="76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3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8">
        <f>SUM(AJ42)</f>
        <v>31</v>
      </c>
      <c r="AK43" s="70">
        <f>SUM(AK42)</f>
        <v>0</v>
      </c>
      <c r="AL43" s="70">
        <f>SUM(AL42)</f>
        <v>31</v>
      </c>
      <c r="AM43" s="76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3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3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3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8">
        <f>SUM(AJ44:AJ46)</f>
        <v>93</v>
      </c>
      <c r="AK47" s="70">
        <f>SUM(AK44:AK46)</f>
        <v>44</v>
      </c>
      <c r="AL47" s="70">
        <f>SUM(AL44:AL46)</f>
        <v>41</v>
      </c>
      <c r="AM47" s="76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3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3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3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3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3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3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3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8">
        <f>SUM(AJ48:AJ54)</f>
        <v>217</v>
      </c>
      <c r="AK55" s="70">
        <f>SUM(AK48:AK54)</f>
        <v>190</v>
      </c>
      <c r="AL55" s="70">
        <f>SUM(AL48:AL54)</f>
        <v>16</v>
      </c>
      <c r="AM55" s="76">
        <f>SUM(AM48:AM54)</f>
        <v>11</v>
      </c>
    </row>
    <row r="56" spans="1:39" ht="16.3" thickBot="1" x14ac:dyDescent="0.3">
      <c r="A56" s="113">
        <f>A54+1</f>
        <v>45</v>
      </c>
      <c r="B56" s="114" t="s">
        <v>43</v>
      </c>
      <c r="C56" s="115" t="s">
        <v>45</v>
      </c>
      <c r="D56" s="116">
        <v>1252</v>
      </c>
      <c r="E56" s="117" t="s">
        <v>58</v>
      </c>
      <c r="F56" s="118" t="s">
        <v>58</v>
      </c>
      <c r="G56" s="118" t="s">
        <v>58</v>
      </c>
      <c r="H56" s="118" t="s">
        <v>58</v>
      </c>
      <c r="I56" s="118" t="s">
        <v>58</v>
      </c>
      <c r="J56" s="118" t="s">
        <v>58</v>
      </c>
      <c r="K56" s="118" t="s">
        <v>58</v>
      </c>
      <c r="L56" s="118" t="s">
        <v>58</v>
      </c>
      <c r="M56" s="118" t="s">
        <v>58</v>
      </c>
      <c r="N56" s="118" t="s">
        <v>58</v>
      </c>
      <c r="O56" s="118" t="s">
        <v>58</v>
      </c>
      <c r="P56" s="118" t="s">
        <v>57</v>
      </c>
      <c r="Q56" s="118">
        <v>1</v>
      </c>
      <c r="R56" s="118">
        <v>1</v>
      </c>
      <c r="S56" s="118">
        <v>1</v>
      </c>
      <c r="T56" s="118">
        <v>1</v>
      </c>
      <c r="U56" s="118" t="s">
        <v>58</v>
      </c>
      <c r="V56" s="118" t="s">
        <v>58</v>
      </c>
      <c r="W56" s="118">
        <v>1</v>
      </c>
      <c r="X56" s="118" t="s">
        <v>58</v>
      </c>
      <c r="Y56" s="118" t="s">
        <v>58</v>
      </c>
      <c r="Z56" s="118">
        <v>1</v>
      </c>
      <c r="AA56" s="118" t="s">
        <v>58</v>
      </c>
      <c r="AB56" s="118">
        <v>1</v>
      </c>
      <c r="AC56" s="118">
        <v>1</v>
      </c>
      <c r="AD56" s="118">
        <v>1</v>
      </c>
      <c r="AE56" s="118">
        <v>1</v>
      </c>
      <c r="AF56" s="118">
        <v>1</v>
      </c>
      <c r="AG56" s="118">
        <v>1</v>
      </c>
      <c r="AH56" s="118">
        <v>1</v>
      </c>
      <c r="AI56" s="118">
        <v>1</v>
      </c>
      <c r="AJ56" s="119">
        <f>АХД</f>
        <v>31</v>
      </c>
      <c r="AK56" s="120">
        <f>COUNTIF(E56:AI56,1)</f>
        <v>14</v>
      </c>
      <c r="AL56" s="120">
        <f>COUNTIF(E56:AI56,"тр")</f>
        <v>16</v>
      </c>
      <c r="AM56" s="121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8">
        <f>SUM(AJ56:AJ56)</f>
        <v>31</v>
      </c>
      <c r="AK57" s="70">
        <f>SUM(AK56:AK56)</f>
        <v>14</v>
      </c>
      <c r="AL57" s="70">
        <f>SUM(AL56:AL56)</f>
        <v>16</v>
      </c>
      <c r="AM57" s="76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3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3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8">
        <f>SUM(AJ58:AJ59)</f>
        <v>62</v>
      </c>
      <c r="AK60" s="70">
        <f>SUM(AK58:AK59)</f>
        <v>62</v>
      </c>
      <c r="AL60" s="70">
        <f>SUM(AL58:AL59)</f>
        <v>0</v>
      </c>
      <c r="AM60" s="76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4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Февраль 2019 автоколонны № 2 г. Смолевичи</v>
      </c>
      <c r="B63" s="146"/>
      <c r="C63" s="146"/>
      <c r="D63" s="146"/>
      <c r="E63" s="146"/>
      <c r="F63" s="146"/>
      <c r="G63" s="146"/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6"/>
      <c r="AE63" s="146"/>
      <c r="AF63" s="146"/>
      <c r="AG63" s="146"/>
      <c r="AH63" s="146"/>
      <c r="AI63" s="146"/>
      <c r="AJ63" s="146"/>
      <c r="AK63" s="146"/>
      <c r="AL63" s="146"/>
      <c r="AM63" s="146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8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4">
        <v>1</v>
      </c>
      <c r="B65" s="105" t="s">
        <v>54</v>
      </c>
      <c r="C65" s="112">
        <v>176</v>
      </c>
      <c r="D65" s="107">
        <v>6172</v>
      </c>
      <c r="E65" s="92">
        <v>1</v>
      </c>
      <c r="F65" s="93">
        <v>1</v>
      </c>
      <c r="G65" s="93">
        <v>1</v>
      </c>
      <c r="H65" s="93">
        <v>1</v>
      </c>
      <c r="I65" s="93">
        <v>1</v>
      </c>
      <c r="J65" s="93">
        <v>1</v>
      </c>
      <c r="K65" s="93">
        <v>1</v>
      </c>
      <c r="L65" s="93">
        <v>1</v>
      </c>
      <c r="M65" s="93">
        <v>1</v>
      </c>
      <c r="N65" s="93">
        <v>1</v>
      </c>
      <c r="O65" s="93">
        <v>1</v>
      </c>
      <c r="P65" s="93">
        <v>1</v>
      </c>
      <c r="Q65" s="93">
        <v>1</v>
      </c>
      <c r="R65" s="93">
        <v>1</v>
      </c>
      <c r="S65" s="93">
        <v>1</v>
      </c>
      <c r="T65" s="93">
        <v>1</v>
      </c>
      <c r="U65" s="93">
        <v>1</v>
      </c>
      <c r="V65" s="93">
        <v>1</v>
      </c>
      <c r="W65" s="93">
        <v>1</v>
      </c>
      <c r="X65" s="93">
        <v>1</v>
      </c>
      <c r="Y65" s="93">
        <v>1</v>
      </c>
      <c r="Z65" s="93">
        <v>1</v>
      </c>
      <c r="AA65" s="93">
        <v>1</v>
      </c>
      <c r="AB65" s="93">
        <v>1</v>
      </c>
      <c r="AC65" s="93">
        <v>1</v>
      </c>
      <c r="AD65" s="93">
        <v>1</v>
      </c>
      <c r="AE65" s="93">
        <v>1</v>
      </c>
      <c r="AF65" s="93">
        <v>1</v>
      </c>
      <c r="AG65" s="93">
        <v>1</v>
      </c>
      <c r="AH65" s="93">
        <v>1</v>
      </c>
      <c r="AI65" s="94">
        <v>1</v>
      </c>
      <c r="AJ65" s="73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6">
        <v>1</v>
      </c>
      <c r="AJ66" s="83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8">
        <f>A66+1</f>
        <v>3</v>
      </c>
      <c r="B67" s="109" t="s">
        <v>43</v>
      </c>
      <c r="C67" s="110" t="s">
        <v>44</v>
      </c>
      <c r="D67" s="111">
        <v>1250</v>
      </c>
      <c r="E67" s="97" t="s">
        <v>57</v>
      </c>
      <c r="F67" s="98">
        <v>1</v>
      </c>
      <c r="G67" s="98">
        <v>1</v>
      </c>
      <c r="H67" s="98">
        <v>1</v>
      </c>
      <c r="I67" s="98" t="s">
        <v>57</v>
      </c>
      <c r="J67" s="98" t="s">
        <v>57</v>
      </c>
      <c r="K67" s="98" t="s">
        <v>57</v>
      </c>
      <c r="L67" s="98">
        <v>1</v>
      </c>
      <c r="M67" s="98">
        <v>1</v>
      </c>
      <c r="N67" s="98">
        <v>1</v>
      </c>
      <c r="O67" s="98">
        <v>1</v>
      </c>
      <c r="P67" s="98" t="s">
        <v>57</v>
      </c>
      <c r="Q67" s="98" t="s">
        <v>57</v>
      </c>
      <c r="R67" s="98" t="s">
        <v>57</v>
      </c>
      <c r="S67" s="98" t="s">
        <v>57</v>
      </c>
      <c r="T67" s="98" t="s">
        <v>57</v>
      </c>
      <c r="U67" s="98">
        <v>1</v>
      </c>
      <c r="V67" s="98">
        <v>1</v>
      </c>
      <c r="W67" s="98">
        <v>1</v>
      </c>
      <c r="X67" s="98">
        <v>1</v>
      </c>
      <c r="Y67" s="98">
        <v>1</v>
      </c>
      <c r="Z67" s="98">
        <v>1</v>
      </c>
      <c r="AA67" s="98">
        <v>1</v>
      </c>
      <c r="AB67" s="98">
        <v>1</v>
      </c>
      <c r="AC67" s="98">
        <v>1</v>
      </c>
      <c r="AD67" s="98" t="s">
        <v>57</v>
      </c>
      <c r="AE67" s="98" t="s">
        <v>57</v>
      </c>
      <c r="AF67" s="98" t="s">
        <v>57</v>
      </c>
      <c r="AG67" s="98">
        <v>1</v>
      </c>
      <c r="AH67" s="98" t="s">
        <v>57</v>
      </c>
      <c r="AI67" s="99" t="s">
        <v>57</v>
      </c>
      <c r="AJ67" s="74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8">
        <f>SUM(AJ65:AJ67)</f>
        <v>93</v>
      </c>
      <c r="AK68" s="70">
        <f t="shared" ref="AK68:AM68" si="17">SUM(AK65:AK67)</f>
        <v>79</v>
      </c>
      <c r="AL68" s="70">
        <f t="shared" si="17"/>
        <v>0</v>
      </c>
      <c r="AM68" s="76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7">
        <f>AJ68</f>
        <v>93</v>
      </c>
    </row>
    <row r="71" spans="1:39" x14ac:dyDescent="0.25">
      <c r="B71" s="3" t="s">
        <v>75</v>
      </c>
      <c r="E71" s="89"/>
      <c r="F71" s="89"/>
      <c r="G71" s="89"/>
      <c r="H71" s="89"/>
      <c r="I71" s="89"/>
      <c r="J71" s="89"/>
      <c r="K71" s="89"/>
      <c r="L71" s="89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J72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Q67" sqref="Q67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4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</row>
    <row r="2" spans="1:36" ht="16.3" thickBot="1" x14ac:dyDescent="0.3">
      <c r="A2" s="23"/>
      <c r="B2" s="23"/>
      <c r="C2" s="75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7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3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4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8">
        <f>SUM(AG4:AG5)</f>
        <v>56</v>
      </c>
      <c r="AH6" s="139">
        <f>SUM(AH4:AH5)</f>
        <v>0</v>
      </c>
      <c r="AI6" s="139">
        <f>SUM(AI4:AI5)</f>
        <v>56</v>
      </c>
      <c r="AJ6" s="140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100">
        <v>6981</v>
      </c>
      <c r="E7" s="92" t="s">
        <v>58</v>
      </c>
      <c r="F7" s="93" t="s">
        <v>58</v>
      </c>
      <c r="G7" s="93" t="s">
        <v>58</v>
      </c>
      <c r="H7" s="93" t="s">
        <v>58</v>
      </c>
      <c r="I7" s="93" t="s">
        <v>58</v>
      </c>
      <c r="J7" s="93" t="s">
        <v>58</v>
      </c>
      <c r="K7" s="93" t="s">
        <v>58</v>
      </c>
      <c r="L7" s="93" t="s">
        <v>58</v>
      </c>
      <c r="M7" s="93" t="s">
        <v>58</v>
      </c>
      <c r="N7" s="93" t="s">
        <v>58</v>
      </c>
      <c r="O7" s="93" t="s">
        <v>58</v>
      </c>
      <c r="P7" s="93" t="s">
        <v>58</v>
      </c>
      <c r="Q7" s="93" t="s">
        <v>58</v>
      </c>
      <c r="R7" s="93" t="s">
        <v>58</v>
      </c>
      <c r="S7" s="93" t="s">
        <v>58</v>
      </c>
      <c r="T7" s="93" t="s">
        <v>58</v>
      </c>
      <c r="U7" s="93" t="s">
        <v>58</v>
      </c>
      <c r="V7" s="93" t="s">
        <v>58</v>
      </c>
      <c r="W7" s="93" t="s">
        <v>58</v>
      </c>
      <c r="X7" s="93" t="s">
        <v>58</v>
      </c>
      <c r="Y7" s="93" t="s">
        <v>58</v>
      </c>
      <c r="Z7" s="93" t="s">
        <v>58</v>
      </c>
      <c r="AA7" s="93" t="s">
        <v>58</v>
      </c>
      <c r="AB7" s="93" t="s">
        <v>58</v>
      </c>
      <c r="AC7" s="93" t="s">
        <v>58</v>
      </c>
      <c r="AD7" s="93" t="s">
        <v>58</v>
      </c>
      <c r="AE7" s="93" t="s">
        <v>58</v>
      </c>
      <c r="AF7" s="102" t="s">
        <v>58</v>
      </c>
      <c r="AG7" s="80">
        <f>COUNTA(E7:AF7)</f>
        <v>28</v>
      </c>
      <c r="AH7" s="81">
        <f t="shared" ref="AH7:AH25" si="0">COUNTIF(E7:AF7,1)</f>
        <v>0</v>
      </c>
      <c r="AI7" s="81">
        <f t="shared" ref="AI7:AI25" si="1">COUNTIF(E7:AF7,"тр")</f>
        <v>28</v>
      </c>
      <c r="AJ7" s="82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90">
        <v>6982</v>
      </c>
      <c r="E8" s="95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79"/>
      <c r="AG8" s="83">
        <f t="shared" ref="AG8:AG60" si="4">COUNTA(E8:AF8)</f>
        <v>13</v>
      </c>
      <c r="AH8" s="54">
        <f t="shared" si="0"/>
        <v>10</v>
      </c>
      <c r="AI8" s="54">
        <f t="shared" si="1"/>
        <v>0</v>
      </c>
      <c r="AJ8" s="55">
        <f t="shared" si="2"/>
        <v>3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90">
        <v>5721</v>
      </c>
      <c r="E9" s="95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9" t="s">
        <v>58</v>
      </c>
      <c r="AG9" s="83">
        <f t="shared" si="4"/>
        <v>28</v>
      </c>
      <c r="AH9" s="54">
        <f t="shared" si="0"/>
        <v>0</v>
      </c>
      <c r="AI9" s="54">
        <f t="shared" si="1"/>
        <v>28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1" t="s">
        <v>50</v>
      </c>
      <c r="E10" s="95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79"/>
      <c r="AG10" s="83">
        <f t="shared" si="4"/>
        <v>13</v>
      </c>
      <c r="AH10" s="54">
        <f t="shared" si="0"/>
        <v>8</v>
      </c>
      <c r="AI10" s="54">
        <f t="shared" si="1"/>
        <v>5</v>
      </c>
      <c r="AJ10" s="55">
        <f t="shared" si="2"/>
        <v>0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90">
        <v>1291</v>
      </c>
      <c r="E11" s="9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79"/>
      <c r="AG11" s="83">
        <f t="shared" si="4"/>
        <v>13</v>
      </c>
      <c r="AH11" s="54">
        <f t="shared" si="0"/>
        <v>13</v>
      </c>
      <c r="AI11" s="54">
        <f t="shared" si="1"/>
        <v>0</v>
      </c>
      <c r="AJ11" s="55">
        <f t="shared" si="2"/>
        <v>0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90">
        <v>6850</v>
      </c>
      <c r="E12" s="95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79"/>
      <c r="AG12" s="83">
        <f t="shared" si="4"/>
        <v>13</v>
      </c>
      <c r="AH12" s="54">
        <f t="shared" si="0"/>
        <v>9</v>
      </c>
      <c r="AI12" s="54">
        <f t="shared" si="1"/>
        <v>0</v>
      </c>
      <c r="AJ12" s="55">
        <f t="shared" si="2"/>
        <v>4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90">
        <v>7540</v>
      </c>
      <c r="E13" s="95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79"/>
      <c r="AG13" s="83">
        <f t="shared" si="4"/>
        <v>13</v>
      </c>
      <c r="AH13" s="54">
        <f t="shared" si="0"/>
        <v>10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90">
        <v>4729</v>
      </c>
      <c r="E14" s="95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79"/>
      <c r="AG14" s="83">
        <f t="shared" si="4"/>
        <v>13</v>
      </c>
      <c r="AH14" s="54">
        <f t="shared" si="0"/>
        <v>12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90">
        <v>4769</v>
      </c>
      <c r="E15" s="9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79"/>
      <c r="AG15" s="83">
        <f t="shared" si="4"/>
        <v>13</v>
      </c>
      <c r="AH15" s="54">
        <f t="shared" si="0"/>
        <v>11</v>
      </c>
      <c r="AI15" s="54">
        <f t="shared" si="1"/>
        <v>0</v>
      </c>
      <c r="AJ15" s="55">
        <f t="shared" si="2"/>
        <v>2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90">
        <v>4730</v>
      </c>
      <c r="E16" s="95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79"/>
      <c r="AG16" s="83">
        <f t="shared" si="4"/>
        <v>13</v>
      </c>
      <c r="AH16" s="54">
        <f t="shared" si="0"/>
        <v>8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90">
        <v>1213</v>
      </c>
      <c r="E17" s="9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79"/>
      <c r="AG17" s="83">
        <f t="shared" si="4"/>
        <v>13</v>
      </c>
      <c r="AH17" s="54">
        <f t="shared" si="0"/>
        <v>13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90">
        <v>4189</v>
      </c>
      <c r="E18" s="95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79"/>
      <c r="AG18" s="83">
        <f t="shared" si="4"/>
        <v>13</v>
      </c>
      <c r="AH18" s="54">
        <f t="shared" si="0"/>
        <v>8</v>
      </c>
      <c r="AI18" s="54">
        <f t="shared" si="1"/>
        <v>2</v>
      </c>
      <c r="AJ18" s="55">
        <f t="shared" si="2"/>
        <v>3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90">
        <v>3584</v>
      </c>
      <c r="E19" s="95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79"/>
      <c r="AG19" s="83">
        <f t="shared" si="4"/>
        <v>13</v>
      </c>
      <c r="AH19" s="54">
        <f t="shared" si="0"/>
        <v>11</v>
      </c>
      <c r="AI19" s="54">
        <f t="shared" si="1"/>
        <v>0</v>
      </c>
      <c r="AJ19" s="55">
        <f t="shared" si="2"/>
        <v>2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90">
        <v>1661</v>
      </c>
      <c r="E20" s="9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79"/>
      <c r="AG20" s="83">
        <f t="shared" si="4"/>
        <v>13</v>
      </c>
      <c r="AH20" s="54">
        <f t="shared" si="0"/>
        <v>13</v>
      </c>
      <c r="AI20" s="54">
        <f t="shared" si="1"/>
        <v>0</v>
      </c>
      <c r="AJ20" s="55">
        <f t="shared" si="2"/>
        <v>0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90">
        <v>1662</v>
      </c>
      <c r="E21" s="9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79"/>
      <c r="AG21" s="83">
        <f>COUNTA(E21:AF21)</f>
        <v>13</v>
      </c>
      <c r="AH21" s="54">
        <f t="shared" si="0"/>
        <v>13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90">
        <v>4302</v>
      </c>
      <c r="E22" s="95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79"/>
      <c r="AG22" s="83">
        <f t="shared" si="4"/>
        <v>13</v>
      </c>
      <c r="AH22" s="54">
        <f t="shared" si="0"/>
        <v>11</v>
      </c>
      <c r="AI22" s="54">
        <f t="shared" si="1"/>
        <v>0</v>
      </c>
      <c r="AJ22" s="55">
        <f t="shared" si="2"/>
        <v>2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90" t="s">
        <v>69</v>
      </c>
      <c r="E23" s="95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79" t="s">
        <v>58</v>
      </c>
      <c r="AG23" s="83">
        <f t="shared" si="4"/>
        <v>28</v>
      </c>
      <c r="AH23" s="54">
        <f t="shared" si="0"/>
        <v>0</v>
      </c>
      <c r="AI23" s="54">
        <f t="shared" si="1"/>
        <v>27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90" t="s">
        <v>70</v>
      </c>
      <c r="E24" s="9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79"/>
      <c r="AG24" s="83">
        <f t="shared" si="4"/>
        <v>13</v>
      </c>
      <c r="AH24" s="54">
        <f t="shared" si="0"/>
        <v>11</v>
      </c>
      <c r="AI24" s="54">
        <f t="shared" si="1"/>
        <v>0</v>
      </c>
      <c r="AJ24" s="55">
        <f t="shared" si="2"/>
        <v>2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1" t="s">
        <v>71</v>
      </c>
      <c r="E25" s="97">
        <v>1</v>
      </c>
      <c r="F25" s="98">
        <v>1</v>
      </c>
      <c r="G25" s="98">
        <v>1</v>
      </c>
      <c r="H25" s="98">
        <v>1</v>
      </c>
      <c r="I25" s="98">
        <v>1</v>
      </c>
      <c r="J25" s="98">
        <v>1</v>
      </c>
      <c r="K25" s="98">
        <v>1</v>
      </c>
      <c r="L25" s="98">
        <v>1</v>
      </c>
      <c r="M25" s="98">
        <v>1</v>
      </c>
      <c r="N25" s="98">
        <v>1</v>
      </c>
      <c r="O25" s="98">
        <v>1</v>
      </c>
      <c r="P25" s="98">
        <v>1</v>
      </c>
      <c r="Q25" s="98">
        <v>1</v>
      </c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103"/>
      <c r="AG25" s="84">
        <f t="shared" si="4"/>
        <v>13</v>
      </c>
      <c r="AH25" s="85">
        <f t="shared" si="0"/>
        <v>13</v>
      </c>
      <c r="AI25" s="85">
        <f t="shared" si="1"/>
        <v>0</v>
      </c>
      <c r="AJ25" s="86">
        <f t="shared" si="2"/>
        <v>0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1">
        <f>SUM(AG7:AG25)</f>
        <v>292</v>
      </c>
      <c r="AH26" s="142">
        <f t="shared" ref="AH26:AJ26" si="5">SUM(AH7:AH25)</f>
        <v>174</v>
      </c>
      <c r="AI26" s="142">
        <f t="shared" si="5"/>
        <v>96</v>
      </c>
      <c r="AJ26" s="143">
        <f t="shared" si="5"/>
        <v>22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126"/>
      <c r="AG27" s="80">
        <f t="shared" si="4"/>
        <v>13</v>
      </c>
      <c r="AH27" s="81">
        <f t="shared" ref="AH27:AH33" si="6">COUNTIF(E27:AF27,1)</f>
        <v>2</v>
      </c>
      <c r="AI27" s="81">
        <f t="shared" ref="AI27:AI33" si="7">COUNTIF(E27:AF27,"тр")</f>
        <v>9</v>
      </c>
      <c r="AJ27" s="82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9" t="s">
        <v>58</v>
      </c>
      <c r="AG28" s="83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79"/>
      <c r="AG29" s="83">
        <f t="shared" si="4"/>
        <v>13</v>
      </c>
      <c r="AH29" s="54">
        <f t="shared" si="6"/>
        <v>9</v>
      </c>
      <c r="AI29" s="54">
        <f t="shared" si="7"/>
        <v>0</v>
      </c>
      <c r="AJ29" s="55">
        <f t="shared" si="8"/>
        <v>4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79"/>
      <c r="AG30" s="83">
        <f t="shared" si="4"/>
        <v>13</v>
      </c>
      <c r="AH30" s="54">
        <f t="shared" si="6"/>
        <v>5</v>
      </c>
      <c r="AI30" s="54">
        <f t="shared" si="7"/>
        <v>0</v>
      </c>
      <c r="AJ30" s="55">
        <f t="shared" si="8"/>
        <v>8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79"/>
      <c r="AG31" s="83">
        <f t="shared" si="4"/>
        <v>13</v>
      </c>
      <c r="AH31" s="54">
        <f t="shared" si="6"/>
        <v>12</v>
      </c>
      <c r="AI31" s="54">
        <f t="shared" si="7"/>
        <v>0</v>
      </c>
      <c r="AJ31" s="55">
        <f t="shared" si="8"/>
        <v>1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79"/>
      <c r="AG32" s="83">
        <f t="shared" si="4"/>
        <v>13</v>
      </c>
      <c r="AH32" s="54">
        <f t="shared" si="6"/>
        <v>10</v>
      </c>
      <c r="AI32" s="54">
        <f t="shared" si="7"/>
        <v>0</v>
      </c>
      <c r="AJ32" s="55">
        <f t="shared" si="8"/>
        <v>3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127"/>
      <c r="AG33" s="84">
        <f t="shared" si="4"/>
        <v>13</v>
      </c>
      <c r="AH33" s="85">
        <f t="shared" si="6"/>
        <v>12</v>
      </c>
      <c r="AI33" s="85">
        <f t="shared" si="7"/>
        <v>0</v>
      </c>
      <c r="AJ33" s="86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5">
        <f>SUM(AG27:AG33)</f>
        <v>106</v>
      </c>
      <c r="AH34" s="136">
        <f>SUM(AH27:AH33)</f>
        <v>50</v>
      </c>
      <c r="AI34" s="136">
        <f>SUM(AI27:AI33)</f>
        <v>37</v>
      </c>
      <c r="AJ34" s="137">
        <f>SUM(AJ27:AJ33)</f>
        <v>19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73">
        <f t="shared" si="4"/>
        <v>13</v>
      </c>
      <c r="AH35" s="17">
        <f>COUNTIF(E35:AF35,1)</f>
        <v>6</v>
      </c>
      <c r="AI35" s="17">
        <f>COUNTIF(E35:AF35,"тр")</f>
        <v>5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73">
        <f t="shared" si="4"/>
        <v>13</v>
      </c>
      <c r="AH36" s="54">
        <f>COUNTIF(E36:AF36,1)</f>
        <v>7</v>
      </c>
      <c r="AI36" s="54">
        <f>COUNTIF(E36:AF36,"тр")</f>
        <v>0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3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8">
        <f>SUM(AG35:AG37)</f>
        <v>54</v>
      </c>
      <c r="AH38" s="70">
        <f>SUM(AH35:AH37)</f>
        <v>13</v>
      </c>
      <c r="AI38" s="70">
        <f>SUM(AI35:AI37)</f>
        <v>33</v>
      </c>
      <c r="AJ38" s="76">
        <f>SUM(AJ35:AJ37)</f>
        <v>8</v>
      </c>
    </row>
    <row r="39" spans="1:36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73">
        <f t="shared" si="4"/>
        <v>28</v>
      </c>
      <c r="AH39" s="17">
        <f>COUNTIF(E39:AF39,1)</f>
        <v>0</v>
      </c>
      <c r="AI39" s="17">
        <f>COUNTIF(E39:AF39,"тр")</f>
        <v>28</v>
      </c>
      <c r="AJ39" s="18">
        <f>COUNTIF(E39:AF39,"бв")</f>
        <v>0</v>
      </c>
    </row>
    <row r="40" spans="1:36" ht="16.3" thickBot="1" x14ac:dyDescent="0.3">
      <c r="A40" s="44">
        <f t="shared" si="3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73">
        <f t="shared" si="4"/>
        <v>28</v>
      </c>
      <c r="AH40" s="56">
        <f>COUNTIF(E40:AF40,1)</f>
        <v>0</v>
      </c>
      <c r="AI40" s="56">
        <f>COUNTIF(E40:AF40,"тр")</f>
        <v>28</v>
      </c>
      <c r="AJ40" s="57">
        <f>COUNTIF(E40:AF40,"бв")</f>
        <v>0</v>
      </c>
    </row>
    <row r="41" spans="1:36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78">
        <f>SUM(AG39:AG40)</f>
        <v>56</v>
      </c>
      <c r="AH41" s="70">
        <f>SUM(AH39:AH40)</f>
        <v>0</v>
      </c>
      <c r="AI41" s="70">
        <f>SUM(AI39:AI40)</f>
        <v>56</v>
      </c>
      <c r="AJ41" s="76">
        <f>SUM(AJ39:AJ40)</f>
        <v>0</v>
      </c>
    </row>
    <row r="42" spans="1:36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73">
        <f t="shared" si="4"/>
        <v>28</v>
      </c>
      <c r="AH42" s="19">
        <f>COUNTIF(E42:AF42,1)</f>
        <v>0</v>
      </c>
      <c r="AI42" s="19">
        <f>COUNTIF(E42:AF42,"тр")</f>
        <v>28</v>
      </c>
      <c r="AJ42" s="20">
        <f>COUNTIF(E42:AF42,"бв")</f>
        <v>0</v>
      </c>
    </row>
    <row r="43" spans="1:36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78">
        <f>SUM(AG42)</f>
        <v>28</v>
      </c>
      <c r="AH43" s="70">
        <f>SUM(AH42)</f>
        <v>0</v>
      </c>
      <c r="AI43" s="70">
        <f>SUM(AI42)</f>
        <v>28</v>
      </c>
      <c r="AJ43" s="76">
        <f>SUM(AJ42)</f>
        <v>0</v>
      </c>
    </row>
    <row r="44" spans="1:36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>
        <v>1</v>
      </c>
      <c r="G44" s="35" t="s">
        <v>57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73">
        <f t="shared" si="4"/>
        <v>13</v>
      </c>
      <c r="AH44" s="17">
        <f>COUNTIF(E44:AF44,1)</f>
        <v>11</v>
      </c>
      <c r="AI44" s="17">
        <f>COUNTIF(E44:AF44,"тр")</f>
        <v>1</v>
      </c>
      <c r="AJ44" s="18">
        <f>COUNTIF(E44:AF44,"бв")</f>
        <v>1</v>
      </c>
    </row>
    <row r="45" spans="1:36" x14ac:dyDescent="0.25">
      <c r="A45" s="11">
        <f t="shared" si="3"/>
        <v>36</v>
      </c>
      <c r="B45" s="12" t="s">
        <v>33</v>
      </c>
      <c r="C45" s="13" t="s">
        <v>34</v>
      </c>
      <c r="D45" s="22">
        <v>7945</v>
      </c>
      <c r="E45" s="7">
        <v>1</v>
      </c>
      <c r="F45" s="7">
        <v>1</v>
      </c>
      <c r="G45" s="7" t="s">
        <v>57</v>
      </c>
      <c r="H45" s="5">
        <v>1</v>
      </c>
      <c r="I45" s="5">
        <v>1</v>
      </c>
      <c r="J45" s="5">
        <v>1</v>
      </c>
      <c r="K45" s="5">
        <v>1</v>
      </c>
      <c r="L45" s="5" t="s">
        <v>57</v>
      </c>
      <c r="M45" s="5" t="s">
        <v>57</v>
      </c>
      <c r="N45" s="5" t="s">
        <v>57</v>
      </c>
      <c r="O45" s="5" t="s">
        <v>57</v>
      </c>
      <c r="P45" s="5" t="s">
        <v>57</v>
      </c>
      <c r="Q45" s="5" t="s">
        <v>57</v>
      </c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73">
        <f t="shared" si="4"/>
        <v>13</v>
      </c>
      <c r="AH45" s="54">
        <f>COUNTIF(E45:AF45,1)</f>
        <v>6</v>
      </c>
      <c r="AI45" s="54">
        <f>COUNTIF(E45:AF45,"тр")</f>
        <v>0</v>
      </c>
      <c r="AJ45" s="55">
        <f>COUNTIF(E45:AF45,"бв")</f>
        <v>7</v>
      </c>
    </row>
    <row r="46" spans="1:36" ht="16.3" thickBot="1" x14ac:dyDescent="0.3">
      <c r="A46" s="44">
        <f t="shared" si="3"/>
        <v>37</v>
      </c>
      <c r="B46" s="39" t="s">
        <v>35</v>
      </c>
      <c r="C46" s="68">
        <v>135</v>
      </c>
      <c r="D46" s="41">
        <v>8933</v>
      </c>
      <c r="E46" s="43" t="s">
        <v>58</v>
      </c>
      <c r="F46" s="43" t="s">
        <v>58</v>
      </c>
      <c r="G46" s="43" t="s">
        <v>58</v>
      </c>
      <c r="H46" s="42" t="s">
        <v>58</v>
      </c>
      <c r="I46" s="42" t="s">
        <v>58</v>
      </c>
      <c r="J46" s="42" t="s">
        <v>58</v>
      </c>
      <c r="K46" s="42" t="s">
        <v>58</v>
      </c>
      <c r="L46" s="42" t="s">
        <v>58</v>
      </c>
      <c r="M46" s="42" t="s">
        <v>58</v>
      </c>
      <c r="N46" s="42" t="s">
        <v>58</v>
      </c>
      <c r="O46" s="42" t="s">
        <v>58</v>
      </c>
      <c r="P46" s="42" t="s">
        <v>58</v>
      </c>
      <c r="Q46" s="42" t="s">
        <v>58</v>
      </c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73">
        <f t="shared" si="4"/>
        <v>13</v>
      </c>
      <c r="AH46" s="56">
        <f>COUNTIF(E46:AF46,1)</f>
        <v>0</v>
      </c>
      <c r="AI46" s="56">
        <f>COUNTIF(E46:AF46,"тр")</f>
        <v>13</v>
      </c>
      <c r="AJ46" s="57">
        <f>COUNTIF(E46:AF46,"бв")</f>
        <v>0</v>
      </c>
    </row>
    <row r="47" spans="1:36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78">
        <f>SUM(AG44:AG46)</f>
        <v>39</v>
      </c>
      <c r="AH47" s="70">
        <f>SUM(AH44:AH46)</f>
        <v>17</v>
      </c>
      <c r="AI47" s="70">
        <f>SUM(AI44:AI46)</f>
        <v>14</v>
      </c>
      <c r="AJ47" s="76">
        <f>SUM(AJ44:AJ46)</f>
        <v>8</v>
      </c>
    </row>
    <row r="48" spans="1:36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73">
        <f t="shared" si="4"/>
        <v>13</v>
      </c>
      <c r="AH48" s="17">
        <f t="shared" ref="AH48:AH54" si="9">COUNTIF(E48:AF48,1)</f>
        <v>13</v>
      </c>
      <c r="AI48" s="17">
        <f t="shared" ref="AI48:AI54" si="10">COUNTIF(E48:AF48,"тр")</f>
        <v>0</v>
      </c>
      <c r="AJ48" s="18">
        <f t="shared" ref="AJ48:AJ54" si="11">COUNTIF(E48:AF48,"бв")</f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37</v>
      </c>
      <c r="D49" s="22">
        <v>4995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73">
        <f t="shared" si="4"/>
        <v>13</v>
      </c>
      <c r="AH49" s="54">
        <f t="shared" si="9"/>
        <v>13</v>
      </c>
      <c r="AI49" s="54">
        <f t="shared" si="10"/>
        <v>0</v>
      </c>
      <c r="AJ49" s="55">
        <f t="shared" si="11"/>
        <v>0</v>
      </c>
    </row>
    <row r="50" spans="1:36" x14ac:dyDescent="0.25">
      <c r="A50" s="11">
        <f t="shared" si="3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 t="s">
        <v>57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73">
        <f t="shared" si="4"/>
        <v>13</v>
      </c>
      <c r="AH50" s="54">
        <f t="shared" si="9"/>
        <v>12</v>
      </c>
      <c r="AI50" s="54">
        <f t="shared" si="10"/>
        <v>0</v>
      </c>
      <c r="AJ50" s="55">
        <f t="shared" si="11"/>
        <v>1</v>
      </c>
    </row>
    <row r="51" spans="1:36" x14ac:dyDescent="0.25">
      <c r="A51" s="11">
        <f t="shared" si="3"/>
        <v>41</v>
      </c>
      <c r="B51" s="12" t="s">
        <v>54</v>
      </c>
      <c r="C51" s="13" t="s">
        <v>39</v>
      </c>
      <c r="D51" s="22">
        <v>6130</v>
      </c>
      <c r="E51" s="7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73">
        <f t="shared" si="4"/>
        <v>13</v>
      </c>
      <c r="AH51" s="54">
        <f t="shared" si="9"/>
        <v>13</v>
      </c>
      <c r="AI51" s="54">
        <f t="shared" si="10"/>
        <v>0</v>
      </c>
      <c r="AJ51" s="55">
        <f t="shared" si="11"/>
        <v>0</v>
      </c>
    </row>
    <row r="52" spans="1:36" x14ac:dyDescent="0.25">
      <c r="A52" s="11">
        <f t="shared" si="3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 t="s">
        <v>57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73">
        <f t="shared" si="4"/>
        <v>13</v>
      </c>
      <c r="AH52" s="54">
        <f t="shared" si="9"/>
        <v>12</v>
      </c>
      <c r="AI52" s="54">
        <f t="shared" si="10"/>
        <v>0</v>
      </c>
      <c r="AJ52" s="55">
        <f t="shared" si="11"/>
        <v>1</v>
      </c>
    </row>
    <row r="53" spans="1:36" x14ac:dyDescent="0.25">
      <c r="A53" s="11">
        <f t="shared" si="3"/>
        <v>43</v>
      </c>
      <c r="B53" s="12" t="s">
        <v>54</v>
      </c>
      <c r="C53" s="13" t="s">
        <v>41</v>
      </c>
      <c r="D53" s="22">
        <v>1296</v>
      </c>
      <c r="E53" s="7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>
        <v>1</v>
      </c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73">
        <f t="shared" si="4"/>
        <v>13</v>
      </c>
      <c r="AH53" s="54">
        <f t="shared" si="9"/>
        <v>13</v>
      </c>
      <c r="AI53" s="54">
        <f t="shared" si="10"/>
        <v>0</v>
      </c>
      <c r="AJ53" s="55">
        <f t="shared" si="11"/>
        <v>0</v>
      </c>
    </row>
    <row r="54" spans="1:36" ht="16.3" thickBot="1" x14ac:dyDescent="0.3">
      <c r="A54" s="44">
        <f t="shared" si="3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73">
        <f t="shared" si="4"/>
        <v>13</v>
      </c>
      <c r="AH54" s="56">
        <f t="shared" si="9"/>
        <v>13</v>
      </c>
      <c r="AI54" s="56">
        <f t="shared" si="10"/>
        <v>0</v>
      </c>
      <c r="AJ54" s="57">
        <f t="shared" si="11"/>
        <v>0</v>
      </c>
    </row>
    <row r="55" spans="1:36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78">
        <f>SUM(AG48:AG54)</f>
        <v>91</v>
      </c>
      <c r="AH55" s="70">
        <f>SUM(AH48:AH54)</f>
        <v>89</v>
      </c>
      <c r="AI55" s="70">
        <f>SUM(AI48:AI54)</f>
        <v>0</v>
      </c>
      <c r="AJ55" s="76">
        <f>SUM(AJ48:AJ54)</f>
        <v>2</v>
      </c>
    </row>
    <row r="56" spans="1:36" ht="16.3" thickBot="1" x14ac:dyDescent="0.3">
      <c r="A56" s="44">
        <f>A68+1</f>
        <v>46</v>
      </c>
      <c r="B56" s="39" t="s">
        <v>43</v>
      </c>
      <c r="C56" s="40" t="s">
        <v>45</v>
      </c>
      <c r="D56" s="41">
        <v>1252</v>
      </c>
      <c r="E56" s="43">
        <v>1</v>
      </c>
      <c r="F56" s="42">
        <v>1</v>
      </c>
      <c r="G56" s="42">
        <v>1</v>
      </c>
      <c r="H56" s="42" t="s">
        <v>58</v>
      </c>
      <c r="I56" s="42" t="s">
        <v>58</v>
      </c>
      <c r="J56" s="42" t="s">
        <v>58</v>
      </c>
      <c r="K56" s="42" t="s">
        <v>58</v>
      </c>
      <c r="L56" s="42" t="s">
        <v>58</v>
      </c>
      <c r="M56" s="42" t="s">
        <v>58</v>
      </c>
      <c r="N56" s="42" t="s">
        <v>58</v>
      </c>
      <c r="O56" s="42" t="s">
        <v>57</v>
      </c>
      <c r="P56" s="42">
        <v>1</v>
      </c>
      <c r="Q56" s="42">
        <v>1</v>
      </c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73">
        <f t="shared" si="4"/>
        <v>13</v>
      </c>
      <c r="AH56" s="56">
        <f>COUNTIF(E56:AF56,1)</f>
        <v>5</v>
      </c>
      <c r="AI56" s="56">
        <f>COUNTIF(E56:AF56,"тр")</f>
        <v>7</v>
      </c>
      <c r="AJ56" s="57">
        <f>COUNTIF(E56:AF56,"бв")</f>
        <v>1</v>
      </c>
    </row>
    <row r="57" spans="1:36" s="33" customFormat="1" ht="16.3" thickBot="1" x14ac:dyDescent="0.3">
      <c r="A57" s="130"/>
      <c r="B57" s="131" t="s">
        <v>63</v>
      </c>
      <c r="C57" s="129"/>
      <c r="D57" s="129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78">
        <f>SUM(AG56:AG56)</f>
        <v>13</v>
      </c>
      <c r="AH57" s="70">
        <f>SUM(AH56:AH56)</f>
        <v>5</v>
      </c>
      <c r="AI57" s="70">
        <f>SUM(AI56:AI56)</f>
        <v>7</v>
      </c>
      <c r="AJ57" s="76">
        <f>SUM(AJ56:AJ56)</f>
        <v>1</v>
      </c>
    </row>
    <row r="58" spans="1:36" x14ac:dyDescent="0.25">
      <c r="A58" s="104">
        <f>A56+1</f>
        <v>47</v>
      </c>
      <c r="B58" s="105" t="s">
        <v>64</v>
      </c>
      <c r="C58" s="106" t="s">
        <v>65</v>
      </c>
      <c r="D58" s="107" t="s">
        <v>59</v>
      </c>
      <c r="E58" s="144">
        <v>1</v>
      </c>
      <c r="F58" s="93">
        <v>1</v>
      </c>
      <c r="G58" s="93">
        <v>1</v>
      </c>
      <c r="H58" s="93">
        <v>1</v>
      </c>
      <c r="I58" s="93">
        <v>1</v>
      </c>
      <c r="J58" s="93">
        <v>1</v>
      </c>
      <c r="K58" s="93">
        <v>1</v>
      </c>
      <c r="L58" s="93" t="s">
        <v>58</v>
      </c>
      <c r="M58" s="93">
        <v>1</v>
      </c>
      <c r="N58" s="93" t="s">
        <v>58</v>
      </c>
      <c r="O58" s="93" t="s">
        <v>58</v>
      </c>
      <c r="P58" s="93">
        <v>1</v>
      </c>
      <c r="Q58" s="93">
        <v>1</v>
      </c>
      <c r="R58" s="93"/>
      <c r="S58" s="93"/>
      <c r="T58" s="93"/>
      <c r="U58" s="93"/>
      <c r="V58" s="93"/>
      <c r="W58" s="93"/>
      <c r="X58" s="93"/>
      <c r="Y58" s="93"/>
      <c r="Z58" s="93"/>
      <c r="AA58" s="93"/>
      <c r="AB58" s="93"/>
      <c r="AC58" s="93"/>
      <c r="AD58" s="93"/>
      <c r="AE58" s="93"/>
      <c r="AF58" s="102"/>
      <c r="AG58" s="80">
        <f t="shared" si="4"/>
        <v>13</v>
      </c>
      <c r="AH58" s="81">
        <f>COUNTIF(E58:AF58,1)</f>
        <v>10</v>
      </c>
      <c r="AI58" s="81">
        <f>COUNTIF(E58:AF58,"тр")</f>
        <v>3</v>
      </c>
      <c r="AJ58" s="82">
        <f>COUNTIF(E58:AF58,"бв")</f>
        <v>0</v>
      </c>
    </row>
    <row r="59" spans="1:36" x14ac:dyDescent="0.25">
      <c r="A59" s="58">
        <f t="shared" si="3"/>
        <v>48</v>
      </c>
      <c r="B59" s="39" t="s">
        <v>64</v>
      </c>
      <c r="C59" s="40" t="s">
        <v>66</v>
      </c>
      <c r="D59" s="22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 t="s">
        <v>57</v>
      </c>
      <c r="N59" s="42">
        <v>1</v>
      </c>
      <c r="O59" s="42">
        <v>1</v>
      </c>
      <c r="P59" s="42">
        <v>1</v>
      </c>
      <c r="Q59" s="42">
        <v>1</v>
      </c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127"/>
      <c r="AG59" s="73">
        <f t="shared" si="4"/>
        <v>13</v>
      </c>
      <c r="AH59" s="56">
        <f>COUNTIF(E59:AF59,1)</f>
        <v>12</v>
      </c>
      <c r="AI59" s="56">
        <f>COUNTIF(E59:AF59,"тр")</f>
        <v>0</v>
      </c>
      <c r="AJ59" s="57">
        <f>COUNTIF(E59:AF59,"бв")</f>
        <v>1</v>
      </c>
    </row>
    <row r="60" spans="1:36" ht="16.3" thickBot="1" x14ac:dyDescent="0.3">
      <c r="A60" s="108">
        <v>49</v>
      </c>
      <c r="B60" s="109" t="s">
        <v>79</v>
      </c>
      <c r="C60" s="110" t="s">
        <v>77</v>
      </c>
      <c r="D60" s="111" t="s">
        <v>78</v>
      </c>
      <c r="E60" s="145" t="s">
        <v>57</v>
      </c>
      <c r="F60" s="98" t="s">
        <v>57</v>
      </c>
      <c r="G60" s="98" t="s">
        <v>57</v>
      </c>
      <c r="H60" s="98" t="s">
        <v>57</v>
      </c>
      <c r="I60" s="98" t="s">
        <v>57</v>
      </c>
      <c r="J60" s="98" t="s">
        <v>57</v>
      </c>
      <c r="K60" s="98" t="s">
        <v>57</v>
      </c>
      <c r="L60" s="98">
        <v>1</v>
      </c>
      <c r="M60" s="98">
        <v>1</v>
      </c>
      <c r="N60" s="98">
        <v>1</v>
      </c>
      <c r="O60" s="98">
        <v>1</v>
      </c>
      <c r="P60" s="98" t="s">
        <v>57</v>
      </c>
      <c r="Q60" s="98">
        <v>1</v>
      </c>
      <c r="R60" s="98"/>
      <c r="S60" s="98"/>
      <c r="T60" s="98"/>
      <c r="U60" s="98"/>
      <c r="V60" s="98"/>
      <c r="W60" s="98"/>
      <c r="X60" s="98"/>
      <c r="Y60" s="98"/>
      <c r="Z60" s="98"/>
      <c r="AA60" s="98"/>
      <c r="AB60" s="98"/>
      <c r="AC60" s="98"/>
      <c r="AD60" s="98"/>
      <c r="AE60" s="98"/>
      <c r="AF60" s="103"/>
      <c r="AG60" s="128">
        <f t="shared" si="4"/>
        <v>13</v>
      </c>
      <c r="AH60" s="85">
        <f>COUNTIF(E60:AF60,1)</f>
        <v>5</v>
      </c>
      <c r="AI60" s="85">
        <f>COUNTIF(E60:AF60,"тр")</f>
        <v>0</v>
      </c>
      <c r="AJ60" s="86">
        <f>COUNTIF(E60:AF60,"бв")</f>
        <v>8</v>
      </c>
    </row>
    <row r="61" spans="1:36" s="33" customFormat="1" ht="16.3" thickBot="1" x14ac:dyDescent="0.3">
      <c r="A61" s="122"/>
      <c r="B61" s="123" t="s">
        <v>63</v>
      </c>
      <c r="C61" s="124"/>
      <c r="D61" s="124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125"/>
      <c r="AG61" s="78">
        <f>SUM(AG58:AG60)</f>
        <v>39</v>
      </c>
      <c r="AH61" s="70">
        <f t="shared" ref="AH61:AJ61" si="12">SUM(AH58:AH60)</f>
        <v>27</v>
      </c>
      <c r="AI61" s="70">
        <f t="shared" si="12"/>
        <v>3</v>
      </c>
      <c r="AJ61" s="76">
        <f t="shared" si="12"/>
        <v>9</v>
      </c>
    </row>
    <row r="62" spans="1:36" s="33" customFormat="1" x14ac:dyDescent="0.25">
      <c r="A62" s="87"/>
      <c r="B62" s="49"/>
      <c r="C62" s="50"/>
      <c r="D62" s="50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1" t="s">
        <v>67</v>
      </c>
      <c r="Z62" s="52"/>
      <c r="AA62" s="52"/>
      <c r="AB62" s="52"/>
      <c r="AC62" s="52"/>
      <c r="AD62" s="52"/>
      <c r="AE62" s="52"/>
      <c r="AF62" s="52"/>
      <c r="AG62" s="53">
        <f>AG6+AG26+AG34+AG38+AG41+AG43+AG47+AG55+AG57+AG61</f>
        <v>774</v>
      </c>
      <c r="AH62" s="53"/>
      <c r="AI62" s="53"/>
      <c r="AJ62" s="53"/>
    </row>
    <row r="63" spans="1:36" x14ac:dyDescent="0.25">
      <c r="B63" s="1"/>
      <c r="C63" s="2"/>
      <c r="D63" s="2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8"/>
      <c r="AI63" s="48"/>
      <c r="AJ63" s="48"/>
    </row>
    <row r="64" spans="1:36" ht="16.3" thickBot="1" x14ac:dyDescent="0.3">
      <c r="A64" s="14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Февраль 2019 автоколонны № 2 г. Смолевичи</v>
      </c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  <c r="AD64" s="146"/>
      <c r="AE64" s="146"/>
      <c r="AF64" s="146"/>
      <c r="AG64" s="146"/>
      <c r="AH64" s="146"/>
      <c r="AI64" s="146"/>
      <c r="AJ64" s="146"/>
    </row>
    <row r="65" spans="1:36" s="33" customFormat="1" ht="16.3" thickBot="1" x14ac:dyDescent="0.3">
      <c r="A65" s="27" t="s">
        <v>56</v>
      </c>
      <c r="B65" s="28" t="s">
        <v>46</v>
      </c>
      <c r="C65" s="28" t="s">
        <v>48</v>
      </c>
      <c r="D65" s="29" t="s">
        <v>47</v>
      </c>
      <c r="E65" s="30">
        <v>1</v>
      </c>
      <c r="F65" s="30">
        <v>2</v>
      </c>
      <c r="G65" s="30">
        <v>3</v>
      </c>
      <c r="H65" s="30">
        <v>4</v>
      </c>
      <c r="I65" s="30">
        <v>5</v>
      </c>
      <c r="J65" s="30">
        <v>6</v>
      </c>
      <c r="K65" s="30">
        <v>7</v>
      </c>
      <c r="L65" s="30">
        <v>8</v>
      </c>
      <c r="M65" s="30">
        <v>9</v>
      </c>
      <c r="N65" s="30">
        <v>10</v>
      </c>
      <c r="O65" s="30">
        <v>11</v>
      </c>
      <c r="P65" s="30">
        <v>12</v>
      </c>
      <c r="Q65" s="30">
        <v>13</v>
      </c>
      <c r="R65" s="30">
        <v>14</v>
      </c>
      <c r="S65" s="30">
        <v>15</v>
      </c>
      <c r="T65" s="30">
        <v>16</v>
      </c>
      <c r="U65" s="30">
        <v>17</v>
      </c>
      <c r="V65" s="30">
        <v>18</v>
      </c>
      <c r="W65" s="30">
        <v>19</v>
      </c>
      <c r="X65" s="30">
        <v>20</v>
      </c>
      <c r="Y65" s="30">
        <v>21</v>
      </c>
      <c r="Z65" s="30">
        <v>22</v>
      </c>
      <c r="AA65" s="30">
        <v>23</v>
      </c>
      <c r="AB65" s="30">
        <v>24</v>
      </c>
      <c r="AC65" s="30">
        <v>25</v>
      </c>
      <c r="AD65" s="30">
        <v>26</v>
      </c>
      <c r="AE65" s="30">
        <v>27</v>
      </c>
      <c r="AF65" s="30">
        <v>28</v>
      </c>
      <c r="AG65" s="132" t="s">
        <v>62</v>
      </c>
      <c r="AH65" s="133" t="s">
        <v>61</v>
      </c>
      <c r="AI65" s="133" t="s">
        <v>58</v>
      </c>
      <c r="AJ65" s="134" t="s">
        <v>57</v>
      </c>
    </row>
    <row r="66" spans="1:36" x14ac:dyDescent="0.25">
      <c r="A66" s="8">
        <v>1</v>
      </c>
      <c r="B66" s="9" t="s">
        <v>54</v>
      </c>
      <c r="C66" s="69">
        <v>176</v>
      </c>
      <c r="D66" s="100">
        <v>6172</v>
      </c>
      <c r="E66" s="92">
        <v>1</v>
      </c>
      <c r="F66" s="93">
        <v>1</v>
      </c>
      <c r="G66" s="93">
        <v>1</v>
      </c>
      <c r="H66" s="93">
        <v>1</v>
      </c>
      <c r="I66" s="93">
        <v>1</v>
      </c>
      <c r="J66" s="93">
        <v>1</v>
      </c>
      <c r="K66" s="93" t="s">
        <v>58</v>
      </c>
      <c r="L66" s="93" t="s">
        <v>57</v>
      </c>
      <c r="M66" s="93" t="s">
        <v>58</v>
      </c>
      <c r="N66" s="93" t="s">
        <v>58</v>
      </c>
      <c r="O66" s="93" t="s">
        <v>58</v>
      </c>
      <c r="P66" s="93" t="s">
        <v>58</v>
      </c>
      <c r="Q66" s="93" t="s">
        <v>80</v>
      </c>
      <c r="R66" s="93"/>
      <c r="S66" s="93"/>
      <c r="T66" s="93"/>
      <c r="U66" s="93"/>
      <c r="V66" s="93"/>
      <c r="W66" s="93"/>
      <c r="X66" s="93"/>
      <c r="Y66" s="93"/>
      <c r="Z66" s="93"/>
      <c r="AA66" s="93"/>
      <c r="AB66" s="93"/>
      <c r="AC66" s="93"/>
      <c r="AD66" s="93"/>
      <c r="AE66" s="93"/>
      <c r="AF66" s="102"/>
      <c r="AG66" s="80">
        <f t="shared" ref="AG66:AG68" si="13">COUNTA(E66:AF66)</f>
        <v>13</v>
      </c>
      <c r="AH66" s="81">
        <f>COUNTIF(E66:AF66,1)</f>
        <v>6</v>
      </c>
      <c r="AI66" s="81">
        <f>COUNTIF(E66:AF66,"тр")</f>
        <v>5</v>
      </c>
      <c r="AJ66" s="82">
        <f>COUNTIF(E66:AF66,"бв")</f>
        <v>1</v>
      </c>
    </row>
    <row r="67" spans="1:36" x14ac:dyDescent="0.25">
      <c r="A67" s="11">
        <v>2</v>
      </c>
      <c r="B67" s="12" t="s">
        <v>54</v>
      </c>
      <c r="C67" s="15">
        <v>177</v>
      </c>
      <c r="D67" s="90">
        <v>6173</v>
      </c>
      <c r="E67" s="95">
        <v>1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>
        <v>1</v>
      </c>
      <c r="N67" s="5">
        <v>1</v>
      </c>
      <c r="O67" s="5">
        <v>1</v>
      </c>
      <c r="P67" s="5">
        <v>1</v>
      </c>
      <c r="Q67" s="5">
        <v>1</v>
      </c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79"/>
      <c r="AG67" s="83">
        <f t="shared" si="13"/>
        <v>13</v>
      </c>
      <c r="AH67" s="54">
        <f>COUNTIF(E67:AF67,1)</f>
        <v>13</v>
      </c>
      <c r="AI67" s="54">
        <f>COUNTIF(E67:AF67,"тр")</f>
        <v>0</v>
      </c>
      <c r="AJ67" s="55">
        <f>COUNTIF(E67:AF67,"бв")</f>
        <v>0</v>
      </c>
    </row>
    <row r="68" spans="1:36" ht="16.3" thickBot="1" x14ac:dyDescent="0.3">
      <c r="A68" s="44">
        <f>A54+1</f>
        <v>45</v>
      </c>
      <c r="B68" s="39" t="s">
        <v>43</v>
      </c>
      <c r="C68" s="40" t="s">
        <v>44</v>
      </c>
      <c r="D68" s="91">
        <v>1250</v>
      </c>
      <c r="E68" s="97" t="s">
        <v>57</v>
      </c>
      <c r="F68" s="98" t="s">
        <v>57</v>
      </c>
      <c r="G68" s="98" t="s">
        <v>57</v>
      </c>
      <c r="H68" s="98">
        <v>1</v>
      </c>
      <c r="I68" s="98">
        <v>1</v>
      </c>
      <c r="J68" s="98">
        <v>1</v>
      </c>
      <c r="K68" s="98">
        <v>1</v>
      </c>
      <c r="L68" s="98">
        <v>1</v>
      </c>
      <c r="M68" s="98" t="s">
        <v>57</v>
      </c>
      <c r="N68" s="98">
        <v>1</v>
      </c>
      <c r="O68" s="98">
        <v>1</v>
      </c>
      <c r="P68" s="98">
        <v>1</v>
      </c>
      <c r="Q68" s="98">
        <v>1</v>
      </c>
      <c r="R68" s="98"/>
      <c r="S68" s="98"/>
      <c r="T68" s="98"/>
      <c r="U68" s="98"/>
      <c r="V68" s="98"/>
      <c r="W68" s="98"/>
      <c r="X68" s="98"/>
      <c r="Y68" s="98"/>
      <c r="Z68" s="98"/>
      <c r="AA68" s="98"/>
      <c r="AB68" s="98"/>
      <c r="AC68" s="98"/>
      <c r="AD68" s="98"/>
      <c r="AE68" s="98"/>
      <c r="AF68" s="103"/>
      <c r="AG68" s="84">
        <f t="shared" si="13"/>
        <v>13</v>
      </c>
      <c r="AH68" s="85">
        <f>COUNTIF(E68:AF68,1)</f>
        <v>9</v>
      </c>
      <c r="AI68" s="85">
        <f>COUNTIF(E68:AF68,"тр")</f>
        <v>0</v>
      </c>
      <c r="AJ68" s="86">
        <f>COUNTIF(E68:AF68,"бв")</f>
        <v>4</v>
      </c>
    </row>
    <row r="69" spans="1:36" s="33" customFormat="1" ht="16.3" thickBot="1" x14ac:dyDescent="0.3">
      <c r="A69" s="63"/>
      <c r="B69" s="66" t="s">
        <v>63</v>
      </c>
      <c r="C69" s="64"/>
      <c r="D69" s="64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135">
        <f>SUM(AG66:AG68)</f>
        <v>39</v>
      </c>
      <c r="AH69" s="136">
        <f t="shared" ref="AH69:AJ69" si="14">SUM(AH66:AH68)</f>
        <v>28</v>
      </c>
      <c r="AI69" s="136">
        <f t="shared" si="14"/>
        <v>5</v>
      </c>
      <c r="AJ69" s="137">
        <f t="shared" si="14"/>
        <v>5</v>
      </c>
    </row>
    <row r="70" spans="1:36" s="33" customFormat="1" x14ac:dyDescent="0.25">
      <c r="A70" s="87"/>
      <c r="B70" s="49"/>
      <c r="C70" s="50"/>
      <c r="D70" s="50"/>
      <c r="Y70" s="51" t="s">
        <v>68</v>
      </c>
      <c r="AG70" s="77">
        <f>AG69</f>
        <v>39</v>
      </c>
    </row>
    <row r="72" spans="1:36" x14ac:dyDescent="0.25">
      <c r="B72" s="3" t="s">
        <v>75</v>
      </c>
      <c r="E72" s="89"/>
      <c r="F72" s="89"/>
      <c r="G72" s="89"/>
      <c r="H72" s="89"/>
      <c r="I72" s="89"/>
      <c r="J72" s="89"/>
      <c r="K72" s="89"/>
      <c r="L72" s="89"/>
      <c r="S72" s="3" t="s">
        <v>76</v>
      </c>
    </row>
  </sheetData>
  <autoFilter ref="E2:AJ62"/>
  <mergeCells count="2">
    <mergeCell ref="A1:AJ1"/>
    <mergeCell ref="A64:AJ64"/>
  </mergeCells>
  <conditionalFormatting sqref="AH6:AJ6 AG26:AJ26 AG34:AJ34 AG38:AJ38 AG41:AJ41 AG43:AJ43 AG47:AJ47 AG55:AJ55 AG57:AJ57 AG61:AJ61 E4:AF5 AG69:AJ69 E7:AF25 AG4:AG25 E27:AG33 E35:AG37 E39:AG40 E42:AG42 E44:AG46 E48:AG54 E56:AG56 E58:AG60 E66:AG68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G57:AJ57 AG55:AJ55 AG47:AJ47 AG43:AJ43 AG41:AJ41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Январь 2019</vt:lpstr>
      <vt:lpstr>Февраль 2019</vt:lpstr>
      <vt:lpstr>Данные</vt:lpstr>
      <vt:lpstr>АХД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2019-02-08T06:50:26Z</cp:lastPrinted>
  <dcterms:created xsi:type="dcterms:W3CDTF">2018-09-27T18:15:43Z</dcterms:created>
  <dcterms:modified xsi:type="dcterms:W3CDTF">2019-02-13T06:35:41Z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