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K54" i="10" s="1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K40" i="10" s="1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K22" i="10" s="1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K30" i="10" l="1"/>
  <c r="AK48" i="10"/>
  <c r="AM34" i="10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<sst xmlns="http://schemas.openxmlformats.org/spreadsheetml/2006/main" count="3182" uniqueCount="80">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</sst>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56" sqref="Z5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1</v>
      </c>
      <c r="R4" s="5">
        <v>1</v>
      </c>
      <c r="S4" s="5">
        <v>1</v>
      </c>
      <c r="T4" s="5">
        <v>1</v>
      </c>
      <c r="U4" s="5">
        <v>1</v>
      </c>
      <c r="V4" s="5">
        <v>1</v>
      </c>
      <c r="W4" s="5">
        <v>1</v>
      </c>
      <c r="X4" s="5">
        <v>1</v>
      </c>
      <c r="Y4" s="5">
        <v>1</v>
      </c>
      <c r="Z4" s="5">
        <v>1</v>
      </c>
      <c r="AA4" s="5"/>
      <c r="AB4" s="5"/>
      <c r="AC4" s="5"/>
      <c r="AD4" s="5"/>
      <c r="AE4" s="5"/>
      <c r="AF4" s="5"/>
      <c r="AG4" s="5"/>
      <c r="AH4" s="5"/>
      <c r="AI4" s="5"/>
      <c r="AJ4" s="155">
        <f t="shared" ref="AJ4:AJ21" si="0">COUNTA(E4:AI4)</f>
        <v>22</v>
      </c>
      <c r="AK4" s="17">
        <f t="shared" ref="AK4:AK21" si="1">COUNTIF(E4:AI4,1)</f>
        <v>22</v>
      </c>
      <c r="AL4" s="17">
        <f t="shared" ref="AL4:AL21" si="2">COUNTIF(E4:AI4,"тр")</f>
        <v>0</v>
      </c>
      <c r="AM4" s="18">
        <f t="shared" ref="AM4:AM21" si="3">COUNTIF(E4:AI4,"бв")</f>
        <v>0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/>
      <c r="AB5" s="5"/>
      <c r="AC5" s="5"/>
      <c r="AD5" s="5"/>
      <c r="AE5" s="5"/>
      <c r="AF5" s="5"/>
      <c r="AG5" s="5"/>
      <c r="AH5" s="5"/>
      <c r="AI5" s="5"/>
      <c r="AJ5" s="153">
        <f t="shared" si="0"/>
        <v>22</v>
      </c>
      <c r="AK5" s="54">
        <f t="shared" si="1"/>
        <v>17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/>
      <c r="AB6" s="5"/>
      <c r="AC6" s="5"/>
      <c r="AD6" s="5"/>
      <c r="AE6" s="5"/>
      <c r="AF6" s="5"/>
      <c r="AG6" s="5"/>
      <c r="AH6" s="5"/>
      <c r="AI6" s="5"/>
      <c r="AJ6" s="153">
        <f t="shared" si="0"/>
        <v>22</v>
      </c>
      <c r="AK6" s="54">
        <f t="shared" si="1"/>
        <v>19</v>
      </c>
      <c r="AL6" s="54">
        <f t="shared" si="2"/>
        <v>3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/>
      <c r="AB7" s="5"/>
      <c r="AC7" s="5"/>
      <c r="AD7" s="5"/>
      <c r="AE7" s="5"/>
      <c r="AF7" s="5"/>
      <c r="AG7" s="5"/>
      <c r="AH7" s="5"/>
      <c r="AI7" s="5"/>
      <c r="AJ7" s="153">
        <f t="shared" si="0"/>
        <v>22</v>
      </c>
      <c r="AK7" s="54">
        <f t="shared" si="1"/>
        <v>14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/>
      <c r="AB8" s="5"/>
      <c r="AC8" s="5"/>
      <c r="AD8" s="5"/>
      <c r="AE8" s="5"/>
      <c r="AF8" s="5"/>
      <c r="AG8" s="5"/>
      <c r="AH8" s="5"/>
      <c r="AI8" s="5"/>
      <c r="AJ8" s="153">
        <f t="shared" si="0"/>
        <v>22</v>
      </c>
      <c r="AK8" s="54">
        <f t="shared" si="1"/>
        <v>17</v>
      </c>
      <c r="AL8" s="54">
        <f t="shared" si="2"/>
        <v>0</v>
      </c>
      <c r="AM8" s="55">
        <f t="shared" si="3"/>
        <v>5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/>
      <c r="AB9" s="5"/>
      <c r="AC9" s="5"/>
      <c r="AD9" s="5"/>
      <c r="AE9" s="5"/>
      <c r="AF9" s="5"/>
      <c r="AG9" s="5"/>
      <c r="AH9" s="5"/>
      <c r="AI9" s="5"/>
      <c r="AJ9" s="153">
        <f t="shared" si="0"/>
        <v>22</v>
      </c>
      <c r="AK9" s="54">
        <f t="shared" si="1"/>
        <v>17</v>
      </c>
      <c r="AL9" s="54">
        <f t="shared" si="2"/>
        <v>5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/>
      <c r="AB10" s="5"/>
      <c r="AC10" s="5"/>
      <c r="AD10" s="5"/>
      <c r="AE10" s="5"/>
      <c r="AF10" s="5"/>
      <c r="AG10" s="5"/>
      <c r="AH10" s="5"/>
      <c r="AI10" s="5"/>
      <c r="AJ10" s="153">
        <f t="shared" si="0"/>
        <v>22</v>
      </c>
      <c r="AK10" s="54">
        <f t="shared" si="1"/>
        <v>13</v>
      </c>
      <c r="AL10" s="54">
        <f t="shared" si="2"/>
        <v>9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/>
      <c r="AB11" s="5"/>
      <c r="AC11" s="5"/>
      <c r="AD11" s="5"/>
      <c r="AE11" s="5"/>
      <c r="AF11" s="5"/>
      <c r="AG11" s="5"/>
      <c r="AH11" s="5"/>
      <c r="AI11" s="5"/>
      <c r="AJ11" s="153">
        <f t="shared" si="0"/>
        <v>22</v>
      </c>
      <c r="AK11" s="54">
        <f t="shared" si="1"/>
        <v>11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/>
      <c r="AB12" s="5"/>
      <c r="AC12" s="5"/>
      <c r="AD12" s="5"/>
      <c r="AE12" s="5"/>
      <c r="AF12" s="5"/>
      <c r="AG12" s="5"/>
      <c r="AH12" s="5"/>
      <c r="AI12" s="5"/>
      <c r="AJ12" s="153">
        <f t="shared" si="0"/>
        <v>22</v>
      </c>
      <c r="AK12" s="54">
        <f t="shared" si="1"/>
        <v>11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/>
      <c r="AB13" s="5"/>
      <c r="AC13" s="5"/>
      <c r="AD13" s="5"/>
      <c r="AE13" s="5"/>
      <c r="AF13" s="5"/>
      <c r="AG13" s="5"/>
      <c r="AH13" s="5"/>
      <c r="AI13" s="5"/>
      <c r="AJ13" s="153">
        <f t="shared" si="0"/>
        <v>22</v>
      </c>
      <c r="AK13" s="54">
        <f t="shared" si="1"/>
        <v>21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/>
      <c r="AB14" s="5"/>
      <c r="AC14" s="5"/>
      <c r="AD14" s="5"/>
      <c r="AE14" s="5"/>
      <c r="AF14" s="5"/>
      <c r="AG14" s="5"/>
      <c r="AH14" s="5"/>
      <c r="AI14" s="5"/>
      <c r="AJ14" s="153">
        <f t="shared" si="0"/>
        <v>22</v>
      </c>
      <c r="AK14" s="54">
        <f t="shared" si="1"/>
        <v>22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/>
      <c r="AB15" s="5"/>
      <c r="AC15" s="5"/>
      <c r="AD15" s="5"/>
      <c r="AE15" s="5"/>
      <c r="AF15" s="5"/>
      <c r="AG15" s="5"/>
      <c r="AH15" s="5"/>
      <c r="AI15" s="5"/>
      <c r="AJ15" s="153">
        <f t="shared" si="0"/>
        <v>22</v>
      </c>
      <c r="AK15" s="54">
        <f t="shared" si="1"/>
        <v>21</v>
      </c>
      <c r="AL15" s="54">
        <f t="shared" si="2"/>
        <v>0</v>
      </c>
      <c r="AM15" s="55">
        <f t="shared" si="3"/>
        <v>1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/>
      <c r="AB16" s="5"/>
      <c r="AC16" s="5"/>
      <c r="AD16" s="5"/>
      <c r="AE16" s="5"/>
      <c r="AF16" s="5"/>
      <c r="AG16" s="5"/>
      <c r="AH16" s="5"/>
      <c r="AI16" s="5"/>
      <c r="AJ16" s="153">
        <f t="shared" si="0"/>
        <v>22</v>
      </c>
      <c r="AK16" s="54">
        <f t="shared" si="1"/>
        <v>22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/>
      <c r="AB17" s="5"/>
      <c r="AC17" s="5"/>
      <c r="AD17" s="5"/>
      <c r="AE17" s="5"/>
      <c r="AF17" s="5"/>
      <c r="AG17" s="5"/>
      <c r="AH17" s="5"/>
      <c r="AI17" s="5"/>
      <c r="AJ17" s="153">
        <f t="shared" si="0"/>
        <v>22</v>
      </c>
      <c r="AK17" s="54">
        <f t="shared" si="1"/>
        <v>21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/>
      <c r="AB18" s="5"/>
      <c r="AC18" s="5"/>
      <c r="AD18" s="5"/>
      <c r="AE18" s="5"/>
      <c r="AF18" s="5"/>
      <c r="AG18" s="5"/>
      <c r="AH18" s="5"/>
      <c r="AI18" s="5"/>
      <c r="AJ18" s="153">
        <f t="shared" si="0"/>
        <v>22</v>
      </c>
      <c r="AK18" s="54">
        <f t="shared" si="1"/>
        <v>17</v>
      </c>
      <c r="AL18" s="54">
        <f t="shared" si="2"/>
        <v>0</v>
      </c>
      <c r="AM18" s="55">
        <f t="shared" si="3"/>
        <v>5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/>
      <c r="AB19" s="5"/>
      <c r="AC19" s="5"/>
      <c r="AD19" s="5"/>
      <c r="AE19" s="5"/>
      <c r="AF19" s="5"/>
      <c r="AG19" s="5"/>
      <c r="AH19" s="5"/>
      <c r="AI19" s="5"/>
      <c r="AJ19" s="153">
        <f t="shared" si="0"/>
        <v>22</v>
      </c>
      <c r="AK19" s="54">
        <f t="shared" si="1"/>
        <v>8</v>
      </c>
      <c r="AL19" s="54">
        <f t="shared" si="2"/>
        <v>13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/>
      <c r="AB20" s="5"/>
      <c r="AC20" s="5"/>
      <c r="AD20" s="5"/>
      <c r="AE20" s="5"/>
      <c r="AF20" s="5"/>
      <c r="AG20" s="5"/>
      <c r="AH20" s="5"/>
      <c r="AI20" s="5"/>
      <c r="AJ20" s="153">
        <f t="shared" si="0"/>
        <v>22</v>
      </c>
      <c r="AK20" s="54">
        <f t="shared" si="1"/>
        <v>20</v>
      </c>
      <c r="AL20" s="54">
        <f t="shared" si="2"/>
        <v>2</v>
      </c>
      <c r="AM20" s="55">
        <f t="shared" si="3"/>
        <v>0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>
        <v>1</v>
      </c>
      <c r="R21" s="97" t="s">
        <v>58</v>
      </c>
      <c r="S21" s="5" t="s">
        <v>58</v>
      </c>
      <c r="T21" s="97" t="s">
        <v>58</v>
      </c>
      <c r="U21" s="97" t="s">
        <v>58</v>
      </c>
      <c r="V21" s="97" t="s">
        <v>58</v>
      </c>
      <c r="W21" s="97" t="s">
        <v>58</v>
      </c>
      <c r="X21" s="97">
        <v>1</v>
      </c>
      <c r="Y21" s="97" t="s">
        <v>58</v>
      </c>
      <c r="Z21" s="97">
        <v>1</v>
      </c>
      <c r="AA21" s="97"/>
      <c r="AB21" s="97"/>
      <c r="AC21" s="97"/>
      <c r="AD21" s="97"/>
      <c r="AE21" s="97"/>
      <c r="AF21" s="97"/>
      <c r="AG21" s="97"/>
      <c r="AH21" s="97"/>
      <c r="AI21" s="97"/>
      <c r="AJ21" s="154">
        <f t="shared" si="0"/>
        <v>22</v>
      </c>
      <c r="AK21" s="84">
        <f t="shared" si="1"/>
        <v>15</v>
      </c>
      <c r="AL21" s="84">
        <f t="shared" si="2"/>
        <v>7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396</v>
      </c>
      <c r="AK22" s="141">
        <f>SUM(AK4:AK21)</f>
        <v>308</v>
      </c>
      <c r="AL22" s="141">
        <f>SUM(AL4:AL21)</f>
        <v>72</v>
      </c>
      <c r="AM22" s="142">
        <f>SUM(AM4:AM21)</f>
        <v>16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>
        <v>1</v>
      </c>
      <c r="R23" s="35">
        <v>1</v>
      </c>
      <c r="S23" s="35">
        <v>1</v>
      </c>
      <c r="T23" s="35">
        <v>1</v>
      </c>
      <c r="U23" s="35">
        <v>1</v>
      </c>
      <c r="V23" s="35">
        <v>1</v>
      </c>
      <c r="W23" s="35">
        <v>1</v>
      </c>
      <c r="X23" s="35">
        <v>1</v>
      </c>
      <c r="Y23" s="35">
        <v>1</v>
      </c>
      <c r="Z23" s="35">
        <v>1</v>
      </c>
      <c r="AA23" s="35"/>
      <c r="AB23" s="35"/>
      <c r="AC23" s="35"/>
      <c r="AD23" s="35"/>
      <c r="AE23" s="35"/>
      <c r="AF23" s="35"/>
      <c r="AG23" s="35"/>
      <c r="AH23" s="35"/>
      <c r="AI23" s="35"/>
      <c r="AJ23" s="152">
        <f t="shared" ref="AJ23:AJ29" si="5">COUNTA(E23:AI23)</f>
        <v>22</v>
      </c>
      <c r="AK23" s="80">
        <f t="shared" ref="AK23:AK29" si="6">COUNTIF(E23:AI23,1)</f>
        <v>11</v>
      </c>
      <c r="AL23" s="80">
        <f t="shared" ref="AL23:AL29" si="7">COUNTIF(E23:AI23,"тр")</f>
        <v>11</v>
      </c>
      <c r="AM23" s="81">
        <f t="shared" ref="AM23:AM29" si="8">COUNTIF(E23:AI23,"бв")</f>
        <v>0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 t="s">
        <v>58</v>
      </c>
      <c r="R24" s="5" t="s">
        <v>58</v>
      </c>
      <c r="S24" s="5" t="s">
        <v>58</v>
      </c>
      <c r="T24" s="5" t="s">
        <v>58</v>
      </c>
      <c r="U24" s="5" t="s">
        <v>58</v>
      </c>
      <c r="V24" s="5" t="s">
        <v>58</v>
      </c>
      <c r="W24" s="5" t="s">
        <v>58</v>
      </c>
      <c r="X24" s="5" t="s">
        <v>58</v>
      </c>
      <c r="Y24" s="5" t="s">
        <v>58</v>
      </c>
      <c r="Z24" s="5" t="s">
        <v>58</v>
      </c>
      <c r="AA24" s="5"/>
      <c r="AB24" s="5"/>
      <c r="AC24" s="5"/>
      <c r="AD24" s="5"/>
      <c r="AE24" s="5"/>
      <c r="AF24" s="5"/>
      <c r="AG24" s="5"/>
      <c r="AH24" s="5"/>
      <c r="AI24" s="5"/>
      <c r="AJ24" s="153">
        <f t="shared" si="5"/>
        <v>22</v>
      </c>
      <c r="AK24" s="54">
        <f t="shared" si="6"/>
        <v>10</v>
      </c>
      <c r="AL24" s="54">
        <f t="shared" si="7"/>
        <v>11</v>
      </c>
      <c r="AM24" s="55">
        <f t="shared" si="8"/>
        <v>1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>
        <v>1</v>
      </c>
      <c r="V25" s="5">
        <v>1</v>
      </c>
      <c r="W25" s="5">
        <v>1</v>
      </c>
      <c r="X25" s="5">
        <v>1</v>
      </c>
      <c r="Y25" s="5">
        <v>1</v>
      </c>
      <c r="Z25" s="5" t="s">
        <v>58</v>
      </c>
      <c r="AA25" s="5"/>
      <c r="AB25" s="5"/>
      <c r="AC25" s="5"/>
      <c r="AD25" s="5"/>
      <c r="AE25" s="5"/>
      <c r="AF25" s="5"/>
      <c r="AG25" s="5"/>
      <c r="AH25" s="5"/>
      <c r="AI25" s="5"/>
      <c r="AJ25" s="153">
        <f t="shared" si="5"/>
        <v>22</v>
      </c>
      <c r="AK25" s="54">
        <f t="shared" si="6"/>
        <v>19</v>
      </c>
      <c r="AL25" s="54">
        <f t="shared" si="7"/>
        <v>2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 t="s">
        <v>57</v>
      </c>
      <c r="W27" s="5" t="s">
        <v>57</v>
      </c>
      <c r="X27" s="5">
        <v>1</v>
      </c>
      <c r="Y27" s="5">
        <v>1</v>
      </c>
      <c r="Z27" s="5">
        <v>1</v>
      </c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22</v>
      </c>
      <c r="AK27" s="54">
        <f t="shared" si="6"/>
        <v>17</v>
      </c>
      <c r="AL27" s="54">
        <f t="shared" si="7"/>
        <v>0</v>
      </c>
      <c r="AM27" s="55">
        <f t="shared" si="8"/>
        <v>5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1</v>
      </c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22</v>
      </c>
      <c r="AK28" s="54">
        <f t="shared" si="6"/>
        <v>10</v>
      </c>
      <c r="AL28" s="54">
        <f t="shared" si="7"/>
        <v>12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 t="s">
        <v>57</v>
      </c>
      <c r="R29" s="42">
        <v>1</v>
      </c>
      <c r="S29" s="42">
        <v>1</v>
      </c>
      <c r="T29" s="42">
        <v>1</v>
      </c>
      <c r="U29" s="42">
        <v>1</v>
      </c>
      <c r="V29" s="42">
        <v>1</v>
      </c>
      <c r="W29" s="42">
        <v>1</v>
      </c>
      <c r="X29" s="42" t="s">
        <v>58</v>
      </c>
      <c r="Y29" s="42" t="s">
        <v>58</v>
      </c>
      <c r="Z29" s="42" t="s">
        <v>58</v>
      </c>
      <c r="AA29" s="42"/>
      <c r="AB29" s="42"/>
      <c r="AC29" s="42"/>
      <c r="AD29" s="42"/>
      <c r="AE29" s="42"/>
      <c r="AF29" s="42"/>
      <c r="AG29" s="42"/>
      <c r="AH29" s="42"/>
      <c r="AI29" s="42"/>
      <c r="AJ29" s="154">
        <f t="shared" si="5"/>
        <v>22</v>
      </c>
      <c r="AK29" s="84">
        <f t="shared" si="6"/>
        <v>6</v>
      </c>
      <c r="AL29" s="84">
        <f t="shared" si="7"/>
        <v>3</v>
      </c>
      <c r="AM29" s="85">
        <f t="shared" si="8"/>
        <v>13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163</v>
      </c>
      <c r="AK30" s="135">
        <f>SUM(AK23:AK29)</f>
        <v>73</v>
      </c>
      <c r="AL30" s="135">
        <f>SUM(AL23:AL29)</f>
        <v>70</v>
      </c>
      <c r="AM30" s="136">
        <f>SUM(AM23:AM29)</f>
        <v>20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 t="s">
        <v>57</v>
      </c>
      <c r="R31" s="35" t="s">
        <v>57</v>
      </c>
      <c r="S31" s="35" t="s">
        <v>57</v>
      </c>
      <c r="T31" s="35" t="s">
        <v>57</v>
      </c>
      <c r="U31" s="35" t="s">
        <v>57</v>
      </c>
      <c r="V31" s="35" t="s">
        <v>57</v>
      </c>
      <c r="W31" s="35" t="s">
        <v>57</v>
      </c>
      <c r="X31" s="35" t="s">
        <v>57</v>
      </c>
      <c r="Y31" s="35" t="s">
        <v>57</v>
      </c>
      <c r="Z31" s="35" t="s">
        <v>57</v>
      </c>
      <c r="AA31" s="35"/>
      <c r="AB31" s="35"/>
      <c r="AC31" s="35"/>
      <c r="AD31" s="35"/>
      <c r="AE31" s="35"/>
      <c r="AF31" s="35"/>
      <c r="AG31" s="35"/>
      <c r="AH31" s="35"/>
      <c r="AI31" s="35"/>
      <c r="AJ31" s="155">
        <f>COUNTA(E31:AI31)</f>
        <v>22</v>
      </c>
      <c r="AK31" s="17">
        <f>COUNTIF(E31:AI31,1)</f>
        <v>8</v>
      </c>
      <c r="AL31" s="17">
        <f>COUNTIF(E31:AI31,"тр")</f>
        <v>0</v>
      </c>
      <c r="AM31" s="18">
        <f>COUNTIF(E31:AI31,"бв")</f>
        <v>14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57</v>
      </c>
      <c r="S32" s="5" t="s">
        <v>57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 t="s">
        <v>57</v>
      </c>
      <c r="AA32" s="5"/>
      <c r="AB32" s="5"/>
      <c r="AC32" s="5"/>
      <c r="AD32" s="5"/>
      <c r="AE32" s="5"/>
      <c r="AF32" s="5"/>
      <c r="AG32" s="5"/>
      <c r="AH32" s="5"/>
      <c r="AI32" s="5"/>
      <c r="AJ32" s="155">
        <f>COUNTA(E32:AI32)</f>
        <v>22</v>
      </c>
      <c r="AK32" s="54">
        <f>COUNTIF(E32:AI32,1)</f>
        <v>18</v>
      </c>
      <c r="AL32" s="54">
        <f>COUNTIF(E32:AI32,"тр")</f>
        <v>0</v>
      </c>
      <c r="AM32" s="55">
        <f>COUNTIF(E32:AI32,"бв")</f>
        <v>4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75</v>
      </c>
      <c r="AK34" s="69">
        <f>SUM(AK31:AK33)</f>
        <v>26</v>
      </c>
      <c r="AL34" s="69">
        <f>SUM(AL31:AL33)</f>
        <v>31</v>
      </c>
      <c r="AM34" s="75">
        <f>SUM(AM31:AM33)</f>
        <v>18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>
        <v>1</v>
      </c>
      <c r="R37" s="35">
        <v>1</v>
      </c>
      <c r="S37" s="35" t="s">
        <v>57</v>
      </c>
      <c r="T37" s="35" t="s">
        <v>57</v>
      </c>
      <c r="U37" s="35">
        <v>1</v>
      </c>
      <c r="V37" s="35">
        <v>1</v>
      </c>
      <c r="W37" s="35">
        <v>1</v>
      </c>
      <c r="X37" s="35">
        <v>1</v>
      </c>
      <c r="Y37" s="35">
        <v>1</v>
      </c>
      <c r="Z37" s="35">
        <v>1</v>
      </c>
      <c r="AA37" s="35"/>
      <c r="AB37" s="35"/>
      <c r="AC37" s="35"/>
      <c r="AD37" s="35"/>
      <c r="AE37" s="35"/>
      <c r="AF37" s="35"/>
      <c r="AG37" s="35"/>
      <c r="AH37" s="35"/>
      <c r="AI37" s="35"/>
      <c r="AJ37" s="155">
        <f>COUNTA(E37:AI37)</f>
        <v>22</v>
      </c>
      <c r="AK37" s="17">
        <f>COUNTIF(E37:AI37,1)</f>
        <v>17</v>
      </c>
      <c r="AL37" s="17">
        <f>COUNTIF(E37:AI37,"тр")</f>
        <v>0</v>
      </c>
      <c r="AM37" s="18">
        <f>COUNTIF(E37:AI37,"бв")</f>
        <v>5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 t="s">
        <v>58</v>
      </c>
      <c r="R38" s="5" t="s">
        <v>58</v>
      </c>
      <c r="S38" s="5" t="s">
        <v>58</v>
      </c>
      <c r="T38" s="5" t="s">
        <v>58</v>
      </c>
      <c r="U38" s="5">
        <v>1</v>
      </c>
      <c r="V38" s="5">
        <v>1</v>
      </c>
      <c r="W38" s="5">
        <v>1</v>
      </c>
      <c r="X38" s="5">
        <v>1</v>
      </c>
      <c r="Y38" s="5">
        <v>1</v>
      </c>
      <c r="Z38" s="5">
        <v>1</v>
      </c>
      <c r="AA38" s="5"/>
      <c r="AB38" s="5"/>
      <c r="AC38" s="5"/>
      <c r="AD38" s="5"/>
      <c r="AE38" s="5"/>
      <c r="AF38" s="5"/>
      <c r="AG38" s="5"/>
      <c r="AH38" s="5"/>
      <c r="AI38" s="5"/>
      <c r="AJ38" s="155">
        <f>COUNTA(E38:AI38)</f>
        <v>22</v>
      </c>
      <c r="AK38" s="54">
        <f>COUNTIF(E38:AI38,1)</f>
        <v>9</v>
      </c>
      <c r="AL38" s="54">
        <f>COUNTIF(E38:AI38,"тр")</f>
        <v>13</v>
      </c>
      <c r="AM38" s="55">
        <f>COUNTIF(E38:AI38,"бв")</f>
        <v>0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>
        <v>1</v>
      </c>
      <c r="R39" s="42">
        <v>1</v>
      </c>
      <c r="S39" s="42">
        <v>1</v>
      </c>
      <c r="T39" s="42">
        <v>1</v>
      </c>
      <c r="U39" s="42">
        <v>1</v>
      </c>
      <c r="V39" s="42" t="s">
        <v>57</v>
      </c>
      <c r="W39" s="42" t="s">
        <v>57</v>
      </c>
      <c r="X39" s="42">
        <v>1</v>
      </c>
      <c r="Y39" s="42" t="s">
        <v>57</v>
      </c>
      <c r="Z39" s="42">
        <v>1</v>
      </c>
      <c r="AA39" s="42"/>
      <c r="AB39" s="42"/>
      <c r="AC39" s="42"/>
      <c r="AD39" s="42"/>
      <c r="AE39" s="42"/>
      <c r="AF39" s="42"/>
      <c r="AG39" s="42"/>
      <c r="AH39" s="42"/>
      <c r="AI39" s="42"/>
      <c r="AJ39" s="155">
        <f>COUNTA(E39:AI39)</f>
        <v>22</v>
      </c>
      <c r="AK39" s="56">
        <f>COUNTIF(E39:AI39,1)</f>
        <v>16</v>
      </c>
      <c r="AL39" s="56">
        <f>COUNTIF(E39:AI39,"тр")</f>
        <v>0</v>
      </c>
      <c r="AM39" s="57">
        <f>COUNTIF(E39:AI39,"бв")</f>
        <v>6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66</v>
      </c>
      <c r="AK40" s="69">
        <f>SUM(AK37:AK39)</f>
        <v>42</v>
      </c>
      <c r="AL40" s="69">
        <f>SUM(AL37:AL39)</f>
        <v>13</v>
      </c>
      <c r="AM40" s="75">
        <f>SUM(AM37:AM39)</f>
        <v>11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>
        <v>1</v>
      </c>
      <c r="R41" s="35">
        <v>1</v>
      </c>
      <c r="S41" s="35">
        <v>1</v>
      </c>
      <c r="T41" s="35">
        <v>1</v>
      </c>
      <c r="U41" s="35">
        <v>1</v>
      </c>
      <c r="V41" s="35">
        <v>1</v>
      </c>
      <c r="W41" s="35">
        <v>1</v>
      </c>
      <c r="X41" s="35">
        <v>1</v>
      </c>
      <c r="Y41" s="35">
        <v>1</v>
      </c>
      <c r="Z41" s="35">
        <v>1</v>
      </c>
      <c r="AA41" s="35"/>
      <c r="AB41" s="35"/>
      <c r="AC41" s="35"/>
      <c r="AD41" s="35"/>
      <c r="AE41" s="35"/>
      <c r="AF41" s="35"/>
      <c r="AG41" s="35"/>
      <c r="AH41" s="35"/>
      <c r="AI41" s="35"/>
      <c r="AJ41" s="155">
        <f t="shared" ref="AJ41:AJ47" si="9">COUNTA(E41:AI41)</f>
        <v>22</v>
      </c>
      <c r="AK41" s="17">
        <f t="shared" ref="AK41:AK47" si="10">COUNTIF(E41:AI41,1)</f>
        <v>21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>
        <v>1</v>
      </c>
      <c r="R42" s="5">
        <v>1</v>
      </c>
      <c r="S42" s="5">
        <v>1</v>
      </c>
      <c r="T42" s="5">
        <v>1</v>
      </c>
      <c r="U42" s="5">
        <v>1</v>
      </c>
      <c r="V42" s="5">
        <v>1</v>
      </c>
      <c r="W42" s="5">
        <v>1</v>
      </c>
      <c r="X42" s="5">
        <v>1</v>
      </c>
      <c r="Y42" s="5">
        <v>1</v>
      </c>
      <c r="Z42" s="5">
        <v>1</v>
      </c>
      <c r="AA42" s="5"/>
      <c r="AB42" s="5"/>
      <c r="AC42" s="5"/>
      <c r="AD42" s="5"/>
      <c r="AE42" s="5"/>
      <c r="AF42" s="5"/>
      <c r="AG42" s="5"/>
      <c r="AH42" s="5"/>
      <c r="AI42" s="5"/>
      <c r="AJ42" s="155">
        <f t="shared" si="9"/>
        <v>22</v>
      </c>
      <c r="AK42" s="54">
        <f t="shared" si="10"/>
        <v>20</v>
      </c>
      <c r="AL42" s="54">
        <f t="shared" si="11"/>
        <v>0</v>
      </c>
      <c r="AM42" s="55">
        <f t="shared" si="12"/>
        <v>2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s="5">
        <v>1</v>
      </c>
      <c r="T43" s="5">
        <v>1</v>
      </c>
      <c r="U43" s="5">
        <v>1</v>
      </c>
      <c r="V43" s="5">
        <v>1</v>
      </c>
      <c r="W43" s="5">
        <v>1</v>
      </c>
      <c r="X43" s="5">
        <v>1</v>
      </c>
      <c r="Y43" s="5">
        <v>1</v>
      </c>
      <c r="Z43" s="5">
        <v>1</v>
      </c>
      <c r="AA43" s="5"/>
      <c r="AB43" s="5"/>
      <c r="AC43" s="5"/>
      <c r="AD43" s="5"/>
      <c r="AE43" s="5"/>
      <c r="AF43" s="5"/>
      <c r="AG43" s="5"/>
      <c r="AH43" s="5"/>
      <c r="AI43" s="5"/>
      <c r="AJ43" s="155">
        <f t="shared" si="9"/>
        <v>22</v>
      </c>
      <c r="AK43" s="54">
        <f t="shared" si="10"/>
        <v>21</v>
      </c>
      <c r="AL43" s="54">
        <f t="shared" si="11"/>
        <v>0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 t="s">
        <v>57</v>
      </c>
      <c r="X44" s="5">
        <v>1</v>
      </c>
      <c r="Y44" s="5">
        <v>1</v>
      </c>
      <c r="Z44" s="5">
        <v>1</v>
      </c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9"/>
        <v>22</v>
      </c>
      <c r="AK44" s="54">
        <f t="shared" si="10"/>
        <v>19</v>
      </c>
      <c r="AL44" s="54">
        <f t="shared" si="11"/>
        <v>0</v>
      </c>
      <c r="AM44" s="55">
        <f t="shared" si="12"/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22</v>
      </c>
      <c r="AK45" s="54">
        <f t="shared" si="10"/>
        <v>20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 t="s">
        <v>58</v>
      </c>
      <c r="R46" s="5" t="s">
        <v>58</v>
      </c>
      <c r="S46" s="5" t="s">
        <v>58</v>
      </c>
      <c r="T46" s="5" t="s">
        <v>58</v>
      </c>
      <c r="U46" s="5" t="s">
        <v>58</v>
      </c>
      <c r="V46" s="5" t="s">
        <v>58</v>
      </c>
      <c r="W46" s="5" t="s">
        <v>58</v>
      </c>
      <c r="X46" s="5" t="s">
        <v>58</v>
      </c>
      <c r="Y46" s="5" t="s">
        <v>58</v>
      </c>
      <c r="Z46" s="5" t="s">
        <v>58</v>
      </c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22</v>
      </c>
      <c r="AK46" s="54">
        <f t="shared" si="10"/>
        <v>0</v>
      </c>
      <c r="AL46" s="54">
        <f t="shared" si="11"/>
        <v>22</v>
      </c>
      <c r="AM46" s="55">
        <f t="shared" si="12"/>
        <v>0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>
        <v>1</v>
      </c>
      <c r="R47" s="42">
        <v>1</v>
      </c>
      <c r="S47" s="42">
        <v>1</v>
      </c>
      <c r="T47" s="42">
        <v>1</v>
      </c>
      <c r="U47" s="42">
        <v>1</v>
      </c>
      <c r="V47" s="42">
        <v>1</v>
      </c>
      <c r="W47" s="42" t="s">
        <v>58</v>
      </c>
      <c r="X47" s="42" t="s">
        <v>58</v>
      </c>
      <c r="Y47" s="42" t="s">
        <v>58</v>
      </c>
      <c r="Z47" s="42">
        <v>1</v>
      </c>
      <c r="AA47" s="42"/>
      <c r="AB47" s="42"/>
      <c r="AC47" s="42"/>
      <c r="AD47" s="42"/>
      <c r="AE47" s="42"/>
      <c r="AF47" s="42"/>
      <c r="AG47" s="42"/>
      <c r="AH47" s="42"/>
      <c r="AI47" s="42"/>
      <c r="AJ47" s="155">
        <f t="shared" si="9"/>
        <v>22</v>
      </c>
      <c r="AK47" s="56">
        <f t="shared" si="10"/>
        <v>18</v>
      </c>
      <c r="AL47" s="56">
        <f t="shared" si="11"/>
        <v>3</v>
      </c>
      <c r="AM47" s="57">
        <f t="shared" si="12"/>
        <v>1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154</v>
      </c>
      <c r="AK48" s="69">
        <f>SUM(AK41:AK47)</f>
        <v>119</v>
      </c>
      <c r="AL48" s="69">
        <f>SUM(AL41:AL47)</f>
        <v>26</v>
      </c>
      <c r="AM48" s="75">
        <f>SUM(AM41:AM47)</f>
        <v>9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>
        <v>1</v>
      </c>
      <c r="V49" s="42">
        <v>1</v>
      </c>
      <c r="W49" s="42">
        <v>1</v>
      </c>
      <c r="X49" s="42">
        <v>1</v>
      </c>
      <c r="Y49" s="42">
        <v>1</v>
      </c>
      <c r="Z49" s="42">
        <v>1</v>
      </c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>COUNTA(E49:AI49)</f>
        <v>22</v>
      </c>
      <c r="AK49" s="56">
        <f>COUNTIF(E49:AI49,1)</f>
        <v>20</v>
      </c>
      <c r="AL49" s="56">
        <f>COUNTIF(E49:AI49,"тр")</f>
        <v>0</v>
      </c>
      <c r="AM49" s="57">
        <f>COUNTIF(E49:AI49,"бв")</f>
        <v>2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22</v>
      </c>
      <c r="AK50" s="69">
        <f>SUM(AK49:AK49)</f>
        <v>20</v>
      </c>
      <c r="AL50" s="69">
        <f>SUM(AL49:AL49)</f>
        <v>0</v>
      </c>
      <c r="AM50" s="75">
        <f>SUM(AM49:AM49)</f>
        <v>2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>
        <v>1</v>
      </c>
      <c r="R51" s="92">
        <v>1</v>
      </c>
      <c r="S51" s="5" t="s">
        <v>58</v>
      </c>
      <c r="T51" s="92">
        <v>1</v>
      </c>
      <c r="U51" s="92">
        <v>1</v>
      </c>
      <c r="V51" s="92">
        <v>1</v>
      </c>
      <c r="W51" s="92">
        <v>1</v>
      </c>
      <c r="X51" s="92">
        <v>1</v>
      </c>
      <c r="Y51" s="92">
        <v>1</v>
      </c>
      <c r="Z51" s="92">
        <v>1</v>
      </c>
      <c r="AA51" s="92"/>
      <c r="AB51" s="92"/>
      <c r="AC51" s="92"/>
      <c r="AD51" s="92"/>
      <c r="AE51" s="92"/>
      <c r="AF51" s="92"/>
      <c r="AG51" s="92"/>
      <c r="AH51" s="92"/>
      <c r="AI51" s="92"/>
      <c r="AJ51" s="152">
        <f>COUNTA(E51:AI51)</f>
        <v>22</v>
      </c>
      <c r="AK51" s="80">
        <f>COUNTIF(E51:AI51,1)</f>
        <v>18</v>
      </c>
      <c r="AL51" s="80">
        <f>COUNTIF(E51:AI51,"тр")</f>
        <v>2</v>
      </c>
      <c r="AM51" s="81">
        <f>COUNTIF(E51:AI51,"бв")</f>
        <v>2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 t="s">
        <v>57</v>
      </c>
      <c r="W52" s="42">
        <v>1</v>
      </c>
      <c r="X52" s="42">
        <v>1</v>
      </c>
      <c r="Y52" s="42">
        <v>1</v>
      </c>
      <c r="Z52" s="42">
        <v>1</v>
      </c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22</v>
      </c>
      <c r="AK52" s="56">
        <f>COUNTIF(E52:AI52,1)</f>
        <v>18</v>
      </c>
      <c r="AL52" s="56">
        <f>COUNTIF(E52:AI52,"тр")</f>
        <v>0</v>
      </c>
      <c r="AM52" s="57">
        <f>COUNTIF(E52:AI52,"бв")</f>
        <v>4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 t="s">
        <v>58</v>
      </c>
      <c r="R53" s="97">
        <v>1</v>
      </c>
      <c r="S53" s="97">
        <v>1</v>
      </c>
      <c r="T53" s="97">
        <v>1</v>
      </c>
      <c r="U53" s="97">
        <v>1</v>
      </c>
      <c r="V53" s="97" t="s">
        <v>57</v>
      </c>
      <c r="W53" s="97">
        <v>1</v>
      </c>
      <c r="X53" s="97">
        <v>1</v>
      </c>
      <c r="Y53" s="97">
        <v>1</v>
      </c>
      <c r="Z53" s="97">
        <v>1</v>
      </c>
      <c r="AA53" s="97"/>
      <c r="AB53" s="97"/>
      <c r="AC53" s="97"/>
      <c r="AD53" s="97"/>
      <c r="AE53" s="97"/>
      <c r="AF53" s="97"/>
      <c r="AG53" s="97"/>
      <c r="AH53" s="97"/>
      <c r="AI53" s="97"/>
      <c r="AJ53" s="157">
        <f>COUNTA(E53:AI53)</f>
        <v>22</v>
      </c>
      <c r="AK53" s="84">
        <f>COUNTIF(E53:AI53,1)</f>
        <v>18</v>
      </c>
      <c r="AL53" s="84">
        <f>COUNTIF(E53:AI53,"тр")</f>
        <v>1</v>
      </c>
      <c r="AM53" s="85">
        <f>COUNTIF(E53:AI53,"бв")</f>
        <v>3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66</v>
      </c>
      <c r="AK54" s="69">
        <f>SUM(AK51:AK53)</f>
        <v>54</v>
      </c>
      <c r="AL54" s="69">
        <f>SUM(AL51:AL53)</f>
        <v>3</v>
      </c>
      <c r="AM54" s="75">
        <f>SUM(AM51:AM53)</f>
        <v>9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973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/>
      <c r="AB59" s="35"/>
      <c r="AC59" s="35"/>
      <c r="AD59" s="35"/>
      <c r="AE59" s="35"/>
      <c r="AF59" s="35"/>
      <c r="AG59" s="35"/>
      <c r="AH59" s="35"/>
      <c r="AI59" s="125"/>
      <c r="AJ59" s="155">
        <f>COUNTA(E59:AI59)</f>
        <v>22</v>
      </c>
      <c r="AK59" s="17">
        <f>COUNTIF(E59:AI59,1)</f>
        <v>22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1</v>
      </c>
      <c r="T60" s="5">
        <v>1</v>
      </c>
      <c r="U60" s="5">
        <v>1</v>
      </c>
      <c r="V60" s="5">
        <v>1</v>
      </c>
      <c r="W60" s="5">
        <v>1</v>
      </c>
      <c r="X60" s="5">
        <v>1</v>
      </c>
      <c r="Y60" s="5">
        <v>1</v>
      </c>
      <c r="Z60" s="5">
        <v>1</v>
      </c>
      <c r="AA60" s="5"/>
      <c r="AB60" s="5"/>
      <c r="AC60" s="5"/>
      <c r="AD60" s="5"/>
      <c r="AE60" s="5"/>
      <c r="AF60" s="5"/>
      <c r="AG60" s="5"/>
      <c r="AH60" s="5"/>
      <c r="AI60" s="78"/>
      <c r="AJ60" s="153">
        <f>COUNTA(E60:AI60)</f>
        <v>22</v>
      </c>
      <c r="AK60" s="54">
        <f>COUNTIF(E60:AI60,1)</f>
        <v>22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>
        <v>1</v>
      </c>
      <c r="R61" s="5">
        <v>1</v>
      </c>
      <c r="S61" s="5">
        <v>1</v>
      </c>
      <c r="T61" s="5">
        <v>1</v>
      </c>
      <c r="U61" s="5">
        <v>1</v>
      </c>
      <c r="V61" s="5" t="s">
        <v>58</v>
      </c>
      <c r="W61" s="5" t="s">
        <v>58</v>
      </c>
      <c r="X61" s="5">
        <v>1</v>
      </c>
      <c r="Y61" s="5">
        <v>1</v>
      </c>
      <c r="Z61" s="5">
        <v>1</v>
      </c>
      <c r="AA61" s="5"/>
      <c r="AB61" s="5"/>
      <c r="AC61" s="5"/>
      <c r="AD61" s="5"/>
      <c r="AE61" s="5"/>
      <c r="AF61" s="5"/>
      <c r="AG61" s="5"/>
      <c r="AH61" s="5"/>
      <c r="AI61" s="78"/>
      <c r="AJ61" s="153">
        <f>COUNTA(E61:AI61)</f>
        <v>22</v>
      </c>
      <c r="AK61" s="54">
        <f>COUNTIF(E61:AI61,1)</f>
        <v>13</v>
      </c>
      <c r="AL61" s="54">
        <f>COUNTIF(E61:AI61,"тр")</f>
        <v>2</v>
      </c>
      <c r="AM61" s="55">
        <f>COUNTIF(E61:AI61,"бв")</f>
        <v>7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>
        <v>1</v>
      </c>
      <c r="R63" s="42" t="s">
        <v>58</v>
      </c>
      <c r="S63" s="42" t="s">
        <v>58</v>
      </c>
      <c r="T63" s="42" t="s">
        <v>57</v>
      </c>
      <c r="U63" s="42">
        <v>1</v>
      </c>
      <c r="V63" s="42" t="s">
        <v>58</v>
      </c>
      <c r="W63" s="42" t="s">
        <v>58</v>
      </c>
      <c r="X63" s="42">
        <v>1</v>
      </c>
      <c r="Y63" s="42">
        <v>1</v>
      </c>
      <c r="Z63" s="42">
        <v>1</v>
      </c>
      <c r="AA63" s="42"/>
      <c r="AB63" s="42"/>
      <c r="AC63" s="42"/>
      <c r="AD63" s="42"/>
      <c r="AE63" s="42"/>
      <c r="AF63" s="42"/>
      <c r="AG63" s="42"/>
      <c r="AH63" s="42"/>
      <c r="AI63" s="126"/>
      <c r="AJ63" s="156">
        <f>COUNTA(E63:AI63)</f>
        <v>22</v>
      </c>
      <c r="AK63" s="56">
        <f>COUNTIF(E63:AI63,1)</f>
        <v>10</v>
      </c>
      <c r="AL63" s="56">
        <f>COUNTIF(E63:AI63,"тр")</f>
        <v>9</v>
      </c>
      <c r="AM63" s="57">
        <f>COUNTIF(E63:AI63,"бв")</f>
        <v>3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119</v>
      </c>
      <c r="AK64" s="69">
        <f t="shared" ref="AK64:AM64" si="14">SUM(AK59:AK63)</f>
        <v>67</v>
      </c>
      <c r="AL64" s="69">
        <f t="shared" si="14"/>
        <v>42</v>
      </c>
      <c r="AM64" s="75">
        <f t="shared" si="14"/>
        <v>10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119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49:AJ49 E31:AJ33 E35:AJ35 E59:AJ63 E4:AJ21 E23:AJ29 E37:AJ39 E41:AJ47 E51:AJ5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2019-05-22T08:23:09Z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