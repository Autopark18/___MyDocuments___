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3" i="6" l="1"/>
  <c r="AK23" i="6"/>
  <c r="AL23" i="6"/>
  <c r="AM23" i="6"/>
  <c r="AJ24" i="6"/>
  <c r="AK24" i="6"/>
  <c r="AL24" i="6"/>
  <c r="AM24" i="6"/>
  <c r="AJ25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K68" i="6"/>
  <c r="AM68" i="6"/>
  <c r="AJ69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67" i="6" s="1"/>
  <c r="A56" i="6" s="1"/>
  <c r="A58" i="6" s="1"/>
  <c r="A59" i="6" s="1"/>
  <c r="AK43" i="6"/>
  <c r="AM43" i="6"/>
  <c r="AL43" i="6"/>
  <c r="AM6" i="6" l="1"/>
  <c r="AM26" i="6" s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26" i="6" s="1"/>
  <c r="AL34" i="6" s="1"/>
  <c r="AL38" i="6" s="1"/>
  <c r="AL41" i="6" s="1"/>
  <c r="AJ38" i="6" l="1"/>
  <c r="AL57" i="6"/>
  <c r="AL60" i="6" s="1"/>
  <c r="AJ60" i="6"/>
  <c r="AK6" i="6"/>
  <c r="AK2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<sst xmlns="http://schemas.openxmlformats.org/spreadsheetml/2006/main" count="730" uniqueCount="77">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</sst>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tabSelected="1" zoomScale="90" zoomScaleNormal="90" workbookViewId="0">
      <pane xSplit="4" ySplit="3" topLeftCell="E58" activePane="bottomRight" state="frozen"/>
      <selection pane="topRight" activeCell="E1" sqref="E1"/>
      <selection pane="bottomLeft" activeCell="A4" sqref="A4"/>
      <selection pane="bottomRight" activeCell="S71" sqref="S71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1" t="s">
        <v>58</v>
      </c>
      <c r="AJ7" s="84">
        <f t="shared" ref="AJ7:AJ25" si="0">АХД</f>
        <v>31</v>
      </c>
      <c r="AK7" s="85">
        <f t="shared" ref="AK7:AK22" si="1">COUNTIF(E7:AI7,1)</f>
        <v>0</v>
      </c>
      <c r="AL7" s="85">
        <f t="shared" ref="AL7:AL22" si="2">COUNTIF(E7:AI7,"тр")</f>
        <v>31</v>
      </c>
      <c r="AM7" s="86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82">
        <v>1</v>
      </c>
      <c r="AI8" s="82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82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82">
        <v>1</v>
      </c>
      <c r="AI10" s="82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82">
        <v>1</v>
      </c>
      <c r="AI11" s="82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82">
        <v>1</v>
      </c>
      <c r="AI12" s="82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82">
        <v>1</v>
      </c>
      <c r="AI13" s="82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82">
        <v>1</v>
      </c>
      <c r="AI14" s="82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82">
        <v>1</v>
      </c>
      <c r="AI15" s="82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82">
        <v>1</v>
      </c>
      <c r="AI16" s="82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82">
        <v>1</v>
      </c>
      <c r="AI17" s="82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82">
        <v>1</v>
      </c>
      <c r="AI18" s="82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82">
        <v>1</v>
      </c>
      <c r="AI19" s="82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82">
        <v>1</v>
      </c>
      <c r="AI20" s="82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82">
        <v>1</v>
      </c>
      <c r="AI21" s="82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82">
        <v>1</v>
      </c>
      <c r="AI22" s="82">
        <v>1</v>
      </c>
      <c r="AJ22" s="87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79">
        <f t="shared" si="4"/>
        <v>19</v>
      </c>
      <c r="B23" s="12" t="s">
        <v>53</v>
      </c>
      <c r="C23" s="13" t="s">
        <v>72</v>
      </c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82" t="s">
        <v>58</v>
      </c>
      <c r="AI23" s="82" t="s">
        <v>58</v>
      </c>
      <c r="AJ23" s="87">
        <f t="shared" si="0"/>
        <v>31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1</v>
      </c>
    </row>
    <row r="24" spans="1:39" x14ac:dyDescent="0.25">
      <c r="A24" s="79">
        <f t="shared" si="4"/>
        <v>20</v>
      </c>
      <c r="B24" s="12" t="s">
        <v>53</v>
      </c>
      <c r="C24" s="13" t="s">
        <v>73</v>
      </c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82">
        <v>1</v>
      </c>
      <c r="AI24" s="82">
        <v>1</v>
      </c>
      <c r="AJ24" s="87">
        <f t="shared" si="0"/>
        <v>31</v>
      </c>
      <c r="AK24" s="54">
        <f t="shared" si="5"/>
        <v>22</v>
      </c>
      <c r="AL24" s="54">
        <f t="shared" si="6"/>
        <v>0</v>
      </c>
      <c r="AM24" s="55">
        <f t="shared" si="7"/>
        <v>2</v>
      </c>
    </row>
    <row r="25" spans="1:39" ht="16.3" thickBot="1" x14ac:dyDescent="0.3">
      <c r="A25" s="80">
        <f t="shared" si="4"/>
        <v>21</v>
      </c>
      <c r="B25" s="39" t="s">
        <v>53</v>
      </c>
      <c r="C25" s="40" t="s">
        <v>74</v>
      </c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>
        <v>1</v>
      </c>
      <c r="AA25" s="42">
        <v>1</v>
      </c>
      <c r="AB25" s="42">
        <v>1</v>
      </c>
      <c r="AC25" s="42">
        <v>1</v>
      </c>
      <c r="AD25" s="42">
        <v>1</v>
      </c>
      <c r="AE25" s="42" t="s">
        <v>57</v>
      </c>
      <c r="AF25" s="42">
        <v>1</v>
      </c>
      <c r="AG25" s="42">
        <v>1</v>
      </c>
      <c r="AH25" s="83" t="s">
        <v>58</v>
      </c>
      <c r="AI25" s="83">
        <v>1</v>
      </c>
      <c r="AJ25" s="88">
        <f t="shared" si="0"/>
        <v>31</v>
      </c>
      <c r="AK25" s="89">
        <f t="shared" si="5"/>
        <v>19</v>
      </c>
      <c r="AL25" s="89">
        <f t="shared" si="6"/>
        <v>3</v>
      </c>
      <c r="AM25" s="90">
        <f t="shared" si="7"/>
        <v>2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589</v>
      </c>
      <c r="AK26" s="70">
        <f>SUM(AK7:AK22)</f>
        <v>322</v>
      </c>
      <c r="AL26" s="70">
        <f>SUM(AL7:AL22)</f>
        <v>146</v>
      </c>
      <c r="AM26" s="76">
        <f>SUM(AM7:AM22)</f>
        <v>28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8">АХД</f>
        <v>31</v>
      </c>
      <c r="AK27" s="17">
        <f t="shared" ref="AK27:AK33" si="9">COUNTIF(E27:AI27,1)</f>
        <v>25</v>
      </c>
      <c r="AL27" s="17">
        <f t="shared" ref="AL27:AL33" si="10">COUNTIF(E27:AI27,"тр")</f>
        <v>2</v>
      </c>
      <c r="AM27" s="18">
        <f t="shared" ref="AM27:AM33" si="11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8"/>
        <v>31</v>
      </c>
      <c r="AK28" s="54">
        <f t="shared" si="9"/>
        <v>0</v>
      </c>
      <c r="AL28" s="54">
        <f t="shared" si="10"/>
        <v>31</v>
      </c>
      <c r="AM28" s="55">
        <f t="shared" si="11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8"/>
        <v>31</v>
      </c>
      <c r="AK29" s="54">
        <f t="shared" si="9"/>
        <v>27</v>
      </c>
      <c r="AL29" s="54">
        <f t="shared" si="10"/>
        <v>2</v>
      </c>
      <c r="AM29" s="55">
        <f t="shared" si="11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8"/>
        <v>31</v>
      </c>
      <c r="AK30" s="54">
        <f t="shared" si="9"/>
        <v>24</v>
      </c>
      <c r="AL30" s="54">
        <f t="shared" si="10"/>
        <v>0</v>
      </c>
      <c r="AM30" s="55">
        <f t="shared" si="11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8"/>
        <v>31</v>
      </c>
      <c r="AK31" s="54">
        <f t="shared" si="9"/>
        <v>12</v>
      </c>
      <c r="AL31" s="54">
        <f t="shared" si="10"/>
        <v>8</v>
      </c>
      <c r="AM31" s="55">
        <f t="shared" si="11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8"/>
        <v>31</v>
      </c>
      <c r="AK32" s="54">
        <f t="shared" si="9"/>
        <v>20</v>
      </c>
      <c r="AL32" s="54">
        <f t="shared" si="10"/>
        <v>8</v>
      </c>
      <c r="AM32" s="55">
        <f t="shared" si="11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8"/>
        <v>31</v>
      </c>
      <c r="AK33" s="56">
        <f t="shared" si="9"/>
        <v>27</v>
      </c>
      <c r="AL33" s="56">
        <f t="shared" si="10"/>
        <v>1</v>
      </c>
      <c r="AM33" s="57">
        <f t="shared" si="11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2">АХД</f>
        <v>31</v>
      </c>
      <c r="AK48" s="17">
        <f t="shared" ref="AK48:AK54" si="13">COUNTIF(E48:AI48,1)</f>
        <v>30</v>
      </c>
      <c r="AL48" s="17">
        <f t="shared" ref="AL48:AL54" si="14">COUNTIF(E48:AI48,"тр")</f>
        <v>1</v>
      </c>
      <c r="AM48" s="18">
        <f t="shared" ref="AM48:AM54" si="15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2"/>
        <v>31</v>
      </c>
      <c r="AK49" s="54">
        <f t="shared" si="13"/>
        <v>29</v>
      </c>
      <c r="AL49" s="54">
        <f t="shared" si="14"/>
        <v>1</v>
      </c>
      <c r="AM49" s="55">
        <f t="shared" si="15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2"/>
        <v>31</v>
      </c>
      <c r="AK50" s="54">
        <f t="shared" si="13"/>
        <v>27</v>
      </c>
      <c r="AL50" s="54">
        <f t="shared" si="14"/>
        <v>4</v>
      </c>
      <c r="AM50" s="55">
        <f t="shared" si="15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2"/>
        <v>31</v>
      </c>
      <c r="AK51" s="54">
        <f t="shared" si="13"/>
        <v>28</v>
      </c>
      <c r="AL51" s="54">
        <f t="shared" si="14"/>
        <v>2</v>
      </c>
      <c r="AM51" s="55">
        <f t="shared" si="15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2"/>
        <v>31</v>
      </c>
      <c r="AK52" s="54">
        <f t="shared" si="13"/>
        <v>24</v>
      </c>
      <c r="AL52" s="54">
        <f t="shared" si="14"/>
        <v>0</v>
      </c>
      <c r="AM52" s="55">
        <f t="shared" si="15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2"/>
        <v>31</v>
      </c>
      <c r="AK53" s="54">
        <f t="shared" si="13"/>
        <v>29</v>
      </c>
      <c r="AL53" s="54">
        <f t="shared" si="14"/>
        <v>0</v>
      </c>
      <c r="AM53" s="55">
        <f t="shared" si="15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2"/>
        <v>31</v>
      </c>
      <c r="AK54" s="56">
        <f t="shared" si="13"/>
        <v>23</v>
      </c>
      <c r="AL54" s="56">
        <f t="shared" si="14"/>
        <v>8</v>
      </c>
      <c r="AM54" s="57">
        <f t="shared" si="15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44">
        <f>A67+1</f>
        <v>46</v>
      </c>
      <c r="B56" s="39" t="s">
        <v>43</v>
      </c>
      <c r="C56" s="40" t="s">
        <v>45</v>
      </c>
      <c r="D56" s="41">
        <v>1252</v>
      </c>
      <c r="E56" s="43" t="s">
        <v>58</v>
      </c>
      <c r="F56" s="42" t="s">
        <v>58</v>
      </c>
      <c r="G56" s="42" t="s">
        <v>58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58</v>
      </c>
      <c r="P56" s="42" t="s">
        <v>57</v>
      </c>
      <c r="Q56" s="42">
        <v>1</v>
      </c>
      <c r="R56" s="42">
        <v>1</v>
      </c>
      <c r="S56" s="42">
        <v>1</v>
      </c>
      <c r="T56" s="42">
        <v>1</v>
      </c>
      <c r="U56" s="42" t="s">
        <v>58</v>
      </c>
      <c r="V56" s="42" t="s">
        <v>58</v>
      </c>
      <c r="W56" s="42">
        <v>1</v>
      </c>
      <c r="X56" s="42" t="s">
        <v>58</v>
      </c>
      <c r="Y56" s="42" t="s">
        <v>58</v>
      </c>
      <c r="Z56" s="42">
        <v>1</v>
      </c>
      <c r="AA56" s="42" t="s">
        <v>58</v>
      </c>
      <c r="AB56" s="42">
        <v>1</v>
      </c>
      <c r="AC56" s="42">
        <v>1</v>
      </c>
      <c r="AD56" s="42">
        <v>1</v>
      </c>
      <c r="AE56" s="42">
        <v>1</v>
      </c>
      <c r="AF56" s="42">
        <v>1</v>
      </c>
      <c r="AG56" s="42">
        <v>1</v>
      </c>
      <c r="AH56" s="42">
        <v>1</v>
      </c>
      <c r="AI56" s="42">
        <v>1</v>
      </c>
      <c r="AJ56" s="73">
        <f>АХД</f>
        <v>31</v>
      </c>
      <c r="AK56" s="56">
        <f>COUNTIF(E56:AI56,1)</f>
        <v>14</v>
      </c>
      <c r="AL56" s="56">
        <f>COUNTIF(E56:AI56,"тр")</f>
        <v>16</v>
      </c>
      <c r="AM56" s="57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47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48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1457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/>
      <c r="AI64" s="92">
        <v>30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8">
        <v>1</v>
      </c>
      <c r="B65" s="9" t="s">
        <v>54</v>
      </c>
      <c r="C65" s="69">
        <v>176</v>
      </c>
      <c r="D65" s="21">
        <v>6172</v>
      </c>
      <c r="E65" s="6">
        <v>1</v>
      </c>
      <c r="F65" s="35">
        <v>1</v>
      </c>
      <c r="G65" s="35">
        <v>1</v>
      </c>
      <c r="H65" s="35">
        <v>1</v>
      </c>
      <c r="I65" s="35">
        <v>1</v>
      </c>
      <c r="J65" s="35">
        <v>1</v>
      </c>
      <c r="K65" s="35">
        <v>1</v>
      </c>
      <c r="L65" s="35">
        <v>1</v>
      </c>
      <c r="M65" s="35">
        <v>1</v>
      </c>
      <c r="N65" s="35">
        <v>1</v>
      </c>
      <c r="O65" s="35">
        <v>1</v>
      </c>
      <c r="P65" s="35">
        <v>1</v>
      </c>
      <c r="Q65" s="35">
        <v>1</v>
      </c>
      <c r="R65" s="35">
        <v>1</v>
      </c>
      <c r="S65" s="35">
        <v>1</v>
      </c>
      <c r="T65" s="35">
        <v>1</v>
      </c>
      <c r="U65" s="35">
        <v>1</v>
      </c>
      <c r="V65" s="35">
        <v>1</v>
      </c>
      <c r="W65" s="35">
        <v>1</v>
      </c>
      <c r="X65" s="35">
        <v>1</v>
      </c>
      <c r="Y65" s="35">
        <v>1</v>
      </c>
      <c r="Z65" s="35">
        <v>1</v>
      </c>
      <c r="AA65" s="35">
        <v>1</v>
      </c>
      <c r="AB65" s="35">
        <v>1</v>
      </c>
      <c r="AC65" s="35">
        <v>1</v>
      </c>
      <c r="AD65" s="35">
        <v>1</v>
      </c>
      <c r="AE65" s="35">
        <v>1</v>
      </c>
      <c r="AF65" s="35">
        <v>1</v>
      </c>
      <c r="AG65" s="35">
        <v>1</v>
      </c>
      <c r="AH65" s="35">
        <v>1</v>
      </c>
      <c r="AI65" s="81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79">
        <v>2</v>
      </c>
      <c r="B66" s="12" t="s">
        <v>54</v>
      </c>
      <c r="C66" s="15">
        <v>177</v>
      </c>
      <c r="D66" s="13">
        <v>6173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82">
        <v>1</v>
      </c>
      <c r="AJ66" s="87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80">
        <f>A54+1</f>
        <v>45</v>
      </c>
      <c r="B67" s="39" t="s">
        <v>43</v>
      </c>
      <c r="C67" s="40" t="s">
        <v>44</v>
      </c>
      <c r="D67" s="40">
        <v>1250</v>
      </c>
      <c r="E67" s="42" t="s">
        <v>57</v>
      </c>
      <c r="F67" s="42">
        <v>1</v>
      </c>
      <c r="G67" s="42">
        <v>1</v>
      </c>
      <c r="H67" s="42">
        <v>1</v>
      </c>
      <c r="I67" s="42" t="s">
        <v>57</v>
      </c>
      <c r="J67" s="42" t="s">
        <v>57</v>
      </c>
      <c r="K67" s="42" t="s">
        <v>57</v>
      </c>
      <c r="L67" s="42">
        <v>1</v>
      </c>
      <c r="M67" s="42">
        <v>1</v>
      </c>
      <c r="N67" s="42">
        <v>1</v>
      </c>
      <c r="O67" s="42">
        <v>1</v>
      </c>
      <c r="P67" s="42" t="s">
        <v>57</v>
      </c>
      <c r="Q67" s="42" t="s">
        <v>57</v>
      </c>
      <c r="R67" s="42" t="s">
        <v>57</v>
      </c>
      <c r="S67" s="42" t="s">
        <v>57</v>
      </c>
      <c r="T67" s="42" t="s">
        <v>57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>
        <v>1</v>
      </c>
      <c r="AA67" s="42">
        <v>1</v>
      </c>
      <c r="AB67" s="42">
        <v>1</v>
      </c>
      <c r="AC67" s="42">
        <v>1</v>
      </c>
      <c r="AD67" s="42" t="s">
        <v>57</v>
      </c>
      <c r="AE67" s="42" t="s">
        <v>57</v>
      </c>
      <c r="AF67" s="42" t="s">
        <v>57</v>
      </c>
      <c r="AG67" s="42">
        <v>1</v>
      </c>
      <c r="AH67" s="42" t="s">
        <v>57</v>
      </c>
      <c r="AI67" s="83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6">SUM(AK65:AK67)</f>
        <v>79</v>
      </c>
      <c r="AL68" s="70">
        <f t="shared" si="16"/>
        <v>0</v>
      </c>
      <c r="AM68" s="76">
        <f t="shared" si="16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93"/>
      <c r="F71" s="93"/>
      <c r="G71" s="93"/>
      <c r="H71" s="93"/>
      <c r="I71" s="93"/>
      <c r="J71" s="93"/>
      <c r="K71" s="93"/>
      <c r="L71" s="93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7:AI25 E44:AI46 AJ68:AM68 AJ4:AJ60 E56:AI56 E65:AJ67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K26:AM26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2019-02-01T07:39:18Z</cp:lastPrinted>
  <dcterms:created xsi:type="dcterms:W3CDTF">2018-09-27T18:15:43Z</dcterms:created>
  <dcterms:modified xsi:type="dcterms:W3CDTF">2019-02-01T07:39:23Z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