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/>
  </bookViews>
  <sheets>
    <sheet name="Январь 2019" sheetId="6" r:id="rId1"/>
    <sheet name="Данные" sheetId="5" state="hidden" r:id="rId2"/>
  </sheets>
  <functionGroups/>
  <definedNames>
    <definedName name="_xlnm._FilterDatabase" localSheetId="0" hidden="1">'Январь 2019'!$E$2:$AL$59</definedName>
    <definedName name="АХД">'Январь 2019'!$C$2</definedName>
  </definedNames>
  <calcPr calcId="125725" iterate="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6" i="6"/>
  <c r="AI65"/>
  <c r="AI63"/>
  <c r="AI57"/>
  <c r="AI58" s="1"/>
  <c r="AI56"/>
  <c r="AI54"/>
  <c r="AI53"/>
  <c r="AI46"/>
  <c r="AI47"/>
  <c r="AI48"/>
  <c r="AI49"/>
  <c r="AI50"/>
  <c r="AI51"/>
  <c r="AI45"/>
  <c r="AI52" s="1"/>
  <c r="AI42"/>
  <c r="AI43"/>
  <c r="AI41"/>
  <c r="AI39"/>
  <c r="AI40" s="1"/>
  <c r="AI37"/>
  <c r="AI36"/>
  <c r="AI38" s="1"/>
  <c r="AI33"/>
  <c r="AI34"/>
  <c r="AI32"/>
  <c r="AI25"/>
  <c r="AI26"/>
  <c r="AI27"/>
  <c r="AI28"/>
  <c r="AI29"/>
  <c r="AI30"/>
  <c r="AI24"/>
  <c r="AI31" s="1"/>
  <c r="AI8"/>
  <c r="AI9"/>
  <c r="AI10"/>
  <c r="AI11"/>
  <c r="AI12"/>
  <c r="AI13"/>
  <c r="AI14"/>
  <c r="AI15"/>
  <c r="AI16"/>
  <c r="AI17"/>
  <c r="AI18"/>
  <c r="AI19"/>
  <c r="AI20"/>
  <c r="AI21"/>
  <c r="AI22"/>
  <c r="AI7"/>
  <c r="AI23" s="1"/>
  <c r="AI5"/>
  <c r="AI4"/>
  <c r="AI6" s="1"/>
  <c r="AI67"/>
  <c r="AK64"/>
  <c r="AI64"/>
  <c r="AI68" s="1"/>
  <c r="AI55"/>
  <c r="AI44"/>
  <c r="AI35"/>
  <c r="AL66"/>
  <c r="AK66"/>
  <c r="AJ66"/>
  <c r="AL65"/>
  <c r="AK65"/>
  <c r="AJ65"/>
  <c r="AL63"/>
  <c r="AL64" s="1"/>
  <c r="AK63"/>
  <c r="AJ63"/>
  <c r="AJ64" s="1"/>
  <c r="A61"/>
  <c r="AL57"/>
  <c r="AK57"/>
  <c r="AJ57"/>
  <c r="AL56"/>
  <c r="AK56"/>
  <c r="AJ56"/>
  <c r="AL54"/>
  <c r="AK54"/>
  <c r="AJ54"/>
  <c r="AL53"/>
  <c r="AK53"/>
  <c r="AJ53"/>
  <c r="AL51"/>
  <c r="AK51"/>
  <c r="AJ51"/>
  <c r="AL50"/>
  <c r="AK50"/>
  <c r="AJ50"/>
  <c r="AL49"/>
  <c r="AK49"/>
  <c r="AJ49"/>
  <c r="AL48"/>
  <c r="AK48"/>
  <c r="AJ48"/>
  <c r="AL47"/>
  <c r="AK47"/>
  <c r="AJ47"/>
  <c r="AL46"/>
  <c r="AK46"/>
  <c r="AJ46"/>
  <c r="AL45"/>
  <c r="AK45"/>
  <c r="AJ45"/>
  <c r="AL43"/>
  <c r="AK43"/>
  <c r="AJ43"/>
  <c r="AL42"/>
  <c r="AK42"/>
  <c r="AJ42"/>
  <c r="AL41"/>
  <c r="AK41"/>
  <c r="AJ41"/>
  <c r="AL39"/>
  <c r="AL40" s="1"/>
  <c r="AK39"/>
  <c r="AK40" s="1"/>
  <c r="AJ39"/>
  <c r="AJ40" s="1"/>
  <c r="AL37"/>
  <c r="AK37"/>
  <c r="AJ37"/>
  <c r="AL36"/>
  <c r="AK36"/>
  <c r="AJ36"/>
  <c r="AL34"/>
  <c r="AK34"/>
  <c r="AJ34"/>
  <c r="AL33"/>
  <c r="AK33"/>
  <c r="AJ33"/>
  <c r="AL32"/>
  <c r="AK32"/>
  <c r="AJ32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5"/>
  <c r="AK5"/>
  <c r="AJ5"/>
  <c r="A5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4" s="1"/>
  <c r="A25" s="1"/>
  <c r="A26" s="1"/>
  <c r="A27" s="1"/>
  <c r="A28" s="1"/>
  <c r="A29" s="1"/>
  <c r="A30" s="1"/>
  <c r="A32" s="1"/>
  <c r="A33" s="1"/>
  <c r="A34" s="1"/>
  <c r="A36" s="1"/>
  <c r="A37" s="1"/>
  <c r="A39" s="1"/>
  <c r="A41" s="1"/>
  <c r="A42" s="1"/>
  <c r="A43" s="1"/>
  <c r="A45" s="1"/>
  <c r="A46" s="1"/>
  <c r="A47" s="1"/>
  <c r="A48" s="1"/>
  <c r="A49" s="1"/>
  <c r="A50" s="1"/>
  <c r="A51" s="1"/>
  <c r="A53" s="1"/>
  <c r="A54" s="1"/>
  <c r="A56" s="1"/>
  <c r="A57" s="1"/>
  <c r="AL4"/>
  <c r="AL6" s="1"/>
  <c r="AK4"/>
  <c r="AJ4"/>
  <c r="A1"/>
  <c r="AK38" l="1"/>
  <c r="AL44"/>
  <c r="AJ55"/>
  <c r="AL55"/>
  <c r="AJ58"/>
  <c r="AL58"/>
  <c r="AJ67"/>
  <c r="AL67"/>
  <c r="AK31"/>
  <c r="AK52"/>
  <c r="AK67"/>
  <c r="AK23"/>
  <c r="AK6"/>
  <c r="AJ6"/>
  <c r="AJ35"/>
  <c r="AL35"/>
  <c r="AJ23"/>
  <c r="AL23"/>
  <c r="AJ44"/>
  <c r="AI59"/>
  <c r="AJ31"/>
  <c r="AL31"/>
  <c r="AK35"/>
  <c r="AJ38"/>
  <c r="AL38"/>
  <c r="AK44"/>
  <c r="AJ52"/>
  <c r="AL52"/>
  <c r="AK55"/>
  <c r="AK58"/>
</calcChain>
</file>

<file path=xl/sharedStrings.xml><?xml version="1.0" encoding="utf-8"?>
<sst xmlns="http://schemas.openxmlformats.org/spreadsheetml/2006/main" count="506" uniqueCount="70">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</sst>
</file>

<file path=xl/styles.xml><?xml version="1.0" encoding="utf-8"?>
<styleSheet xmlns="http://schemas.openxmlformats.org/spreadsheetml/2006/main">
  <numFmts count="1">
    <numFmt numFmtId="164" formatCode="#"/>
  </numFmts>
  <fonts count="6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L68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31" sqref="F31"/>
    </sheetView>
  </sheetViews>
  <sheetFormatPr defaultRowHeight="15.75"/>
  <cols>
    <col min="1" max="1" width="5.7109375" style="26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5" thickBot="1">
      <c r="A3" s="27" t="s">
        <v>57</v>
      </c>
      <c r="B3" s="28" t="s">
        <v>46</v>
      </c>
      <c r="C3" s="28" t="s">
        <v>49</v>
      </c>
      <c r="D3" s="29" t="s">
        <v>50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63</v>
      </c>
      <c r="AJ3" s="31" t="s">
        <v>62</v>
      </c>
      <c r="AK3" s="31" t="s">
        <v>59</v>
      </c>
      <c r="AL3" s="32" t="s">
        <v>58</v>
      </c>
    </row>
    <row r="4" spans="1:38">
      <c r="A4" s="11">
        <v>1</v>
      </c>
      <c r="B4" s="12" t="s">
        <v>0</v>
      </c>
      <c r="C4" s="13" t="s">
        <v>1</v>
      </c>
      <c r="D4" s="22">
        <v>7533</v>
      </c>
      <c r="E4" s="7" t="s">
        <v>59</v>
      </c>
      <c r="F4" s="5" t="s">
        <v>59</v>
      </c>
      <c r="G4" s="5" t="s">
        <v>59</v>
      </c>
      <c r="H4" s="5" t="s">
        <v>59</v>
      </c>
      <c r="I4" s="5" t="s">
        <v>59</v>
      </c>
      <c r="J4" s="5" t="s">
        <v>59</v>
      </c>
      <c r="K4" s="5" t="s">
        <v>59</v>
      </c>
      <c r="L4" s="5" t="s">
        <v>59</v>
      </c>
      <c r="M4" s="5" t="s">
        <v>59</v>
      </c>
      <c r="N4" s="5" t="s">
        <v>59</v>
      </c>
      <c r="O4" s="5" t="s">
        <v>59</v>
      </c>
      <c r="P4" s="5" t="s">
        <v>59</v>
      </c>
      <c r="Q4" s="5" t="s">
        <v>59</v>
      </c>
      <c r="R4" s="5" t="s">
        <v>59</v>
      </c>
      <c r="S4" s="5" t="s">
        <v>59</v>
      </c>
      <c r="T4" s="5" t="s">
        <v>59</v>
      </c>
      <c r="U4" s="5" t="s">
        <v>59</v>
      </c>
      <c r="V4" s="5" t="s">
        <v>59</v>
      </c>
      <c r="W4" s="5" t="s">
        <v>59</v>
      </c>
      <c r="X4" s="5" t="s">
        <v>59</v>
      </c>
      <c r="Y4" s="5" t="s">
        <v>59</v>
      </c>
      <c r="Z4" s="5" t="s">
        <v>59</v>
      </c>
      <c r="AA4" s="5" t="s">
        <v>59</v>
      </c>
      <c r="AB4" s="5" t="s">
        <v>59</v>
      </c>
      <c r="AC4" s="5" t="s">
        <v>59</v>
      </c>
      <c r="AD4" s="5" t="s">
        <v>59</v>
      </c>
      <c r="AE4" s="5" t="s">
        <v>59</v>
      </c>
      <c r="AF4" s="5" t="s">
        <v>59</v>
      </c>
      <c r="AG4" s="5" t="s">
        <v>59</v>
      </c>
      <c r="AH4" s="5" t="s">
        <v>59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5" thickBot="1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59</v>
      </c>
      <c r="F5" s="42" t="s">
        <v>59</v>
      </c>
      <c r="G5" s="42" t="s">
        <v>59</v>
      </c>
      <c r="H5" s="42" t="s">
        <v>59</v>
      </c>
      <c r="I5" s="42" t="s">
        <v>59</v>
      </c>
      <c r="J5" s="5" t="s">
        <v>59</v>
      </c>
      <c r="K5" s="42" t="s">
        <v>59</v>
      </c>
      <c r="L5" s="42" t="s">
        <v>59</v>
      </c>
      <c r="M5" s="42" t="s">
        <v>59</v>
      </c>
      <c r="N5" s="42" t="s">
        <v>59</v>
      </c>
      <c r="O5" s="42" t="s">
        <v>59</v>
      </c>
      <c r="P5" s="42" t="s">
        <v>59</v>
      </c>
      <c r="Q5" s="42" t="s">
        <v>59</v>
      </c>
      <c r="R5" s="42" t="s">
        <v>59</v>
      </c>
      <c r="S5" s="42" t="s">
        <v>59</v>
      </c>
      <c r="T5" s="42" t="s">
        <v>59</v>
      </c>
      <c r="U5" s="42" t="s">
        <v>59</v>
      </c>
      <c r="V5" s="42" t="s">
        <v>59</v>
      </c>
      <c r="W5" s="42" t="s">
        <v>59</v>
      </c>
      <c r="X5" s="42" t="s">
        <v>59</v>
      </c>
      <c r="Y5" s="42" t="s">
        <v>59</v>
      </c>
      <c r="Z5" s="42" t="s">
        <v>59</v>
      </c>
      <c r="AA5" s="42" t="s">
        <v>59</v>
      </c>
      <c r="AB5" s="42" t="s">
        <v>59</v>
      </c>
      <c r="AC5" s="42" t="s">
        <v>59</v>
      </c>
      <c r="AD5" s="42" t="s">
        <v>59</v>
      </c>
      <c r="AE5" s="42" t="s">
        <v>59</v>
      </c>
      <c r="AF5" s="42" t="s">
        <v>59</v>
      </c>
      <c r="AG5" s="42" t="s">
        <v>59</v>
      </c>
      <c r="AH5" s="42" t="s">
        <v>59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5" thickBot="1">
      <c r="A6" s="63"/>
      <c r="B6" s="66" t="s">
        <v>64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0">
        <f>SUM(AI4:AI5)</f>
        <v>60</v>
      </c>
      <c r="AJ6" s="71">
        <f t="shared" ref="AJ6:AL6" si="0">SUM(AJ4:AJ5)</f>
        <v>0</v>
      </c>
      <c r="AK6" s="71">
        <f t="shared" si="0"/>
        <v>60</v>
      </c>
      <c r="AL6" s="72">
        <f t="shared" si="0"/>
        <v>0</v>
      </c>
    </row>
    <row r="7" spans="1:38">
      <c r="A7" s="8">
        <f>A5+1</f>
        <v>3</v>
      </c>
      <c r="B7" s="9" t="s">
        <v>54</v>
      </c>
      <c r="C7" s="10" t="s">
        <v>3</v>
      </c>
      <c r="D7" s="21">
        <v>6981</v>
      </c>
      <c r="E7" s="6" t="s">
        <v>59</v>
      </c>
      <c r="F7" s="35" t="s">
        <v>59</v>
      </c>
      <c r="G7" s="35" t="s">
        <v>59</v>
      </c>
      <c r="H7" s="35" t="s">
        <v>59</v>
      </c>
      <c r="I7" s="35" t="s">
        <v>59</v>
      </c>
      <c r="J7" s="35" t="s">
        <v>59</v>
      </c>
      <c r="K7" s="35" t="s">
        <v>59</v>
      </c>
      <c r="L7" s="35" t="s">
        <v>59</v>
      </c>
      <c r="M7" s="35" t="s">
        <v>59</v>
      </c>
      <c r="N7" s="35" t="s">
        <v>59</v>
      </c>
      <c r="O7" s="35" t="s">
        <v>59</v>
      </c>
      <c r="P7" s="35" t="s">
        <v>59</v>
      </c>
      <c r="Q7" s="35" t="s">
        <v>59</v>
      </c>
      <c r="R7" s="35" t="s">
        <v>59</v>
      </c>
      <c r="S7" s="35" t="s">
        <v>59</v>
      </c>
      <c r="T7" s="35" t="s">
        <v>59</v>
      </c>
      <c r="U7" s="35" t="s">
        <v>59</v>
      </c>
      <c r="V7" s="35" t="s">
        <v>59</v>
      </c>
      <c r="W7" s="35" t="s">
        <v>59</v>
      </c>
      <c r="X7" s="35" t="s">
        <v>59</v>
      </c>
      <c r="Y7" s="35" t="s">
        <v>59</v>
      </c>
      <c r="Z7" s="35" t="s">
        <v>59</v>
      </c>
      <c r="AA7" s="35" t="s">
        <v>59</v>
      </c>
      <c r="AB7" s="35" t="s">
        <v>59</v>
      </c>
      <c r="AC7" s="35" t="s">
        <v>59</v>
      </c>
      <c r="AD7" s="35" t="s">
        <v>59</v>
      </c>
      <c r="AE7" s="35" t="s">
        <v>59</v>
      </c>
      <c r="AF7" s="35" t="s">
        <v>59</v>
      </c>
      <c r="AG7" s="35" t="s">
        <v>59</v>
      </c>
      <c r="AH7" s="35" t="s">
        <v>59</v>
      </c>
      <c r="AI7" s="73">
        <f t="shared" ref="AI7:AI22" si="1">АХД</f>
        <v>30</v>
      </c>
      <c r="AJ7" s="17">
        <f t="shared" ref="AJ7:AJ22" si="2">COUNTIF(E7:AH7,1)</f>
        <v>0</v>
      </c>
      <c r="AK7" s="17">
        <f t="shared" ref="AK7:AK22" si="3">COUNTIF(E7:AH7,"тр")</f>
        <v>30</v>
      </c>
      <c r="AL7" s="18">
        <f t="shared" ref="AL7:AL22" si="4">COUNTIF(E7:AH7,"бв")</f>
        <v>0</v>
      </c>
    </row>
    <row r="8" spans="1:38">
      <c r="A8" s="11">
        <f t="shared" ref="A8:A57" si="5">A7+1</f>
        <v>4</v>
      </c>
      <c r="B8" s="12" t="s">
        <v>54</v>
      </c>
      <c r="C8" s="13" t="s">
        <v>4</v>
      </c>
      <c r="D8" s="22">
        <v>6982</v>
      </c>
      <c r="E8" s="7" t="s">
        <v>58</v>
      </c>
      <c r="F8" s="5">
        <v>1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3">
        <f t="shared" si="1"/>
        <v>30</v>
      </c>
      <c r="AJ8" s="54">
        <f t="shared" si="2"/>
        <v>1</v>
      </c>
      <c r="AK8" s="54">
        <f t="shared" si="3"/>
        <v>0</v>
      </c>
      <c r="AL8" s="55">
        <f t="shared" si="4"/>
        <v>1</v>
      </c>
    </row>
    <row r="9" spans="1:38">
      <c r="A9" s="11">
        <f t="shared" si="5"/>
        <v>5</v>
      </c>
      <c r="B9" s="12" t="s">
        <v>54</v>
      </c>
      <c r="C9" s="13" t="s">
        <v>5</v>
      </c>
      <c r="D9" s="22">
        <v>5721</v>
      </c>
      <c r="E9" s="7" t="s">
        <v>59</v>
      </c>
      <c r="F9" s="7" t="s">
        <v>59</v>
      </c>
      <c r="G9" s="7" t="s">
        <v>59</v>
      </c>
      <c r="H9" s="5" t="s">
        <v>59</v>
      </c>
      <c r="I9" s="5" t="s">
        <v>59</v>
      </c>
      <c r="J9" s="5" t="s">
        <v>59</v>
      </c>
      <c r="K9" s="5" t="s">
        <v>59</v>
      </c>
      <c r="L9" s="5" t="s">
        <v>59</v>
      </c>
      <c r="M9" s="5" t="s">
        <v>59</v>
      </c>
      <c r="N9" s="5" t="s">
        <v>59</v>
      </c>
      <c r="O9" s="5" t="s">
        <v>59</v>
      </c>
      <c r="P9" s="5" t="s">
        <v>59</v>
      </c>
      <c r="Q9" s="5" t="s">
        <v>59</v>
      </c>
      <c r="R9" s="5" t="s">
        <v>59</v>
      </c>
      <c r="S9" s="5" t="s">
        <v>59</v>
      </c>
      <c r="T9" s="5" t="s">
        <v>59</v>
      </c>
      <c r="U9" s="5" t="s">
        <v>59</v>
      </c>
      <c r="V9" s="5" t="s">
        <v>59</v>
      </c>
      <c r="W9" s="5" t="s">
        <v>59</v>
      </c>
      <c r="X9" s="5" t="s">
        <v>59</v>
      </c>
      <c r="Y9" s="5" t="s">
        <v>59</v>
      </c>
      <c r="Z9" s="5" t="s">
        <v>59</v>
      </c>
      <c r="AA9" s="5" t="s">
        <v>59</v>
      </c>
      <c r="AB9" s="5" t="s">
        <v>59</v>
      </c>
      <c r="AC9" s="5" t="s">
        <v>59</v>
      </c>
      <c r="AD9" s="5" t="s">
        <v>59</v>
      </c>
      <c r="AE9" s="5" t="s">
        <v>59</v>
      </c>
      <c r="AF9" s="5" t="s">
        <v>59</v>
      </c>
      <c r="AG9" s="5" t="s">
        <v>59</v>
      </c>
      <c r="AH9" s="5" t="s">
        <v>59</v>
      </c>
      <c r="AI9" s="73">
        <f t="shared" si="1"/>
        <v>30</v>
      </c>
      <c r="AJ9" s="54">
        <f t="shared" si="2"/>
        <v>0</v>
      </c>
      <c r="AK9" s="54">
        <f t="shared" si="3"/>
        <v>30</v>
      </c>
      <c r="AL9" s="55">
        <f t="shared" si="4"/>
        <v>0</v>
      </c>
    </row>
    <row r="10" spans="1:38">
      <c r="A10" s="11">
        <f t="shared" si="5"/>
        <v>6</v>
      </c>
      <c r="B10" s="12" t="s">
        <v>54</v>
      </c>
      <c r="C10" s="13" t="s">
        <v>6</v>
      </c>
      <c r="D10" s="24" t="s">
        <v>51</v>
      </c>
      <c r="E10" s="7" t="s">
        <v>59</v>
      </c>
      <c r="F10" s="7" t="s">
        <v>59</v>
      </c>
      <c r="G10" s="7" t="s">
        <v>59</v>
      </c>
      <c r="H10" s="5" t="s">
        <v>59</v>
      </c>
      <c r="I10" s="5" t="s">
        <v>59</v>
      </c>
      <c r="J10" s="5" t="s">
        <v>59</v>
      </c>
      <c r="K10" s="5" t="s">
        <v>59</v>
      </c>
      <c r="L10" s="5" t="s">
        <v>59</v>
      </c>
      <c r="M10" s="5" t="s">
        <v>59</v>
      </c>
      <c r="N10" s="5" t="s">
        <v>59</v>
      </c>
      <c r="O10" s="5" t="s">
        <v>59</v>
      </c>
      <c r="P10" s="5" t="s">
        <v>59</v>
      </c>
      <c r="Q10" s="5" t="s">
        <v>59</v>
      </c>
      <c r="R10" s="5" t="s">
        <v>59</v>
      </c>
      <c r="S10" s="5" t="s">
        <v>59</v>
      </c>
      <c r="T10" s="5" t="s">
        <v>59</v>
      </c>
      <c r="U10" s="5" t="s">
        <v>59</v>
      </c>
      <c r="V10" s="5" t="s">
        <v>59</v>
      </c>
      <c r="W10" s="5" t="s">
        <v>59</v>
      </c>
      <c r="X10" s="5" t="s">
        <v>59</v>
      </c>
      <c r="Y10" s="5" t="s">
        <v>59</v>
      </c>
      <c r="Z10" s="5" t="s">
        <v>59</v>
      </c>
      <c r="AA10" s="5" t="s">
        <v>59</v>
      </c>
      <c r="AB10" s="5" t="s">
        <v>59</v>
      </c>
      <c r="AC10" s="5" t="s">
        <v>59</v>
      </c>
      <c r="AD10" s="5" t="s">
        <v>59</v>
      </c>
      <c r="AE10" s="5" t="s">
        <v>59</v>
      </c>
      <c r="AF10" s="5" t="s">
        <v>59</v>
      </c>
      <c r="AG10" s="5" t="s">
        <v>59</v>
      </c>
      <c r="AH10" s="5" t="s">
        <v>59</v>
      </c>
      <c r="AI10" s="73">
        <f t="shared" si="1"/>
        <v>30</v>
      </c>
      <c r="AJ10" s="54">
        <f t="shared" si="2"/>
        <v>0</v>
      </c>
      <c r="AK10" s="54">
        <f t="shared" si="3"/>
        <v>30</v>
      </c>
      <c r="AL10" s="55">
        <f t="shared" si="4"/>
        <v>0</v>
      </c>
    </row>
    <row r="11" spans="1:38">
      <c r="A11" s="11">
        <f t="shared" si="5"/>
        <v>7</v>
      </c>
      <c r="B11" s="12" t="s">
        <v>54</v>
      </c>
      <c r="C11" s="13" t="s">
        <v>7</v>
      </c>
      <c r="D11" s="22">
        <v>1291</v>
      </c>
      <c r="E11" s="7" t="s">
        <v>58</v>
      </c>
      <c r="F11" s="5">
        <v>1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3">
        <f t="shared" si="1"/>
        <v>30</v>
      </c>
      <c r="AJ11" s="54">
        <f t="shared" si="2"/>
        <v>1</v>
      </c>
      <c r="AK11" s="54">
        <f t="shared" si="3"/>
        <v>0</v>
      </c>
      <c r="AL11" s="55">
        <f t="shared" si="4"/>
        <v>1</v>
      </c>
    </row>
    <row r="12" spans="1:38">
      <c r="A12" s="11">
        <f t="shared" si="5"/>
        <v>8</v>
      </c>
      <c r="B12" s="12" t="s">
        <v>54</v>
      </c>
      <c r="C12" s="13" t="s">
        <v>8</v>
      </c>
      <c r="D12" s="22">
        <v>6850</v>
      </c>
      <c r="E12" s="7" t="s">
        <v>58</v>
      </c>
      <c r="F12" s="7">
        <v>1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3">
        <f t="shared" si="1"/>
        <v>30</v>
      </c>
      <c r="AJ12" s="54">
        <f t="shared" si="2"/>
        <v>1</v>
      </c>
      <c r="AK12" s="54">
        <f t="shared" si="3"/>
        <v>0</v>
      </c>
      <c r="AL12" s="55">
        <f t="shared" si="4"/>
        <v>1</v>
      </c>
    </row>
    <row r="13" spans="1:38">
      <c r="A13" s="11">
        <f t="shared" si="5"/>
        <v>9</v>
      </c>
      <c r="B13" s="12" t="s">
        <v>54</v>
      </c>
      <c r="C13" s="13" t="s">
        <v>9</v>
      </c>
      <c r="D13" s="22">
        <v>7540</v>
      </c>
      <c r="E13" s="7">
        <v>1</v>
      </c>
      <c r="F13" s="5">
        <v>1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3">
        <f t="shared" si="1"/>
        <v>30</v>
      </c>
      <c r="AJ13" s="54">
        <f t="shared" si="2"/>
        <v>2</v>
      </c>
      <c r="AK13" s="54">
        <f t="shared" si="3"/>
        <v>0</v>
      </c>
      <c r="AL13" s="55">
        <f t="shared" si="4"/>
        <v>0</v>
      </c>
    </row>
    <row r="14" spans="1:38">
      <c r="A14" s="11">
        <f t="shared" si="5"/>
        <v>10</v>
      </c>
      <c r="B14" s="12" t="s">
        <v>54</v>
      </c>
      <c r="C14" s="13" t="s">
        <v>10</v>
      </c>
      <c r="D14" s="22">
        <v>4729</v>
      </c>
      <c r="E14" s="7">
        <v>1</v>
      </c>
      <c r="F14" s="5">
        <v>1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3">
        <f t="shared" si="1"/>
        <v>30</v>
      </c>
      <c r="AJ14" s="54">
        <f t="shared" si="2"/>
        <v>2</v>
      </c>
      <c r="AK14" s="54">
        <f t="shared" si="3"/>
        <v>0</v>
      </c>
      <c r="AL14" s="55">
        <f t="shared" si="4"/>
        <v>0</v>
      </c>
    </row>
    <row r="15" spans="1:38">
      <c r="A15" s="11">
        <f t="shared" si="5"/>
        <v>11</v>
      </c>
      <c r="B15" s="12" t="s">
        <v>54</v>
      </c>
      <c r="C15" s="13" t="s">
        <v>11</v>
      </c>
      <c r="D15" s="22">
        <v>4769</v>
      </c>
      <c r="E15" s="7">
        <v>1</v>
      </c>
      <c r="F15" s="7">
        <v>1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3">
        <f t="shared" si="1"/>
        <v>30</v>
      </c>
      <c r="AJ15" s="54">
        <f t="shared" si="2"/>
        <v>2</v>
      </c>
      <c r="AK15" s="54">
        <f t="shared" si="3"/>
        <v>0</v>
      </c>
      <c r="AL15" s="55">
        <f t="shared" si="4"/>
        <v>0</v>
      </c>
    </row>
    <row r="16" spans="1:38">
      <c r="A16" s="11">
        <f t="shared" si="5"/>
        <v>12</v>
      </c>
      <c r="B16" s="12" t="s">
        <v>54</v>
      </c>
      <c r="C16" s="13" t="s">
        <v>12</v>
      </c>
      <c r="D16" s="22">
        <v>4730</v>
      </c>
      <c r="E16" s="7">
        <v>1</v>
      </c>
      <c r="F16" s="5">
        <v>1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3">
        <f t="shared" si="1"/>
        <v>30</v>
      </c>
      <c r="AJ16" s="54">
        <f t="shared" si="2"/>
        <v>2</v>
      </c>
      <c r="AK16" s="54">
        <f t="shared" si="3"/>
        <v>0</v>
      </c>
      <c r="AL16" s="55">
        <f t="shared" si="4"/>
        <v>0</v>
      </c>
    </row>
    <row r="17" spans="1:38">
      <c r="A17" s="11">
        <f t="shared" si="5"/>
        <v>13</v>
      </c>
      <c r="B17" s="12" t="s">
        <v>54</v>
      </c>
      <c r="C17" s="13" t="s">
        <v>13</v>
      </c>
      <c r="D17" s="22">
        <v>1213</v>
      </c>
      <c r="E17" s="7" t="s">
        <v>58</v>
      </c>
      <c r="F17" s="5">
        <v>1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3">
        <f t="shared" si="1"/>
        <v>30</v>
      </c>
      <c r="AJ17" s="54">
        <f t="shared" si="2"/>
        <v>1</v>
      </c>
      <c r="AK17" s="54">
        <f t="shared" si="3"/>
        <v>0</v>
      </c>
      <c r="AL17" s="55">
        <f t="shared" si="4"/>
        <v>1</v>
      </c>
    </row>
    <row r="18" spans="1:38">
      <c r="A18" s="11">
        <f t="shared" si="5"/>
        <v>14</v>
      </c>
      <c r="B18" s="12" t="s">
        <v>54</v>
      </c>
      <c r="C18" s="13" t="s">
        <v>14</v>
      </c>
      <c r="D18" s="22">
        <v>4189</v>
      </c>
      <c r="E18" s="7">
        <v>1</v>
      </c>
      <c r="F18" s="5">
        <v>1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3">
        <f t="shared" si="1"/>
        <v>30</v>
      </c>
      <c r="AJ18" s="54">
        <f t="shared" si="2"/>
        <v>2</v>
      </c>
      <c r="AK18" s="54">
        <f t="shared" si="3"/>
        <v>0</v>
      </c>
      <c r="AL18" s="55">
        <f t="shared" si="4"/>
        <v>0</v>
      </c>
    </row>
    <row r="19" spans="1:38">
      <c r="A19" s="11">
        <f t="shared" si="5"/>
        <v>15</v>
      </c>
      <c r="B19" s="12" t="s">
        <v>54</v>
      </c>
      <c r="C19" s="13" t="s">
        <v>15</v>
      </c>
      <c r="D19" s="22">
        <v>3584</v>
      </c>
      <c r="E19" s="7" t="s">
        <v>58</v>
      </c>
      <c r="F19" s="7">
        <v>1</v>
      </c>
      <c r="G19" s="7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3">
        <f t="shared" si="1"/>
        <v>30</v>
      </c>
      <c r="AJ19" s="54">
        <f t="shared" si="2"/>
        <v>1</v>
      </c>
      <c r="AK19" s="54">
        <f t="shared" si="3"/>
        <v>0</v>
      </c>
      <c r="AL19" s="55">
        <f t="shared" si="4"/>
        <v>1</v>
      </c>
    </row>
    <row r="20" spans="1:38">
      <c r="A20" s="11">
        <f t="shared" si="5"/>
        <v>16</v>
      </c>
      <c r="B20" s="12" t="s">
        <v>54</v>
      </c>
      <c r="C20" s="13" t="s">
        <v>16</v>
      </c>
      <c r="D20" s="22">
        <v>1661</v>
      </c>
      <c r="E20" s="7">
        <v>1</v>
      </c>
      <c r="F20" s="5">
        <v>1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3">
        <f t="shared" si="1"/>
        <v>30</v>
      </c>
      <c r="AJ20" s="54">
        <f t="shared" si="2"/>
        <v>2</v>
      </c>
      <c r="AK20" s="54">
        <f t="shared" si="3"/>
        <v>0</v>
      </c>
      <c r="AL20" s="55">
        <f t="shared" si="4"/>
        <v>0</v>
      </c>
    </row>
    <row r="21" spans="1:38">
      <c r="A21" s="11">
        <f t="shared" si="5"/>
        <v>17</v>
      </c>
      <c r="B21" s="12" t="s">
        <v>54</v>
      </c>
      <c r="C21" s="13" t="s">
        <v>17</v>
      </c>
      <c r="D21" s="22">
        <v>1662</v>
      </c>
      <c r="E21" s="7">
        <v>1</v>
      </c>
      <c r="F21" s="5">
        <v>1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3">
        <f t="shared" si="1"/>
        <v>30</v>
      </c>
      <c r="AJ21" s="54">
        <f t="shared" si="2"/>
        <v>2</v>
      </c>
      <c r="AK21" s="54">
        <f t="shared" si="3"/>
        <v>0</v>
      </c>
      <c r="AL21" s="55">
        <f t="shared" si="4"/>
        <v>0</v>
      </c>
    </row>
    <row r="22" spans="1:38" ht="16.5" thickBot="1">
      <c r="A22" s="44">
        <f t="shared" si="5"/>
        <v>18</v>
      </c>
      <c r="B22" s="39" t="s">
        <v>54</v>
      </c>
      <c r="C22" s="40" t="s">
        <v>18</v>
      </c>
      <c r="D22" s="41">
        <v>4302</v>
      </c>
      <c r="E22" s="43" t="s">
        <v>58</v>
      </c>
      <c r="F22" s="43">
        <v>1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73">
        <f t="shared" si="1"/>
        <v>30</v>
      </c>
      <c r="AJ22" s="56">
        <f t="shared" si="2"/>
        <v>1</v>
      </c>
      <c r="AK22" s="56">
        <f t="shared" si="3"/>
        <v>0</v>
      </c>
      <c r="AL22" s="57">
        <f t="shared" si="4"/>
        <v>1</v>
      </c>
    </row>
    <row r="23" spans="1:38" s="33" customFormat="1" ht="16.5" thickBot="1">
      <c r="A23" s="63"/>
      <c r="B23" s="66" t="s">
        <v>64</v>
      </c>
      <c r="C23" s="64"/>
      <c r="D23" s="64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70">
        <f>SUM(AI7:AI22)</f>
        <v>480</v>
      </c>
      <c r="AJ23" s="70">
        <f t="shared" ref="AJ23:AL23" si="6">SUM(AJ7:AJ22)</f>
        <v>20</v>
      </c>
      <c r="AK23" s="70">
        <f t="shared" si="6"/>
        <v>90</v>
      </c>
      <c r="AL23" s="76">
        <f t="shared" si="6"/>
        <v>6</v>
      </c>
    </row>
    <row r="24" spans="1:38">
      <c r="A24" s="8">
        <f>A22+1</f>
        <v>19</v>
      </c>
      <c r="B24" s="45" t="s">
        <v>19</v>
      </c>
      <c r="C24" s="10" t="s">
        <v>20</v>
      </c>
      <c r="D24" s="21">
        <v>2961</v>
      </c>
      <c r="E24" s="6">
        <v>1</v>
      </c>
      <c r="F24" s="35">
        <v>1</v>
      </c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73">
        <f t="shared" ref="AI24:AI30" si="7">АХД</f>
        <v>30</v>
      </c>
      <c r="AJ24" s="17">
        <f t="shared" ref="AJ24:AJ30" si="8">COUNTIF(E24:AH24,1)</f>
        <v>2</v>
      </c>
      <c r="AK24" s="17">
        <f t="shared" ref="AK24:AK30" si="9">COUNTIF(E24:AH24,"тр")</f>
        <v>0</v>
      </c>
      <c r="AL24" s="18">
        <f t="shared" ref="AL24:AL30" si="10">COUNTIF(E24:AH24,"бв")</f>
        <v>0</v>
      </c>
    </row>
    <row r="25" spans="1:38">
      <c r="A25" s="11">
        <f t="shared" si="5"/>
        <v>20</v>
      </c>
      <c r="B25" s="14" t="s">
        <v>19</v>
      </c>
      <c r="C25" s="13" t="s">
        <v>21</v>
      </c>
      <c r="D25" s="22">
        <v>2962</v>
      </c>
      <c r="E25" s="7" t="s">
        <v>59</v>
      </c>
      <c r="F25" s="5" t="s">
        <v>59</v>
      </c>
      <c r="G25" s="5" t="s">
        <v>59</v>
      </c>
      <c r="H25" s="5" t="s">
        <v>59</v>
      </c>
      <c r="I25" s="5" t="s">
        <v>59</v>
      </c>
      <c r="J25" s="5" t="s">
        <v>59</v>
      </c>
      <c r="K25" s="5" t="s">
        <v>59</v>
      </c>
      <c r="L25" s="5" t="s">
        <v>59</v>
      </c>
      <c r="M25" s="5" t="s">
        <v>59</v>
      </c>
      <c r="N25" s="5" t="s">
        <v>59</v>
      </c>
      <c r="O25" s="5" t="s">
        <v>59</v>
      </c>
      <c r="P25" s="5" t="s">
        <v>59</v>
      </c>
      <c r="Q25" s="5" t="s">
        <v>59</v>
      </c>
      <c r="R25" s="5" t="s">
        <v>59</v>
      </c>
      <c r="S25" s="5" t="s">
        <v>59</v>
      </c>
      <c r="T25" s="5" t="s">
        <v>59</v>
      </c>
      <c r="U25" s="5" t="s">
        <v>59</v>
      </c>
      <c r="V25" s="5" t="s">
        <v>59</v>
      </c>
      <c r="W25" s="5" t="s">
        <v>59</v>
      </c>
      <c r="X25" s="5" t="s">
        <v>59</v>
      </c>
      <c r="Y25" s="5" t="s">
        <v>59</v>
      </c>
      <c r="Z25" s="5" t="s">
        <v>59</v>
      </c>
      <c r="AA25" s="5" t="s">
        <v>59</v>
      </c>
      <c r="AB25" s="5" t="s">
        <v>59</v>
      </c>
      <c r="AC25" s="5" t="s">
        <v>59</v>
      </c>
      <c r="AD25" s="5" t="s">
        <v>59</v>
      </c>
      <c r="AE25" s="5" t="s">
        <v>59</v>
      </c>
      <c r="AF25" s="5" t="s">
        <v>59</v>
      </c>
      <c r="AG25" s="5" t="s">
        <v>59</v>
      </c>
      <c r="AH25" s="5" t="s">
        <v>59</v>
      </c>
      <c r="AI25" s="73">
        <f t="shared" si="7"/>
        <v>30</v>
      </c>
      <c r="AJ25" s="54">
        <f t="shared" si="8"/>
        <v>0</v>
      </c>
      <c r="AK25" s="54">
        <f t="shared" si="9"/>
        <v>30</v>
      </c>
      <c r="AL25" s="55">
        <f t="shared" si="10"/>
        <v>0</v>
      </c>
    </row>
    <row r="26" spans="1:38">
      <c r="A26" s="11">
        <f t="shared" si="5"/>
        <v>21</v>
      </c>
      <c r="B26" s="14" t="s">
        <v>19</v>
      </c>
      <c r="C26" s="13" t="s">
        <v>22</v>
      </c>
      <c r="D26" s="22">
        <v>2963</v>
      </c>
      <c r="E26" s="7">
        <v>1</v>
      </c>
      <c r="F26" s="5">
        <v>1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3">
        <f t="shared" si="7"/>
        <v>30</v>
      </c>
      <c r="AJ26" s="54">
        <f t="shared" si="8"/>
        <v>2</v>
      </c>
      <c r="AK26" s="54">
        <f t="shared" si="9"/>
        <v>0</v>
      </c>
      <c r="AL26" s="55">
        <f t="shared" si="10"/>
        <v>0</v>
      </c>
    </row>
    <row r="27" spans="1:38">
      <c r="A27" s="11">
        <f t="shared" si="5"/>
        <v>22</v>
      </c>
      <c r="B27" s="14" t="s">
        <v>19</v>
      </c>
      <c r="C27" s="13" t="s">
        <v>23</v>
      </c>
      <c r="D27" s="22">
        <v>4309</v>
      </c>
      <c r="E27" s="7" t="s">
        <v>58</v>
      </c>
      <c r="F27" s="5" t="s">
        <v>58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3">
        <f t="shared" si="7"/>
        <v>30</v>
      </c>
      <c r="AJ27" s="54">
        <f t="shared" si="8"/>
        <v>0</v>
      </c>
      <c r="AK27" s="54">
        <f t="shared" si="9"/>
        <v>0</v>
      </c>
      <c r="AL27" s="55">
        <f t="shared" si="10"/>
        <v>2</v>
      </c>
    </row>
    <row r="28" spans="1:38">
      <c r="A28" s="11">
        <f t="shared" si="5"/>
        <v>23</v>
      </c>
      <c r="B28" s="14" t="s">
        <v>19</v>
      </c>
      <c r="C28" s="15">
        <v>162</v>
      </c>
      <c r="D28" s="22" t="s">
        <v>52</v>
      </c>
      <c r="E28" s="7" t="s">
        <v>59</v>
      </c>
      <c r="F28" s="7">
        <v>1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3">
        <f t="shared" si="7"/>
        <v>30</v>
      </c>
      <c r="AJ28" s="54">
        <f t="shared" si="8"/>
        <v>1</v>
      </c>
      <c r="AK28" s="54">
        <f t="shared" si="9"/>
        <v>1</v>
      </c>
      <c r="AL28" s="55">
        <f t="shared" si="10"/>
        <v>0</v>
      </c>
    </row>
    <row r="29" spans="1:38">
      <c r="A29" s="11">
        <f t="shared" si="5"/>
        <v>24</v>
      </c>
      <c r="B29" s="14" t="s">
        <v>19</v>
      </c>
      <c r="C29" s="15">
        <v>163</v>
      </c>
      <c r="D29" s="22" t="s">
        <v>53</v>
      </c>
      <c r="E29" s="7">
        <v>1</v>
      </c>
      <c r="F29" s="5">
        <v>1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3">
        <f t="shared" si="7"/>
        <v>30</v>
      </c>
      <c r="AJ29" s="54">
        <f t="shared" si="8"/>
        <v>2</v>
      </c>
      <c r="AK29" s="54">
        <f t="shared" si="9"/>
        <v>0</v>
      </c>
      <c r="AL29" s="55">
        <f t="shared" si="10"/>
        <v>0</v>
      </c>
    </row>
    <row r="30" spans="1:38" ht="16.5" thickBot="1">
      <c r="A30" s="44">
        <f t="shared" si="5"/>
        <v>25</v>
      </c>
      <c r="B30" s="67" t="s">
        <v>19</v>
      </c>
      <c r="C30" s="40" t="s">
        <v>24</v>
      </c>
      <c r="D30" s="41">
        <v>1276</v>
      </c>
      <c r="E30" s="43">
        <v>1</v>
      </c>
      <c r="F30" s="42">
        <v>1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73">
        <f t="shared" si="7"/>
        <v>30</v>
      </c>
      <c r="AJ30" s="56">
        <f t="shared" si="8"/>
        <v>2</v>
      </c>
      <c r="AK30" s="56">
        <f t="shared" si="9"/>
        <v>0</v>
      </c>
      <c r="AL30" s="57">
        <f t="shared" si="10"/>
        <v>0</v>
      </c>
    </row>
    <row r="31" spans="1:38" s="33" customFormat="1" ht="16.5" thickBot="1">
      <c r="A31" s="63"/>
      <c r="B31" s="66" t="s">
        <v>64</v>
      </c>
      <c r="C31" s="64"/>
      <c r="D31" s="64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70">
        <f>SUM(AI24:AI30)</f>
        <v>210</v>
      </c>
      <c r="AJ31" s="70">
        <f t="shared" ref="AJ31:AL31" si="11">SUM(AJ24:AJ30)</f>
        <v>9</v>
      </c>
      <c r="AK31" s="70">
        <f t="shared" si="11"/>
        <v>31</v>
      </c>
      <c r="AL31" s="76">
        <f t="shared" si="11"/>
        <v>2</v>
      </c>
    </row>
    <row r="32" spans="1:38">
      <c r="A32" s="8">
        <f>A30+1</f>
        <v>26</v>
      </c>
      <c r="B32" s="9" t="s">
        <v>25</v>
      </c>
      <c r="C32" s="10" t="s">
        <v>26</v>
      </c>
      <c r="D32" s="21">
        <v>3111</v>
      </c>
      <c r="E32" s="6">
        <v>1</v>
      </c>
      <c r="F32" s="35" t="s">
        <v>58</v>
      </c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73">
        <f>АХД</f>
        <v>30</v>
      </c>
      <c r="AJ32" s="17">
        <f>COUNTIF(E32:AH32,1)</f>
        <v>1</v>
      </c>
      <c r="AK32" s="17">
        <f>COUNTIF(E32:AH32,"тр")</f>
        <v>0</v>
      </c>
      <c r="AL32" s="18">
        <f>COUNTIF(E32:AH32,"бв")</f>
        <v>1</v>
      </c>
    </row>
    <row r="33" spans="1:38">
      <c r="A33" s="11">
        <f t="shared" si="5"/>
        <v>27</v>
      </c>
      <c r="B33" s="16" t="s">
        <v>25</v>
      </c>
      <c r="C33" s="13" t="s">
        <v>27</v>
      </c>
      <c r="D33" s="22">
        <v>1290</v>
      </c>
      <c r="E33" s="7" t="s">
        <v>58</v>
      </c>
      <c r="F33" s="5">
        <v>1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73">
        <f>АХД</f>
        <v>30</v>
      </c>
      <c r="AJ33" s="54">
        <f>COUNTIF(E33:AH33,1)</f>
        <v>1</v>
      </c>
      <c r="AK33" s="54">
        <f>COUNTIF(E33:AH33,"тр")</f>
        <v>0</v>
      </c>
      <c r="AL33" s="55">
        <f>COUNTIF(E33:AH33,"бв")</f>
        <v>1</v>
      </c>
    </row>
    <row r="34" spans="1:38" ht="16.5" thickBot="1">
      <c r="A34" s="44">
        <f t="shared" si="5"/>
        <v>28</v>
      </c>
      <c r="B34" s="39" t="s">
        <v>25</v>
      </c>
      <c r="C34" s="68">
        <v>147</v>
      </c>
      <c r="D34" s="41">
        <v>4711</v>
      </c>
      <c r="E34" s="43" t="s">
        <v>59</v>
      </c>
      <c r="F34" s="42" t="s">
        <v>59</v>
      </c>
      <c r="G34" s="42" t="s">
        <v>59</v>
      </c>
      <c r="H34" s="42" t="s">
        <v>59</v>
      </c>
      <c r="I34" s="42" t="s">
        <v>59</v>
      </c>
      <c r="J34" s="42" t="s">
        <v>59</v>
      </c>
      <c r="K34" s="42" t="s">
        <v>59</v>
      </c>
      <c r="L34" s="42" t="s">
        <v>59</v>
      </c>
      <c r="M34" s="42" t="s">
        <v>59</v>
      </c>
      <c r="N34" s="42" t="s">
        <v>59</v>
      </c>
      <c r="O34" s="42" t="s">
        <v>59</v>
      </c>
      <c r="P34" s="42" t="s">
        <v>59</v>
      </c>
      <c r="Q34" s="42" t="s">
        <v>59</v>
      </c>
      <c r="R34" s="42" t="s">
        <v>59</v>
      </c>
      <c r="S34" s="42" t="s">
        <v>59</v>
      </c>
      <c r="T34" s="42" t="s">
        <v>59</v>
      </c>
      <c r="U34" s="42" t="s">
        <v>59</v>
      </c>
      <c r="V34" s="42" t="s">
        <v>59</v>
      </c>
      <c r="W34" s="42" t="s">
        <v>59</v>
      </c>
      <c r="X34" s="42" t="s">
        <v>59</v>
      </c>
      <c r="Y34" s="42" t="s">
        <v>59</v>
      </c>
      <c r="Z34" s="42" t="s">
        <v>59</v>
      </c>
      <c r="AA34" s="42" t="s">
        <v>59</v>
      </c>
      <c r="AB34" s="42" t="s">
        <v>59</v>
      </c>
      <c r="AC34" s="42" t="s">
        <v>59</v>
      </c>
      <c r="AD34" s="42" t="s">
        <v>59</v>
      </c>
      <c r="AE34" s="42" t="s">
        <v>59</v>
      </c>
      <c r="AF34" s="42" t="s">
        <v>59</v>
      </c>
      <c r="AG34" s="42" t="s">
        <v>59</v>
      </c>
      <c r="AH34" s="42" t="s">
        <v>59</v>
      </c>
      <c r="AI34" s="73">
        <f>АХД</f>
        <v>30</v>
      </c>
      <c r="AJ34" s="56">
        <f>COUNTIF(E34:AH34,1)</f>
        <v>0</v>
      </c>
      <c r="AK34" s="56">
        <f>COUNTIF(E34:AH34,"тр")</f>
        <v>30</v>
      </c>
      <c r="AL34" s="57">
        <f>COUNTIF(E34:AH34,"бв")</f>
        <v>0</v>
      </c>
    </row>
    <row r="35" spans="1:38" s="33" customFormat="1" ht="16.5" thickBot="1">
      <c r="A35" s="63"/>
      <c r="B35" s="66" t="s">
        <v>64</v>
      </c>
      <c r="C35" s="64"/>
      <c r="D35" s="64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70">
        <f>SUM(AI32:AI34)</f>
        <v>90</v>
      </c>
      <c r="AJ35" s="70">
        <f t="shared" ref="AJ35:AL35" si="12">SUM(AJ32:AJ34)</f>
        <v>2</v>
      </c>
      <c r="AK35" s="70">
        <f t="shared" si="12"/>
        <v>30</v>
      </c>
      <c r="AL35" s="76">
        <f t="shared" si="12"/>
        <v>2</v>
      </c>
    </row>
    <row r="36" spans="1:38">
      <c r="A36" s="8">
        <f>A34+1</f>
        <v>29</v>
      </c>
      <c r="B36" s="9" t="s">
        <v>56</v>
      </c>
      <c r="C36" s="10" t="s">
        <v>28</v>
      </c>
      <c r="D36" s="21">
        <v>3810</v>
      </c>
      <c r="E36" s="6" t="s">
        <v>59</v>
      </c>
      <c r="F36" s="35" t="s">
        <v>59</v>
      </c>
      <c r="G36" s="35" t="s">
        <v>59</v>
      </c>
      <c r="H36" s="35" t="s">
        <v>59</v>
      </c>
      <c r="I36" s="35" t="s">
        <v>59</v>
      </c>
      <c r="J36" s="35" t="s">
        <v>59</v>
      </c>
      <c r="K36" s="35" t="s">
        <v>59</v>
      </c>
      <c r="L36" s="35" t="s">
        <v>59</v>
      </c>
      <c r="M36" s="35" t="s">
        <v>59</v>
      </c>
      <c r="N36" s="35" t="s">
        <v>59</v>
      </c>
      <c r="O36" s="35" t="s">
        <v>59</v>
      </c>
      <c r="P36" s="35" t="s">
        <v>59</v>
      </c>
      <c r="Q36" s="35" t="s">
        <v>59</v>
      </c>
      <c r="R36" s="35" t="s">
        <v>59</v>
      </c>
      <c r="S36" s="35" t="s">
        <v>59</v>
      </c>
      <c r="T36" s="35" t="s">
        <v>59</v>
      </c>
      <c r="U36" s="35" t="s">
        <v>59</v>
      </c>
      <c r="V36" s="35" t="s">
        <v>59</v>
      </c>
      <c r="W36" s="35" t="s">
        <v>59</v>
      </c>
      <c r="X36" s="35" t="s">
        <v>59</v>
      </c>
      <c r="Y36" s="35" t="s">
        <v>59</v>
      </c>
      <c r="Z36" s="35" t="s">
        <v>59</v>
      </c>
      <c r="AA36" s="35" t="s">
        <v>59</v>
      </c>
      <c r="AB36" s="35" t="s">
        <v>59</v>
      </c>
      <c r="AC36" s="35" t="s">
        <v>59</v>
      </c>
      <c r="AD36" s="35" t="s">
        <v>59</v>
      </c>
      <c r="AE36" s="35" t="s">
        <v>59</v>
      </c>
      <c r="AF36" s="35" t="s">
        <v>59</v>
      </c>
      <c r="AG36" s="35" t="s">
        <v>59</v>
      </c>
      <c r="AH36" s="35" t="s">
        <v>59</v>
      </c>
      <c r="AI36" s="73">
        <f>АХД</f>
        <v>30</v>
      </c>
      <c r="AJ36" s="17">
        <f>COUNTIF(E36:AH36,1)</f>
        <v>0</v>
      </c>
      <c r="AK36" s="17">
        <f>COUNTIF(E36:AH36,"тр")</f>
        <v>30</v>
      </c>
      <c r="AL36" s="18">
        <f>COUNTIF(E36:AH36,"бв")</f>
        <v>0</v>
      </c>
    </row>
    <row r="37" spans="1:38" ht="16.5" thickBot="1">
      <c r="A37" s="44">
        <f t="shared" si="5"/>
        <v>30</v>
      </c>
      <c r="B37" s="39" t="s">
        <v>56</v>
      </c>
      <c r="C37" s="40" t="s">
        <v>29</v>
      </c>
      <c r="D37" s="41">
        <v>3811</v>
      </c>
      <c r="E37" s="43" t="s">
        <v>59</v>
      </c>
      <c r="F37" s="42" t="s">
        <v>59</v>
      </c>
      <c r="G37" s="42" t="s">
        <v>59</v>
      </c>
      <c r="H37" s="42" t="s">
        <v>59</v>
      </c>
      <c r="I37" s="42" t="s">
        <v>59</v>
      </c>
      <c r="J37" s="42" t="s">
        <v>59</v>
      </c>
      <c r="K37" s="42" t="s">
        <v>59</v>
      </c>
      <c r="L37" s="42" t="s">
        <v>59</v>
      </c>
      <c r="M37" s="42" t="s">
        <v>59</v>
      </c>
      <c r="N37" s="42" t="s">
        <v>59</v>
      </c>
      <c r="O37" s="42" t="s">
        <v>59</v>
      </c>
      <c r="P37" s="42" t="s">
        <v>59</v>
      </c>
      <c r="Q37" s="42" t="s">
        <v>59</v>
      </c>
      <c r="R37" s="42" t="s">
        <v>59</v>
      </c>
      <c r="S37" s="42" t="s">
        <v>59</v>
      </c>
      <c r="T37" s="42" t="s">
        <v>59</v>
      </c>
      <c r="U37" s="42" t="s">
        <v>59</v>
      </c>
      <c r="V37" s="42" t="s">
        <v>59</v>
      </c>
      <c r="W37" s="42" t="s">
        <v>59</v>
      </c>
      <c r="X37" s="42" t="s">
        <v>59</v>
      </c>
      <c r="Y37" s="42" t="s">
        <v>59</v>
      </c>
      <c r="Z37" s="42" t="s">
        <v>59</v>
      </c>
      <c r="AA37" s="42" t="s">
        <v>59</v>
      </c>
      <c r="AB37" s="42" t="s">
        <v>59</v>
      </c>
      <c r="AC37" s="42" t="s">
        <v>59</v>
      </c>
      <c r="AD37" s="42" t="s">
        <v>59</v>
      </c>
      <c r="AE37" s="42" t="s">
        <v>59</v>
      </c>
      <c r="AF37" s="42" t="s">
        <v>59</v>
      </c>
      <c r="AG37" s="42" t="s">
        <v>59</v>
      </c>
      <c r="AH37" s="42" t="s">
        <v>59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5" thickBot="1">
      <c r="A38" s="63"/>
      <c r="B38" s="66" t="s">
        <v>64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0">
        <f>SUM(AI36:AI37)</f>
        <v>60</v>
      </c>
      <c r="AJ38" s="70">
        <f t="shared" ref="AJ38:AL38" si="13">SUM(AJ36:AJ37)</f>
        <v>0</v>
      </c>
      <c r="AK38" s="70">
        <f t="shared" si="13"/>
        <v>60</v>
      </c>
      <c r="AL38" s="76">
        <f t="shared" si="13"/>
        <v>0</v>
      </c>
    </row>
    <row r="39" spans="1:38" ht="16.5" thickBot="1">
      <c r="A39" s="58">
        <f>A37+1</f>
        <v>31</v>
      </c>
      <c r="B39" s="59" t="s">
        <v>30</v>
      </c>
      <c r="C39" s="60" t="s">
        <v>31</v>
      </c>
      <c r="D39" s="61">
        <v>4253</v>
      </c>
      <c r="E39" s="38" t="s">
        <v>59</v>
      </c>
      <c r="F39" s="62" t="s">
        <v>59</v>
      </c>
      <c r="G39" s="62" t="s">
        <v>59</v>
      </c>
      <c r="H39" s="62" t="s">
        <v>59</v>
      </c>
      <c r="I39" s="62" t="s">
        <v>59</v>
      </c>
      <c r="J39" s="62" t="s">
        <v>59</v>
      </c>
      <c r="K39" s="62" t="s">
        <v>59</v>
      </c>
      <c r="L39" s="62" t="s">
        <v>59</v>
      </c>
      <c r="M39" s="62" t="s">
        <v>59</v>
      </c>
      <c r="N39" s="62" t="s">
        <v>59</v>
      </c>
      <c r="O39" s="62" t="s">
        <v>59</v>
      </c>
      <c r="P39" s="62" t="s">
        <v>59</v>
      </c>
      <c r="Q39" s="62" t="s">
        <v>59</v>
      </c>
      <c r="R39" s="62" t="s">
        <v>59</v>
      </c>
      <c r="S39" s="62" t="s">
        <v>59</v>
      </c>
      <c r="T39" s="62" t="s">
        <v>59</v>
      </c>
      <c r="U39" s="62" t="s">
        <v>59</v>
      </c>
      <c r="V39" s="62" t="s">
        <v>59</v>
      </c>
      <c r="W39" s="62" t="s">
        <v>59</v>
      </c>
      <c r="X39" s="62" t="s">
        <v>59</v>
      </c>
      <c r="Y39" s="62" t="s">
        <v>59</v>
      </c>
      <c r="Z39" s="62" t="s">
        <v>59</v>
      </c>
      <c r="AA39" s="62" t="s">
        <v>59</v>
      </c>
      <c r="AB39" s="62" t="s">
        <v>59</v>
      </c>
      <c r="AC39" s="62" t="s">
        <v>59</v>
      </c>
      <c r="AD39" s="62" t="s">
        <v>59</v>
      </c>
      <c r="AE39" s="62" t="s">
        <v>59</v>
      </c>
      <c r="AF39" s="62" t="s">
        <v>59</v>
      </c>
      <c r="AG39" s="62" t="s">
        <v>59</v>
      </c>
      <c r="AH39" s="62" t="s">
        <v>59</v>
      </c>
      <c r="AI39" s="73">
        <f>АХД</f>
        <v>30</v>
      </c>
      <c r="AJ39" s="19">
        <f>COUNTIF(E39:AH39,1)</f>
        <v>0</v>
      </c>
      <c r="AK39" s="19">
        <f>COUNTIF(E39:AH39,"тр")</f>
        <v>30</v>
      </c>
      <c r="AL39" s="20">
        <f>COUNTIF(E39:AH39,"бв")</f>
        <v>0</v>
      </c>
    </row>
    <row r="40" spans="1:38" ht="16.5" thickBot="1">
      <c r="A40" s="63"/>
      <c r="B40" s="66" t="s">
        <v>64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70">
        <f>SUM(AI39)</f>
        <v>30</v>
      </c>
      <c r="AJ40" s="70">
        <f t="shared" ref="AJ40:AL40" si="14">SUM(AJ39)</f>
        <v>0</v>
      </c>
      <c r="AK40" s="70">
        <f t="shared" si="14"/>
        <v>30</v>
      </c>
      <c r="AL40" s="76">
        <f t="shared" si="14"/>
        <v>0</v>
      </c>
    </row>
    <row r="41" spans="1:38">
      <c r="A41" s="8">
        <f>A39+1</f>
        <v>32</v>
      </c>
      <c r="B41" s="9" t="s">
        <v>33</v>
      </c>
      <c r="C41" s="10" t="s">
        <v>32</v>
      </c>
      <c r="D41" s="21">
        <v>2831</v>
      </c>
      <c r="E41" s="35" t="s">
        <v>59</v>
      </c>
      <c r="F41" s="35" t="s">
        <v>59</v>
      </c>
      <c r="G41" s="35" t="s">
        <v>59</v>
      </c>
      <c r="H41" s="35" t="s">
        <v>59</v>
      </c>
      <c r="I41" s="35" t="s">
        <v>59</v>
      </c>
      <c r="J41" s="35" t="s">
        <v>59</v>
      </c>
      <c r="K41" s="35" t="s">
        <v>59</v>
      </c>
      <c r="L41" s="35" t="s">
        <v>59</v>
      </c>
      <c r="M41" s="35" t="s">
        <v>59</v>
      </c>
      <c r="N41" s="35" t="s">
        <v>59</v>
      </c>
      <c r="O41" s="35" t="s">
        <v>59</v>
      </c>
      <c r="P41" s="35" t="s">
        <v>59</v>
      </c>
      <c r="Q41" s="35" t="s">
        <v>59</v>
      </c>
      <c r="R41" s="35" t="s">
        <v>59</v>
      </c>
      <c r="S41" s="35" t="s">
        <v>59</v>
      </c>
      <c r="T41" s="35" t="s">
        <v>59</v>
      </c>
      <c r="U41" s="35" t="s">
        <v>59</v>
      </c>
      <c r="V41" s="35" t="s">
        <v>59</v>
      </c>
      <c r="W41" s="35" t="s">
        <v>59</v>
      </c>
      <c r="X41" s="35" t="s">
        <v>59</v>
      </c>
      <c r="Y41" s="35" t="s">
        <v>59</v>
      </c>
      <c r="Z41" s="35" t="s">
        <v>59</v>
      </c>
      <c r="AA41" s="35" t="s">
        <v>59</v>
      </c>
      <c r="AB41" s="35" t="s">
        <v>59</v>
      </c>
      <c r="AC41" s="35" t="s">
        <v>59</v>
      </c>
      <c r="AD41" s="35" t="s">
        <v>59</v>
      </c>
      <c r="AE41" s="35" t="s">
        <v>59</v>
      </c>
      <c r="AF41" s="35" t="s">
        <v>59</v>
      </c>
      <c r="AG41" s="35" t="s">
        <v>59</v>
      </c>
      <c r="AH41" s="35" t="s">
        <v>59</v>
      </c>
      <c r="AI41" s="73">
        <f>АХД</f>
        <v>30</v>
      </c>
      <c r="AJ41" s="17">
        <f>COUNTIF(E41:AH41,1)</f>
        <v>0</v>
      </c>
      <c r="AK41" s="17">
        <f>COUNTIF(E41:AH41,"тр")</f>
        <v>30</v>
      </c>
      <c r="AL41" s="18">
        <f>COUNTIF(E41:AH41,"бв")</f>
        <v>0</v>
      </c>
    </row>
    <row r="42" spans="1:38">
      <c r="A42" s="11">
        <f t="shared" si="5"/>
        <v>33</v>
      </c>
      <c r="B42" s="12" t="s">
        <v>33</v>
      </c>
      <c r="C42" s="13" t="s">
        <v>34</v>
      </c>
      <c r="D42" s="22">
        <v>7945</v>
      </c>
      <c r="E42" s="7" t="s">
        <v>58</v>
      </c>
      <c r="F42" s="7">
        <v>1</v>
      </c>
      <c r="G42" s="7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73">
        <f>АХД</f>
        <v>30</v>
      </c>
      <c r="AJ42" s="54">
        <f>COUNTIF(E42:AH42,1)</f>
        <v>1</v>
      </c>
      <c r="AK42" s="54">
        <f>COUNTIF(E42:AH42,"тр")</f>
        <v>0</v>
      </c>
      <c r="AL42" s="55">
        <f>COUNTIF(E42:AH42,"бв")</f>
        <v>1</v>
      </c>
    </row>
    <row r="43" spans="1:38" ht="16.5" thickBot="1">
      <c r="A43" s="44">
        <f t="shared" si="5"/>
        <v>34</v>
      </c>
      <c r="B43" s="39" t="s">
        <v>35</v>
      </c>
      <c r="C43" s="68">
        <v>135</v>
      </c>
      <c r="D43" s="41">
        <v>8933</v>
      </c>
      <c r="E43" s="43" t="s">
        <v>58</v>
      </c>
      <c r="F43" s="43">
        <v>1</v>
      </c>
      <c r="G43" s="43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73">
        <f>АХД</f>
        <v>30</v>
      </c>
      <c r="AJ43" s="56">
        <f>COUNTIF(E43:AH43,1)</f>
        <v>1</v>
      </c>
      <c r="AK43" s="56">
        <f>COUNTIF(E43:AH43,"тр")</f>
        <v>0</v>
      </c>
      <c r="AL43" s="57">
        <f>COUNTIF(E43:AH43,"бв")</f>
        <v>1</v>
      </c>
    </row>
    <row r="44" spans="1:38" s="33" customFormat="1" ht="16.5" thickBot="1">
      <c r="A44" s="63"/>
      <c r="B44" s="66" t="s">
        <v>64</v>
      </c>
      <c r="C44" s="64"/>
      <c r="D44" s="64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70">
        <f>SUM(AI41:AI43)</f>
        <v>90</v>
      </c>
      <c r="AJ44" s="70">
        <f t="shared" ref="AJ44:AL44" si="15">SUM(AJ41:AJ43)</f>
        <v>2</v>
      </c>
      <c r="AK44" s="70">
        <f t="shared" si="15"/>
        <v>30</v>
      </c>
      <c r="AL44" s="76">
        <f t="shared" si="15"/>
        <v>2</v>
      </c>
    </row>
    <row r="45" spans="1:38">
      <c r="A45" s="8">
        <f>A43+1</f>
        <v>35</v>
      </c>
      <c r="B45" s="9" t="s">
        <v>55</v>
      </c>
      <c r="C45" s="10" t="s">
        <v>36</v>
      </c>
      <c r="D45" s="21">
        <v>4994</v>
      </c>
      <c r="E45" s="6">
        <v>1</v>
      </c>
      <c r="F45" s="6">
        <v>1</v>
      </c>
      <c r="G45" s="6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73">
        <f t="shared" ref="AI45:AI51" si="16">АХД</f>
        <v>30</v>
      </c>
      <c r="AJ45" s="17">
        <f t="shared" ref="AJ45:AJ51" si="17">COUNTIF(E45:AH45,1)</f>
        <v>2</v>
      </c>
      <c r="AK45" s="17">
        <f t="shared" ref="AK45:AK51" si="18">COUNTIF(E45:AH45,"тр")</f>
        <v>0</v>
      </c>
      <c r="AL45" s="18">
        <f t="shared" ref="AL45:AL51" si="19">COUNTIF(E45:AH45,"бв")</f>
        <v>0</v>
      </c>
    </row>
    <row r="46" spans="1:38">
      <c r="A46" s="11">
        <f t="shared" si="5"/>
        <v>36</v>
      </c>
      <c r="B46" s="12" t="s">
        <v>55</v>
      </c>
      <c r="C46" s="13" t="s">
        <v>37</v>
      </c>
      <c r="D46" s="22">
        <v>4995</v>
      </c>
      <c r="E46" s="7" t="s">
        <v>58</v>
      </c>
      <c r="F46" s="5">
        <v>1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73">
        <f t="shared" si="16"/>
        <v>30</v>
      </c>
      <c r="AJ46" s="54">
        <f t="shared" si="17"/>
        <v>1</v>
      </c>
      <c r="AK46" s="54">
        <f t="shared" si="18"/>
        <v>0</v>
      </c>
      <c r="AL46" s="55">
        <f t="shared" si="19"/>
        <v>1</v>
      </c>
    </row>
    <row r="47" spans="1:38">
      <c r="A47" s="11">
        <f t="shared" si="5"/>
        <v>37</v>
      </c>
      <c r="B47" s="12" t="s">
        <v>55</v>
      </c>
      <c r="C47" s="13" t="s">
        <v>38</v>
      </c>
      <c r="D47" s="22">
        <v>6129</v>
      </c>
      <c r="E47" s="7">
        <v>1</v>
      </c>
      <c r="F47" s="5">
        <v>1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73">
        <f t="shared" si="16"/>
        <v>30</v>
      </c>
      <c r="AJ47" s="54">
        <f t="shared" si="17"/>
        <v>2</v>
      </c>
      <c r="AK47" s="54">
        <f t="shared" si="18"/>
        <v>0</v>
      </c>
      <c r="AL47" s="55">
        <f t="shared" si="19"/>
        <v>0</v>
      </c>
    </row>
    <row r="48" spans="1:38">
      <c r="A48" s="11">
        <f t="shared" si="5"/>
        <v>38</v>
      </c>
      <c r="B48" s="12" t="s">
        <v>55</v>
      </c>
      <c r="C48" s="13" t="s">
        <v>39</v>
      </c>
      <c r="D48" s="22">
        <v>6130</v>
      </c>
      <c r="E48" s="7" t="s">
        <v>58</v>
      </c>
      <c r="F48" s="5">
        <v>1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73">
        <f t="shared" si="16"/>
        <v>30</v>
      </c>
      <c r="AJ48" s="54">
        <f t="shared" si="17"/>
        <v>1</v>
      </c>
      <c r="AK48" s="54">
        <f t="shared" si="18"/>
        <v>0</v>
      </c>
      <c r="AL48" s="55">
        <f t="shared" si="19"/>
        <v>1</v>
      </c>
    </row>
    <row r="49" spans="1:38">
      <c r="A49" s="11">
        <f t="shared" si="5"/>
        <v>39</v>
      </c>
      <c r="B49" s="12" t="s">
        <v>55</v>
      </c>
      <c r="C49" s="13" t="s">
        <v>40</v>
      </c>
      <c r="D49" s="22">
        <v>1297</v>
      </c>
      <c r="E49" s="7">
        <v>1</v>
      </c>
      <c r="F49" s="5">
        <v>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73">
        <f t="shared" si="16"/>
        <v>30</v>
      </c>
      <c r="AJ49" s="54">
        <f t="shared" si="17"/>
        <v>2</v>
      </c>
      <c r="AK49" s="54">
        <f t="shared" si="18"/>
        <v>0</v>
      </c>
      <c r="AL49" s="55">
        <f t="shared" si="19"/>
        <v>0</v>
      </c>
    </row>
    <row r="50" spans="1:38">
      <c r="A50" s="11">
        <f t="shared" si="5"/>
        <v>40</v>
      </c>
      <c r="B50" s="12" t="s">
        <v>55</v>
      </c>
      <c r="C50" s="13" t="s">
        <v>41</v>
      </c>
      <c r="D50" s="22">
        <v>1296</v>
      </c>
      <c r="E50" s="7" t="s">
        <v>58</v>
      </c>
      <c r="F50" s="5">
        <v>1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73">
        <f t="shared" si="16"/>
        <v>30</v>
      </c>
      <c r="AJ50" s="54">
        <f t="shared" si="17"/>
        <v>1</v>
      </c>
      <c r="AK50" s="54">
        <f t="shared" si="18"/>
        <v>0</v>
      </c>
      <c r="AL50" s="55">
        <f t="shared" si="19"/>
        <v>1</v>
      </c>
    </row>
    <row r="51" spans="1:38" ht="16.5" thickBot="1">
      <c r="A51" s="44">
        <f t="shared" si="5"/>
        <v>41</v>
      </c>
      <c r="B51" s="39" t="s">
        <v>55</v>
      </c>
      <c r="C51" s="40" t="s">
        <v>42</v>
      </c>
      <c r="D51" s="41">
        <v>1344</v>
      </c>
      <c r="E51" s="43">
        <v>1</v>
      </c>
      <c r="F51" s="42">
        <v>1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73">
        <f t="shared" si="16"/>
        <v>30</v>
      </c>
      <c r="AJ51" s="56">
        <f t="shared" si="17"/>
        <v>2</v>
      </c>
      <c r="AK51" s="56">
        <f t="shared" si="18"/>
        <v>0</v>
      </c>
      <c r="AL51" s="57">
        <f t="shared" si="19"/>
        <v>0</v>
      </c>
    </row>
    <row r="52" spans="1:38" s="33" customFormat="1" ht="16.5" thickBot="1">
      <c r="A52" s="63"/>
      <c r="B52" s="66" t="s">
        <v>64</v>
      </c>
      <c r="C52" s="64"/>
      <c r="D52" s="64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0">
        <f>SUM(AI45:AI51)</f>
        <v>210</v>
      </c>
      <c r="AJ52" s="70">
        <f t="shared" ref="AJ52:AL52" si="20">SUM(AJ45:AJ51)</f>
        <v>11</v>
      </c>
      <c r="AK52" s="70">
        <f t="shared" si="20"/>
        <v>0</v>
      </c>
      <c r="AL52" s="76">
        <f t="shared" si="20"/>
        <v>3</v>
      </c>
    </row>
    <row r="53" spans="1:38">
      <c r="A53" s="8">
        <f>A51+1</f>
        <v>42</v>
      </c>
      <c r="B53" s="9" t="s">
        <v>43</v>
      </c>
      <c r="C53" s="10" t="s">
        <v>44</v>
      </c>
      <c r="D53" s="21">
        <v>1250</v>
      </c>
      <c r="E53" s="6" t="s">
        <v>58</v>
      </c>
      <c r="F53" s="35">
        <v>1</v>
      </c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73">
        <f>АХД</f>
        <v>30</v>
      </c>
      <c r="AJ53" s="17">
        <f>COUNTIF(E53:AH53,1)</f>
        <v>1</v>
      </c>
      <c r="AK53" s="17">
        <f>COUNTIF(E53:AH53,"тр")</f>
        <v>0</v>
      </c>
      <c r="AL53" s="18">
        <f>COUNTIF(E53:AH53,"бв")</f>
        <v>1</v>
      </c>
    </row>
    <row r="54" spans="1:38" ht="16.5" thickBot="1">
      <c r="A54" s="44">
        <f t="shared" si="5"/>
        <v>43</v>
      </c>
      <c r="B54" s="39" t="s">
        <v>43</v>
      </c>
      <c r="C54" s="40" t="s">
        <v>45</v>
      </c>
      <c r="D54" s="41">
        <v>1252</v>
      </c>
      <c r="E54" s="43" t="s">
        <v>59</v>
      </c>
      <c r="F54" s="42" t="s">
        <v>59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73">
        <f>АХД</f>
        <v>30</v>
      </c>
      <c r="AJ54" s="56">
        <f>COUNTIF(E54:AH54,1)</f>
        <v>0</v>
      </c>
      <c r="AK54" s="56">
        <f>COUNTIF(E54:AH54,"тр")</f>
        <v>2</v>
      </c>
      <c r="AL54" s="57">
        <f>COUNTIF(E54:AH54,"бв")</f>
        <v>0</v>
      </c>
    </row>
    <row r="55" spans="1:38" s="33" customFormat="1" ht="16.5" thickBot="1">
      <c r="A55" s="63"/>
      <c r="B55" s="66" t="s">
        <v>64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0">
        <f>SUM(AI53:AI54)</f>
        <v>60</v>
      </c>
      <c r="AJ55" s="70">
        <f t="shared" ref="AJ55:AL55" si="21">SUM(AJ53:AJ54)</f>
        <v>1</v>
      </c>
      <c r="AK55" s="70">
        <f t="shared" si="21"/>
        <v>2</v>
      </c>
      <c r="AL55" s="76">
        <f t="shared" si="21"/>
        <v>1</v>
      </c>
    </row>
    <row r="56" spans="1:38">
      <c r="A56" s="8">
        <f>A54+1</f>
        <v>44</v>
      </c>
      <c r="B56" s="9" t="s">
        <v>65</v>
      </c>
      <c r="C56" s="10" t="s">
        <v>66</v>
      </c>
      <c r="D56" s="21" t="s">
        <v>60</v>
      </c>
      <c r="E56" s="6">
        <v>1</v>
      </c>
      <c r="F56" s="35">
        <v>1</v>
      </c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2</v>
      </c>
      <c r="AK56" s="17">
        <f>COUNTIF(E56:AH56,"тр")</f>
        <v>0</v>
      </c>
      <c r="AL56" s="18">
        <f>COUNTIF(E56:AH56,"бв")</f>
        <v>0</v>
      </c>
    </row>
    <row r="57" spans="1:38" ht="16.5" thickBot="1">
      <c r="A57" s="58">
        <f t="shared" si="5"/>
        <v>45</v>
      </c>
      <c r="B57" s="39" t="s">
        <v>65</v>
      </c>
      <c r="C57" s="40" t="s">
        <v>67</v>
      </c>
      <c r="D57" s="41" t="s">
        <v>61</v>
      </c>
      <c r="E57" s="43">
        <v>1</v>
      </c>
      <c r="F57" s="42">
        <v>1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2</v>
      </c>
      <c r="AK57" s="56">
        <f>COUNTIF(E57:AH57,"тр")</f>
        <v>0</v>
      </c>
      <c r="AL57" s="57">
        <f>COUNTIF(E57:AH57,"бв")</f>
        <v>0</v>
      </c>
    </row>
    <row r="58" spans="1:38" s="33" customFormat="1" ht="16.5" thickBot="1">
      <c r="A58" s="63"/>
      <c r="B58" s="66" t="s">
        <v>64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0">
        <f>SUM(AI56:AI57)</f>
        <v>60</v>
      </c>
      <c r="AJ58" s="70">
        <f t="shared" ref="AJ58:AL58" si="22">SUM(AJ56:AJ57)</f>
        <v>4</v>
      </c>
      <c r="AK58" s="70">
        <f t="shared" si="22"/>
        <v>0</v>
      </c>
      <c r="AL58" s="76">
        <f t="shared" si="22"/>
        <v>0</v>
      </c>
    </row>
    <row r="59" spans="1:38" s="33" customFormat="1">
      <c r="A59" s="36"/>
      <c r="B59" s="49"/>
      <c r="C59" s="50"/>
      <c r="D59" s="50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1" t="s">
        <v>68</v>
      </c>
      <c r="Z59" s="52"/>
      <c r="AA59" s="52"/>
      <c r="AB59" s="52"/>
      <c r="AC59" s="52"/>
      <c r="AD59" s="52"/>
      <c r="AE59" s="52"/>
      <c r="AF59" s="52"/>
      <c r="AG59" s="52"/>
      <c r="AH59" s="52"/>
      <c r="AI59" s="53">
        <f>AI6+AI23+AI31+AI35+AI38+AI40+AI44+AI52+AI55+AI58</f>
        <v>1350</v>
      </c>
      <c r="AJ59" s="53"/>
      <c r="AK59" s="53"/>
      <c r="AL59" s="53"/>
    </row>
    <row r="60" spans="1:38">
      <c r="A60" s="37"/>
      <c r="B60" s="1"/>
      <c r="C60" s="2"/>
      <c r="D60" s="2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8"/>
      <c r="AK60" s="48"/>
      <c r="AL60" s="48"/>
    </row>
    <row r="61" spans="1:38" ht="16.5" thickBot="1">
      <c r="A6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</row>
    <row r="62" spans="1:38" s="33" customFormat="1" ht="16.5" thickBot="1">
      <c r="A62" s="27" t="s">
        <v>57</v>
      </c>
      <c r="B62" s="28" t="s">
        <v>46</v>
      </c>
      <c r="C62" s="28" t="s">
        <v>49</v>
      </c>
      <c r="D62" s="29" t="s">
        <v>47</v>
      </c>
      <c r="E62" s="30">
        <v>1</v>
      </c>
      <c r="F62" s="30">
        <v>2</v>
      </c>
      <c r="G62" s="30">
        <v>3</v>
      </c>
      <c r="H62" s="30">
        <v>4</v>
      </c>
      <c r="I62" s="30">
        <v>5</v>
      </c>
      <c r="J62" s="30">
        <v>6</v>
      </c>
      <c r="K62" s="30">
        <v>7</v>
      </c>
      <c r="L62" s="30">
        <v>8</v>
      </c>
      <c r="M62" s="30">
        <v>9</v>
      </c>
      <c r="N62" s="30">
        <v>10</v>
      </c>
      <c r="O62" s="30">
        <v>11</v>
      </c>
      <c r="P62" s="30">
        <v>12</v>
      </c>
      <c r="Q62" s="30">
        <v>13</v>
      </c>
      <c r="R62" s="30">
        <v>14</v>
      </c>
      <c r="S62" s="30">
        <v>15</v>
      </c>
      <c r="T62" s="30">
        <v>16</v>
      </c>
      <c r="U62" s="30">
        <v>17</v>
      </c>
      <c r="V62" s="30">
        <v>18</v>
      </c>
      <c r="W62" s="30">
        <v>19</v>
      </c>
      <c r="X62" s="30">
        <v>20</v>
      </c>
      <c r="Y62" s="30">
        <v>21</v>
      </c>
      <c r="Z62" s="30">
        <v>22</v>
      </c>
      <c r="AA62" s="30">
        <v>23</v>
      </c>
      <c r="AB62" s="30">
        <v>24</v>
      </c>
      <c r="AC62" s="30">
        <v>25</v>
      </c>
      <c r="AD62" s="30">
        <v>26</v>
      </c>
      <c r="AE62" s="30">
        <v>27</v>
      </c>
      <c r="AF62" s="30">
        <v>28</v>
      </c>
      <c r="AG62" s="30">
        <v>29</v>
      </c>
      <c r="AH62" s="30">
        <v>30</v>
      </c>
      <c r="AI62" s="27" t="s">
        <v>63</v>
      </c>
      <c r="AJ62" s="31" t="s">
        <v>62</v>
      </c>
      <c r="AK62" s="31" t="s">
        <v>59</v>
      </c>
      <c r="AL62" s="32" t="s">
        <v>58</v>
      </c>
    </row>
    <row r="63" spans="1:38" ht="16.5" thickBot="1">
      <c r="A63" s="58">
        <v>1</v>
      </c>
      <c r="B63" s="59" t="s">
        <v>0</v>
      </c>
      <c r="C63" s="60" t="s">
        <v>48</v>
      </c>
      <c r="D63" s="61">
        <v>7334</v>
      </c>
      <c r="E63" s="38" t="s">
        <v>59</v>
      </c>
      <c r="F63" s="38" t="s">
        <v>59</v>
      </c>
      <c r="G63" s="38" t="s">
        <v>59</v>
      </c>
      <c r="H63" s="38" t="s">
        <v>59</v>
      </c>
      <c r="I63" s="38" t="s">
        <v>59</v>
      </c>
      <c r="J63" s="38" t="s">
        <v>59</v>
      </c>
      <c r="K63" s="38" t="s">
        <v>59</v>
      </c>
      <c r="L63" s="38" t="s">
        <v>59</v>
      </c>
      <c r="M63" s="38" t="s">
        <v>59</v>
      </c>
      <c r="N63" s="38" t="s">
        <v>59</v>
      </c>
      <c r="O63" s="38" t="s">
        <v>59</v>
      </c>
      <c r="P63" s="38" t="s">
        <v>59</v>
      </c>
      <c r="Q63" s="38" t="s">
        <v>59</v>
      </c>
      <c r="R63" s="38" t="s">
        <v>59</v>
      </c>
      <c r="S63" s="38" t="s">
        <v>59</v>
      </c>
      <c r="T63" s="38" t="s">
        <v>59</v>
      </c>
      <c r="U63" s="38" t="s">
        <v>59</v>
      </c>
      <c r="V63" s="38" t="s">
        <v>59</v>
      </c>
      <c r="W63" s="38" t="s">
        <v>59</v>
      </c>
      <c r="X63" s="38" t="s">
        <v>59</v>
      </c>
      <c r="Y63" s="38" t="s">
        <v>59</v>
      </c>
      <c r="Z63" s="38" t="s">
        <v>59</v>
      </c>
      <c r="AA63" s="38" t="s">
        <v>59</v>
      </c>
      <c r="AB63" s="38" t="s">
        <v>59</v>
      </c>
      <c r="AC63" s="38" t="s">
        <v>59</v>
      </c>
      <c r="AD63" s="38" t="s">
        <v>59</v>
      </c>
      <c r="AE63" s="38" t="s">
        <v>59</v>
      </c>
      <c r="AF63" s="38" t="s">
        <v>59</v>
      </c>
      <c r="AG63" s="38" t="s">
        <v>59</v>
      </c>
      <c r="AH63" s="38" t="s">
        <v>59</v>
      </c>
      <c r="AI63" s="73">
        <f>АХД</f>
        <v>30</v>
      </c>
      <c r="AJ63" s="19">
        <f>COUNTIF(E63:AH63,1)</f>
        <v>0</v>
      </c>
      <c r="AK63" s="19">
        <f>COUNTIF(E63:AH63,"тр")</f>
        <v>30</v>
      </c>
      <c r="AL63" s="20">
        <f>COUNTIF(E63:AH63,"бв")</f>
        <v>0</v>
      </c>
    </row>
    <row r="64" spans="1:38" s="33" customFormat="1" ht="16.5" thickBot="1">
      <c r="A64" s="63"/>
      <c r="B64" s="66" t="s">
        <v>64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70">
        <f>SUM(AI63)</f>
        <v>30</v>
      </c>
      <c r="AJ64" s="70">
        <f t="shared" ref="AJ64:AL64" si="23">SUM(AJ63)</f>
        <v>0</v>
      </c>
      <c r="AK64" s="70">
        <f t="shared" si="23"/>
        <v>30</v>
      </c>
      <c r="AL64" s="76">
        <f t="shared" si="23"/>
        <v>0</v>
      </c>
    </row>
    <row r="65" spans="1:38">
      <c r="A65" s="8">
        <v>2</v>
      </c>
      <c r="B65" s="9" t="s">
        <v>55</v>
      </c>
      <c r="C65" s="69">
        <v>176</v>
      </c>
      <c r="D65" s="21">
        <v>6172</v>
      </c>
      <c r="E65" s="6">
        <v>1</v>
      </c>
      <c r="F65" s="35">
        <v>1</v>
      </c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73">
        <f>АХД</f>
        <v>30</v>
      </c>
      <c r="AJ65" s="17">
        <f>COUNTIF(E65:AH65,1)</f>
        <v>2</v>
      </c>
      <c r="AK65" s="17">
        <f>COUNTIF(E65:AH65,"тр")</f>
        <v>0</v>
      </c>
      <c r="AL65" s="18">
        <f>COUNTIF(E65:AH65,"бв")</f>
        <v>0</v>
      </c>
    </row>
    <row r="66" spans="1:38" ht="16.5" thickBot="1">
      <c r="A66" s="44">
        <v>3</v>
      </c>
      <c r="B66" s="39" t="s">
        <v>55</v>
      </c>
      <c r="C66" s="68">
        <v>177</v>
      </c>
      <c r="D66" s="41">
        <v>6173</v>
      </c>
      <c r="E66" s="43">
        <v>1</v>
      </c>
      <c r="F66" s="42">
        <v>1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73">
        <f>АХД</f>
        <v>30</v>
      </c>
      <c r="AJ66" s="56">
        <f>COUNTIF(E66:AH66,1)</f>
        <v>2</v>
      </c>
      <c r="AK66" s="56">
        <f>COUNTIF(E66:AH66,"тр")</f>
        <v>0</v>
      </c>
      <c r="AL66" s="57">
        <f>COUNTIF(E66:AH66,"бв")</f>
        <v>0</v>
      </c>
    </row>
    <row r="67" spans="1:38" s="33" customFormat="1" ht="16.5" thickBot="1">
      <c r="A67" s="63"/>
      <c r="B67" s="66" t="s">
        <v>64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0">
        <f>SUM(AI65:AI66)</f>
        <v>60</v>
      </c>
      <c r="AJ67" s="70">
        <f t="shared" ref="AJ67:AL67" si="24">SUM(AJ65:AJ66)</f>
        <v>4</v>
      </c>
      <c r="AK67" s="70">
        <f t="shared" si="24"/>
        <v>0</v>
      </c>
      <c r="AL67" s="76">
        <f t="shared" si="24"/>
        <v>0</v>
      </c>
    </row>
    <row r="68" spans="1:38" s="33" customFormat="1">
      <c r="A68" s="36"/>
      <c r="B68" s="49"/>
      <c r="C68" s="50"/>
      <c r="D68" s="50"/>
      <c r="Y68" s="51" t="s">
        <v>69</v>
      </c>
      <c r="AI68" s="36">
        <f>AI64+AI67</f>
        <v>90</v>
      </c>
    </row>
  </sheetData>
  <autoFilter ref="E2:AL59">
    <filterColumn colId="9"/>
    <filterColumn colId="10"/>
    <filterColumn colId="11"/>
    <filterColumn colId="17"/>
    <filterColumn colId="19"/>
    <filterColumn colId="29"/>
    <filterColumn colId="30"/>
  </autoFilter>
  <mergeCells count="2">
    <mergeCell ref="A1:AL1"/>
    <mergeCell ref="A61:AL61"/>
  </mergeCells>
  <conditionalFormatting sqref="AJ6:AL6 AI23:AL23 AI31:AL31 AI35:AL35 AI38:AL38 AI40:AL40 AI44:AL44 AI52:AL52 AI55:AL55 AI58:AL58 AI64:AL64 AI67:AL67 AI4:AI58 AI63:AI67 E24:AH30 E32:AH34 E36:AH37 E45:AH51 E53:AH54 E56:AH57 E65:AH66 E39:AH39 E63:AI63 E4:AH5 E7:AH22 E41:AH43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6:AL6 AI23:AL23 AI31:AL31 AI35:AL35 AI38:AL38 AI40:AL40 AI44:AL44 AI52:AL52 AI55:AL55 AI64:AL6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activeCell="A6" sqref="A6"/>
    </sheetView>
  </sheetViews>
  <sheetFormatPr defaultRowHeight="15"/>
  <sheetData>
    <row r="2" spans="1:1">
      <c r="A2">
        <v>1</v>
      </c>
    </row>
    <row r="3" spans="1:1">
      <c r="A3" t="s">
        <v>59</v>
      </c>
    </row>
    <row r="4" spans="1:1">
      <c r="A4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2019-01-03T05:20:52Z</cp:lastPrinted>
  <dcterms:created xsi:type="dcterms:W3CDTF">2018-09-27T18:15:43Z</dcterms:created>
  <dcterms:modified xsi:type="dcterms:W3CDTF">2019-01-03T05:59:58Z</dcterms:modified>
</cp:coreProperties>
</file>