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2019'!$E$2:$AM$55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9" l="1"/>
  <c r="AK66" i="9"/>
  <c r="AL66" i="9"/>
  <c r="AI66" i="9"/>
  <c r="AL65" i="9"/>
  <c r="AK65" i="9"/>
  <c r="AJ65" i="9"/>
  <c r="AI65" i="9"/>
  <c r="AM62" i="10" l="1"/>
  <c r="AL62" i="10"/>
  <c r="AK62" i="10"/>
  <c r="AJ62" i="10"/>
  <c r="AM61" i="10"/>
  <c r="AL61" i="10"/>
  <c r="AK61" i="10"/>
  <c r="AJ61" i="10"/>
  <c r="AM60" i="10"/>
  <c r="AL60" i="10"/>
  <c r="AK60" i="10"/>
  <c r="AJ60" i="10"/>
  <c r="A60" i="10"/>
  <c r="A61" i="10" s="1"/>
  <c r="A62" i="10" s="1"/>
  <c r="A63" i="10" s="1"/>
  <c r="AM59" i="10"/>
  <c r="AL59" i="10"/>
  <c r="AK59" i="10"/>
  <c r="AJ59" i="10"/>
  <c r="A57" i="10"/>
  <c r="AM53" i="10"/>
  <c r="AL53" i="10"/>
  <c r="AK53" i="10"/>
  <c r="AJ53" i="10"/>
  <c r="AM52" i="10"/>
  <c r="AL52" i="10"/>
  <c r="AK52" i="10"/>
  <c r="AJ52" i="10"/>
  <c r="AM51" i="10"/>
  <c r="AM54" i="10" s="1"/>
  <c r="AL51" i="10"/>
  <c r="AK51" i="10"/>
  <c r="AK54" i="10" s="1"/>
  <c r="AJ51" i="10"/>
  <c r="AM49" i="10"/>
  <c r="AM50" i="10" s="1"/>
  <c r="AL49" i="10"/>
  <c r="AL50" i="10" s="1"/>
  <c r="AK49" i="10"/>
  <c r="AK50" i="10" s="1"/>
  <c r="AJ49" i="10"/>
  <c r="AJ50" i="10" s="1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2" i="10"/>
  <c r="AL42" i="10"/>
  <c r="AK42" i="10"/>
  <c r="AJ42" i="10"/>
  <c r="AM41" i="10"/>
  <c r="AL41" i="10"/>
  <c r="AK41" i="10"/>
  <c r="AK48" i="10" s="1"/>
  <c r="AJ41" i="10"/>
  <c r="AM39" i="10"/>
  <c r="AL39" i="10"/>
  <c r="AK39" i="10"/>
  <c r="AJ39" i="10"/>
  <c r="AM38" i="10"/>
  <c r="AL38" i="10"/>
  <c r="AK38" i="10"/>
  <c r="AJ38" i="10"/>
  <c r="AM37" i="10"/>
  <c r="AM40" i="10" s="1"/>
  <c r="AL37" i="10"/>
  <c r="AK37" i="10"/>
  <c r="AK40" i="10" s="1"/>
  <c r="AJ37" i="10"/>
  <c r="AM35" i="10"/>
  <c r="AM36" i="10" s="1"/>
  <c r="AL35" i="10"/>
  <c r="AL36" i="10" s="1"/>
  <c r="AK35" i="10"/>
  <c r="AK36" i="10" s="1"/>
  <c r="AJ35" i="10"/>
  <c r="AJ36" i="10" s="1"/>
  <c r="AM33" i="10"/>
  <c r="AL33" i="10"/>
  <c r="AK33" i="10"/>
  <c r="AJ33" i="10"/>
  <c r="AM32" i="10"/>
  <c r="AL32" i="10"/>
  <c r="AK32" i="10"/>
  <c r="AJ32" i="10"/>
  <c r="AM31" i="10"/>
  <c r="AM34" i="10" s="1"/>
  <c r="AL31" i="10"/>
  <c r="AK31" i="10"/>
  <c r="AK34" i="10" s="1"/>
  <c r="AJ31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4" i="10"/>
  <c r="AL24" i="10"/>
  <c r="AK24" i="10"/>
  <c r="AJ24" i="10"/>
  <c r="AM23" i="10"/>
  <c r="AL23" i="10"/>
  <c r="AK23" i="10"/>
  <c r="AK30" i="10" s="1"/>
  <c r="AJ23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K22" i="10" s="1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3" i="10" s="1"/>
  <c r="A24" i="10" s="1"/>
  <c r="A25" i="10" s="1"/>
  <c r="A26" i="10" s="1"/>
  <c r="A27" i="10" s="1"/>
  <c r="A28" i="10" s="1"/>
  <c r="A29" i="10" s="1"/>
  <c r="A31" i="10" s="1"/>
  <c r="A32" i="10" s="1"/>
  <c r="A33" i="10" s="1"/>
  <c r="A35" i="10" s="1"/>
  <c r="A37" i="10" s="1"/>
  <c r="A38" i="10" s="1"/>
  <c r="A39" i="10" s="1"/>
  <c r="A41" i="10" s="1"/>
  <c r="A42" i="10" s="1"/>
  <c r="A43" i="10" s="1"/>
  <c r="A44" i="10" s="1"/>
  <c r="A45" i="10" s="1"/>
  <c r="A46" i="10" s="1"/>
  <c r="A47" i="10" s="1"/>
  <c r="A49" i="10" s="1"/>
  <c r="A51" i="10" s="1"/>
  <c r="A52" i="10" s="1"/>
  <c r="A53" i="10" s="1"/>
  <c r="AM63" i="10"/>
  <c r="AL63" i="10"/>
  <c r="AK63" i="10"/>
  <c r="AJ63" i="10"/>
  <c r="A1" i="10"/>
  <c r="AJ34" i="10" l="1"/>
  <c r="AJ54" i="10"/>
  <c r="AL40" i="10"/>
  <c r="AM22" i="10"/>
  <c r="AM48" i="10"/>
  <c r="AK64" i="10"/>
  <c r="AM64" i="10"/>
  <c r="AJ64" i="10"/>
  <c r="AL64" i="10"/>
  <c r="AJ65" i="10"/>
  <c r="AJ40" i="10"/>
  <c r="AL54" i="10"/>
  <c r="AL30" i="10"/>
  <c r="AL48" i="10"/>
  <c r="AM30" i="10"/>
  <c r="AJ48" i="10"/>
  <c r="AJ30" i="10"/>
  <c r="AL34" i="10"/>
  <c r="AJ22" i="10"/>
  <c r="AL22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5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<sst xmlns="http://schemas.openxmlformats.org/spreadsheetml/2006/main" count="3065" uniqueCount="80">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</sst>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4" priority="2">
      <formula>LEN(TRIM(E4))=0</formula>
    </cfRule>
  </conditionalFormatting>
  <conditionalFormatting sqref="AJ38:AM38">
    <cfRule type="containsBlanks" dxfId="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2" priority="2">
      <formula>LEN(TRIM(E4))=0</formula>
    </cfRule>
  </conditionalFormatting>
  <conditionalFormatting sqref="E65:AI65">
    <cfRule type="containsBlanks" dxfId="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7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4" sqref="N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53</v>
      </c>
      <c r="C4" s="13" t="s">
        <v>4</v>
      </c>
      <c r="D4" s="89">
        <v>6982</v>
      </c>
      <c r="E4" s="91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155">
        <f t="shared" ref="AJ4:AJ21" si="0">COUNTA(E4:AI4)</f>
        <v>9</v>
      </c>
      <c r="AK4" s="17">
        <f t="shared" ref="AK4:AK21" si="1">COUNTIF(E4:AI4,1)</f>
        <v>9</v>
      </c>
      <c r="AL4" s="17">
        <f t="shared" ref="AL4:AL21" si="2">COUNTIF(E4:AI4,"тр")</f>
        <v>0</v>
      </c>
      <c r="AM4" s="18">
        <f t="shared" ref="AM4:AM21" si="3">COUNTIF(E4:AI4,"бв")</f>
        <v>0</v>
      </c>
    </row>
    <row r="5" spans="1:39" x14ac:dyDescent="0.25">
      <c r="A5" s="11">
        <f t="shared" ref="A5:A53" si="4">A4+1</f>
        <v>2</v>
      </c>
      <c r="B5" s="12" t="s">
        <v>53</v>
      </c>
      <c r="C5" s="13" t="s">
        <v>5</v>
      </c>
      <c r="D5" s="89">
        <v>5721</v>
      </c>
      <c r="E5" s="94">
        <v>1</v>
      </c>
      <c r="F5" s="7">
        <v>1</v>
      </c>
      <c r="G5" s="7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153">
        <f t="shared" si="0"/>
        <v>9</v>
      </c>
      <c r="AK5" s="54">
        <f t="shared" si="1"/>
        <v>9</v>
      </c>
      <c r="AL5" s="54">
        <f t="shared" si="2"/>
        <v>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100" t="s">
        <v>50</v>
      </c>
      <c r="E6" s="94">
        <v>1</v>
      </c>
      <c r="F6" s="7">
        <v>1</v>
      </c>
      <c r="G6" s="7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153">
        <f t="shared" si="0"/>
        <v>9</v>
      </c>
      <c r="AK6" s="54">
        <f t="shared" si="1"/>
        <v>7</v>
      </c>
      <c r="AL6" s="54">
        <f t="shared" si="2"/>
        <v>2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89">
        <v>1291</v>
      </c>
      <c r="E7" s="94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153">
        <f t="shared" si="0"/>
        <v>9</v>
      </c>
      <c r="AK7" s="54">
        <f t="shared" si="1"/>
        <v>6</v>
      </c>
      <c r="AL7" s="54">
        <f t="shared" si="2"/>
        <v>3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89">
        <v>6850</v>
      </c>
      <c r="E8" s="94" t="s">
        <v>57</v>
      </c>
      <c r="F8" s="7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153">
        <f t="shared" si="0"/>
        <v>9</v>
      </c>
      <c r="AK8" s="54">
        <f t="shared" si="1"/>
        <v>7</v>
      </c>
      <c r="AL8" s="54">
        <f t="shared" si="2"/>
        <v>0</v>
      </c>
      <c r="AM8" s="55">
        <f t="shared" si="3"/>
        <v>2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89">
        <v>7540</v>
      </c>
      <c r="E9" s="94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153">
        <f t="shared" si="0"/>
        <v>9</v>
      </c>
      <c r="AK9" s="54">
        <f t="shared" si="1"/>
        <v>5</v>
      </c>
      <c r="AL9" s="54">
        <f t="shared" si="2"/>
        <v>4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89">
        <v>4729</v>
      </c>
      <c r="E10" s="94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153">
        <f t="shared" si="0"/>
        <v>9</v>
      </c>
      <c r="AK10" s="54">
        <f t="shared" si="1"/>
        <v>4</v>
      </c>
      <c r="AL10" s="54">
        <f t="shared" si="2"/>
        <v>5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89">
        <v>4769</v>
      </c>
      <c r="E11" s="94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153">
        <f t="shared" si="0"/>
        <v>9</v>
      </c>
      <c r="AK11" s="54">
        <f t="shared" si="1"/>
        <v>3</v>
      </c>
      <c r="AL11" s="54">
        <f t="shared" si="2"/>
        <v>6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89">
        <v>4730</v>
      </c>
      <c r="E12" s="94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53">
        <f t="shared" si="0"/>
        <v>9</v>
      </c>
      <c r="AK12" s="54">
        <f t="shared" si="1"/>
        <v>4</v>
      </c>
      <c r="AL12" s="54">
        <f t="shared" si="2"/>
        <v>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89">
        <v>1213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153">
        <f t="shared" si="0"/>
        <v>9</v>
      </c>
      <c r="AK13" s="54">
        <f t="shared" si="1"/>
        <v>9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89">
        <v>4189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153">
        <f t="shared" si="0"/>
        <v>9</v>
      </c>
      <c r="AK14" s="54">
        <f t="shared" si="1"/>
        <v>9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89">
        <v>3584</v>
      </c>
      <c r="E15" s="94">
        <v>1</v>
      </c>
      <c r="F15" s="7">
        <v>1</v>
      </c>
      <c r="G15" s="7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153">
        <f t="shared" si="0"/>
        <v>9</v>
      </c>
      <c r="AK15" s="54">
        <f t="shared" si="1"/>
        <v>9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89">
        <v>1661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153">
        <f t="shared" si="0"/>
        <v>9</v>
      </c>
      <c r="AK16" s="54">
        <f t="shared" si="1"/>
        <v>9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89">
        <v>1662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153">
        <f t="shared" si="0"/>
        <v>9</v>
      </c>
      <c r="AK17" s="54">
        <f t="shared" si="1"/>
        <v>9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89">
        <v>4302</v>
      </c>
      <c r="E18" s="94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153">
        <f t="shared" si="0"/>
        <v>9</v>
      </c>
      <c r="AK18" s="54">
        <f t="shared" si="1"/>
        <v>6</v>
      </c>
      <c r="AL18" s="54">
        <f t="shared" si="2"/>
        <v>0</v>
      </c>
      <c r="AM18" s="55">
        <f t="shared" si="3"/>
        <v>3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89" t="s">
        <v>69</v>
      </c>
      <c r="E19" s="94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5" t="s">
        <v>58</v>
      </c>
      <c r="AI19" s="5" t="s">
        <v>58</v>
      </c>
      <c r="AJ19" s="153">
        <f t="shared" si="0"/>
        <v>31</v>
      </c>
      <c r="AK19" s="54">
        <f t="shared" si="1"/>
        <v>0</v>
      </c>
      <c r="AL19" s="54">
        <f t="shared" si="2"/>
        <v>31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89" t="s">
        <v>70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153">
        <f t="shared" si="0"/>
        <v>9</v>
      </c>
      <c r="AK20" s="54">
        <f t="shared" si="1"/>
        <v>9</v>
      </c>
      <c r="AL20" s="54">
        <f t="shared" si="2"/>
        <v>0</v>
      </c>
      <c r="AM20" s="55">
        <f t="shared" si="3"/>
        <v>0</v>
      </c>
    </row>
    <row r="21" spans="1:39" ht="16.3" thickBot="1" x14ac:dyDescent="0.3">
      <c r="A21" s="44">
        <f t="shared" si="4"/>
        <v>18</v>
      </c>
      <c r="B21" s="39" t="s">
        <v>53</v>
      </c>
      <c r="C21" s="40" t="s">
        <v>74</v>
      </c>
      <c r="D21" s="90" t="s">
        <v>71</v>
      </c>
      <c r="E21" s="96">
        <v>1</v>
      </c>
      <c r="F21" s="97">
        <v>1</v>
      </c>
      <c r="G21" s="97">
        <v>1</v>
      </c>
      <c r="H21" s="97">
        <v>1</v>
      </c>
      <c r="I21" s="97">
        <v>1</v>
      </c>
      <c r="J21" s="97">
        <v>1</v>
      </c>
      <c r="K21" s="97">
        <v>1</v>
      </c>
      <c r="L21" s="97">
        <v>1</v>
      </c>
      <c r="M21" s="97">
        <v>1</v>
      </c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154">
        <f t="shared" si="0"/>
        <v>9</v>
      </c>
      <c r="AK21" s="84">
        <f t="shared" si="1"/>
        <v>9</v>
      </c>
      <c r="AL21" s="84">
        <f t="shared" si="2"/>
        <v>0</v>
      </c>
      <c r="AM21" s="85">
        <f t="shared" si="3"/>
        <v>0</v>
      </c>
    </row>
    <row r="22" spans="1:39" s="33" customFormat="1" ht="16.3" thickBot="1" x14ac:dyDescent="0.3">
      <c r="A22" s="63"/>
      <c r="B22" s="66" t="s">
        <v>63</v>
      </c>
      <c r="C22" s="64"/>
      <c r="D22" s="64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140">
        <f>SUM(AJ4:AJ21)</f>
        <v>184</v>
      </c>
      <c r="AK22" s="141">
        <f>SUM(AK4:AK21)</f>
        <v>123</v>
      </c>
      <c r="AL22" s="141">
        <f>SUM(AL4:AL21)</f>
        <v>56</v>
      </c>
      <c r="AM22" s="142">
        <f>SUM(AM4:AM21)</f>
        <v>5</v>
      </c>
    </row>
    <row r="23" spans="1:39" x14ac:dyDescent="0.25">
      <c r="A23" s="8">
        <f>A21+1</f>
        <v>19</v>
      </c>
      <c r="B23" s="45" t="s">
        <v>19</v>
      </c>
      <c r="C23" s="10" t="s">
        <v>20</v>
      </c>
      <c r="D23" s="21">
        <v>2961</v>
      </c>
      <c r="E23" s="6" t="s">
        <v>58</v>
      </c>
      <c r="F23" s="35" t="s">
        <v>58</v>
      </c>
      <c r="G23" s="35" t="s">
        <v>58</v>
      </c>
      <c r="H23" s="35" t="s">
        <v>58</v>
      </c>
      <c r="I23" s="35" t="s">
        <v>58</v>
      </c>
      <c r="J23" s="35" t="s">
        <v>58</v>
      </c>
      <c r="K23" s="35" t="s">
        <v>58</v>
      </c>
      <c r="L23" s="35" t="s">
        <v>58</v>
      </c>
      <c r="M23" s="35" t="s">
        <v>58</v>
      </c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152">
        <f t="shared" ref="AJ23:AJ29" si="5">COUNTA(E23:AI23)</f>
        <v>9</v>
      </c>
      <c r="AK23" s="80">
        <f t="shared" ref="AK23:AK29" si="6">COUNTIF(E23:AI23,1)</f>
        <v>0</v>
      </c>
      <c r="AL23" s="80">
        <f t="shared" ref="AL23:AL29" si="7">COUNTIF(E23:AI23,"тр")</f>
        <v>9</v>
      </c>
      <c r="AM23" s="81">
        <f t="shared" ref="AM23:AM29" si="8">COUNTIF(E23:AI23,"бв")</f>
        <v>0</v>
      </c>
    </row>
    <row r="24" spans="1:39" x14ac:dyDescent="0.25">
      <c r="A24" s="11">
        <f t="shared" si="4"/>
        <v>20</v>
      </c>
      <c r="B24" s="14" t="s">
        <v>19</v>
      </c>
      <c r="C24" s="13" t="s">
        <v>21</v>
      </c>
      <c r="D24" s="22">
        <v>2962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3">
        <f t="shared" si="5"/>
        <v>9</v>
      </c>
      <c r="AK24" s="54">
        <f t="shared" si="6"/>
        <v>9</v>
      </c>
      <c r="AL24" s="54">
        <f t="shared" si="7"/>
        <v>0</v>
      </c>
      <c r="AM24" s="55">
        <f t="shared" si="8"/>
        <v>0</v>
      </c>
    </row>
    <row r="25" spans="1:39" x14ac:dyDescent="0.25">
      <c r="A25" s="11">
        <f t="shared" si="4"/>
        <v>21</v>
      </c>
      <c r="B25" s="14" t="s">
        <v>19</v>
      </c>
      <c r="C25" s="13" t="s">
        <v>22</v>
      </c>
      <c r="D25" s="22">
        <v>2963</v>
      </c>
      <c r="E25" s="7">
        <v>1</v>
      </c>
      <c r="F25" s="5">
        <v>1</v>
      </c>
      <c r="G25" s="5">
        <v>1</v>
      </c>
      <c r="H25" s="5" t="s">
        <v>58</v>
      </c>
      <c r="I25" s="5" t="s">
        <v>57</v>
      </c>
      <c r="J25" s="5">
        <v>1</v>
      </c>
      <c r="K25" s="5">
        <v>1</v>
      </c>
      <c r="L25" s="5">
        <v>1</v>
      </c>
      <c r="M25" s="5">
        <v>1</v>
      </c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153">
        <f t="shared" si="5"/>
        <v>9</v>
      </c>
      <c r="AK25" s="54">
        <f t="shared" si="6"/>
        <v>7</v>
      </c>
      <c r="AL25" s="54">
        <f t="shared" si="7"/>
        <v>1</v>
      </c>
      <c r="AM25" s="55">
        <f t="shared" si="8"/>
        <v>1</v>
      </c>
    </row>
    <row r="26" spans="1:39" x14ac:dyDescent="0.25">
      <c r="A26" s="11">
        <f t="shared" si="4"/>
        <v>22</v>
      </c>
      <c r="B26" s="14" t="s">
        <v>19</v>
      </c>
      <c r="C26" s="13" t="s">
        <v>23</v>
      </c>
      <c r="D26" s="22">
        <v>4309</v>
      </c>
      <c r="E26" s="7" t="s">
        <v>58</v>
      </c>
      <c r="F26" s="5" t="s">
        <v>58</v>
      </c>
      <c r="G26" s="5" t="s">
        <v>58</v>
      </c>
      <c r="H26" s="5" t="s">
        <v>58</v>
      </c>
      <c r="I26" s="5" t="s">
        <v>58</v>
      </c>
      <c r="J26" s="5" t="s">
        <v>58</v>
      </c>
      <c r="K26" s="5" t="s">
        <v>58</v>
      </c>
      <c r="L26" s="5" t="s">
        <v>58</v>
      </c>
      <c r="M26" s="5" t="s">
        <v>58</v>
      </c>
      <c r="N26" s="5" t="s">
        <v>58</v>
      </c>
      <c r="O26" s="5" t="s">
        <v>58</v>
      </c>
      <c r="P26" s="5" t="s">
        <v>58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58</v>
      </c>
      <c r="AE26" s="5" t="s">
        <v>58</v>
      </c>
      <c r="AF26" s="5" t="s">
        <v>58</v>
      </c>
      <c r="AG26" s="5" t="s">
        <v>58</v>
      </c>
      <c r="AH26" s="5" t="s">
        <v>58</v>
      </c>
      <c r="AI26" s="5" t="s">
        <v>58</v>
      </c>
      <c r="AJ26" s="153">
        <f t="shared" si="5"/>
        <v>31</v>
      </c>
      <c r="AK26" s="54">
        <f t="shared" si="6"/>
        <v>0</v>
      </c>
      <c r="AL26" s="54">
        <f t="shared" si="7"/>
        <v>31</v>
      </c>
      <c r="AM26" s="55">
        <f t="shared" si="8"/>
        <v>0</v>
      </c>
    </row>
    <row r="27" spans="1:39" x14ac:dyDescent="0.25">
      <c r="A27" s="11">
        <f t="shared" si="4"/>
        <v>23</v>
      </c>
      <c r="B27" s="14" t="s">
        <v>19</v>
      </c>
      <c r="C27" s="15">
        <v>162</v>
      </c>
      <c r="D27" s="22" t="s">
        <v>51</v>
      </c>
      <c r="E27" s="7" t="s">
        <v>57</v>
      </c>
      <c r="F27" s="7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 t="s">
        <v>57</v>
      </c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9</v>
      </c>
      <c r="AK27" s="54">
        <f t="shared" si="6"/>
        <v>7</v>
      </c>
      <c r="AL27" s="54">
        <f t="shared" si="7"/>
        <v>0</v>
      </c>
      <c r="AM27" s="55">
        <f t="shared" si="8"/>
        <v>2</v>
      </c>
    </row>
    <row r="28" spans="1:39" x14ac:dyDescent="0.25">
      <c r="A28" s="11">
        <f t="shared" si="4"/>
        <v>24</v>
      </c>
      <c r="B28" s="14" t="s">
        <v>19</v>
      </c>
      <c r="C28" s="15">
        <v>163</v>
      </c>
      <c r="D28" s="22" t="s">
        <v>52</v>
      </c>
      <c r="E28" s="7">
        <v>1</v>
      </c>
      <c r="F28" s="5">
        <v>1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9</v>
      </c>
      <c r="AK28" s="54">
        <f t="shared" si="6"/>
        <v>2</v>
      </c>
      <c r="AL28" s="54">
        <f t="shared" si="7"/>
        <v>7</v>
      </c>
      <c r="AM28" s="55">
        <f t="shared" si="8"/>
        <v>0</v>
      </c>
    </row>
    <row r="29" spans="1:39" ht="16.3" thickBot="1" x14ac:dyDescent="0.3">
      <c r="A29" s="44">
        <f t="shared" si="4"/>
        <v>25</v>
      </c>
      <c r="B29" s="67" t="s">
        <v>19</v>
      </c>
      <c r="C29" s="40" t="s">
        <v>24</v>
      </c>
      <c r="D29" s="41">
        <v>1276</v>
      </c>
      <c r="E29" s="43" t="s">
        <v>57</v>
      </c>
      <c r="F29" s="42" t="s">
        <v>57</v>
      </c>
      <c r="G29" s="42" t="s">
        <v>57</v>
      </c>
      <c r="H29" s="42" t="s">
        <v>57</v>
      </c>
      <c r="I29" s="42" t="s">
        <v>57</v>
      </c>
      <c r="J29" s="42" t="s">
        <v>57</v>
      </c>
      <c r="K29" s="42" t="s">
        <v>57</v>
      </c>
      <c r="L29" s="42" t="s">
        <v>57</v>
      </c>
      <c r="M29" s="42" t="s">
        <v>57</v>
      </c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54">
        <f t="shared" si="5"/>
        <v>9</v>
      </c>
      <c r="AK29" s="84">
        <f t="shared" si="6"/>
        <v>0</v>
      </c>
      <c r="AL29" s="84">
        <f t="shared" si="7"/>
        <v>0</v>
      </c>
      <c r="AM29" s="85">
        <f t="shared" si="8"/>
        <v>9</v>
      </c>
    </row>
    <row r="30" spans="1:39" s="33" customFormat="1" ht="16.3" thickBot="1" x14ac:dyDescent="0.3">
      <c r="A30" s="63"/>
      <c r="B30" s="66" t="s">
        <v>63</v>
      </c>
      <c r="C30" s="64"/>
      <c r="D30" s="64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134">
        <f>SUM(AJ23:AJ29)</f>
        <v>85</v>
      </c>
      <c r="AK30" s="135">
        <f>SUM(AK23:AK29)</f>
        <v>25</v>
      </c>
      <c r="AL30" s="135">
        <f>SUM(AL23:AL29)</f>
        <v>48</v>
      </c>
      <c r="AM30" s="136">
        <f>SUM(AM23:AM29)</f>
        <v>12</v>
      </c>
    </row>
    <row r="31" spans="1:39" x14ac:dyDescent="0.25">
      <c r="A31" s="8">
        <f>A29+1</f>
        <v>26</v>
      </c>
      <c r="B31" s="9" t="s">
        <v>25</v>
      </c>
      <c r="C31" s="10" t="s">
        <v>26</v>
      </c>
      <c r="D31" s="21">
        <v>3111</v>
      </c>
      <c r="E31" s="6">
        <v>1</v>
      </c>
      <c r="F31" s="35">
        <v>1</v>
      </c>
      <c r="G31" s="35">
        <v>1</v>
      </c>
      <c r="H31" s="35">
        <v>1</v>
      </c>
      <c r="I31" s="35">
        <v>1</v>
      </c>
      <c r="J31" s="35">
        <v>1</v>
      </c>
      <c r="K31" s="35" t="s">
        <v>57</v>
      </c>
      <c r="L31" s="35" t="s">
        <v>57</v>
      </c>
      <c r="M31" s="35" t="s">
        <v>57</v>
      </c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155">
        <f>COUNTA(E31:AI31)</f>
        <v>9</v>
      </c>
      <c r="AK31" s="17">
        <f>COUNTIF(E31:AI31,1)</f>
        <v>6</v>
      </c>
      <c r="AL31" s="17">
        <f>COUNTIF(E31:AI31,"тр")</f>
        <v>0</v>
      </c>
      <c r="AM31" s="18">
        <f>COUNTIF(E31:AI31,"бв")</f>
        <v>3</v>
      </c>
    </row>
    <row r="32" spans="1:39" x14ac:dyDescent="0.25">
      <c r="A32" s="11">
        <f t="shared" si="4"/>
        <v>27</v>
      </c>
      <c r="B32" s="16" t="s">
        <v>25</v>
      </c>
      <c r="C32" s="13" t="s">
        <v>27</v>
      </c>
      <c r="D32" s="22">
        <v>1290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>
        <v>1</v>
      </c>
      <c r="L32" s="5">
        <v>1</v>
      </c>
      <c r="M32" s="5">
        <v>1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155">
        <f>COUNTA(E32:AI32)</f>
        <v>9</v>
      </c>
      <c r="AK32" s="54">
        <f>COUNTIF(E32:AI32,1)</f>
        <v>8</v>
      </c>
      <c r="AL32" s="54">
        <f>COUNTIF(E32:AI32,"тр")</f>
        <v>0</v>
      </c>
      <c r="AM32" s="55">
        <f>COUNTIF(E32:AI32,"бв")</f>
        <v>1</v>
      </c>
    </row>
    <row r="33" spans="1:39" ht="16.3" thickBot="1" x14ac:dyDescent="0.3">
      <c r="A33" s="44">
        <f t="shared" si="4"/>
        <v>28</v>
      </c>
      <c r="B33" s="39" t="s">
        <v>25</v>
      </c>
      <c r="C33" s="68">
        <v>147</v>
      </c>
      <c r="D33" s="41">
        <v>4711</v>
      </c>
      <c r="E33" s="43" t="s">
        <v>58</v>
      </c>
      <c r="F33" s="42" t="s">
        <v>58</v>
      </c>
      <c r="G33" s="42" t="s">
        <v>58</v>
      </c>
      <c r="H33" s="42" t="s">
        <v>58</v>
      </c>
      <c r="I33" s="42" t="s">
        <v>58</v>
      </c>
      <c r="J33" s="42" t="s">
        <v>58</v>
      </c>
      <c r="K33" s="42" t="s">
        <v>58</v>
      </c>
      <c r="L33" s="42" t="s">
        <v>58</v>
      </c>
      <c r="M33" s="42" t="s">
        <v>58</v>
      </c>
      <c r="N33" s="42" t="s">
        <v>58</v>
      </c>
      <c r="O33" s="42" t="s">
        <v>58</v>
      </c>
      <c r="P33" s="42" t="s">
        <v>58</v>
      </c>
      <c r="Q33" s="42" t="s">
        <v>58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 t="s">
        <v>58</v>
      </c>
      <c r="X33" s="42" t="s">
        <v>58</v>
      </c>
      <c r="Y33" s="42" t="s">
        <v>58</v>
      </c>
      <c r="Z33" s="42" t="s">
        <v>58</v>
      </c>
      <c r="AA33" s="42" t="s">
        <v>58</v>
      </c>
      <c r="AB33" s="42" t="s">
        <v>58</v>
      </c>
      <c r="AC33" s="42" t="s">
        <v>58</v>
      </c>
      <c r="AD33" s="42" t="s">
        <v>58</v>
      </c>
      <c r="AE33" s="42" t="s">
        <v>58</v>
      </c>
      <c r="AF33" s="42" t="s">
        <v>58</v>
      </c>
      <c r="AG33" s="42" t="s">
        <v>58</v>
      </c>
      <c r="AH33" s="42" t="s">
        <v>58</v>
      </c>
      <c r="AI33" s="42" t="s">
        <v>58</v>
      </c>
      <c r="AJ33" s="155">
        <f>COUNTA(E33:AI33)</f>
        <v>31</v>
      </c>
      <c r="AK33" s="56">
        <f>COUNTIF(E33:AI33,1)</f>
        <v>0</v>
      </c>
      <c r="AL33" s="56">
        <f>COUNTIF(E33:AI33,"тр")</f>
        <v>31</v>
      </c>
      <c r="AM33" s="57">
        <f>COUNTIF(E33:AI33,"бв")</f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SUM(AJ31:AJ33)</f>
        <v>49</v>
      </c>
      <c r="AK34" s="69">
        <f>SUM(AK31:AK33)</f>
        <v>14</v>
      </c>
      <c r="AL34" s="69">
        <f>SUM(AL31:AL33)</f>
        <v>31</v>
      </c>
      <c r="AM34" s="75">
        <f>SUM(AM31:AM33)</f>
        <v>4</v>
      </c>
    </row>
    <row r="35" spans="1:39" ht="16.3" thickBot="1" x14ac:dyDescent="0.3">
      <c r="A35" s="58">
        <f>A33+1</f>
        <v>29</v>
      </c>
      <c r="B35" s="59" t="s">
        <v>30</v>
      </c>
      <c r="C35" s="60" t="s">
        <v>31</v>
      </c>
      <c r="D35" s="61">
        <v>4253</v>
      </c>
      <c r="E35" s="38" t="s">
        <v>58</v>
      </c>
      <c r="F35" s="62" t="s">
        <v>58</v>
      </c>
      <c r="G35" s="62" t="s">
        <v>58</v>
      </c>
      <c r="H35" s="62" t="s">
        <v>58</v>
      </c>
      <c r="I35" s="62" t="s">
        <v>58</v>
      </c>
      <c r="J35" s="62" t="s">
        <v>58</v>
      </c>
      <c r="K35" s="62" t="s">
        <v>58</v>
      </c>
      <c r="L35" s="62" t="s">
        <v>58</v>
      </c>
      <c r="M35" s="62" t="s">
        <v>58</v>
      </c>
      <c r="N35" s="62" t="s">
        <v>58</v>
      </c>
      <c r="O35" s="62" t="s">
        <v>58</v>
      </c>
      <c r="P35" s="62" t="s">
        <v>58</v>
      </c>
      <c r="Q35" s="62" t="s">
        <v>58</v>
      </c>
      <c r="R35" s="62" t="s">
        <v>58</v>
      </c>
      <c r="S35" s="62" t="s">
        <v>58</v>
      </c>
      <c r="T35" s="62" t="s">
        <v>58</v>
      </c>
      <c r="U35" s="62" t="s">
        <v>58</v>
      </c>
      <c r="V35" s="62" t="s">
        <v>58</v>
      </c>
      <c r="W35" s="62" t="s">
        <v>58</v>
      </c>
      <c r="X35" s="62" t="s">
        <v>58</v>
      </c>
      <c r="Y35" s="62" t="s">
        <v>58</v>
      </c>
      <c r="Z35" s="62" t="s">
        <v>58</v>
      </c>
      <c r="AA35" s="62" t="s">
        <v>58</v>
      </c>
      <c r="AB35" s="62" t="s">
        <v>58</v>
      </c>
      <c r="AC35" s="62" t="s">
        <v>58</v>
      </c>
      <c r="AD35" s="62" t="s">
        <v>58</v>
      </c>
      <c r="AE35" s="62" t="s">
        <v>58</v>
      </c>
      <c r="AF35" s="62" t="s">
        <v>58</v>
      </c>
      <c r="AG35" s="62" t="s">
        <v>58</v>
      </c>
      <c r="AH35" s="62" t="s">
        <v>58</v>
      </c>
      <c r="AI35" s="62" t="s">
        <v>58</v>
      </c>
      <c r="AJ35" s="155">
        <f>COUNTA(E35:AI35)</f>
        <v>31</v>
      </c>
      <c r="AK35" s="19">
        <f>COUNTIF(E35:AI35,1)</f>
        <v>0</v>
      </c>
      <c r="AL35" s="19">
        <f>COUNTIF(E35:AI35,"тр")</f>
        <v>31</v>
      </c>
      <c r="AM35" s="20">
        <f>COUNTIF(E35:AI35,"бв")</f>
        <v>0</v>
      </c>
    </row>
    <row r="36" spans="1:39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SUM(AJ35)</f>
        <v>31</v>
      </c>
      <c r="AK36" s="69">
        <f>SUM(AK35)</f>
        <v>0</v>
      </c>
      <c r="AL36" s="69">
        <f>SUM(AL35)</f>
        <v>31</v>
      </c>
      <c r="AM36" s="75">
        <f>SUM(AM35)</f>
        <v>0</v>
      </c>
    </row>
    <row r="37" spans="1:39" x14ac:dyDescent="0.25">
      <c r="A37" s="8">
        <f>A35+1</f>
        <v>30</v>
      </c>
      <c r="B37" s="9" t="s">
        <v>33</v>
      </c>
      <c r="C37" s="10" t="s">
        <v>32</v>
      </c>
      <c r="D37" s="21">
        <v>2831</v>
      </c>
      <c r="E37" s="35">
        <v>1</v>
      </c>
      <c r="F37" s="35">
        <v>1</v>
      </c>
      <c r="G37" s="35">
        <v>1</v>
      </c>
      <c r="H37" s="35">
        <v>1</v>
      </c>
      <c r="I37" s="35" t="s">
        <v>57</v>
      </c>
      <c r="J37" s="35" t="s">
        <v>57</v>
      </c>
      <c r="K37" s="35" t="s">
        <v>57</v>
      </c>
      <c r="L37" s="35">
        <v>1</v>
      </c>
      <c r="M37" s="35">
        <v>1</v>
      </c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155">
        <f>COUNTA(E37:AI37)</f>
        <v>9</v>
      </c>
      <c r="AK37" s="17">
        <f>COUNTIF(E37:AI37,1)</f>
        <v>6</v>
      </c>
      <c r="AL37" s="17">
        <f>COUNTIF(E37:AI37,"тр")</f>
        <v>0</v>
      </c>
      <c r="AM37" s="18">
        <f>COUNTIF(E37:AI37,"бв")</f>
        <v>3</v>
      </c>
    </row>
    <row r="38" spans="1:39" x14ac:dyDescent="0.25">
      <c r="A38" s="11">
        <f t="shared" si="4"/>
        <v>31</v>
      </c>
      <c r="B38" s="12" t="s">
        <v>33</v>
      </c>
      <c r="C38" s="13" t="s">
        <v>34</v>
      </c>
      <c r="D38" s="22">
        <v>7945</v>
      </c>
      <c r="E38" s="7" t="s">
        <v>58</v>
      </c>
      <c r="F38" s="7" t="s">
        <v>58</v>
      </c>
      <c r="G38" s="7" t="s">
        <v>58</v>
      </c>
      <c r="H38" s="5" t="s">
        <v>58</v>
      </c>
      <c r="I38" s="5">
        <v>1</v>
      </c>
      <c r="J38" s="5">
        <v>1</v>
      </c>
      <c r="K38" s="5">
        <v>1</v>
      </c>
      <c r="L38" s="5" t="s">
        <v>58</v>
      </c>
      <c r="M38" s="5" t="s">
        <v>58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155">
        <f>COUNTA(E38:AI38)</f>
        <v>9</v>
      </c>
      <c r="AK38" s="54">
        <f>COUNTIF(E38:AI38,1)</f>
        <v>3</v>
      </c>
      <c r="AL38" s="54">
        <f>COUNTIF(E38:AI38,"тр")</f>
        <v>6</v>
      </c>
      <c r="AM38" s="55">
        <f>COUNTIF(E38:AI38,"бв")</f>
        <v>0</v>
      </c>
    </row>
    <row r="39" spans="1:39" ht="16.3" thickBot="1" x14ac:dyDescent="0.3">
      <c r="A39" s="44">
        <f t="shared" si="4"/>
        <v>32</v>
      </c>
      <c r="B39" s="39" t="s">
        <v>35</v>
      </c>
      <c r="C39" s="68">
        <v>135</v>
      </c>
      <c r="D39" s="41">
        <v>8933</v>
      </c>
      <c r="E39" s="43" t="s">
        <v>57</v>
      </c>
      <c r="F39" s="43">
        <v>1</v>
      </c>
      <c r="G39" s="43">
        <v>1</v>
      </c>
      <c r="H39" s="42">
        <v>1</v>
      </c>
      <c r="I39" s="42">
        <v>1</v>
      </c>
      <c r="J39" s="42" t="s">
        <v>57</v>
      </c>
      <c r="K39" s="42">
        <v>1</v>
      </c>
      <c r="L39" s="42">
        <v>1</v>
      </c>
      <c r="M39" s="42">
        <v>1</v>
      </c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155">
        <f>COUNTA(E39:AI39)</f>
        <v>9</v>
      </c>
      <c r="AK39" s="56">
        <f>COUNTIF(E39:AI39,1)</f>
        <v>7</v>
      </c>
      <c r="AL39" s="56">
        <f>COUNTIF(E39:AI39,"тр")</f>
        <v>0</v>
      </c>
      <c r="AM39" s="57">
        <f>COUNTIF(E39:AI39,"бв")</f>
        <v>2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SUM(AJ37:AJ39)</f>
        <v>27</v>
      </c>
      <c r="AK40" s="69">
        <f>SUM(AK37:AK39)</f>
        <v>16</v>
      </c>
      <c r="AL40" s="69">
        <f>SUM(AL37:AL39)</f>
        <v>6</v>
      </c>
      <c r="AM40" s="75">
        <f>SUM(AM37:AM39)</f>
        <v>5</v>
      </c>
    </row>
    <row r="41" spans="1:39" x14ac:dyDescent="0.25">
      <c r="A41" s="8">
        <f>A39+1</f>
        <v>33</v>
      </c>
      <c r="B41" s="9" t="s">
        <v>54</v>
      </c>
      <c r="C41" s="10" t="s">
        <v>36</v>
      </c>
      <c r="D41" s="21">
        <v>4994</v>
      </c>
      <c r="E41" s="6">
        <v>1</v>
      </c>
      <c r="F41" s="6" t="s">
        <v>58</v>
      </c>
      <c r="G41" s="6">
        <v>1</v>
      </c>
      <c r="H41" s="35">
        <v>1</v>
      </c>
      <c r="I41" s="35">
        <v>1</v>
      </c>
      <c r="J41" s="35">
        <v>1</v>
      </c>
      <c r="K41" s="35">
        <v>1</v>
      </c>
      <c r="L41" s="35">
        <v>1</v>
      </c>
      <c r="M41" s="35">
        <v>1</v>
      </c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155">
        <f t="shared" ref="AJ41:AJ47" si="9">COUNTA(E41:AI41)</f>
        <v>9</v>
      </c>
      <c r="AK41" s="17">
        <f t="shared" ref="AK41:AK47" si="10">COUNTIF(E41:AI41,1)</f>
        <v>8</v>
      </c>
      <c r="AL41" s="17">
        <f t="shared" ref="AL41:AL47" si="11">COUNTIF(E41:AI41,"тр")</f>
        <v>1</v>
      </c>
      <c r="AM41" s="18">
        <f t="shared" ref="AM41:AM47" si="12">COUNTIF(E41:AI41,"бв")</f>
        <v>0</v>
      </c>
    </row>
    <row r="42" spans="1:39" x14ac:dyDescent="0.25">
      <c r="A42" s="11">
        <f t="shared" si="4"/>
        <v>34</v>
      </c>
      <c r="B42" s="12" t="s">
        <v>54</v>
      </c>
      <c r="C42" s="13" t="s">
        <v>37</v>
      </c>
      <c r="D42" s="22">
        <v>4995</v>
      </c>
      <c r="E42" s="7">
        <v>1</v>
      </c>
      <c r="F42" s="5">
        <v>1</v>
      </c>
      <c r="G42" s="5">
        <v>1</v>
      </c>
      <c r="H42" s="5">
        <v>1</v>
      </c>
      <c r="I42" s="5">
        <v>1</v>
      </c>
      <c r="J42" s="5" t="s">
        <v>57</v>
      </c>
      <c r="K42" s="5">
        <v>1</v>
      </c>
      <c r="L42" s="5">
        <v>1</v>
      </c>
      <c r="M42" s="5">
        <v>1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155">
        <f t="shared" si="9"/>
        <v>9</v>
      </c>
      <c r="AK42" s="54">
        <f t="shared" si="10"/>
        <v>8</v>
      </c>
      <c r="AL42" s="54">
        <f t="shared" si="11"/>
        <v>0</v>
      </c>
      <c r="AM42" s="55">
        <f t="shared" si="12"/>
        <v>1</v>
      </c>
    </row>
    <row r="43" spans="1:39" x14ac:dyDescent="0.25">
      <c r="A43" s="11">
        <f t="shared" si="4"/>
        <v>35</v>
      </c>
      <c r="B43" s="12" t="s">
        <v>54</v>
      </c>
      <c r="C43" s="13" t="s">
        <v>38</v>
      </c>
      <c r="D43" s="22">
        <v>6129</v>
      </c>
      <c r="E43" s="7">
        <v>1</v>
      </c>
      <c r="F43" s="5">
        <v>1</v>
      </c>
      <c r="G43" s="5">
        <v>1</v>
      </c>
      <c r="H43" s="5">
        <v>1</v>
      </c>
      <c r="I43" s="5">
        <v>1</v>
      </c>
      <c r="J43" s="5" t="s">
        <v>57</v>
      </c>
      <c r="K43" s="5">
        <v>1</v>
      </c>
      <c r="L43" s="5">
        <v>1</v>
      </c>
      <c r="M43" s="5">
        <v>1</v>
      </c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155">
        <f t="shared" si="9"/>
        <v>9</v>
      </c>
      <c r="AK43" s="54">
        <f t="shared" si="10"/>
        <v>8</v>
      </c>
      <c r="AL43" s="54">
        <f t="shared" si="11"/>
        <v>0</v>
      </c>
      <c r="AM43" s="55">
        <f t="shared" si="12"/>
        <v>1</v>
      </c>
    </row>
    <row r="44" spans="1:39" x14ac:dyDescent="0.25">
      <c r="A44" s="11">
        <f t="shared" si="4"/>
        <v>36</v>
      </c>
      <c r="B44" s="12" t="s">
        <v>54</v>
      </c>
      <c r="C44" s="13" t="s">
        <v>39</v>
      </c>
      <c r="D44" s="22">
        <v>6130</v>
      </c>
      <c r="E44" s="7">
        <v>1</v>
      </c>
      <c r="F44" s="5">
        <v>1</v>
      </c>
      <c r="G44" s="5">
        <v>1</v>
      </c>
      <c r="H44" s="5">
        <v>1</v>
      </c>
      <c r="I44" s="5" t="s">
        <v>57</v>
      </c>
      <c r="J44" s="5">
        <v>1</v>
      </c>
      <c r="K44" s="5">
        <v>1</v>
      </c>
      <c r="L44" s="5" t="s">
        <v>57</v>
      </c>
      <c r="M44" s="5">
        <v>1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9</v>
      </c>
      <c r="AK44" s="54">
        <f t="shared" si="10"/>
        <v>7</v>
      </c>
      <c r="AL44" s="54">
        <f t="shared" si="11"/>
        <v>0</v>
      </c>
      <c r="AM44" s="55">
        <f t="shared" si="12"/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40</v>
      </c>
      <c r="D45" s="22">
        <v>1297</v>
      </c>
      <c r="E45" s="7">
        <v>1</v>
      </c>
      <c r="F45" s="5" t="s">
        <v>57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>
        <v>1</v>
      </c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9</v>
      </c>
      <c r="AK45" s="54">
        <f t="shared" si="10"/>
        <v>7</v>
      </c>
      <c r="AL45" s="54">
        <f t="shared" si="11"/>
        <v>0</v>
      </c>
      <c r="AM45" s="55">
        <f t="shared" si="12"/>
        <v>2</v>
      </c>
    </row>
    <row r="46" spans="1:39" x14ac:dyDescent="0.25">
      <c r="A46" s="11">
        <f t="shared" si="4"/>
        <v>38</v>
      </c>
      <c r="B46" s="12" t="s">
        <v>54</v>
      </c>
      <c r="C46" s="13" t="s">
        <v>41</v>
      </c>
      <c r="D46" s="22">
        <v>1296</v>
      </c>
      <c r="E46" s="7" t="s">
        <v>58</v>
      </c>
      <c r="F46" s="5" t="s">
        <v>58</v>
      </c>
      <c r="G46" s="5" t="s">
        <v>58</v>
      </c>
      <c r="H46" s="5" t="s">
        <v>58</v>
      </c>
      <c r="I46" s="5" t="s">
        <v>58</v>
      </c>
      <c r="J46" s="5" t="s">
        <v>58</v>
      </c>
      <c r="K46" s="5" t="s">
        <v>58</v>
      </c>
      <c r="L46" s="5" t="s">
        <v>58</v>
      </c>
      <c r="M46" s="5" t="s">
        <v>58</v>
      </c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9</v>
      </c>
      <c r="AK46" s="54">
        <f t="shared" si="10"/>
        <v>0</v>
      </c>
      <c r="AL46" s="54">
        <f t="shared" si="11"/>
        <v>9</v>
      </c>
      <c r="AM46" s="55">
        <f t="shared" si="12"/>
        <v>0</v>
      </c>
    </row>
    <row r="47" spans="1:39" ht="16.3" thickBot="1" x14ac:dyDescent="0.3">
      <c r="A47" s="44">
        <f t="shared" si="4"/>
        <v>39</v>
      </c>
      <c r="B47" s="39" t="s">
        <v>54</v>
      </c>
      <c r="C47" s="40" t="s">
        <v>42</v>
      </c>
      <c r="D47" s="41">
        <v>1344</v>
      </c>
      <c r="E47" s="43">
        <v>1</v>
      </c>
      <c r="F47" s="42">
        <v>1</v>
      </c>
      <c r="G47" s="42">
        <v>1</v>
      </c>
      <c r="H47" s="42">
        <v>1</v>
      </c>
      <c r="I47" s="42">
        <v>1</v>
      </c>
      <c r="J47" s="42">
        <v>1</v>
      </c>
      <c r="K47" s="42" t="s">
        <v>57</v>
      </c>
      <c r="L47" s="42">
        <v>1</v>
      </c>
      <c r="M47" s="42">
        <v>1</v>
      </c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155">
        <f t="shared" si="9"/>
        <v>9</v>
      </c>
      <c r="AK47" s="56">
        <f t="shared" si="10"/>
        <v>8</v>
      </c>
      <c r="AL47" s="56">
        <f t="shared" si="11"/>
        <v>0</v>
      </c>
      <c r="AM47" s="57">
        <f t="shared" si="12"/>
        <v>1</v>
      </c>
    </row>
    <row r="48" spans="1:39" s="33" customFormat="1" ht="16.3" thickBot="1" x14ac:dyDescent="0.3">
      <c r="A48" s="63"/>
      <c r="B48" s="66" t="s">
        <v>63</v>
      </c>
      <c r="C48" s="64"/>
      <c r="D48" s="64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77">
        <f>SUM(AJ41:AJ47)</f>
        <v>63</v>
      </c>
      <c r="AK48" s="69">
        <f>SUM(AK41:AK47)</f>
        <v>46</v>
      </c>
      <c r="AL48" s="69">
        <f>SUM(AL41:AL47)</f>
        <v>10</v>
      </c>
      <c r="AM48" s="75">
        <f>SUM(AM41:AM47)</f>
        <v>7</v>
      </c>
    </row>
    <row r="49" spans="1:39" ht="16.3" thickBot="1" x14ac:dyDescent="0.3">
      <c r="A49" s="44">
        <f>A47+1</f>
        <v>40</v>
      </c>
      <c r="B49" s="39" t="s">
        <v>43</v>
      </c>
      <c r="C49" s="40" t="s">
        <v>45</v>
      </c>
      <c r="D49" s="41">
        <v>1252</v>
      </c>
      <c r="E49" s="43" t="s">
        <v>57</v>
      </c>
      <c r="F49" s="42">
        <v>1</v>
      </c>
      <c r="G49" s="42">
        <v>1</v>
      </c>
      <c r="H49" s="42">
        <v>1</v>
      </c>
      <c r="I49" s="42" t="s">
        <v>57</v>
      </c>
      <c r="J49" s="42">
        <v>1</v>
      </c>
      <c r="K49" s="42">
        <v>1</v>
      </c>
      <c r="L49" s="42">
        <v>1</v>
      </c>
      <c r="M49" s="42">
        <v>1</v>
      </c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>COUNTA(E49:AI49)</f>
        <v>9</v>
      </c>
      <c r="AK49" s="56">
        <f>COUNTIF(E49:AI49,1)</f>
        <v>7</v>
      </c>
      <c r="AL49" s="56">
        <f>COUNTIF(E49:AI49,"тр")</f>
        <v>0</v>
      </c>
      <c r="AM49" s="57">
        <f>COUNTIF(E49:AI49,"бв")</f>
        <v>2</v>
      </c>
    </row>
    <row r="50" spans="1:39" s="33" customFormat="1" ht="16.3" thickBot="1" x14ac:dyDescent="0.3">
      <c r="A50" s="129"/>
      <c r="B50" s="130" t="s">
        <v>63</v>
      </c>
      <c r="C50" s="128"/>
      <c r="D50" s="128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SUM(AJ49:AJ49)</f>
        <v>9</v>
      </c>
      <c r="AK50" s="69">
        <f>SUM(AK49:AK49)</f>
        <v>7</v>
      </c>
      <c r="AL50" s="69">
        <f>SUM(AL49:AL49)</f>
        <v>0</v>
      </c>
      <c r="AM50" s="75">
        <f>SUM(AM49:AM49)</f>
        <v>2</v>
      </c>
    </row>
    <row r="51" spans="1:39" x14ac:dyDescent="0.25">
      <c r="A51" s="103">
        <f>A49+1</f>
        <v>41</v>
      </c>
      <c r="B51" s="104" t="s">
        <v>64</v>
      </c>
      <c r="C51" s="105" t="s">
        <v>65</v>
      </c>
      <c r="D51" s="106" t="s">
        <v>59</v>
      </c>
      <c r="E51" s="143">
        <v>1</v>
      </c>
      <c r="F51" s="92">
        <v>1</v>
      </c>
      <c r="G51" s="92">
        <v>1</v>
      </c>
      <c r="H51" s="92" t="s">
        <v>57</v>
      </c>
      <c r="I51" s="92" t="s">
        <v>57</v>
      </c>
      <c r="J51" s="92">
        <v>1</v>
      </c>
      <c r="K51" s="92">
        <v>1</v>
      </c>
      <c r="L51" s="92">
        <v>1</v>
      </c>
      <c r="M51" s="92">
        <v>1</v>
      </c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152">
        <f>COUNTA(E51:AI51)</f>
        <v>9</v>
      </c>
      <c r="AK51" s="80">
        <f>COUNTIF(E51:AI51,1)</f>
        <v>7</v>
      </c>
      <c r="AL51" s="80">
        <f>COUNTIF(E51:AI51,"тр")</f>
        <v>0</v>
      </c>
      <c r="AM51" s="81">
        <f>COUNTIF(E51:AI51,"бв")</f>
        <v>2</v>
      </c>
    </row>
    <row r="52" spans="1:39" x14ac:dyDescent="0.25">
      <c r="A52" s="58">
        <f t="shared" si="4"/>
        <v>42</v>
      </c>
      <c r="B52" s="39" t="s">
        <v>64</v>
      </c>
      <c r="C52" s="40" t="s">
        <v>66</v>
      </c>
      <c r="D52" s="22" t="s">
        <v>60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 t="s">
        <v>57</v>
      </c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9</v>
      </c>
      <c r="AK52" s="56">
        <f>COUNTIF(E52:AI52,1)</f>
        <v>7</v>
      </c>
      <c r="AL52" s="56">
        <f>COUNTIF(E52:AI52,"тр")</f>
        <v>0</v>
      </c>
      <c r="AM52" s="57">
        <f>COUNTIF(E52:AI52,"бв")</f>
        <v>2</v>
      </c>
    </row>
    <row r="53" spans="1:39" ht="16.3" thickBot="1" x14ac:dyDescent="0.3">
      <c r="A53" s="107">
        <f t="shared" si="4"/>
        <v>43</v>
      </c>
      <c r="B53" s="108" t="s">
        <v>79</v>
      </c>
      <c r="C53" s="109" t="s">
        <v>77</v>
      </c>
      <c r="D53" s="110" t="s">
        <v>78</v>
      </c>
      <c r="E53" s="144">
        <v>1</v>
      </c>
      <c r="F53" s="97" t="s">
        <v>57</v>
      </c>
      <c r="G53" s="97" t="s">
        <v>57</v>
      </c>
      <c r="H53" s="97">
        <v>1</v>
      </c>
      <c r="I53" s="97">
        <v>1</v>
      </c>
      <c r="J53" s="97">
        <v>1</v>
      </c>
      <c r="K53" s="97">
        <v>1</v>
      </c>
      <c r="L53" s="97">
        <v>1</v>
      </c>
      <c r="M53" s="97">
        <v>1</v>
      </c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157">
        <f>COUNTA(E53:AI53)</f>
        <v>9</v>
      </c>
      <c r="AK53" s="84">
        <f>COUNTIF(E53:AI53,1)</f>
        <v>7</v>
      </c>
      <c r="AL53" s="84">
        <f>COUNTIF(E53:AI53,"тр")</f>
        <v>0</v>
      </c>
      <c r="AM53" s="85">
        <f>COUNTIF(E53:AI53,"бв")</f>
        <v>2</v>
      </c>
    </row>
    <row r="54" spans="1:39" s="33" customFormat="1" ht="16.3" thickBot="1" x14ac:dyDescent="0.3">
      <c r="A54" s="121"/>
      <c r="B54" s="122" t="s">
        <v>63</v>
      </c>
      <c r="C54" s="123"/>
      <c r="D54" s="123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SUM(AJ51:AJ53)</f>
        <v>27</v>
      </c>
      <c r="AK54" s="69">
        <f>SUM(AK51:AK53)</f>
        <v>21</v>
      </c>
      <c r="AL54" s="69">
        <f>SUM(AL51:AL53)</f>
        <v>0</v>
      </c>
      <c r="AM54" s="75">
        <f>SUM(AM51:AM53)</f>
        <v>6</v>
      </c>
    </row>
    <row r="55" spans="1:39" s="33" customFormat="1" x14ac:dyDescent="0.25">
      <c r="A55" s="165"/>
      <c r="B55" s="49"/>
      <c r="C55" s="50"/>
      <c r="D55" s="50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1" t="s">
        <v>67</v>
      </c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3">
        <f>AJ22+AJ30+AJ34+AJ36+AJ40+AJ48+AJ50+AJ54</f>
        <v>475</v>
      </c>
      <c r="AK55" s="53"/>
      <c r="AL55" s="53"/>
      <c r="AM55" s="53"/>
    </row>
    <row r="56" spans="1:39" x14ac:dyDescent="0.25">
      <c r="B56" s="1"/>
      <c r="C56" s="2"/>
      <c r="D56" s="2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8"/>
      <c r="AL56" s="48"/>
      <c r="AM56" s="48"/>
    </row>
    <row r="57" spans="1:39" ht="16.3" thickBot="1" x14ac:dyDescent="0.3">
      <c r="A57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</row>
    <row r="58" spans="1:39" s="33" customFormat="1" ht="16.3" thickBot="1" x14ac:dyDescent="0.3">
      <c r="A58" s="27" t="s">
        <v>56</v>
      </c>
      <c r="B58" s="28" t="s">
        <v>46</v>
      </c>
      <c r="C58" s="28" t="s">
        <v>48</v>
      </c>
      <c r="D58" s="29" t="s">
        <v>47</v>
      </c>
      <c r="E58" s="34">
        <v>1</v>
      </c>
      <c r="F58" s="30">
        <v>2</v>
      </c>
      <c r="G58" s="30">
        <v>3</v>
      </c>
      <c r="H58" s="30">
        <v>4</v>
      </c>
      <c r="I58" s="30">
        <v>5</v>
      </c>
      <c r="J58" s="30">
        <v>6</v>
      </c>
      <c r="K58" s="30">
        <v>7</v>
      </c>
      <c r="L58" s="30">
        <v>8</v>
      </c>
      <c r="M58" s="30">
        <v>9</v>
      </c>
      <c r="N58" s="30">
        <v>10</v>
      </c>
      <c r="O58" s="30">
        <v>11</v>
      </c>
      <c r="P58" s="30">
        <v>12</v>
      </c>
      <c r="Q58" s="30">
        <v>13</v>
      </c>
      <c r="R58" s="30">
        <v>14</v>
      </c>
      <c r="S58" s="30">
        <v>15</v>
      </c>
      <c r="T58" s="30">
        <v>16</v>
      </c>
      <c r="U58" s="30">
        <v>17</v>
      </c>
      <c r="V58" s="30">
        <v>18</v>
      </c>
      <c r="W58" s="30">
        <v>19</v>
      </c>
      <c r="X58" s="30">
        <v>20</v>
      </c>
      <c r="Y58" s="30">
        <v>21</v>
      </c>
      <c r="Z58" s="30">
        <v>22</v>
      </c>
      <c r="AA58" s="30">
        <v>23</v>
      </c>
      <c r="AB58" s="30">
        <v>24</v>
      </c>
      <c r="AC58" s="30">
        <v>25</v>
      </c>
      <c r="AD58" s="30">
        <v>26</v>
      </c>
      <c r="AE58" s="30">
        <v>27</v>
      </c>
      <c r="AF58" s="30">
        <v>28</v>
      </c>
      <c r="AG58" s="30">
        <v>29</v>
      </c>
      <c r="AH58" s="30"/>
      <c r="AI58" s="87">
        <v>30</v>
      </c>
      <c r="AJ58" s="27" t="s">
        <v>62</v>
      </c>
      <c r="AK58" s="31" t="s">
        <v>61</v>
      </c>
      <c r="AL58" s="31" t="s">
        <v>58</v>
      </c>
      <c r="AM58" s="32" t="s">
        <v>57</v>
      </c>
    </row>
    <row r="59" spans="1:39" x14ac:dyDescent="0.25">
      <c r="A59" s="8">
        <v>1</v>
      </c>
      <c r="B59" s="9" t="s">
        <v>54</v>
      </c>
      <c r="C59" s="166">
        <v>176</v>
      </c>
      <c r="D59" s="10">
        <v>6172</v>
      </c>
      <c r="E59" s="35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125"/>
      <c r="AJ59" s="155">
        <f>COUNTA(E59:AI59)</f>
        <v>9</v>
      </c>
      <c r="AK59" s="17">
        <f>COUNTIF(E59:AI59,1)</f>
        <v>9</v>
      </c>
      <c r="AL59" s="17">
        <f>COUNTIF(E59:AI59,"тр")</f>
        <v>0</v>
      </c>
      <c r="AM59" s="18">
        <f>COUNTIF(E59:AI59,"бв")</f>
        <v>0</v>
      </c>
    </row>
    <row r="60" spans="1:39" x14ac:dyDescent="0.25">
      <c r="A60" s="11">
        <f>A59+1</f>
        <v>2</v>
      </c>
      <c r="B60" s="12" t="s">
        <v>54</v>
      </c>
      <c r="C60" s="15">
        <v>177</v>
      </c>
      <c r="D60" s="13">
        <v>6173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 s="5">
        <v>1</v>
      </c>
      <c r="M60" s="5">
        <v>1</v>
      </c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78"/>
      <c r="AJ60" s="153">
        <f>COUNTA(E60:AI60)</f>
        <v>9</v>
      </c>
      <c r="AK60" s="54">
        <f>COUNTIF(E60:AI60,1)</f>
        <v>9</v>
      </c>
      <c r="AL60" s="54">
        <f>COUNTIF(E60:AI60,"тр")</f>
        <v>0</v>
      </c>
      <c r="AM60" s="55">
        <f>COUNTIF(E60:AI60,"бв")</f>
        <v>0</v>
      </c>
    </row>
    <row r="61" spans="1:39" x14ac:dyDescent="0.25">
      <c r="A61" s="11">
        <f t="shared" ref="A61:A63" si="13">A60+1</f>
        <v>3</v>
      </c>
      <c r="B61" s="12" t="s">
        <v>43</v>
      </c>
      <c r="C61" s="13" t="s">
        <v>44</v>
      </c>
      <c r="D61" s="13">
        <v>1250</v>
      </c>
      <c r="E61" s="5" t="s">
        <v>57</v>
      </c>
      <c r="F61" s="5">
        <v>1</v>
      </c>
      <c r="G61" s="5">
        <v>1</v>
      </c>
      <c r="H61" s="5">
        <v>1</v>
      </c>
      <c r="I61" s="5" t="s">
        <v>57</v>
      </c>
      <c r="J61" s="5" t="s">
        <v>57</v>
      </c>
      <c r="K61" s="5" t="s">
        <v>57</v>
      </c>
      <c r="L61" s="5" t="s">
        <v>57</v>
      </c>
      <c r="M61" s="5" t="s">
        <v>57</v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78"/>
      <c r="AJ61" s="153">
        <f>COUNTA(E61:AI61)</f>
        <v>9</v>
      </c>
      <c r="AK61" s="54">
        <f>COUNTIF(E61:AI61,1)</f>
        <v>3</v>
      </c>
      <c r="AL61" s="54">
        <f>COUNTIF(E61:AI61,"тр")</f>
        <v>0</v>
      </c>
      <c r="AM61" s="55">
        <f>COUNTIF(E61:AI61,"бв")</f>
        <v>6</v>
      </c>
    </row>
    <row r="62" spans="1:39" x14ac:dyDescent="0.25">
      <c r="A62" s="11">
        <f t="shared" si="13"/>
        <v>4</v>
      </c>
      <c r="B62" s="12" t="s">
        <v>55</v>
      </c>
      <c r="C62" s="13" t="s">
        <v>28</v>
      </c>
      <c r="D62" s="13">
        <v>3810</v>
      </c>
      <c r="E62" s="5" t="s">
        <v>58</v>
      </c>
      <c r="F62" s="5" t="s">
        <v>58</v>
      </c>
      <c r="G62" s="5" t="s">
        <v>58</v>
      </c>
      <c r="H62" s="5" t="s">
        <v>58</v>
      </c>
      <c r="I62" s="5" t="s">
        <v>58</v>
      </c>
      <c r="J62" s="5" t="s">
        <v>58</v>
      </c>
      <c r="K62" s="5" t="s">
        <v>58</v>
      </c>
      <c r="L62" s="5" t="s">
        <v>58</v>
      </c>
      <c r="M62" s="5" t="s">
        <v>58</v>
      </c>
      <c r="N62" s="5" t="s">
        <v>58</v>
      </c>
      <c r="O62" s="5" t="s">
        <v>58</v>
      </c>
      <c r="P62" s="5" t="s">
        <v>58</v>
      </c>
      <c r="Q62" s="5" t="s">
        <v>58</v>
      </c>
      <c r="R62" s="5" t="s">
        <v>58</v>
      </c>
      <c r="S62" s="5" t="s">
        <v>58</v>
      </c>
      <c r="T62" s="5" t="s">
        <v>58</v>
      </c>
      <c r="U62" s="5" t="s">
        <v>58</v>
      </c>
      <c r="V62" s="5" t="s">
        <v>58</v>
      </c>
      <c r="W62" s="5" t="s">
        <v>58</v>
      </c>
      <c r="X62" s="5" t="s">
        <v>58</v>
      </c>
      <c r="Y62" s="5" t="s">
        <v>58</v>
      </c>
      <c r="Z62" s="5" t="s">
        <v>58</v>
      </c>
      <c r="AA62" s="5" t="s">
        <v>58</v>
      </c>
      <c r="AB62" s="5" t="s">
        <v>58</v>
      </c>
      <c r="AC62" s="5" t="s">
        <v>58</v>
      </c>
      <c r="AD62" s="5" t="s">
        <v>58</v>
      </c>
      <c r="AE62" s="5" t="s">
        <v>58</v>
      </c>
      <c r="AF62" s="5" t="s">
        <v>58</v>
      </c>
      <c r="AG62" s="5" t="s">
        <v>58</v>
      </c>
      <c r="AH62" s="5" t="s">
        <v>58</v>
      </c>
      <c r="AI62" s="78" t="s">
        <v>58</v>
      </c>
      <c r="AJ62" s="153">
        <f>COUNTA(E62:AI62)</f>
        <v>31</v>
      </c>
      <c r="AK62" s="54">
        <f>COUNTIF(E62:AI62,1)</f>
        <v>0</v>
      </c>
      <c r="AL62" s="54">
        <f>COUNTIF(E62:AI62,"тр")</f>
        <v>31</v>
      </c>
      <c r="AM62" s="55">
        <f>COUNTIF(E62:AI62,"бв")</f>
        <v>0</v>
      </c>
    </row>
    <row r="63" spans="1:39" ht="16.3" thickBot="1" x14ac:dyDescent="0.3">
      <c r="A63" s="44">
        <f t="shared" si="13"/>
        <v>5</v>
      </c>
      <c r="B63" s="39" t="s">
        <v>0</v>
      </c>
      <c r="C63" s="40" t="s">
        <v>2</v>
      </c>
      <c r="D63" s="40">
        <v>1637</v>
      </c>
      <c r="E63" s="42" t="s">
        <v>57</v>
      </c>
      <c r="F63" s="42">
        <v>1</v>
      </c>
      <c r="G63" s="42">
        <v>1</v>
      </c>
      <c r="H63" s="42">
        <v>1</v>
      </c>
      <c r="I63" s="42" t="s">
        <v>58</v>
      </c>
      <c r="J63" s="42" t="s">
        <v>58</v>
      </c>
      <c r="K63" s="42" t="s">
        <v>58</v>
      </c>
      <c r="L63" s="42" t="s">
        <v>58</v>
      </c>
      <c r="M63" s="42" t="s">
        <v>58</v>
      </c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126"/>
      <c r="AJ63" s="156">
        <f>COUNTA(E63:AI63)</f>
        <v>9</v>
      </c>
      <c r="AK63" s="56">
        <f>COUNTIF(E63:AI63,1)</f>
        <v>3</v>
      </c>
      <c r="AL63" s="56">
        <f>COUNTIF(E63:AI63,"тр")</f>
        <v>5</v>
      </c>
      <c r="AM63" s="57">
        <f>COUNTIF(E63:AI63,"бв")</f>
        <v>1</v>
      </c>
    </row>
    <row r="64" spans="1:39" s="33" customFormat="1" ht="16.3" thickBot="1" x14ac:dyDescent="0.3">
      <c r="A64" s="63"/>
      <c r="B64" s="66" t="s">
        <v>63</v>
      </c>
      <c r="C64" s="64"/>
      <c r="D64" s="64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77">
        <f>SUM(AJ59:AJ63)</f>
        <v>67</v>
      </c>
      <c r="AK64" s="69">
        <f t="shared" ref="AK64:AM64" si="14">SUM(AK59:AK63)</f>
        <v>24</v>
      </c>
      <c r="AL64" s="69">
        <f t="shared" si="14"/>
        <v>36</v>
      </c>
      <c r="AM64" s="75">
        <f t="shared" si="14"/>
        <v>7</v>
      </c>
    </row>
    <row r="65" spans="1:36" s="33" customFormat="1" x14ac:dyDescent="0.25">
      <c r="A65" s="165"/>
      <c r="B65" s="49"/>
      <c r="C65" s="50"/>
      <c r="D65" s="50"/>
      <c r="Y65" s="51" t="s">
        <v>68</v>
      </c>
      <c r="AJ65" s="76">
        <f>AJ64</f>
        <v>67</v>
      </c>
    </row>
    <row r="67" spans="1:36" x14ac:dyDescent="0.25">
      <c r="B67" s="3" t="s">
        <v>75</v>
      </c>
      <c r="E67" s="88"/>
      <c r="F67" s="88"/>
      <c r="G67" s="88"/>
      <c r="H67" s="88"/>
      <c r="I67" s="88"/>
      <c r="J67" s="88"/>
      <c r="K67" s="88"/>
      <c r="L67" s="88"/>
      <c r="S67" s="3" t="s">
        <v>76</v>
      </c>
    </row>
  </sheetData>
  <autoFilter ref="E2:AM55"/>
  <mergeCells count="2">
    <mergeCell ref="A1:AM1"/>
    <mergeCell ref="A57:AM57"/>
  </mergeCells>
  <conditionalFormatting sqref="AJ22:AM22 AJ30:AM30 AJ34:AM34 AJ36:AM36 AJ40:AM40 AJ48:AM48 AJ50:AM50 AJ54:AM54 AJ64:AM64 E23:AJ29 E41:AJ47 E49:AJ49 E51:AJ53 E31:AJ33 E35:AJ35 E37:AJ39 E4:AJ21 E59:AJ6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J50:AM50 AJ48:AN48 AJ40:AM40 AJ36:AM36 AJ34:AM34 AJ30:AM30 AJ22:AM2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2019-05-10T07:52:58Z</cp:lastPrinted>
  <dcterms:created xsi:type="dcterms:W3CDTF">2018-09-27T18:15:43Z</dcterms:created>
  <dcterms:modified xsi:type="dcterms:W3CDTF">2019-05-11T09:44:14Z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