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I57" i="14" s="1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J51" i="14" s="1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L37" i="14" s="1"/>
  <c r="AK34" i="14"/>
  <c r="AJ34" i="14"/>
  <c r="AJ37" i="14" s="1"/>
  <c r="AI34" i="14"/>
  <c r="AI37" i="14" s="1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J33" i="14" s="1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I43" i="14" l="1"/>
  <c r="AK37" i="14"/>
  <c r="AI51" i="14"/>
  <c r="AK57" i="14"/>
  <c r="AI33" i="14"/>
  <c r="AL33" i="14"/>
  <c r="AK43" i="14"/>
  <c r="AL51" i="14"/>
  <c r="AK51" i="14"/>
  <c r="AK33" i="14"/>
  <c r="AI25" i="14"/>
  <c r="AK25" i="14"/>
  <c r="AI58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<sst xmlns="http://schemas.openxmlformats.org/spreadsheetml/2006/main" count="5773" uniqueCount="87">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</sst>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4" sqref="J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10</v>
      </c>
      <c r="AJ4" s="80">
        <f t="shared" ref="AJ4:AJ24" si="1">COUNTIF(E4:AH4,1)</f>
        <v>9</v>
      </c>
      <c r="AK4" s="80">
        <f t="shared" ref="AK4:AK24" si="2">COUNTIF(E4:AH4,"тр")</f>
        <v>0</v>
      </c>
      <c r="AL4" s="81">
        <f t="shared" ref="AL4:AL24" si="3">COUNTIF(E4:AH4,"бв")</f>
        <v>1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/>
      <c r="G5" s="5"/>
      <c r="H5" s="5"/>
      <c r="I5" s="5"/>
      <c r="J5" s="5"/>
      <c r="K5" s="5" t="s">
        <v>58</v>
      </c>
      <c r="L5" s="5" t="s">
        <v>58</v>
      </c>
      <c r="M5" s="5" t="s">
        <v>58</v>
      </c>
      <c r="N5" s="5" t="s">
        <v>58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5</v>
      </c>
      <c r="AJ5" s="54">
        <f t="shared" si="1"/>
        <v>0</v>
      </c>
      <c r="AK5" s="54">
        <f t="shared" si="2"/>
        <v>5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/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9</v>
      </c>
      <c r="AJ6" s="54">
        <f t="shared" si="1"/>
        <v>7</v>
      </c>
      <c r="AK6" s="54">
        <f t="shared" si="2"/>
        <v>2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/>
      <c r="G7" s="5"/>
      <c r="H7" s="5"/>
      <c r="I7" s="5"/>
      <c r="J7" s="5"/>
      <c r="K7" s="5" t="s">
        <v>58</v>
      </c>
      <c r="L7" s="5" t="s">
        <v>58</v>
      </c>
      <c r="M7" s="5" t="s">
        <v>58</v>
      </c>
      <c r="N7" s="5" t="s">
        <v>58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5</v>
      </c>
      <c r="AJ7" s="54">
        <f t="shared" si="1"/>
        <v>0</v>
      </c>
      <c r="AK7" s="54">
        <f t="shared" si="2"/>
        <v>5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10</v>
      </c>
      <c r="AJ8" s="54">
        <f t="shared" si="1"/>
        <v>10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10</v>
      </c>
      <c r="AJ9" s="54">
        <f t="shared" si="1"/>
        <v>10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/>
      <c r="G10" s="5"/>
      <c r="H10" s="5"/>
      <c r="I10" s="5"/>
      <c r="J10" s="5"/>
      <c r="K10" s="5">
        <v>1</v>
      </c>
      <c r="L10" s="5">
        <v>1</v>
      </c>
      <c r="M10" s="5">
        <v>1</v>
      </c>
      <c r="N10" s="5">
        <v>1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5</v>
      </c>
      <c r="AJ10" s="54">
        <f t="shared" si="1"/>
        <v>5</v>
      </c>
      <c r="AK10" s="54">
        <f t="shared" si="2"/>
        <v>0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10</v>
      </c>
      <c r="AJ11" s="54">
        <f t="shared" si="1"/>
        <v>10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/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9</v>
      </c>
      <c r="AJ12" s="54">
        <f t="shared" si="1"/>
        <v>8</v>
      </c>
      <c r="AK12" s="54">
        <f t="shared" si="2"/>
        <v>0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10</v>
      </c>
      <c r="AJ13" s="54">
        <f t="shared" si="1"/>
        <v>10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10</v>
      </c>
      <c r="AJ14" s="54">
        <f t="shared" si="1"/>
        <v>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10</v>
      </c>
      <c r="AJ15" s="54">
        <f t="shared" si="1"/>
        <v>10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10</v>
      </c>
      <c r="AJ16" s="54">
        <f t="shared" si="1"/>
        <v>10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10</v>
      </c>
      <c r="AJ17" s="54">
        <f t="shared" si="1"/>
        <v>10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/>
      <c r="K18" s="5" t="s">
        <v>58</v>
      </c>
      <c r="L18" s="5" t="s">
        <v>58</v>
      </c>
      <c r="M18" s="5" t="s">
        <v>58</v>
      </c>
      <c r="N18" s="5" t="s">
        <v>58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9</v>
      </c>
      <c r="AJ18" s="54">
        <f t="shared" si="1"/>
        <v>5</v>
      </c>
      <c r="AK18" s="54">
        <f t="shared" si="2"/>
        <v>4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/>
      <c r="G19" s="5"/>
      <c r="H19" s="5"/>
      <c r="I19" s="5"/>
      <c r="J19" s="5"/>
      <c r="K19" s="5" t="s">
        <v>58</v>
      </c>
      <c r="L19" s="5" t="s">
        <v>58</v>
      </c>
      <c r="M19" s="5" t="s">
        <v>58</v>
      </c>
      <c r="N19" s="5" t="s">
        <v>58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5</v>
      </c>
      <c r="AJ19" s="54">
        <f t="shared" si="1"/>
        <v>0</v>
      </c>
      <c r="AK19" s="54">
        <f t="shared" si="2"/>
        <v>5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/>
      <c r="G20" s="5"/>
      <c r="H20" s="5"/>
      <c r="I20" s="5"/>
      <c r="J20" s="5"/>
      <c r="K20" s="5" t="s">
        <v>58</v>
      </c>
      <c r="L20" s="5" t="s">
        <v>58</v>
      </c>
      <c r="M20" s="5" t="s">
        <v>58</v>
      </c>
      <c r="N20" s="5" t="s">
        <v>58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5</v>
      </c>
      <c r="AJ20" s="54">
        <f t="shared" si="1"/>
        <v>0</v>
      </c>
      <c r="AK20" s="54">
        <f t="shared" si="2"/>
        <v>5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10</v>
      </c>
      <c r="AJ21" s="54">
        <f t="shared" si="1"/>
        <v>8</v>
      </c>
      <c r="AK21" s="54">
        <f t="shared" si="2"/>
        <v>0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10</v>
      </c>
      <c r="AJ22" s="54">
        <f t="shared" si="1"/>
        <v>10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10</v>
      </c>
      <c r="AJ23" s="54">
        <f t="shared" si="1"/>
        <v>10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10</v>
      </c>
      <c r="AJ24" s="56">
        <f t="shared" si="1"/>
        <v>10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182</v>
      </c>
      <c r="AJ25" s="69">
        <f>SUM(AJ4:AJ24)</f>
        <v>151</v>
      </c>
      <c r="AK25" s="69">
        <f>SUM(AK4:AK24)</f>
        <v>27</v>
      </c>
      <c r="AL25" s="75">
        <f>SUM(AL4:AL24)</f>
        <v>4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10</v>
      </c>
      <c r="AJ26" s="80">
        <f t="shared" ref="AJ26:AJ32" si="6">COUNTIF(E26:AH26,1)</f>
        <v>8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/>
      <c r="H27" s="5"/>
      <c r="I27" s="5"/>
      <c r="J27" s="5"/>
      <c r="K27" s="5" t="s">
        <v>58</v>
      </c>
      <c r="L27" s="5" t="s">
        <v>58</v>
      </c>
      <c r="M27" s="5" t="s">
        <v>58</v>
      </c>
      <c r="N27" s="5" t="s">
        <v>58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6</v>
      </c>
      <c r="AJ27" s="54">
        <f t="shared" si="6"/>
        <v>1</v>
      </c>
      <c r="AK27" s="54">
        <f t="shared" si="7"/>
        <v>5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/>
      <c r="G28" s="5"/>
      <c r="H28" s="5"/>
      <c r="I28" s="5"/>
      <c r="J28" s="5"/>
      <c r="K28" s="5" t="s">
        <v>58</v>
      </c>
      <c r="L28" s="5" t="s">
        <v>58</v>
      </c>
      <c r="M28" s="5" t="s">
        <v>58</v>
      </c>
      <c r="N28" s="5" t="s">
        <v>58</v>
      </c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5</v>
      </c>
      <c r="AJ28" s="54">
        <f t="shared" si="6"/>
        <v>0</v>
      </c>
      <c r="AK28" s="54">
        <f t="shared" si="7"/>
        <v>5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/>
      <c r="G29" s="5"/>
      <c r="H29" s="5"/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7</v>
      </c>
      <c r="AJ29" s="54">
        <f t="shared" si="6"/>
        <v>6</v>
      </c>
      <c r="AK29" s="54">
        <f t="shared" si="7"/>
        <v>1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/>
      <c r="G30" s="5"/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8</v>
      </c>
      <c r="AJ30" s="54">
        <f t="shared" si="6"/>
        <v>7</v>
      </c>
      <c r="AK30" s="54">
        <f t="shared" si="7"/>
        <v>1</v>
      </c>
      <c r="AL30" s="55">
        <f t="shared" si="8"/>
        <v>0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/>
      <c r="G31" s="5"/>
      <c r="H31" s="5"/>
      <c r="I31" s="5"/>
      <c r="J31" s="5"/>
      <c r="K31" s="5" t="s">
        <v>58</v>
      </c>
      <c r="L31" s="5" t="s">
        <v>58</v>
      </c>
      <c r="M31" s="5" t="s">
        <v>58</v>
      </c>
      <c r="N31" s="5" t="s">
        <v>58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5</v>
      </c>
      <c r="AJ31" s="54">
        <f t="shared" si="6"/>
        <v>0</v>
      </c>
      <c r="AK31" s="54">
        <f t="shared" si="7"/>
        <v>5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10</v>
      </c>
      <c r="AJ32" s="84">
        <f t="shared" si="6"/>
        <v>9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51</v>
      </c>
      <c r="AJ33" s="135">
        <f>SUM(AJ26:AJ32)</f>
        <v>31</v>
      </c>
      <c r="AK33" s="135">
        <f>SUM(AK26:AK32)</f>
        <v>17</v>
      </c>
      <c r="AL33" s="136">
        <f>SUM(AL26:AL32)</f>
        <v>3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/>
      <c r="G34" s="35"/>
      <c r="H34" s="35"/>
      <c r="I34" s="35"/>
      <c r="J34" s="35"/>
      <c r="K34" s="35" t="s">
        <v>58</v>
      </c>
      <c r="L34" s="35" t="s">
        <v>58</v>
      </c>
      <c r="M34" s="35" t="s">
        <v>58</v>
      </c>
      <c r="N34" s="35" t="s">
        <v>58</v>
      </c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5</v>
      </c>
      <c r="AJ34" s="17">
        <f>COUNTIF(E34:AH34,1)</f>
        <v>0</v>
      </c>
      <c r="AK34" s="17">
        <f>COUNTIF(E34:AH34,"тр")</f>
        <v>5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/>
      <c r="G35" s="5"/>
      <c r="H35" s="5"/>
      <c r="I35" s="5"/>
      <c r="J35" s="5"/>
      <c r="K35" s="5" t="s">
        <v>58</v>
      </c>
      <c r="L35" s="5" t="s">
        <v>58</v>
      </c>
      <c r="M35" s="5" t="s">
        <v>58</v>
      </c>
      <c r="N35" s="5" t="s">
        <v>58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5</v>
      </c>
      <c r="AJ35" s="54">
        <f>COUNTIF(E35:AH35,1)</f>
        <v>0</v>
      </c>
      <c r="AK35" s="54">
        <f>COUNTIF(E35:AH35,"тр")</f>
        <v>5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/>
      <c r="G36" s="42"/>
      <c r="H36" s="42"/>
      <c r="I36" s="42"/>
      <c r="J36" s="42"/>
      <c r="K36" s="42" t="s">
        <v>58</v>
      </c>
      <c r="L36" s="42" t="s">
        <v>58</v>
      </c>
      <c r="M36" s="42" t="s">
        <v>58</v>
      </c>
      <c r="N36" s="42" t="s">
        <v>58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5</v>
      </c>
      <c r="AJ36" s="56">
        <f>COUNTIF(E36:AH36,1)</f>
        <v>0</v>
      </c>
      <c r="AK36" s="56">
        <f>COUNTIF(E36:AH36,"тр")</f>
        <v>5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15</v>
      </c>
      <c r="AJ37" s="69">
        <f>SUM(AJ34:AJ36)</f>
        <v>0</v>
      </c>
      <c r="AK37" s="69">
        <f>SUM(AK34:AK36)</f>
        <v>15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/>
      <c r="G38" s="62"/>
      <c r="H38" s="62"/>
      <c r="I38" s="62"/>
      <c r="J38" s="62"/>
      <c r="K38" s="62" t="s">
        <v>58</v>
      </c>
      <c r="L38" s="62" t="s">
        <v>58</v>
      </c>
      <c r="M38" s="62" t="s">
        <v>58</v>
      </c>
      <c r="N38" s="62" t="s">
        <v>58</v>
      </c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5</v>
      </c>
      <c r="AJ38" s="19">
        <f>COUNTIF(E38:AH38,1)</f>
        <v>0</v>
      </c>
      <c r="AK38" s="19">
        <f>COUNTIF(E38:AH38,"тр")</f>
        <v>5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5</v>
      </c>
      <c r="AJ39" s="69">
        <f>SUM(AJ38)</f>
        <v>0</v>
      </c>
      <c r="AK39" s="69">
        <f>SUM(AK38)</f>
        <v>5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/>
      <c r="G40" s="35">
        <v>1</v>
      </c>
      <c r="H40" s="35">
        <v>1</v>
      </c>
      <c r="I40" s="35"/>
      <c r="J40" s="35"/>
      <c r="K40" s="35">
        <v>1</v>
      </c>
      <c r="L40" s="35">
        <v>1</v>
      </c>
      <c r="M40" s="35">
        <v>1</v>
      </c>
      <c r="N40" s="35">
        <v>1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7</v>
      </c>
      <c r="AJ40" s="17">
        <f>COUNTIF(E40:AH40,1)</f>
        <v>6</v>
      </c>
      <c r="AK40" s="17">
        <f>COUNTIF(E40:AH40,"тр")</f>
        <v>1</v>
      </c>
      <c r="AL40" s="18">
        <f>COUNTIF(E40:AH40,"бв")</f>
        <v>0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10</v>
      </c>
      <c r="AJ41" s="54">
        <f>COUNTIF(E41:AH41,1)</f>
        <v>9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/>
      <c r="G42" s="43"/>
      <c r="H42" s="42"/>
      <c r="I42" s="42"/>
      <c r="J42" s="42"/>
      <c r="K42" s="42" t="s">
        <v>58</v>
      </c>
      <c r="L42" s="42" t="s">
        <v>58</v>
      </c>
      <c r="M42" s="42" t="s">
        <v>58</v>
      </c>
      <c r="N42" s="42" t="s">
        <v>58</v>
      </c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5</v>
      </c>
      <c r="AJ42" s="56">
        <f>COUNTIF(E42:AH42,1)</f>
        <v>0</v>
      </c>
      <c r="AK42" s="56">
        <f>COUNTIF(E42:AH42,"тр")</f>
        <v>5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22</v>
      </c>
      <c r="AJ43" s="69">
        <f>SUM(AJ40:AJ42)</f>
        <v>15</v>
      </c>
      <c r="AK43" s="69">
        <f>SUM(AK40:AK42)</f>
        <v>6</v>
      </c>
      <c r="AL43" s="75">
        <f>SUM(AL40:AL42)</f>
        <v>1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/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9</v>
      </c>
      <c r="AJ44" s="17">
        <f t="shared" ref="AJ44:AJ50" si="10">COUNTIF(E44:AH44,1)</f>
        <v>9</v>
      </c>
      <c r="AK44" s="17">
        <f t="shared" ref="AK44:AK50" si="11">COUNTIF(E44:AH44,"тр")</f>
        <v>0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10</v>
      </c>
      <c r="AJ45" s="54">
        <f t="shared" si="10"/>
        <v>7</v>
      </c>
      <c r="AK45" s="54">
        <f t="shared" si="11"/>
        <v>0</v>
      </c>
      <c r="AL45" s="55">
        <f t="shared" si="12"/>
        <v>3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10</v>
      </c>
      <c r="AJ46" s="54">
        <f t="shared" si="10"/>
        <v>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/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9</v>
      </c>
      <c r="AJ47" s="54">
        <f t="shared" si="10"/>
        <v>8</v>
      </c>
      <c r="AK47" s="54">
        <f t="shared" si="11"/>
        <v>1</v>
      </c>
      <c r="AL47" s="55">
        <f t="shared" si="12"/>
        <v>0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/>
      <c r="G48" s="5"/>
      <c r="H48" s="5"/>
      <c r="I48" s="5"/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6</v>
      </c>
      <c r="AJ48" s="54">
        <f t="shared" si="10"/>
        <v>5</v>
      </c>
      <c r="AK48" s="54">
        <f t="shared" si="11"/>
        <v>0</v>
      </c>
      <c r="AL48" s="55">
        <f t="shared" si="12"/>
        <v>1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10</v>
      </c>
      <c r="AJ49" s="54">
        <f t="shared" si="10"/>
        <v>8</v>
      </c>
      <c r="AK49" s="54">
        <f t="shared" si="11"/>
        <v>0</v>
      </c>
      <c r="AL49" s="55">
        <f t="shared" si="12"/>
        <v>2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10</v>
      </c>
      <c r="AJ50" s="56">
        <f t="shared" si="10"/>
        <v>7</v>
      </c>
      <c r="AK50" s="56">
        <f t="shared" si="11"/>
        <v>0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64</v>
      </c>
      <c r="AJ51" s="69">
        <f>SUM(AJ44:AJ50)</f>
        <v>52</v>
      </c>
      <c r="AK51" s="69">
        <f>SUM(AK44:AK50)</f>
        <v>1</v>
      </c>
      <c r="AL51" s="75">
        <f>SUM(AL44:AL50)</f>
        <v>11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10</v>
      </c>
      <c r="AJ52" s="56">
        <f>COUNTIF(E52:AH52,1)</f>
        <v>8</v>
      </c>
      <c r="AK52" s="56">
        <f>COUNTIF(E52:AH52,"тр")</f>
        <v>0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10</v>
      </c>
      <c r="AJ53" s="69">
        <f>SUM(AJ52:AJ52)</f>
        <v>8</v>
      </c>
      <c r="AK53" s="69">
        <f>SUM(AK52:AK52)</f>
        <v>0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/>
      <c r="G54" s="92"/>
      <c r="H54" s="92"/>
      <c r="I54" s="92"/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6</v>
      </c>
      <c r="AJ54" s="80">
        <f>COUNTIF(E54:AH54,1)</f>
        <v>2</v>
      </c>
      <c r="AK54" s="80">
        <f>COUNTIF(E54:AH54,"тр")</f>
        <v>0</v>
      </c>
      <c r="AL54" s="81">
        <f>COUNTIF(E54:AH54,"бв")</f>
        <v>4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/>
      <c r="I55" s="42"/>
      <c r="J55" s="42"/>
      <c r="K55" s="42" t="s">
        <v>57</v>
      </c>
      <c r="L55" s="42">
        <v>1</v>
      </c>
      <c r="M55" s="42">
        <v>1</v>
      </c>
      <c r="N55" s="42">
        <v>1</v>
      </c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7</v>
      </c>
      <c r="AJ55" s="56">
        <f>COUNTIF(E55:AH55,1)</f>
        <v>6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/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9</v>
      </c>
      <c r="AJ56" s="84">
        <f>COUNTIF(E56:AH56,1)</f>
        <v>9</v>
      </c>
      <c r="AK56" s="84">
        <f>COUNTIF(E56:AH56,"тр")</f>
        <v>0</v>
      </c>
      <c r="AL56" s="85">
        <f>COUNTIF(E56:AH56,"бв")</f>
        <v>0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22</v>
      </c>
      <c r="AJ57" s="69">
        <f>SUM(AJ54:AJ56)</f>
        <v>17</v>
      </c>
      <c r="AK57" s="69">
        <f>SUM(AK54:AK56)</f>
        <v>0</v>
      </c>
      <c r="AL57" s="75">
        <f>SUM(AL54:AL56)</f>
        <v>5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371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10</v>
      </c>
      <c r="AJ62" s="17">
        <f>COUNTIF(E62:AH62,1)</f>
        <v>10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10</v>
      </c>
      <c r="AJ63" s="54">
        <f>COUNTIF(E63:AH63,1)</f>
        <v>10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10</v>
      </c>
      <c r="AJ64" s="54">
        <f>COUNTIF(E64:AH64,1)</f>
        <v>7</v>
      </c>
      <c r="AK64" s="54">
        <f>COUNTIF(E64:AH64,"тр")</f>
        <v>0</v>
      </c>
      <c r="AL64" s="55">
        <f>COUNTIF(E64:AH64,"бв")</f>
        <v>3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/>
      <c r="G65" s="5"/>
      <c r="H65" s="5"/>
      <c r="I65" s="5"/>
      <c r="J65" s="5"/>
      <c r="K65" s="5" t="s">
        <v>58</v>
      </c>
      <c r="L65" s="5" t="s">
        <v>58</v>
      </c>
      <c r="M65" s="5" t="s">
        <v>58</v>
      </c>
      <c r="N65" s="5" t="s">
        <v>58</v>
      </c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5</v>
      </c>
      <c r="AJ65" s="54">
        <f>COUNTIF(E65:AH65,1)</f>
        <v>0</v>
      </c>
      <c r="AK65" s="54">
        <f>COUNTIF(E65:AH65,"тр")</f>
        <v>5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/>
      <c r="G66" s="42"/>
      <c r="H66" s="42"/>
      <c r="I66" s="42"/>
      <c r="J66" s="42"/>
      <c r="K66" s="42" t="s">
        <v>58</v>
      </c>
      <c r="L66" s="42" t="s">
        <v>58</v>
      </c>
      <c r="M66" s="42" t="s">
        <v>58</v>
      </c>
      <c r="N66" s="42" t="s">
        <v>58</v>
      </c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5</v>
      </c>
      <c r="AJ66" s="56">
        <f>COUNTIF(E66:AH66,1)</f>
        <v>0</v>
      </c>
      <c r="AK66" s="56">
        <f>COUNTIF(E66:AH66,"тр")</f>
        <v>5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40</v>
      </c>
      <c r="AJ67" s="69">
        <f t="shared" ref="AJ67:AL67" si="14">SUM(AJ62:AJ66)</f>
        <v>27</v>
      </c>
      <c r="AK67" s="69">
        <f t="shared" si="14"/>
        <v>10</v>
      </c>
      <c r="AL67" s="75">
        <f t="shared" si="14"/>
        <v>3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40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2019-09-10T13:15:16Z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