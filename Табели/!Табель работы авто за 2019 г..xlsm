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K51" i="12" s="1"/>
  <c r="AJ44" i="12"/>
  <c r="AJ51" i="12" s="1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J33" i="12" s="1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33" i="12" l="1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<sst xmlns="http://schemas.openxmlformats.org/spreadsheetml/2006/main" count="4387" uniqueCount="87">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</sst>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4" sqref="Q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/>
      <c r="S4" s="92"/>
      <c r="T4" s="92"/>
      <c r="U4" s="92"/>
      <c r="V4" s="92">
        <v>1</v>
      </c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14</v>
      </c>
      <c r="AK4" s="80">
        <f t="shared" ref="AK4:AK24" si="1">COUNTIF(E4:AI4,1)</f>
        <v>12</v>
      </c>
      <c r="AL4" s="80">
        <f t="shared" ref="AL4:AL24" si="2">COUNTIF(E4:AI4,"тр")</f>
        <v>0</v>
      </c>
      <c r="AM4" s="81">
        <f t="shared" ref="AM4:AM24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/>
      <c r="S5" s="5"/>
      <c r="T5" s="5"/>
      <c r="U5" s="5"/>
      <c r="V5" s="5" t="s">
        <v>58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14</v>
      </c>
      <c r="AK5" s="54">
        <f t="shared" si="1"/>
        <v>8</v>
      </c>
      <c r="AL5" s="54">
        <f t="shared" si="2"/>
        <v>6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/>
      <c r="S6" s="5"/>
      <c r="T6" s="5"/>
      <c r="U6" s="5"/>
      <c r="V6" s="5">
        <v>1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14</v>
      </c>
      <c r="AK6" s="54">
        <f t="shared" si="1"/>
        <v>14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/>
      <c r="S7" s="5"/>
      <c r="T7" s="5"/>
      <c r="U7" s="5"/>
      <c r="V7" s="5">
        <v>1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14</v>
      </c>
      <c r="AK7" s="54">
        <f t="shared" si="1"/>
        <v>5</v>
      </c>
      <c r="AL7" s="54">
        <f t="shared" si="2"/>
        <v>6</v>
      </c>
      <c r="AM7" s="55">
        <f t="shared" si="3"/>
        <v>3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/>
      <c r="S8" s="5"/>
      <c r="T8" s="5"/>
      <c r="U8" s="5"/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14</v>
      </c>
      <c r="AK8" s="54">
        <f t="shared" si="1"/>
        <v>10</v>
      </c>
      <c r="AL8" s="54">
        <f t="shared" si="2"/>
        <v>0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/>
      <c r="S9" s="5"/>
      <c r="T9" s="5"/>
      <c r="U9" s="5"/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14</v>
      </c>
      <c r="AK9" s="54">
        <f t="shared" si="1"/>
        <v>14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/>
      <c r="S10" s="5"/>
      <c r="T10" s="5"/>
      <c r="U10" s="5"/>
      <c r="V10" s="5" t="s">
        <v>58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14</v>
      </c>
      <c r="AK10" s="54">
        <f t="shared" si="1"/>
        <v>11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/>
      <c r="S11" s="5"/>
      <c r="T11" s="5"/>
      <c r="U11" s="5"/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14</v>
      </c>
      <c r="AK11" s="54">
        <f t="shared" si="1"/>
        <v>14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/>
      <c r="S12" s="5"/>
      <c r="T12" s="5"/>
      <c r="U12" s="5"/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14</v>
      </c>
      <c r="AK12" s="54">
        <f t="shared" si="1"/>
        <v>11</v>
      </c>
      <c r="AL12" s="54">
        <f t="shared" si="2"/>
        <v>2</v>
      </c>
      <c r="AM12" s="55">
        <f t="shared" si="3"/>
        <v>1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/>
      <c r="S13" s="5"/>
      <c r="T13" s="5"/>
      <c r="U13" s="5"/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14</v>
      </c>
      <c r="AK13" s="54">
        <f t="shared" si="1"/>
        <v>14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/>
      <c r="S14" s="5"/>
      <c r="T14" s="5"/>
      <c r="U14" s="5"/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14</v>
      </c>
      <c r="AK14" s="54">
        <f t="shared" si="1"/>
        <v>14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/>
      <c r="S15" s="5"/>
      <c r="T15" s="5"/>
      <c r="U15" s="5"/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14</v>
      </c>
      <c r="AK15" s="54">
        <f t="shared" si="1"/>
        <v>13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/>
      <c r="S16" s="5"/>
      <c r="T16" s="5"/>
      <c r="U16" s="5"/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14</v>
      </c>
      <c r="AK16" s="54">
        <f t="shared" si="1"/>
        <v>14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/>
      <c r="S17" s="5"/>
      <c r="T17" s="5"/>
      <c r="U17" s="5"/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14</v>
      </c>
      <c r="AK17" s="54">
        <f t="shared" si="1"/>
        <v>13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/>
      <c r="S18" s="5"/>
      <c r="T18" s="5"/>
      <c r="U18" s="5"/>
      <c r="V18" s="5" t="s">
        <v>58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14</v>
      </c>
      <c r="AK18" s="54">
        <f t="shared" si="1"/>
        <v>1</v>
      </c>
      <c r="AL18" s="54">
        <f t="shared" si="2"/>
        <v>4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/>
      <c r="S19" s="5"/>
      <c r="T19" s="5"/>
      <c r="U19" s="5"/>
      <c r="V19" s="5" t="s">
        <v>58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14</v>
      </c>
      <c r="AK19" s="54">
        <f t="shared" si="1"/>
        <v>0</v>
      </c>
      <c r="AL19" s="54">
        <f t="shared" si="2"/>
        <v>14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/>
      <c r="S20" s="5"/>
      <c r="T20" s="5"/>
      <c r="U20" s="5"/>
      <c r="V20" s="5" t="s">
        <v>58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14</v>
      </c>
      <c r="AK20" s="54">
        <f t="shared" si="1"/>
        <v>2</v>
      </c>
      <c r="AL20" s="54">
        <f t="shared" si="2"/>
        <v>12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/>
      <c r="S21" s="5"/>
      <c r="T21" s="5"/>
      <c r="U21" s="5"/>
      <c r="V21" s="5" t="s">
        <v>58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14</v>
      </c>
      <c r="AK21" s="54">
        <f t="shared" si="1"/>
        <v>12</v>
      </c>
      <c r="AL21" s="54">
        <f t="shared" si="2"/>
        <v>1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/>
      <c r="S22" s="42"/>
      <c r="T22" s="42"/>
      <c r="U22" s="42"/>
      <c r="V22" s="42">
        <v>1</v>
      </c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14</v>
      </c>
      <c r="AK22" s="54">
        <f t="shared" si="1"/>
        <v>13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/>
      <c r="S23" s="5"/>
      <c r="T23" s="5"/>
      <c r="U23" s="5"/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14</v>
      </c>
      <c r="AK23" s="54">
        <f t="shared" si="1"/>
        <v>14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/>
      <c r="S24" s="5"/>
      <c r="T24" s="5"/>
      <c r="U24" s="5"/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14</v>
      </c>
      <c r="AK24" s="56">
        <f t="shared" si="1"/>
        <v>12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294</v>
      </c>
      <c r="AK25" s="69">
        <f>SUM(AK4:AK24)</f>
        <v>221</v>
      </c>
      <c r="AL25" s="69">
        <f>SUM(AL4:AL24)</f>
        <v>48</v>
      </c>
      <c r="AM25" s="75">
        <f>SUM(AM4:AM24)</f>
        <v>25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/>
      <c r="S26" s="35"/>
      <c r="T26" s="35"/>
      <c r="U26" s="35"/>
      <c r="V26" s="35">
        <v>1</v>
      </c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14</v>
      </c>
      <c r="AK26" s="80">
        <f t="shared" ref="AK26:AK32" si="6">COUNTIF(E26:AI26,1)</f>
        <v>10</v>
      </c>
      <c r="AL26" s="80">
        <f t="shared" ref="AL26:AL32" si="7">COUNTIF(E26:AI26,"тр")</f>
        <v>0</v>
      </c>
      <c r="AM26" s="81">
        <f t="shared" ref="AM26:AM32" si="8">COUNTIF(E26:AI26,"бв")</f>
        <v>4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/>
      <c r="S27" s="5"/>
      <c r="T27" s="5"/>
      <c r="U27" s="5"/>
      <c r="V27" s="5" t="s">
        <v>58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14</v>
      </c>
      <c r="AK27" s="54">
        <f t="shared" si="6"/>
        <v>0</v>
      </c>
      <c r="AL27" s="54">
        <f t="shared" si="7"/>
        <v>14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/>
      <c r="S28" s="5"/>
      <c r="T28" s="5"/>
      <c r="U28" s="5"/>
      <c r="V28" s="5" t="s">
        <v>58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14</v>
      </c>
      <c r="AK28" s="54">
        <f t="shared" si="6"/>
        <v>0</v>
      </c>
      <c r="AL28" s="54">
        <f t="shared" si="7"/>
        <v>14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/>
      <c r="S29" s="5"/>
      <c r="T29" s="5"/>
      <c r="U29" s="5"/>
      <c r="V29" s="5" t="s">
        <v>58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14</v>
      </c>
      <c r="AK29" s="54">
        <f t="shared" si="6"/>
        <v>0</v>
      </c>
      <c r="AL29" s="54">
        <f t="shared" si="7"/>
        <v>14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/>
      <c r="S30" s="5"/>
      <c r="T30" s="5"/>
      <c r="U30" s="5"/>
      <c r="V30" s="5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14</v>
      </c>
      <c r="AK30" s="54">
        <f t="shared" si="6"/>
        <v>13</v>
      </c>
      <c r="AL30" s="54">
        <f t="shared" si="7"/>
        <v>0</v>
      </c>
      <c r="AM30" s="55">
        <f t="shared" si="8"/>
        <v>1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/>
      <c r="S31" s="5"/>
      <c r="T31" s="5"/>
      <c r="U31" s="5"/>
      <c r="V31" s="5">
        <v>1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14</v>
      </c>
      <c r="AK31" s="54">
        <f t="shared" si="6"/>
        <v>13</v>
      </c>
      <c r="AL31" s="54">
        <f t="shared" si="7"/>
        <v>0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/>
      <c r="S32" s="42"/>
      <c r="T32" s="42"/>
      <c r="U32" s="42"/>
      <c r="V32" s="42">
        <v>1</v>
      </c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14</v>
      </c>
      <c r="AK32" s="84">
        <f t="shared" si="6"/>
        <v>12</v>
      </c>
      <c r="AL32" s="84">
        <f t="shared" si="7"/>
        <v>1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98</v>
      </c>
      <c r="AK33" s="135">
        <f>SUM(AK26:AK32)</f>
        <v>48</v>
      </c>
      <c r="AL33" s="135">
        <f>SUM(AL26:AL32)</f>
        <v>43</v>
      </c>
      <c r="AM33" s="136">
        <f>SUM(AM26:AM32)</f>
        <v>7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/>
      <c r="S34" s="35"/>
      <c r="T34" s="35"/>
      <c r="U34" s="35"/>
      <c r="V34" s="35" t="s">
        <v>57</v>
      </c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14</v>
      </c>
      <c r="AK34" s="17">
        <f>COUNTIF(E34:AI34,1)</f>
        <v>0</v>
      </c>
      <c r="AL34" s="17">
        <f>COUNTIF(E34:AI34,"тр")</f>
        <v>0</v>
      </c>
      <c r="AM34" s="18">
        <f>COUNTIF(E34:AI34,"бв")</f>
        <v>14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/>
      <c r="S35" s="5"/>
      <c r="T35" s="5"/>
      <c r="U35" s="5"/>
      <c r="V35" s="5" t="s">
        <v>57</v>
      </c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14</v>
      </c>
      <c r="AK35" s="54">
        <f>COUNTIF(E35:AI35,1)</f>
        <v>0</v>
      </c>
      <c r="AL35" s="54">
        <f>COUNTIF(E35:AI35,"тр")</f>
        <v>0</v>
      </c>
      <c r="AM35" s="55">
        <f>COUNTIF(E35:AI35,"бв")</f>
        <v>14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/>
      <c r="S36" s="42"/>
      <c r="T36" s="42"/>
      <c r="U36" s="42"/>
      <c r="V36" s="42" t="s">
        <v>58</v>
      </c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14</v>
      </c>
      <c r="AK36" s="56">
        <f>COUNTIF(E36:AI36,1)</f>
        <v>0</v>
      </c>
      <c r="AL36" s="56">
        <f>COUNTIF(E36:AI36,"тр")</f>
        <v>14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42</v>
      </c>
      <c r="AK37" s="69">
        <f>SUM(AK34:AK36)</f>
        <v>0</v>
      </c>
      <c r="AL37" s="69">
        <f>SUM(AL34:AL36)</f>
        <v>14</v>
      </c>
      <c r="AM37" s="75">
        <f>SUM(AM34:AM36)</f>
        <v>28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/>
      <c r="S38" s="62"/>
      <c r="T38" s="62"/>
      <c r="U38" s="62"/>
      <c r="V38" s="62" t="s">
        <v>58</v>
      </c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14</v>
      </c>
      <c r="AK38" s="19">
        <f>COUNTIF(E38:AI38,1)</f>
        <v>0</v>
      </c>
      <c r="AL38" s="19">
        <f>COUNTIF(E38:AI38,"тр")</f>
        <v>14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14</v>
      </c>
      <c r="AK39" s="69">
        <f>SUM(AK38)</f>
        <v>0</v>
      </c>
      <c r="AL39" s="69">
        <f>SUM(AL38)</f>
        <v>14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/>
      <c r="S40" s="35"/>
      <c r="T40" s="35"/>
      <c r="U40" s="35"/>
      <c r="V40" s="35" t="s">
        <v>58</v>
      </c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14</v>
      </c>
      <c r="AK40" s="17">
        <f>COUNTIF(E40:AI40,1)</f>
        <v>0</v>
      </c>
      <c r="AL40" s="17">
        <f>COUNTIF(E40:AI40,"тр")</f>
        <v>14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/>
      <c r="S41" s="5"/>
      <c r="T41" s="5"/>
      <c r="U41" s="5"/>
      <c r="V41" s="5">
        <v>1</v>
      </c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14</v>
      </c>
      <c r="AK41" s="54">
        <f>COUNTIF(E41:AI41,1)</f>
        <v>12</v>
      </c>
      <c r="AL41" s="54">
        <f>COUNTIF(E41:AI41,"тр")</f>
        <v>0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/>
      <c r="S42" s="42"/>
      <c r="T42" s="42"/>
      <c r="U42" s="42"/>
      <c r="V42" s="42" t="s">
        <v>57</v>
      </c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14</v>
      </c>
      <c r="AK42" s="56">
        <f>COUNTIF(E42:AI42,1)</f>
        <v>7</v>
      </c>
      <c r="AL42" s="56">
        <f>COUNTIF(E42:AI42,"тр")</f>
        <v>4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42</v>
      </c>
      <c r="AK43" s="69">
        <f>SUM(AK40:AK42)</f>
        <v>19</v>
      </c>
      <c r="AL43" s="69">
        <f>SUM(AL40:AL42)</f>
        <v>18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/>
      <c r="S44" s="35"/>
      <c r="T44" s="35"/>
      <c r="U44" s="35"/>
      <c r="V44" s="35">
        <v>1</v>
      </c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14</v>
      </c>
      <c r="AK44" s="17">
        <f t="shared" ref="AK44:AK50" si="10">COUNTIF(E44:AI44,1)</f>
        <v>12</v>
      </c>
      <c r="AL44" s="17">
        <f t="shared" ref="AL44:AL50" si="11">COUNTIF(E44:AI44,"тр")</f>
        <v>2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/>
      <c r="S45" s="5"/>
      <c r="T45" s="5"/>
      <c r="U45" s="5"/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14</v>
      </c>
      <c r="AK45" s="54">
        <f t="shared" si="10"/>
        <v>8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/>
      <c r="S46" s="5"/>
      <c r="T46" s="5"/>
      <c r="U46" s="5"/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14</v>
      </c>
      <c r="AK46" s="54">
        <f t="shared" si="10"/>
        <v>10</v>
      </c>
      <c r="AL46" s="54">
        <f t="shared" si="11"/>
        <v>2</v>
      </c>
      <c r="AM46" s="55">
        <f t="shared" si="12"/>
        <v>2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/>
      <c r="S47" s="5"/>
      <c r="T47" s="5"/>
      <c r="U47" s="5"/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14</v>
      </c>
      <c r="AK47" s="54">
        <f t="shared" si="10"/>
        <v>14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/>
      <c r="S48" s="5"/>
      <c r="T48" s="5"/>
      <c r="U48" s="5"/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14</v>
      </c>
      <c r="AK48" s="54">
        <f t="shared" si="10"/>
        <v>10</v>
      </c>
      <c r="AL48" s="54">
        <f t="shared" si="11"/>
        <v>0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/>
      <c r="S49" s="5"/>
      <c r="T49" s="5"/>
      <c r="U49" s="5"/>
      <c r="V49" s="5">
        <v>1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14</v>
      </c>
      <c r="AK49" s="54">
        <f t="shared" si="10"/>
        <v>14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/>
      <c r="S50" s="42"/>
      <c r="T50" s="42"/>
      <c r="U50" s="42"/>
      <c r="V50" s="42">
        <v>1</v>
      </c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14</v>
      </c>
      <c r="AK50" s="56">
        <f t="shared" si="10"/>
        <v>9</v>
      </c>
      <c r="AL50" s="56">
        <f t="shared" si="11"/>
        <v>0</v>
      </c>
      <c r="AM50" s="57">
        <f t="shared" si="12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98</v>
      </c>
      <c r="AK51" s="69">
        <f>SUM(AK44:AK50)</f>
        <v>77</v>
      </c>
      <c r="AL51" s="69">
        <f>SUM(AL44:AL50)</f>
        <v>4</v>
      </c>
      <c r="AM51" s="75">
        <f>SUM(AM44:AM50)</f>
        <v>17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/>
      <c r="S52" s="42"/>
      <c r="T52" s="42"/>
      <c r="U52" s="42"/>
      <c r="V52" s="42">
        <v>1</v>
      </c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14</v>
      </c>
      <c r="AK52" s="56">
        <f>COUNTIF(E52:AI52,1)</f>
        <v>13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14</v>
      </c>
      <c r="AK53" s="69">
        <f>SUM(AK52:AK52)</f>
        <v>13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/>
      <c r="S54" s="5"/>
      <c r="T54" s="92"/>
      <c r="U54" s="92"/>
      <c r="V54" s="92">
        <v>1</v>
      </c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14</v>
      </c>
      <c r="AK54" s="80">
        <f>COUNTIF(E54:AI54,1)</f>
        <v>11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/>
      <c r="S55" s="42"/>
      <c r="T55" s="42"/>
      <c r="U55" s="42"/>
      <c r="V55" s="42">
        <v>1</v>
      </c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14</v>
      </c>
      <c r="AK55" s="56">
        <f>COUNTIF(E55:AI55,1)</f>
        <v>12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/>
      <c r="S56" s="97"/>
      <c r="T56" s="97"/>
      <c r="U56" s="97"/>
      <c r="V56" s="97">
        <v>1</v>
      </c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14</v>
      </c>
      <c r="AK56" s="84">
        <f>COUNTIF(E56:AI56,1)</f>
        <v>12</v>
      </c>
      <c r="AL56" s="84">
        <f>COUNTIF(E56:AI56,"тр")</f>
        <v>0</v>
      </c>
      <c r="AM56" s="85">
        <f>COUNTIF(E56:AI56,"бв")</f>
        <v>2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42</v>
      </c>
      <c r="AK57" s="69">
        <f>SUM(AK54:AK56)</f>
        <v>35</v>
      </c>
      <c r="AL57" s="69">
        <f>SUM(AL54:AL56)</f>
        <v>0</v>
      </c>
      <c r="AM57" s="75">
        <f>SUM(AM54:AM56)</f>
        <v>7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644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/>
      <c r="S62" s="35"/>
      <c r="T62" s="35"/>
      <c r="U62" s="35"/>
      <c r="V62" s="35">
        <v>1</v>
      </c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14</v>
      </c>
      <c r="AK62" s="17">
        <f>COUNTIF(E62:AI62,1)</f>
        <v>14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/>
      <c r="S63" s="5"/>
      <c r="T63" s="5"/>
      <c r="U63" s="5"/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14</v>
      </c>
      <c r="AK63" s="54">
        <f>COUNTIF(E63:AI63,1)</f>
        <v>14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/>
      <c r="S64" s="5"/>
      <c r="T64" s="5"/>
      <c r="U64" s="5"/>
      <c r="V64" s="5">
        <v>1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14</v>
      </c>
      <c r="AK64" s="54">
        <f>COUNTIF(E64:AI64,1)</f>
        <v>10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/>
      <c r="S65" s="5"/>
      <c r="T65" s="5"/>
      <c r="U65" s="5"/>
      <c r="V65" s="5" t="s">
        <v>58</v>
      </c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14</v>
      </c>
      <c r="AK65" s="54">
        <f>COUNTIF(E65:AI65,1)</f>
        <v>0</v>
      </c>
      <c r="AL65" s="54">
        <f>COUNTIF(E65:AI65,"тр")</f>
        <v>14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/>
      <c r="S66" s="42"/>
      <c r="T66" s="42"/>
      <c r="U66" s="42"/>
      <c r="V66" s="42" t="s">
        <v>58</v>
      </c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14</v>
      </c>
      <c r="AK66" s="56">
        <f>COUNTIF(E66:AI66,1)</f>
        <v>0</v>
      </c>
      <c r="AL66" s="56">
        <f>COUNTIF(E66:AI66,"тр")</f>
        <v>14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70</v>
      </c>
      <c r="AK67" s="69">
        <f t="shared" ref="AK67:AM67" si="14">SUM(AK62:AK66)</f>
        <v>38</v>
      </c>
      <c r="AL67" s="69">
        <f t="shared" si="14"/>
        <v>28</v>
      </c>
      <c r="AM67" s="75">
        <f t="shared" si="14"/>
        <v>4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70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2019-07-18T09:27:11Z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