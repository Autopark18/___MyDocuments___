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I56" i="9" s="1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L42" i="9" s="1"/>
  <c r="AK39" i="9"/>
  <c r="AK42" i="9" s="1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K36" i="9" s="1"/>
  <c r="AJ33" i="9"/>
  <c r="AJ36" i="9" s="1"/>
  <c r="AI33" i="9"/>
  <c r="AI36" i="9" s="1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42" i="9" l="1"/>
  <c r="AJ50" i="9"/>
  <c r="AJ32" i="9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<sst xmlns="http://schemas.openxmlformats.org/spreadsheetml/2006/main" count="2469" uniqueCount="80">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</sst>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6" sqref="N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>
        <v>1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10</v>
      </c>
      <c r="AJ4" s="56">
        <f>COUNTIF(E4:AH4,1)</f>
        <v>1</v>
      </c>
      <c r="AK4" s="56">
        <f>COUNTIF(E4:AH4,"тр")</f>
        <v>9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10</v>
      </c>
      <c r="AJ5" s="70">
        <f>SUM(AJ4:AJ4)</f>
        <v>1</v>
      </c>
      <c r="AK5" s="70">
        <f>SUM(AK4:AK4)</f>
        <v>9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55">
        <f t="shared" ref="AI6:AI23" si="0">COUNTA(E6:AH6)</f>
        <v>10</v>
      </c>
      <c r="AJ6" s="17">
        <f t="shared" ref="AJ6:AJ23" si="1">COUNTIF(E6:AH6,1)</f>
        <v>8</v>
      </c>
      <c r="AK6" s="17">
        <f t="shared" ref="AK6:AK23" si="2">COUNTIF(E6:AH6,"тр")</f>
        <v>1</v>
      </c>
      <c r="AL6" s="18">
        <f t="shared" ref="AL6:AL23" si="3">COUNTIF(E6:AH6,"бв")</f>
        <v>1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 t="shared" si="0"/>
        <v>10</v>
      </c>
      <c r="AJ7" s="54">
        <f t="shared" si="1"/>
        <v>8</v>
      </c>
      <c r="AK7" s="54">
        <f t="shared" si="2"/>
        <v>2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 t="shared" si="0"/>
        <v>10</v>
      </c>
      <c r="AJ8" s="54">
        <f t="shared" si="1"/>
        <v>4</v>
      </c>
      <c r="AK8" s="54">
        <f t="shared" si="2"/>
        <v>3</v>
      </c>
      <c r="AL8" s="55">
        <f t="shared" si="3"/>
        <v>3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 t="shared" si="0"/>
        <v>10</v>
      </c>
      <c r="AJ9" s="54">
        <f t="shared" si="1"/>
        <v>8</v>
      </c>
      <c r="AK9" s="54">
        <f t="shared" si="2"/>
        <v>2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 t="shared" si="0"/>
        <v>10</v>
      </c>
      <c r="AJ10" s="54">
        <f t="shared" si="1"/>
        <v>8</v>
      </c>
      <c r="AK10" s="54">
        <f t="shared" si="2"/>
        <v>0</v>
      </c>
      <c r="AL10" s="55">
        <f t="shared" si="3"/>
        <v>2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 t="shared" si="0"/>
        <v>10</v>
      </c>
      <c r="AJ11" s="54">
        <f t="shared" si="1"/>
        <v>6</v>
      </c>
      <c r="AK11" s="54">
        <f t="shared" si="2"/>
        <v>3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 t="shared" si="0"/>
        <v>10</v>
      </c>
      <c r="AJ12" s="54">
        <f t="shared" si="1"/>
        <v>8</v>
      </c>
      <c r="AK12" s="54">
        <f t="shared" si="2"/>
        <v>0</v>
      </c>
      <c r="AL12" s="55">
        <f t="shared" si="3"/>
        <v>2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 t="shared" si="0"/>
        <v>10</v>
      </c>
      <c r="AJ13" s="54">
        <f t="shared" si="1"/>
        <v>10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 t="shared" si="0"/>
        <v>10</v>
      </c>
      <c r="AJ14" s="54">
        <f t="shared" si="1"/>
        <v>10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 t="shared" si="0"/>
        <v>10</v>
      </c>
      <c r="AJ15" s="54">
        <f t="shared" si="1"/>
        <v>10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 t="shared" si="0"/>
        <v>10</v>
      </c>
      <c r="AJ16" s="54">
        <f t="shared" si="1"/>
        <v>10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 t="shared" si="0"/>
        <v>10</v>
      </c>
      <c r="AJ17" s="54">
        <f t="shared" si="1"/>
        <v>8</v>
      </c>
      <c r="AK17" s="54">
        <f t="shared" si="2"/>
        <v>0</v>
      </c>
      <c r="AL17" s="55">
        <f t="shared" si="3"/>
        <v>2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 t="shared" si="0"/>
        <v>10</v>
      </c>
      <c r="AJ18" s="54">
        <f t="shared" si="1"/>
        <v>10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 t="shared" si="0"/>
        <v>10</v>
      </c>
      <c r="AJ19" s="54">
        <f t="shared" si="1"/>
        <v>10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 t="shared" si="0"/>
        <v>10</v>
      </c>
      <c r="AJ20" s="54">
        <f t="shared" si="1"/>
        <v>9</v>
      </c>
      <c r="AK20" s="54">
        <f t="shared" si="2"/>
        <v>0</v>
      </c>
      <c r="AL20" s="55">
        <f t="shared" si="3"/>
        <v>1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153">
        <f t="shared" si="0"/>
        <v>10</v>
      </c>
      <c r="AJ22" s="54">
        <f t="shared" si="1"/>
        <v>10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 t="shared" si="0"/>
        <v>10</v>
      </c>
      <c r="AJ23" s="84">
        <f t="shared" si="1"/>
        <v>7</v>
      </c>
      <c r="AK23" s="84">
        <f t="shared" si="2"/>
        <v>0</v>
      </c>
      <c r="AL23" s="85">
        <f t="shared" si="3"/>
        <v>3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200</v>
      </c>
      <c r="AJ24" s="141">
        <f>SUM(AJ6:AJ23)</f>
        <v>144</v>
      </c>
      <c r="AK24" s="141">
        <f>SUM(AK6:AK23)</f>
        <v>41</v>
      </c>
      <c r="AL24" s="142">
        <f>SUM(AL6:AL23)</f>
        <v>15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 t="shared" ref="AI25:AI31" si="5">COUNTA(E25:AH25)</f>
        <v>10</v>
      </c>
      <c r="AJ25" s="80">
        <f t="shared" ref="AJ25:AJ31" si="6">COUNTIF(E25:AH25,1)</f>
        <v>8</v>
      </c>
      <c r="AK25" s="80">
        <f t="shared" ref="AK25:AK31" si="7">COUNTIF(E25:AH25,"тр")</f>
        <v>0</v>
      </c>
      <c r="AL25" s="81">
        <f t="shared" ref="AL25:AL31" si="8">COUNTIF(E25:AH25,"бв")</f>
        <v>2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 t="shared" si="5"/>
        <v>10</v>
      </c>
      <c r="AJ26" s="54">
        <f t="shared" si="6"/>
        <v>6</v>
      </c>
      <c r="AK26" s="54">
        <f t="shared" si="7"/>
        <v>0</v>
      </c>
      <c r="AL26" s="55">
        <f t="shared" si="8"/>
        <v>4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10</v>
      </c>
      <c r="AJ27" s="54">
        <f t="shared" si="6"/>
        <v>7</v>
      </c>
      <c r="AK27" s="54">
        <f t="shared" si="7"/>
        <v>0</v>
      </c>
      <c r="AL27" s="55">
        <f t="shared" si="8"/>
        <v>3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10</v>
      </c>
      <c r="AJ29" s="54">
        <f t="shared" si="6"/>
        <v>6</v>
      </c>
      <c r="AK29" s="54">
        <f t="shared" si="7"/>
        <v>2</v>
      </c>
      <c r="AL29" s="55">
        <f t="shared" si="8"/>
        <v>2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10</v>
      </c>
      <c r="AJ30" s="54">
        <f t="shared" si="6"/>
        <v>0</v>
      </c>
      <c r="AK30" s="54">
        <f t="shared" si="7"/>
        <v>10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 t="shared" si="5"/>
        <v>10</v>
      </c>
      <c r="AJ31" s="84">
        <f t="shared" si="6"/>
        <v>8</v>
      </c>
      <c r="AK31" s="84">
        <f t="shared" si="7"/>
        <v>2</v>
      </c>
      <c r="AL31" s="85">
        <f t="shared" si="8"/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90</v>
      </c>
      <c r="AJ32" s="135">
        <f>SUM(AJ25:AJ31)</f>
        <v>35</v>
      </c>
      <c r="AK32" s="135">
        <f>SUM(AK25:AK31)</f>
        <v>44</v>
      </c>
      <c r="AL32" s="136">
        <f>SUM(AL25:AL31)</f>
        <v>11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10</v>
      </c>
      <c r="AJ33" s="17">
        <f>COUNTIF(E33:AH33,1)</f>
        <v>10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10</v>
      </c>
      <c r="AJ34" s="54">
        <f>COUNTIF(E34:AH34,1)</f>
        <v>4</v>
      </c>
      <c r="AK34" s="54">
        <f>COUNTIF(E34:AH34,"тр")</f>
        <v>0</v>
      </c>
      <c r="AL34" s="55">
        <f>COUNTIF(E34:AH34,"бв")</f>
        <v>6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50</v>
      </c>
      <c r="AJ36" s="69">
        <f>SUM(AJ33:AJ35)</f>
        <v>14</v>
      </c>
      <c r="AK36" s="69">
        <f>SUM(AK33:AK35)</f>
        <v>30</v>
      </c>
      <c r="AL36" s="75">
        <f>SUM(AL33:AL35)</f>
        <v>6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155">
        <f>COUNTA(E39:AH39)</f>
        <v>10</v>
      </c>
      <c r="AJ39" s="17">
        <f>COUNTIF(E39:AH39,1)</f>
        <v>7</v>
      </c>
      <c r="AK39" s="17">
        <f>COUNTIF(E39:AH39,"тр")</f>
        <v>1</v>
      </c>
      <c r="AL39" s="18">
        <f>COUNTIF(E39:AH39,"бв")</f>
        <v>2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10</v>
      </c>
      <c r="AJ40" s="54">
        <f>COUNTIF(E40:AH40,1)</f>
        <v>9</v>
      </c>
      <c r="AK40" s="54">
        <f>COUNTIF(E40:AH40,"тр")</f>
        <v>0</v>
      </c>
      <c r="AL40" s="55">
        <f>COUNTIF(E40:AH40,"бв")</f>
        <v>1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10</v>
      </c>
      <c r="AJ41" s="56">
        <f>COUNTIF(E41:AH41,1)</f>
        <v>4</v>
      </c>
      <c r="AK41" s="56">
        <f>COUNTIF(E41:AH41,"тр")</f>
        <v>2</v>
      </c>
      <c r="AL41" s="57">
        <f>COUNTIF(E41:AH41,"бв")</f>
        <v>4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30</v>
      </c>
      <c r="AJ42" s="69">
        <f>SUM(AJ39:AJ41)</f>
        <v>20</v>
      </c>
      <c r="AK42" s="69">
        <f>SUM(AK39:AK41)</f>
        <v>3</v>
      </c>
      <c r="AL42" s="75">
        <f>SUM(AL39:AL41)</f>
        <v>7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 t="shared" ref="AI43:AI49" si="9">COUNTA(E43:AH43)</f>
        <v>10</v>
      </c>
      <c r="AJ43" s="17">
        <f t="shared" ref="AJ43:AJ49" si="10">COUNTIF(E43:AH43,1)</f>
        <v>10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 t="shared" si="9"/>
        <v>10</v>
      </c>
      <c r="AJ44" s="54">
        <f t="shared" si="10"/>
        <v>8</v>
      </c>
      <c r="AK44" s="54">
        <f t="shared" si="11"/>
        <v>0</v>
      </c>
      <c r="AL44" s="55">
        <f t="shared" si="12"/>
        <v>2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10</v>
      </c>
      <c r="AJ45" s="54">
        <f t="shared" si="10"/>
        <v>10</v>
      </c>
      <c r="AK45" s="54">
        <f t="shared" si="11"/>
        <v>0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10</v>
      </c>
      <c r="AJ46" s="54">
        <f t="shared" si="10"/>
        <v>9</v>
      </c>
      <c r="AK46" s="54">
        <f t="shared" si="11"/>
        <v>0</v>
      </c>
      <c r="AL46" s="55">
        <f t="shared" si="12"/>
        <v>1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10</v>
      </c>
      <c r="AJ47" s="54">
        <f t="shared" si="10"/>
        <v>6</v>
      </c>
      <c r="AK47" s="54">
        <f t="shared" si="11"/>
        <v>1</v>
      </c>
      <c r="AL47" s="55">
        <f t="shared" si="12"/>
        <v>3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10</v>
      </c>
      <c r="AJ48" s="54">
        <f t="shared" si="10"/>
        <v>10</v>
      </c>
      <c r="AK48" s="54">
        <f t="shared" si="11"/>
        <v>0</v>
      </c>
      <c r="AL48" s="55">
        <f t="shared" si="12"/>
        <v>0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 t="shared" si="9"/>
        <v>10</v>
      </c>
      <c r="AJ49" s="56">
        <f t="shared" si="10"/>
        <v>9</v>
      </c>
      <c r="AK49" s="56">
        <f t="shared" si="11"/>
        <v>0</v>
      </c>
      <c r="AL49" s="57">
        <f t="shared" si="12"/>
        <v>1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70</v>
      </c>
      <c r="AJ50" s="69">
        <f>SUM(AJ43:AJ49)</f>
        <v>62</v>
      </c>
      <c r="AK50" s="69">
        <f>SUM(AK43:AK49)</f>
        <v>1</v>
      </c>
      <c r="AL50" s="75">
        <f>SUM(AL43:AL49)</f>
        <v>7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10</v>
      </c>
      <c r="AJ51" s="56">
        <f>COUNTIF(E51:AH51,1)</f>
        <v>2</v>
      </c>
      <c r="AK51" s="56">
        <f>COUNTIF(E51:AH51,"тр")</f>
        <v>1</v>
      </c>
      <c r="AL51" s="57">
        <f>COUNTIF(E51:AH51,"бв")</f>
        <v>7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10</v>
      </c>
      <c r="AJ52" s="69">
        <f>SUM(AJ51:AJ51)</f>
        <v>2</v>
      </c>
      <c r="AK52" s="69">
        <f>SUM(AK51:AK51)</f>
        <v>1</v>
      </c>
      <c r="AL52" s="75">
        <f>SUM(AL51:AL51)</f>
        <v>7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10</v>
      </c>
      <c r="AJ53" s="80">
        <f>COUNTIF(E53:AH53,1)</f>
        <v>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10</v>
      </c>
      <c r="AJ54" s="56">
        <f>COUNTIF(E54:AH54,1)</f>
        <v>10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10</v>
      </c>
      <c r="AJ55" s="84">
        <f>COUNTIF(E55:AH55,1)</f>
        <v>10</v>
      </c>
      <c r="AK55" s="84">
        <f>COUNTIF(E55:AH55,"тр")</f>
        <v>0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30</v>
      </c>
      <c r="AJ56" s="69">
        <f>SUM(AJ53:AJ55)</f>
        <v>29</v>
      </c>
      <c r="AK56" s="69">
        <f>SUM(AK53:AK55)</f>
        <v>1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520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52">
        <f>COUNTA(E61:AH61)</f>
        <v>10</v>
      </c>
      <c r="AJ61" s="80">
        <f>COUNTIF(E61:AH61,1)</f>
        <v>10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10</v>
      </c>
      <c r="AJ62" s="54">
        <f>COUNTIF(E62:AH62,1)</f>
        <v>10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10</v>
      </c>
      <c r="AJ63" s="54">
        <f>COUNTIF(E63:AH63,1)</f>
        <v>8</v>
      </c>
      <c r="AK63" s="54">
        <f>COUNTIF(E63:AH63,"тр")</f>
        <v>0</v>
      </c>
      <c r="AL63" s="55">
        <f>COUNTIF(E63:AH63,"бв")</f>
        <v>2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60</v>
      </c>
      <c r="AJ65" s="135">
        <f t="shared" ref="AJ65:AL65" si="14">SUM(AJ61:AJ64)</f>
        <v>28</v>
      </c>
      <c r="AK65" s="135">
        <f t="shared" si="14"/>
        <v>30</v>
      </c>
      <c r="AL65" s="136">
        <f t="shared" si="14"/>
        <v>2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60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2019-04-10T07:11:12Z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