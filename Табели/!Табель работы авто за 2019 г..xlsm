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<sst xmlns="http://schemas.openxmlformats.org/spreadsheetml/2006/main" count="703" uniqueCount="72">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</sst>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G63" sqref="AG6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4">
        <f t="shared" ref="AI7:AI25" si="0">АХД</f>
        <v>30</v>
      </c>
      <c r="AJ7" s="85">
        <f t="shared" ref="AJ7:AJ22" si="1">COUNTIF(E7:AH7,1)</f>
        <v>0</v>
      </c>
      <c r="AK7" s="85">
        <f t="shared" ref="AK7:AK22" si="2">COUNTIF(E7:AH7,"тр")</f>
        <v>30</v>
      </c>
      <c r="AL7" s="86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82"/>
      <c r="AI8" s="73">
        <f t="shared" si="0"/>
        <v>30</v>
      </c>
      <c r="AJ8" s="54">
        <f t="shared" si="1"/>
        <v>17</v>
      </c>
      <c r="AK8" s="54">
        <f t="shared" si="2"/>
        <v>6</v>
      </c>
      <c r="AL8" s="55">
        <f t="shared" si="3"/>
        <v>6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82"/>
      <c r="AI10" s="73">
        <f t="shared" si="0"/>
        <v>30</v>
      </c>
      <c r="AJ10" s="54">
        <f t="shared" si="1"/>
        <v>10</v>
      </c>
      <c r="AK10" s="54">
        <f t="shared" si="2"/>
        <v>19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82"/>
      <c r="AI11" s="73">
        <f t="shared" si="0"/>
        <v>30</v>
      </c>
      <c r="AJ11" s="54">
        <f t="shared" si="1"/>
        <v>12</v>
      </c>
      <c r="AK11" s="54">
        <f t="shared" si="2"/>
        <v>16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82"/>
      <c r="AI12" s="73">
        <f t="shared" si="0"/>
        <v>30</v>
      </c>
      <c r="AJ12" s="54">
        <f t="shared" si="1"/>
        <v>19</v>
      </c>
      <c r="AK12" s="54">
        <f t="shared" si="2"/>
        <v>0</v>
      </c>
      <c r="AL12" s="55">
        <f t="shared" si="3"/>
        <v>10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82"/>
      <c r="AI13" s="73">
        <f t="shared" si="0"/>
        <v>30</v>
      </c>
      <c r="AJ13" s="54">
        <f t="shared" si="1"/>
        <v>26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82"/>
      <c r="AI14" s="73">
        <f t="shared" si="0"/>
        <v>30</v>
      </c>
      <c r="AJ14" s="54">
        <f t="shared" si="1"/>
        <v>23</v>
      </c>
      <c r="AK14" s="54">
        <f t="shared" si="2"/>
        <v>6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82"/>
      <c r="AI15" s="7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82"/>
      <c r="AI16" s="73">
        <f t="shared" si="0"/>
        <v>30</v>
      </c>
      <c r="AJ16" s="54">
        <f t="shared" si="1"/>
        <v>21</v>
      </c>
      <c r="AK16" s="54">
        <f t="shared" si="2"/>
        <v>8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82"/>
      <c r="AI17" s="73">
        <f t="shared" si="0"/>
        <v>30</v>
      </c>
      <c r="AJ17" s="54">
        <f t="shared" si="1"/>
        <v>26</v>
      </c>
      <c r="AK17" s="54">
        <f t="shared" si="2"/>
        <v>2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82"/>
      <c r="AI18" s="73">
        <f t="shared" si="0"/>
        <v>30</v>
      </c>
      <c r="AJ18" s="54">
        <f t="shared" si="1"/>
        <v>29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82"/>
      <c r="AI19" s="73">
        <f t="shared" si="0"/>
        <v>30</v>
      </c>
      <c r="AJ19" s="54">
        <f t="shared" si="1"/>
        <v>6</v>
      </c>
      <c r="AK19" s="54">
        <f t="shared" si="2"/>
        <v>21</v>
      </c>
      <c r="AL19" s="55">
        <f t="shared" si="3"/>
        <v>2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82"/>
      <c r="AI20" s="73">
        <f t="shared" si="0"/>
        <v>30</v>
      </c>
      <c r="AJ20" s="54">
        <f t="shared" si="1"/>
        <v>29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82"/>
      <c r="AI21" s="73">
        <f t="shared" si="0"/>
        <v>30</v>
      </c>
      <c r="AJ21" s="54">
        <f t="shared" si="1"/>
        <v>29</v>
      </c>
      <c r="AK21" s="54">
        <f t="shared" si="2"/>
        <v>0</v>
      </c>
      <c r="AL21" s="55">
        <f t="shared" si="3"/>
        <v>0</v>
      </c>
    </row>
    <row r="22" spans="1:38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82"/>
      <c r="AI22" s="87">
        <f t="shared" si="0"/>
        <v>30</v>
      </c>
      <c r="AJ22" s="54">
        <f t="shared" si="1"/>
        <v>20</v>
      </c>
      <c r="AK22" s="54">
        <f t="shared" si="2"/>
        <v>2</v>
      </c>
      <c r="AL22" s="55">
        <f t="shared" si="3"/>
        <v>7</v>
      </c>
    </row>
    <row r="23" spans="1:38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82"/>
      <c r="AI23" s="87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21</v>
      </c>
      <c r="AL23" s="55">
        <f t="shared" ref="AL23:AL25" si="7">COUNTIF(E23:AH23,"бв")</f>
        <v>1</v>
      </c>
    </row>
    <row r="24" spans="1:38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82"/>
      <c r="AI24" s="87">
        <f t="shared" si="0"/>
        <v>30</v>
      </c>
      <c r="AJ24" s="54">
        <f t="shared" si="5"/>
        <v>20</v>
      </c>
      <c r="AK24" s="54">
        <f t="shared" si="6"/>
        <v>0</v>
      </c>
      <c r="AL24" s="55">
        <f t="shared" si="7"/>
        <v>2</v>
      </c>
    </row>
    <row r="25" spans="1:38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>
        <v>1</v>
      </c>
      <c r="T25" s="42">
        <v>1</v>
      </c>
      <c r="U25" s="42">
        <v>1</v>
      </c>
      <c r="V25" s="42">
        <v>1</v>
      </c>
      <c r="W25" s="42">
        <v>1</v>
      </c>
      <c r="X25" s="42" t="s">
        <v>57</v>
      </c>
      <c r="Y25" s="42">
        <v>1</v>
      </c>
      <c r="Z25" s="42">
        <v>1</v>
      </c>
      <c r="AA25" s="42">
        <v>1</v>
      </c>
      <c r="AB25" s="42">
        <v>1</v>
      </c>
      <c r="AC25" s="42">
        <v>1</v>
      </c>
      <c r="AD25" s="42">
        <v>1</v>
      </c>
      <c r="AE25" s="42" t="s">
        <v>57</v>
      </c>
      <c r="AF25" s="42">
        <v>1</v>
      </c>
      <c r="AG25" s="42">
        <v>1</v>
      </c>
      <c r="AH25" s="83"/>
      <c r="AI25" s="88">
        <f t="shared" si="0"/>
        <v>30</v>
      </c>
      <c r="AJ25" s="89">
        <f t="shared" si="5"/>
        <v>18</v>
      </c>
      <c r="AK25" s="89">
        <f t="shared" si="6"/>
        <v>2</v>
      </c>
      <c r="AL25" s="90">
        <f t="shared" si="7"/>
        <v>2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296</v>
      </c>
      <c r="AK26" s="70">
        <f>SUM(AK7:AK22)</f>
        <v>143</v>
      </c>
      <c r="AL26" s="76">
        <f>SUM(AL7:AL22)</f>
        <v>27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/>
      <c r="AI27" s="73">
        <f t="shared" ref="AI27:AI33" si="8">АХД</f>
        <v>30</v>
      </c>
      <c r="AJ27" s="17">
        <f t="shared" ref="AJ27:AJ33" si="9">COUNTIF(E27:AH27,1)</f>
        <v>23</v>
      </c>
      <c r="AK27" s="17">
        <f t="shared" ref="AK27:AK33" si="10">COUNTIF(E27:AH27,"тр")</f>
        <v>2</v>
      </c>
      <c r="AL27" s="18">
        <f t="shared" ref="AL27:AL33" si="11">COUNTIF(E27:AH27,"бв")</f>
        <v>4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/>
      <c r="AI29" s="73">
        <f t="shared" si="8"/>
        <v>30</v>
      </c>
      <c r="AJ29" s="54">
        <f t="shared" si="9"/>
        <v>25</v>
      </c>
      <c r="AK29" s="54">
        <f t="shared" si="10"/>
        <v>2</v>
      </c>
      <c r="AL29" s="55">
        <f t="shared" si="11"/>
        <v>2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/>
      <c r="AI30" s="73">
        <f t="shared" si="8"/>
        <v>30</v>
      </c>
      <c r="AJ30" s="54">
        <f t="shared" si="9"/>
        <v>22</v>
      </c>
      <c r="AK30" s="54">
        <f t="shared" si="10"/>
        <v>0</v>
      </c>
      <c r="AL30" s="55">
        <f t="shared" si="11"/>
        <v>7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/>
      <c r="AI31" s="73">
        <f t="shared" si="8"/>
        <v>30</v>
      </c>
      <c r="AJ31" s="54">
        <f t="shared" si="9"/>
        <v>10</v>
      </c>
      <c r="AK31" s="54">
        <f t="shared" si="10"/>
        <v>8</v>
      </c>
      <c r="AL31" s="55">
        <f t="shared" si="11"/>
        <v>11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/>
      <c r="AI32" s="73">
        <f t="shared" si="8"/>
        <v>30</v>
      </c>
      <c r="AJ32" s="54">
        <f t="shared" si="9"/>
        <v>18</v>
      </c>
      <c r="AK32" s="54">
        <f t="shared" si="10"/>
        <v>8</v>
      </c>
      <c r="AL32" s="55">
        <f t="shared" si="11"/>
        <v>3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/>
      <c r="AI33" s="73">
        <f t="shared" si="8"/>
        <v>30</v>
      </c>
      <c r="AJ33" s="56">
        <f t="shared" si="9"/>
        <v>26</v>
      </c>
      <c r="AK33" s="56">
        <f t="shared" si="10"/>
        <v>1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124</v>
      </c>
      <c r="AK34" s="70">
        <f>SUM(AK27:AK33)</f>
        <v>51</v>
      </c>
      <c r="AL34" s="76">
        <f>SUM(AL27:AL33)</f>
        <v>29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/>
      <c r="AI35" s="73">
        <f>АХД</f>
        <v>30</v>
      </c>
      <c r="AJ35" s="17">
        <f>COUNTIF(E35:AH35,1)</f>
        <v>28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/>
      <c r="AI36" s="73">
        <f>АХД</f>
        <v>30</v>
      </c>
      <c r="AJ36" s="54">
        <f>COUNTIF(E36:AH36,1)</f>
        <v>17</v>
      </c>
      <c r="AK36" s="54">
        <f>COUNTIF(E36:AH36,"тр")</f>
        <v>0</v>
      </c>
      <c r="AL36" s="55">
        <f>COUNTIF(E36:AH36,"бв")</f>
        <v>12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45</v>
      </c>
      <c r="AK38" s="70">
        <f>SUM(AK35:AK37)</f>
        <v>30</v>
      </c>
      <c r="AL38" s="76">
        <f>SUM(AL35:AL37)</f>
        <v>13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/>
      <c r="AI45" s="73">
        <f>АХД</f>
        <v>30</v>
      </c>
      <c r="AJ45" s="54">
        <f>COUNTIF(E45:AH45,1)</f>
        <v>25</v>
      </c>
      <c r="AK45" s="54">
        <f>COUNTIF(E45:AH45,"тр")</f>
        <v>0</v>
      </c>
      <c r="AL45" s="55">
        <f>COUNTIF(E45:AH45,"бв")</f>
        <v>4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/>
      <c r="AI46" s="73">
        <f>АХД</f>
        <v>30</v>
      </c>
      <c r="AJ46" s="56">
        <f>COUNTIF(E46:AH46,1)</f>
        <v>17</v>
      </c>
      <c r="AK46" s="56">
        <f>COUNTIF(E46:AH46,"тр")</f>
        <v>8</v>
      </c>
      <c r="AL46" s="57">
        <f>COUNTIF(E46:AH46,"бв")</f>
        <v>4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42</v>
      </c>
      <c r="AK47" s="70">
        <f>SUM(AK44:AK46)</f>
        <v>38</v>
      </c>
      <c r="AL47" s="76">
        <f>SUM(AL44:AL46)</f>
        <v>8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/>
      <c r="AI48" s="73">
        <f t="shared" ref="AI48:AI54" si="12">АХД</f>
        <v>30</v>
      </c>
      <c r="AJ48" s="17">
        <f t="shared" ref="AJ48:AJ54" si="13">COUNTIF(E48:AH48,1)</f>
        <v>28</v>
      </c>
      <c r="AK48" s="17">
        <f t="shared" ref="AK48:AK54" si="14">COUNTIF(E48:AH48,"тр")</f>
        <v>1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/>
      <c r="AI49" s="73">
        <f t="shared" si="12"/>
        <v>30</v>
      </c>
      <c r="AJ49" s="54">
        <f t="shared" si="13"/>
        <v>27</v>
      </c>
      <c r="AK49" s="54">
        <f t="shared" si="14"/>
        <v>1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/>
      <c r="AI50" s="73">
        <f t="shared" si="12"/>
        <v>30</v>
      </c>
      <c r="AJ50" s="54">
        <f t="shared" si="13"/>
        <v>25</v>
      </c>
      <c r="AK50" s="54">
        <f t="shared" si="14"/>
        <v>4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/>
      <c r="AI51" s="73">
        <f t="shared" si="12"/>
        <v>30</v>
      </c>
      <c r="AJ51" s="54">
        <f t="shared" si="13"/>
        <v>26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/>
      <c r="AI52" s="73">
        <f t="shared" si="12"/>
        <v>30</v>
      </c>
      <c r="AJ52" s="54">
        <f t="shared" si="13"/>
        <v>22</v>
      </c>
      <c r="AK52" s="54">
        <f t="shared" si="14"/>
        <v>0</v>
      </c>
      <c r="AL52" s="55">
        <f t="shared" si="15"/>
        <v>7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/>
      <c r="AI53" s="73">
        <f t="shared" si="12"/>
        <v>30</v>
      </c>
      <c r="AJ53" s="54">
        <f t="shared" si="13"/>
        <v>27</v>
      </c>
      <c r="AK53" s="54">
        <f t="shared" si="14"/>
        <v>0</v>
      </c>
      <c r="AL53" s="55">
        <f t="shared" si="15"/>
        <v>2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/>
      <c r="AI54" s="73">
        <f t="shared" si="12"/>
        <v>30</v>
      </c>
      <c r="AJ54" s="56">
        <f t="shared" si="13"/>
        <v>21</v>
      </c>
      <c r="AK54" s="56">
        <f t="shared" si="14"/>
        <v>8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176</v>
      </c>
      <c r="AK55" s="70">
        <f>SUM(AK48:AK54)</f>
        <v>16</v>
      </c>
      <c r="AL55" s="76">
        <f>SUM(AL48:AL54)</f>
        <v>11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 t="s">
        <v>57</v>
      </c>
      <c r="Q56" s="35" t="s">
        <v>57</v>
      </c>
      <c r="R56" s="35" t="s">
        <v>57</v>
      </c>
      <c r="S56" s="35" t="s">
        <v>57</v>
      </c>
      <c r="T56" s="35" t="s">
        <v>57</v>
      </c>
      <c r="U56" s="35">
        <v>1</v>
      </c>
      <c r="V56" s="35">
        <v>1</v>
      </c>
      <c r="W56" s="35">
        <v>1</v>
      </c>
      <c r="X56" s="35">
        <v>1</v>
      </c>
      <c r="Y56" s="35">
        <v>1</v>
      </c>
      <c r="Z56" s="35">
        <v>1</v>
      </c>
      <c r="AA56" s="35">
        <v>1</v>
      </c>
      <c r="AB56" s="35">
        <v>1</v>
      </c>
      <c r="AC56" s="35">
        <v>1</v>
      </c>
      <c r="AD56" s="35" t="s">
        <v>57</v>
      </c>
      <c r="AE56" s="35" t="s">
        <v>57</v>
      </c>
      <c r="AF56" s="35" t="s">
        <v>57</v>
      </c>
      <c r="AG56" s="35">
        <v>1</v>
      </c>
      <c r="AH56" s="35"/>
      <c r="AI56" s="73">
        <f>АХД</f>
        <v>30</v>
      </c>
      <c r="AJ56" s="17">
        <f>COUNTIF(E56:AH56,1)</f>
        <v>17</v>
      </c>
      <c r="AK56" s="17">
        <f>COUNTIF(E56:AH56,"тр")</f>
        <v>0</v>
      </c>
      <c r="AL56" s="18">
        <f>COUNTIF(E56:AH56,"бв")</f>
        <v>12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 t="s">
        <v>57</v>
      </c>
      <c r="Q57" s="42">
        <v>1</v>
      </c>
      <c r="R57" s="42">
        <v>1</v>
      </c>
      <c r="S57" s="42">
        <v>1</v>
      </c>
      <c r="T57" s="42">
        <v>1</v>
      </c>
      <c r="U57" s="42" t="s">
        <v>58</v>
      </c>
      <c r="V57" s="42" t="s">
        <v>58</v>
      </c>
      <c r="W57" s="42">
        <v>1</v>
      </c>
      <c r="X57" s="42" t="s">
        <v>58</v>
      </c>
      <c r="Y57" s="42" t="s">
        <v>58</v>
      </c>
      <c r="Z57" s="42">
        <v>1</v>
      </c>
      <c r="AA57" s="42" t="s">
        <v>58</v>
      </c>
      <c r="AB57" s="42">
        <v>1</v>
      </c>
      <c r="AC57" s="42">
        <v>1</v>
      </c>
      <c r="AD57" s="42">
        <v>1</v>
      </c>
      <c r="AE57" s="42">
        <v>1</v>
      </c>
      <c r="AF57" s="42">
        <v>1</v>
      </c>
      <c r="AG57" s="42">
        <v>1</v>
      </c>
      <c r="AH57" s="42"/>
      <c r="AI57" s="73">
        <f>АХД</f>
        <v>30</v>
      </c>
      <c r="AJ57" s="56">
        <f>COUNTIF(E57:AH57,1)</f>
        <v>12</v>
      </c>
      <c r="AK57" s="56">
        <f>COUNTIF(E57:AH57,"тр")</f>
        <v>16</v>
      </c>
      <c r="AL57" s="57">
        <f>COUNTIF(E57:AH57,"бв")</f>
        <v>1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29</v>
      </c>
      <c r="AK58" s="70">
        <f>SUM(AK56:AK57)</f>
        <v>16</v>
      </c>
      <c r="AL58" s="76">
        <f>SUM(AL56:AL57)</f>
        <v>13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>
        <v>1</v>
      </c>
      <c r="AB59" s="35">
        <v>1</v>
      </c>
      <c r="AC59" s="35">
        <v>1</v>
      </c>
      <c r="AD59" s="35">
        <v>1</v>
      </c>
      <c r="AE59" s="35">
        <v>1</v>
      </c>
      <c r="AF59" s="35">
        <v>1</v>
      </c>
      <c r="AG59" s="35">
        <v>1</v>
      </c>
      <c r="AH59" s="35"/>
      <c r="AI59" s="73">
        <f>АХД</f>
        <v>30</v>
      </c>
      <c r="AJ59" s="17">
        <f>COUNTIF(E59:AH59,1)</f>
        <v>29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>
        <v>1</v>
      </c>
      <c r="Q60" s="42">
        <v>1</v>
      </c>
      <c r="R60" s="42">
        <v>1</v>
      </c>
      <c r="S60" s="42">
        <v>1</v>
      </c>
      <c r="T60" s="42">
        <v>1</v>
      </c>
      <c r="U60" s="42">
        <v>1</v>
      </c>
      <c r="V60" s="42">
        <v>1</v>
      </c>
      <c r="W60" s="42">
        <v>1</v>
      </c>
      <c r="X60" s="42">
        <v>1</v>
      </c>
      <c r="Y60" s="42">
        <v>1</v>
      </c>
      <c r="Z60" s="42">
        <v>1</v>
      </c>
      <c r="AA60" s="42">
        <v>1</v>
      </c>
      <c r="AB60" s="42">
        <v>1</v>
      </c>
      <c r="AC60" s="42">
        <v>1</v>
      </c>
      <c r="AD60" s="42">
        <v>1</v>
      </c>
      <c r="AE60" s="42">
        <v>1</v>
      </c>
      <c r="AF60" s="42">
        <v>1</v>
      </c>
      <c r="AG60" s="42">
        <v>1</v>
      </c>
      <c r="AH60" s="42"/>
      <c r="AI60" s="73">
        <f>АХД</f>
        <v>30</v>
      </c>
      <c r="AJ60" s="56">
        <f>COUNTIF(E60:AH60,1)</f>
        <v>29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58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1</v>
      </c>
      <c r="Q66" s="35">
        <v>1</v>
      </c>
      <c r="R66" s="35">
        <v>1</v>
      </c>
      <c r="S66" s="35">
        <v>1</v>
      </c>
      <c r="T66" s="35">
        <v>1</v>
      </c>
      <c r="U66" s="35">
        <v>1</v>
      </c>
      <c r="V66" s="35">
        <v>1</v>
      </c>
      <c r="W66" s="35">
        <v>1</v>
      </c>
      <c r="X66" s="35">
        <v>1</v>
      </c>
      <c r="Y66" s="35">
        <v>1</v>
      </c>
      <c r="Z66" s="35">
        <v>1</v>
      </c>
      <c r="AA66" s="35">
        <v>1</v>
      </c>
      <c r="AB66" s="35">
        <v>1</v>
      </c>
      <c r="AC66" s="35">
        <v>1</v>
      </c>
      <c r="AD66" s="35">
        <v>1</v>
      </c>
      <c r="AE66" s="35">
        <v>1</v>
      </c>
      <c r="AF66" s="35">
        <v>1</v>
      </c>
      <c r="AG66" s="35">
        <v>1</v>
      </c>
      <c r="AH66" s="35"/>
      <c r="AI66" s="73">
        <f>АХД</f>
        <v>30</v>
      </c>
      <c r="AJ66" s="17">
        <f>COUNTIF(E66:AH66,1)</f>
        <v>29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>
        <v>1</v>
      </c>
      <c r="Q67" s="42">
        <v>1</v>
      </c>
      <c r="R67" s="42">
        <v>1</v>
      </c>
      <c r="S67" s="42">
        <v>1</v>
      </c>
      <c r="T67" s="42">
        <v>1</v>
      </c>
      <c r="U67" s="42">
        <v>1</v>
      </c>
      <c r="V67" s="42">
        <v>1</v>
      </c>
      <c r="W67" s="42">
        <v>1</v>
      </c>
      <c r="X67" s="42">
        <v>1</v>
      </c>
      <c r="Y67" s="42">
        <v>1</v>
      </c>
      <c r="Z67" s="42">
        <v>1</v>
      </c>
      <c r="AA67" s="42">
        <v>1</v>
      </c>
      <c r="AB67" s="42">
        <v>1</v>
      </c>
      <c r="AC67" s="42">
        <v>1</v>
      </c>
      <c r="AD67" s="42">
        <v>1</v>
      </c>
      <c r="AE67" s="42">
        <v>1</v>
      </c>
      <c r="AF67" s="42">
        <v>1</v>
      </c>
      <c r="AG67" s="42">
        <v>1</v>
      </c>
      <c r="AH67" s="42"/>
      <c r="AI67" s="73">
        <f>АХД</f>
        <v>30</v>
      </c>
      <c r="AJ67" s="56">
        <f>COUNTIF(E67:AH67,1)</f>
        <v>29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58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  <ignoredError sqref="AJ15:AL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2019-01-29T07:26:50Z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