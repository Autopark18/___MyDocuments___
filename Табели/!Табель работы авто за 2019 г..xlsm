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3" activeTab="7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Август 2019" sheetId="13" r:id="rId8"/>
    <sheet name="Данные" sheetId="5" state="hidden" r:id="rId9"/>
  </sheets>
  <functionGroups builtInGroupCount="18"/>
  <definedNames>
    <definedName name="_xlnm._FilterDatabase" localSheetId="7" hidden="1">'Август 2019'!$E$2:$AM$58</definedName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7">'Август 2019'!$3:$3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6" i="13" l="1"/>
  <c r="AL66" i="13"/>
  <c r="AK66" i="13"/>
  <c r="AJ66" i="13"/>
  <c r="AM65" i="13"/>
  <c r="AL65" i="13"/>
  <c r="AK65" i="13"/>
  <c r="AJ65" i="13"/>
  <c r="AM64" i="13"/>
  <c r="AL64" i="13"/>
  <c r="AK64" i="13"/>
  <c r="AJ64" i="13"/>
  <c r="A64" i="13"/>
  <c r="A65" i="13" s="1"/>
  <c r="A66" i="13" s="1"/>
  <c r="AM63" i="13"/>
  <c r="AL63" i="13"/>
  <c r="AK63" i="13"/>
  <c r="AJ63" i="13"/>
  <c r="A63" i="13"/>
  <c r="AM62" i="13"/>
  <c r="AL62" i="13"/>
  <c r="AK62" i="13"/>
  <c r="AJ62" i="13"/>
  <c r="A60" i="13"/>
  <c r="AM56" i="13"/>
  <c r="AL56" i="13"/>
  <c r="AK56" i="13"/>
  <c r="AJ56" i="13"/>
  <c r="AM55" i="13"/>
  <c r="AL55" i="13"/>
  <c r="AK55" i="13"/>
  <c r="AJ55" i="13"/>
  <c r="AM54" i="13"/>
  <c r="AM57" i="13" s="1"/>
  <c r="AL54" i="13"/>
  <c r="AK54" i="13"/>
  <c r="AJ54" i="13"/>
  <c r="AJ57" i="13" s="1"/>
  <c r="AM52" i="13"/>
  <c r="AL52" i="13"/>
  <c r="AK52" i="13"/>
  <c r="AJ52" i="13"/>
  <c r="AM50" i="13"/>
  <c r="AL50" i="13"/>
  <c r="AK50" i="13"/>
  <c r="AJ50" i="13"/>
  <c r="AM49" i="13"/>
  <c r="AL49" i="13"/>
  <c r="AK49" i="13"/>
  <c r="AJ49" i="13"/>
  <c r="AM48" i="13"/>
  <c r="AL48" i="13"/>
  <c r="AK48" i="13"/>
  <c r="AJ48" i="13"/>
  <c r="AM47" i="13"/>
  <c r="AL47" i="13"/>
  <c r="AK47" i="13"/>
  <c r="AJ47" i="13"/>
  <c r="AM46" i="13"/>
  <c r="AL46" i="13"/>
  <c r="AK46" i="13"/>
  <c r="AJ46" i="13"/>
  <c r="AM45" i="13"/>
  <c r="AL45" i="13"/>
  <c r="AK45" i="13"/>
  <c r="AJ45" i="13"/>
  <c r="AM44" i="13"/>
  <c r="AL44" i="13"/>
  <c r="AK44" i="13"/>
  <c r="AJ44" i="13"/>
  <c r="AM42" i="13"/>
  <c r="AL42" i="13"/>
  <c r="AK42" i="13"/>
  <c r="AJ42" i="13"/>
  <c r="AM41" i="13"/>
  <c r="AL41" i="13"/>
  <c r="AK41" i="13"/>
  <c r="AJ41" i="13"/>
  <c r="AM40" i="13"/>
  <c r="AL40" i="13"/>
  <c r="AK40" i="13"/>
  <c r="AJ40" i="13"/>
  <c r="AM38" i="13"/>
  <c r="AL38" i="13"/>
  <c r="AK38" i="13"/>
  <c r="AJ38" i="13"/>
  <c r="AM36" i="13"/>
  <c r="AL36" i="13"/>
  <c r="AK36" i="13"/>
  <c r="AJ36" i="13"/>
  <c r="AM35" i="13"/>
  <c r="AL35" i="13"/>
  <c r="AK35" i="13"/>
  <c r="AJ35" i="13"/>
  <c r="AM34" i="13"/>
  <c r="AL34" i="13"/>
  <c r="AK34" i="13"/>
  <c r="AJ34" i="13"/>
  <c r="AM32" i="13"/>
  <c r="AL32" i="13"/>
  <c r="AK32" i="13"/>
  <c r="AJ32" i="13"/>
  <c r="AM31" i="13"/>
  <c r="AL31" i="13"/>
  <c r="AK31" i="13"/>
  <c r="AJ31" i="13"/>
  <c r="AM30" i="13"/>
  <c r="AL30" i="13"/>
  <c r="AK30" i="13"/>
  <c r="AJ30" i="13"/>
  <c r="AM29" i="13"/>
  <c r="AL29" i="13"/>
  <c r="AK29" i="13"/>
  <c r="AJ29" i="13"/>
  <c r="AM28" i="13"/>
  <c r="AL28" i="13"/>
  <c r="AK28" i="13"/>
  <c r="AJ28" i="13"/>
  <c r="AM27" i="13"/>
  <c r="AL27" i="13"/>
  <c r="AK27" i="13"/>
  <c r="AJ27" i="13"/>
  <c r="AM26" i="13"/>
  <c r="AL26" i="13"/>
  <c r="AK26" i="13"/>
  <c r="AJ26" i="13"/>
  <c r="AM24" i="13"/>
  <c r="AL24" i="13"/>
  <c r="AK24" i="13"/>
  <c r="AJ24" i="13"/>
  <c r="AM23" i="13"/>
  <c r="AL23" i="13"/>
  <c r="AK23" i="13"/>
  <c r="AJ23" i="13"/>
  <c r="AM22" i="13"/>
  <c r="AL22" i="13"/>
  <c r="AK22" i="13"/>
  <c r="AJ22" i="13"/>
  <c r="AM21" i="13"/>
  <c r="AL21" i="13"/>
  <c r="AK21" i="13"/>
  <c r="AJ21" i="13"/>
  <c r="AM20" i="13"/>
  <c r="AL20" i="13"/>
  <c r="AK20" i="13"/>
  <c r="AJ20" i="13"/>
  <c r="AM19" i="13"/>
  <c r="AL19" i="13"/>
  <c r="AK19" i="13"/>
  <c r="AJ19" i="13"/>
  <c r="AM18" i="13"/>
  <c r="AL18" i="13"/>
  <c r="AK18" i="13"/>
  <c r="AJ18" i="13"/>
  <c r="AM17" i="13"/>
  <c r="AL17" i="13"/>
  <c r="AK17" i="13"/>
  <c r="AJ17" i="13"/>
  <c r="AM16" i="13"/>
  <c r="AL16" i="13"/>
  <c r="AK16" i="13"/>
  <c r="AJ16" i="13"/>
  <c r="AM15" i="13"/>
  <c r="AL15" i="13"/>
  <c r="AK15" i="13"/>
  <c r="AJ15" i="13"/>
  <c r="AM14" i="13"/>
  <c r="AL14" i="13"/>
  <c r="AK14" i="13"/>
  <c r="AJ14" i="13"/>
  <c r="AM13" i="13"/>
  <c r="AL13" i="13"/>
  <c r="AK13" i="13"/>
  <c r="AJ13" i="13"/>
  <c r="AM12" i="13"/>
  <c r="AL12" i="13"/>
  <c r="AK12" i="13"/>
  <c r="AJ12" i="13"/>
  <c r="AM11" i="13"/>
  <c r="AL11" i="13"/>
  <c r="AK11" i="13"/>
  <c r="AJ11" i="13"/>
  <c r="AM10" i="13"/>
  <c r="AL10" i="13"/>
  <c r="AK10" i="13"/>
  <c r="AJ10" i="13"/>
  <c r="AM9" i="13"/>
  <c r="AL9" i="13"/>
  <c r="AK9" i="13"/>
  <c r="AJ9" i="13"/>
  <c r="AM8" i="13"/>
  <c r="AL8" i="13"/>
  <c r="AK8" i="13"/>
  <c r="AJ8" i="13"/>
  <c r="AM7" i="13"/>
  <c r="AL7" i="13"/>
  <c r="AK7" i="13"/>
  <c r="AJ7" i="13"/>
  <c r="AM6" i="13"/>
  <c r="AL6" i="13"/>
  <c r="AK6" i="13"/>
  <c r="AJ6" i="13"/>
  <c r="AM5" i="13"/>
  <c r="AL5" i="13"/>
  <c r="AK5" i="13"/>
  <c r="AJ5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6" i="13" s="1"/>
  <c r="A27" i="13" s="1"/>
  <c r="A28" i="13" s="1"/>
  <c r="A29" i="13" s="1"/>
  <c r="A30" i="13" s="1"/>
  <c r="A31" i="13" s="1"/>
  <c r="A32" i="13" s="1"/>
  <c r="A34" i="13" s="1"/>
  <c r="A35" i="13" s="1"/>
  <c r="A36" i="13" s="1"/>
  <c r="A38" i="13" s="1"/>
  <c r="A40" i="13" s="1"/>
  <c r="A41" i="13" s="1"/>
  <c r="A42" i="13" s="1"/>
  <c r="A44" i="13" s="1"/>
  <c r="A45" i="13" s="1"/>
  <c r="A46" i="13" s="1"/>
  <c r="A47" i="13" s="1"/>
  <c r="A48" i="13" s="1"/>
  <c r="A49" i="13" s="1"/>
  <c r="A50" i="13" s="1"/>
  <c r="A52" i="13" s="1"/>
  <c r="A54" i="13" s="1"/>
  <c r="A55" i="13" s="1"/>
  <c r="A56" i="13" s="1"/>
  <c r="AM4" i="13"/>
  <c r="AL4" i="13"/>
  <c r="AK4" i="13"/>
  <c r="AJ4" i="13"/>
  <c r="A1" i="13"/>
  <c r="AK57" i="13" l="1"/>
  <c r="AL57" i="13"/>
  <c r="AM33" i="13"/>
  <c r="AJ67" i="13"/>
  <c r="AJ68" i="13" s="1"/>
  <c r="AL67" i="13"/>
  <c r="AJ25" i="13"/>
  <c r="AL25" i="13"/>
  <c r="AL33" i="13" s="1"/>
  <c r="AK67" i="13"/>
  <c r="AM67" i="13"/>
  <c r="AK25" i="13"/>
  <c r="AK33" i="13" s="1"/>
  <c r="AM25" i="13"/>
  <c r="AM37" i="13" s="1"/>
  <c r="AM39" i="13" s="1"/>
  <c r="AM66" i="12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L37" i="13" l="1"/>
  <c r="AL39" i="13" s="1"/>
  <c r="AM43" i="13"/>
  <c r="AJ33" i="13"/>
  <c r="AM51" i="13"/>
  <c r="AM53" i="13" s="1"/>
  <c r="AK37" i="13"/>
  <c r="AK39" i="13" s="1"/>
  <c r="AK43" i="12"/>
  <c r="AJ57" i="12"/>
  <c r="AJ37" i="12"/>
  <c r="AJ33" i="12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37" i="13" l="1"/>
  <c r="AJ39" i="13" s="1"/>
  <c r="AK43" i="13"/>
  <c r="AK51" i="13" s="1"/>
  <c r="AK53" i="13" s="1"/>
  <c r="AL43" i="13"/>
  <c r="AL51" i="13" s="1"/>
  <c r="AL53" i="13" s="1"/>
  <c r="AJ58" i="12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43" i="13" l="1"/>
  <c r="AJ51" i="13" s="1"/>
  <c r="AJ53" i="13" s="1"/>
  <c r="AJ58" i="13" s="1"/>
  <c r="AJ33" i="1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<sst xmlns="http://schemas.openxmlformats.org/spreadsheetml/2006/main" count="5074" uniqueCount="87">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</sst>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1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  <c r="AK63" s="170"/>
      <c r="AL63" s="170"/>
      <c r="AM63" s="170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2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1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  <c r="AK63" s="170"/>
      <c r="AL63" s="170"/>
      <c r="AM63" s="170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10" priority="2">
      <formula>LEN(TRIM(E4))=0</formula>
    </cfRule>
  </conditionalFormatting>
  <conditionalFormatting sqref="AJ38:AM38">
    <cfRule type="containsBlanks" dxfId="9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59" s="170"/>
      <c r="C59" s="170"/>
      <c r="D59" s="170"/>
      <c r="E59" s="170"/>
      <c r="F59" s="170"/>
      <c r="G59" s="170"/>
      <c r="H59" s="170"/>
      <c r="I59" s="170"/>
      <c r="J59" s="170"/>
      <c r="K59" s="170"/>
      <c r="L59" s="170"/>
      <c r="M59" s="170"/>
      <c r="N59" s="170"/>
      <c r="O59" s="170"/>
      <c r="P59" s="170"/>
      <c r="Q59" s="170"/>
      <c r="R59" s="170"/>
      <c r="S59" s="170"/>
      <c r="T59" s="170"/>
      <c r="U59" s="170"/>
      <c r="V59" s="170"/>
      <c r="W59" s="170"/>
      <c r="X59" s="170"/>
      <c r="Y59" s="170"/>
      <c r="Z59" s="170"/>
      <c r="AA59" s="170"/>
      <c r="AB59" s="170"/>
      <c r="AC59" s="170"/>
      <c r="AD59" s="170"/>
      <c r="AE59" s="170"/>
      <c r="AF59" s="170"/>
      <c r="AG59" s="170"/>
      <c r="AH59" s="170"/>
      <c r="AI59" s="170"/>
      <c r="AJ59" s="170"/>
      <c r="AK59" s="170"/>
      <c r="AL59" s="170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8" priority="2">
      <formula>LEN(TRIM(E4))=0</formula>
    </cfRule>
  </conditionalFormatting>
  <conditionalFormatting sqref="E65:AI65">
    <cfRule type="containsBlanks" dxfId="7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6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5" priority="3">
      <formula>LEN(TRIM(E4))=0</formula>
    </cfRule>
  </conditionalFormatting>
  <conditionalFormatting sqref="E24:AH24">
    <cfRule type="containsBlanks" dxfId="4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4" sqref="AI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 t="s">
        <v>57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25</v>
      </c>
      <c r="AL4" s="80">
        <f t="shared" ref="AL4:AL24" si="2">COUNTIF(E4:AI4,"тр")</f>
        <v>0</v>
      </c>
      <c r="AM4" s="81">
        <f t="shared" ref="AM4:AM24" si="3">COUNTIF(E4:AI4,"бв")</f>
        <v>6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 t="s">
        <v>58</v>
      </c>
      <c r="AJ5" s="153">
        <f t="shared" si="0"/>
        <v>31</v>
      </c>
      <c r="AK5" s="54">
        <f t="shared" si="1"/>
        <v>8</v>
      </c>
      <c r="AL5" s="54">
        <f t="shared" si="2"/>
        <v>23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31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78" t="s">
        <v>57</v>
      </c>
      <c r="AI7" s="78">
        <v>1</v>
      </c>
      <c r="AJ7" s="153">
        <f t="shared" si="0"/>
        <v>31</v>
      </c>
      <c r="AK7" s="54">
        <f t="shared" si="1"/>
        <v>20</v>
      </c>
      <c r="AL7" s="54">
        <f t="shared" si="2"/>
        <v>6</v>
      </c>
      <c r="AM7" s="55">
        <f t="shared" si="3"/>
        <v>5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 t="s">
        <v>57</v>
      </c>
      <c r="AF8" s="5" t="s">
        <v>57</v>
      </c>
      <c r="AG8" s="5">
        <v>1</v>
      </c>
      <c r="AH8" s="78">
        <v>1</v>
      </c>
      <c r="AI8" s="78">
        <v>1</v>
      </c>
      <c r="AJ8" s="153">
        <f t="shared" si="0"/>
        <v>31</v>
      </c>
      <c r="AK8" s="54">
        <f t="shared" si="1"/>
        <v>22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 t="s">
        <v>58</v>
      </c>
      <c r="AB9" s="5">
        <v>1</v>
      </c>
      <c r="AC9" s="5" t="s">
        <v>57</v>
      </c>
      <c r="AD9" s="5" t="s">
        <v>57</v>
      </c>
      <c r="AE9" s="5" t="s">
        <v>57</v>
      </c>
      <c r="AF9" s="5" t="s">
        <v>57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26</v>
      </c>
      <c r="AL9" s="54">
        <f t="shared" si="2"/>
        <v>1</v>
      </c>
      <c r="AM9" s="55">
        <f t="shared" si="3"/>
        <v>4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>
        <v>1</v>
      </c>
      <c r="AJ10" s="153">
        <f t="shared" si="0"/>
        <v>31</v>
      </c>
      <c r="AK10" s="54">
        <f t="shared" si="1"/>
        <v>28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31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 t="s">
        <v>58</v>
      </c>
      <c r="AB12" s="5" t="s">
        <v>58</v>
      </c>
      <c r="AC12" s="5" t="s">
        <v>58</v>
      </c>
      <c r="AD12" s="5" t="s">
        <v>58</v>
      </c>
      <c r="AE12" s="5" t="s">
        <v>58</v>
      </c>
      <c r="AF12" s="5" t="s">
        <v>58</v>
      </c>
      <c r="AG12" s="5" t="s">
        <v>58</v>
      </c>
      <c r="AH12" s="78" t="s">
        <v>58</v>
      </c>
      <c r="AI12" s="78" t="s">
        <v>58</v>
      </c>
      <c r="AJ12" s="153">
        <f t="shared" si="0"/>
        <v>31</v>
      </c>
      <c r="AK12" s="54">
        <f t="shared" si="1"/>
        <v>14</v>
      </c>
      <c r="AL12" s="54">
        <f t="shared" si="2"/>
        <v>15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27</v>
      </c>
      <c r="AL15" s="54">
        <f t="shared" si="2"/>
        <v>1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31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78" t="s">
        <v>58</v>
      </c>
      <c r="AJ18" s="153">
        <f t="shared" si="0"/>
        <v>31</v>
      </c>
      <c r="AK18" s="54">
        <f t="shared" si="1"/>
        <v>1</v>
      </c>
      <c r="AL18" s="54">
        <f t="shared" si="2"/>
        <v>21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 t="s">
        <v>57</v>
      </c>
      <c r="AH19" s="78">
        <v>1</v>
      </c>
      <c r="AI19" s="78">
        <v>1</v>
      </c>
      <c r="AJ19" s="153">
        <f t="shared" si="0"/>
        <v>31</v>
      </c>
      <c r="AK19" s="54">
        <f t="shared" si="1"/>
        <v>11</v>
      </c>
      <c r="AL19" s="54">
        <f t="shared" si="2"/>
        <v>19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2</v>
      </c>
      <c r="AL20" s="54">
        <f t="shared" si="2"/>
        <v>29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78" t="s">
        <v>58</v>
      </c>
      <c r="AI21" s="78" t="s">
        <v>58</v>
      </c>
      <c r="AJ21" s="153">
        <f t="shared" si="0"/>
        <v>31</v>
      </c>
      <c r="AK21" s="54">
        <f t="shared" si="1"/>
        <v>15</v>
      </c>
      <c r="AL21" s="54">
        <f t="shared" si="2"/>
        <v>15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29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 t="s">
        <v>57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29</v>
      </c>
      <c r="AL23" s="54">
        <f t="shared" si="2"/>
        <v>0</v>
      </c>
      <c r="AM23" s="55">
        <f t="shared" si="3"/>
        <v>2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29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651</v>
      </c>
      <c r="AK25" s="69">
        <f>SUM(AK4:AK24)</f>
        <v>471</v>
      </c>
      <c r="AL25" s="69">
        <f>SUM(AL4:AL24)</f>
        <v>133</v>
      </c>
      <c r="AM25" s="75">
        <f>SUM(AM4:AM24)</f>
        <v>47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 t="s">
        <v>57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 t="s">
        <v>57</v>
      </c>
      <c r="AH30" s="5" t="s">
        <v>58</v>
      </c>
      <c r="AI30" s="5" t="s">
        <v>58</v>
      </c>
      <c r="AJ30" s="153">
        <f t="shared" si="5"/>
        <v>31</v>
      </c>
      <c r="AK30" s="54">
        <f t="shared" si="6"/>
        <v>24</v>
      </c>
      <c r="AL30" s="54">
        <f t="shared" si="7"/>
        <v>2</v>
      </c>
      <c r="AM30" s="55">
        <f t="shared" si="8"/>
        <v>5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 t="s">
        <v>58</v>
      </c>
      <c r="AB31" s="5">
        <v>1</v>
      </c>
      <c r="AC31" s="5">
        <v>1</v>
      </c>
      <c r="AD31" s="5">
        <v>1</v>
      </c>
      <c r="AE31" s="5" t="s">
        <v>57</v>
      </c>
      <c r="AF31" s="5">
        <v>1</v>
      </c>
      <c r="AG31" s="5">
        <v>1</v>
      </c>
      <c r="AH31" s="5">
        <v>1</v>
      </c>
      <c r="AI31" s="5" t="s">
        <v>57</v>
      </c>
      <c r="AJ31" s="153">
        <f t="shared" si="5"/>
        <v>31</v>
      </c>
      <c r="AK31" s="54">
        <f t="shared" si="6"/>
        <v>27</v>
      </c>
      <c r="AL31" s="54">
        <f t="shared" si="7"/>
        <v>1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1</v>
      </c>
      <c r="AM32" s="85">
        <f t="shared" si="8"/>
        <v>2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105</v>
      </c>
      <c r="AL33" s="135">
        <f>SUM(AL26:AL32)</f>
        <v>97</v>
      </c>
      <c r="AM33" s="136">
        <f>SUM(AM26:AM32)</f>
        <v>15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0</v>
      </c>
      <c r="AL34" s="17">
        <f>COUNTIF(E34:AI34,"тр")</f>
        <v>0</v>
      </c>
      <c r="AM34" s="18">
        <f>COUNTIF(E34:AI34,"бв")</f>
        <v>31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1</v>
      </c>
      <c r="AL35" s="54">
        <f>COUNTIF(E35:AI35,"тр")</f>
        <v>0</v>
      </c>
      <c r="AM35" s="55">
        <f>COUNTIF(E35:AI35,"бв")</f>
        <v>30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1</v>
      </c>
      <c r="AL37" s="69">
        <f>SUM(AL34:AL36)</f>
        <v>31</v>
      </c>
      <c r="AM37" s="75">
        <f>SUM(AM34:AM36)</f>
        <v>61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 t="s">
        <v>57</v>
      </c>
      <c r="AG41" s="5" t="s">
        <v>57</v>
      </c>
      <c r="AH41" s="5" t="s">
        <v>57</v>
      </c>
      <c r="AI41" s="5">
        <v>1</v>
      </c>
      <c r="AJ41" s="155">
        <f>COUNTA(E41:AI41)</f>
        <v>31</v>
      </c>
      <c r="AK41" s="54">
        <f>COUNTIF(E41:AI41,1)</f>
        <v>25</v>
      </c>
      <c r="AL41" s="54">
        <f>COUNTIF(E41:AI41,"тр")</f>
        <v>0</v>
      </c>
      <c r="AM41" s="55">
        <f>COUNTIF(E41:AI41,"бв")</f>
        <v>6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 t="s">
        <v>57</v>
      </c>
      <c r="AF42" s="42" t="s">
        <v>57</v>
      </c>
      <c r="AG42" s="42" t="s">
        <v>57</v>
      </c>
      <c r="AH42" s="42" t="s">
        <v>58</v>
      </c>
      <c r="AI42" s="42">
        <v>1</v>
      </c>
      <c r="AJ42" s="155">
        <f>COUNTA(E42:AI42)</f>
        <v>31</v>
      </c>
      <c r="AK42" s="56">
        <f>COUNTIF(E42:AI42,1)</f>
        <v>18</v>
      </c>
      <c r="AL42" s="56">
        <f>COUNTIF(E42:AI42,"тр")</f>
        <v>6</v>
      </c>
      <c r="AM42" s="57">
        <f>COUNTIF(E42:AI42,"бв")</f>
        <v>7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43</v>
      </c>
      <c r="AL43" s="69">
        <f>SUM(AL40:AL42)</f>
        <v>37</v>
      </c>
      <c r="AM43" s="75">
        <f>SUM(AM40:AM42)</f>
        <v>13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 t="s">
        <v>57</v>
      </c>
      <c r="AC44" s="35">
        <v>1</v>
      </c>
      <c r="AD44" s="35" t="s">
        <v>58</v>
      </c>
      <c r="AE44" s="35">
        <v>1</v>
      </c>
      <c r="AF44" s="35">
        <v>1</v>
      </c>
      <c r="AG44" s="35">
        <v>1</v>
      </c>
      <c r="AH44" s="35" t="s">
        <v>57</v>
      </c>
      <c r="AI44" s="35" t="s">
        <v>57</v>
      </c>
      <c r="AJ44" s="155">
        <f t="shared" ref="AJ44:AJ50" si="9">COUNTA(E44:AI44)</f>
        <v>31</v>
      </c>
      <c r="AK44" s="17">
        <f t="shared" ref="AK44:AK50" si="10">COUNTIF(E44:AI44,1)</f>
        <v>22</v>
      </c>
      <c r="AL44" s="17">
        <f t="shared" ref="AL44:AL50" si="11">COUNTIF(E44:AI44,"тр")</f>
        <v>6</v>
      </c>
      <c r="AM44" s="18">
        <f t="shared" ref="AM44:AM50" si="12">COUNTIF(E44:AI44,"бв")</f>
        <v>3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25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>
        <v>1</v>
      </c>
      <c r="AB46" s="5">
        <v>1</v>
      </c>
      <c r="AC46" s="5" t="s">
        <v>57</v>
      </c>
      <c r="AD46" s="5">
        <v>1</v>
      </c>
      <c r="AE46" s="5">
        <v>1</v>
      </c>
      <c r="AF46" s="5" t="s">
        <v>57</v>
      </c>
      <c r="AG46" s="5">
        <v>1</v>
      </c>
      <c r="AH46" s="5">
        <v>1</v>
      </c>
      <c r="AI46" s="5">
        <v>1</v>
      </c>
      <c r="AJ46" s="155">
        <f t="shared" si="9"/>
        <v>31</v>
      </c>
      <c r="AK46" s="54">
        <f t="shared" si="10"/>
        <v>22</v>
      </c>
      <c r="AL46" s="54">
        <f t="shared" si="11"/>
        <v>2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57</v>
      </c>
      <c r="AC47" s="5" t="s">
        <v>57</v>
      </c>
      <c r="AD47" s="5">
        <v>1</v>
      </c>
      <c r="AE47" s="5" t="s">
        <v>57</v>
      </c>
      <c r="AF47" s="5">
        <v>1</v>
      </c>
      <c r="AG47" s="5">
        <v>1</v>
      </c>
      <c r="AH47" s="5" t="s">
        <v>57</v>
      </c>
      <c r="AI47" s="5" t="s">
        <v>57</v>
      </c>
      <c r="AJ47" s="155">
        <f t="shared" si="9"/>
        <v>31</v>
      </c>
      <c r="AK47" s="54">
        <f t="shared" si="10"/>
        <v>26</v>
      </c>
      <c r="AL47" s="54">
        <f t="shared" si="11"/>
        <v>0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>
        <v>1</v>
      </c>
      <c r="AB48" s="5">
        <v>1</v>
      </c>
      <c r="AC48" s="5">
        <v>1</v>
      </c>
      <c r="AD48" s="5" t="s">
        <v>57</v>
      </c>
      <c r="AE48" s="5" t="s">
        <v>57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9"/>
        <v>31</v>
      </c>
      <c r="AK48" s="54">
        <f t="shared" si="10"/>
        <v>21</v>
      </c>
      <c r="AL48" s="54">
        <f t="shared" si="11"/>
        <v>0</v>
      </c>
      <c r="AM48" s="55">
        <f t="shared" si="12"/>
        <v>10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30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23</v>
      </c>
      <c r="AL50" s="56">
        <f t="shared" si="11"/>
        <v>0</v>
      </c>
      <c r="AM50" s="57">
        <f t="shared" si="12"/>
        <v>8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8</v>
      </c>
      <c r="AM51" s="75">
        <f>SUM(AM44:AM50)</f>
        <v>40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42">
        <v>1</v>
      </c>
      <c r="AJ52" s="155">
        <f>COUNTA(E52:AI52)</f>
        <v>31</v>
      </c>
      <c r="AK52" s="56">
        <f>COUNTIF(E52:AI52,1)</f>
        <v>26</v>
      </c>
      <c r="AL52" s="56">
        <f>COUNTIF(E52:AI52,"тр")</f>
        <v>0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26</v>
      </c>
      <c r="AL53" s="69">
        <f>SUM(AL52:AL52)</f>
        <v>0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 t="s">
        <v>57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1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 t="s">
        <v>57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1</v>
      </c>
      <c r="AM57" s="75">
        <f>SUM(AM54:AM56)</f>
        <v>13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 t="s">
        <v>57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25</v>
      </c>
      <c r="AL64" s="54">
        <f>COUNTIF(E64:AI64,"тр")</f>
        <v>0</v>
      </c>
      <c r="AM64" s="55">
        <f>COUNTIF(E64:AI64,"бв")</f>
        <v>6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87</v>
      </c>
      <c r="AL67" s="69">
        <f t="shared" si="14"/>
        <v>62</v>
      </c>
      <c r="AM67" s="75">
        <f t="shared" si="14"/>
        <v>6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3" priority="2">
      <formula>LEN(TRIM(E4))=0</formula>
    </cfRule>
  </conditionalFormatting>
  <conditionalFormatting sqref="E24:AI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M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4" sqref="O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Август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9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101"/>
      <c r="AI4" s="101"/>
      <c r="AJ4" s="152">
        <f>COUNTA(E4:AI4)</f>
        <v>12</v>
      </c>
      <c r="AK4" s="80">
        <f>COUNTIF(E4:AI4,1)</f>
        <v>12</v>
      </c>
      <c r="AL4" s="80">
        <f>COUNTIF(E4:AI4,"тр")</f>
        <v>0</v>
      </c>
      <c r="AM4" s="81">
        <f>COUNTIF(E4:AI4,"бв")</f>
        <v>0</v>
      </c>
    </row>
    <row r="5" spans="1:39" x14ac:dyDescent="0.25">
      <c r="A5" s="11">
        <f t="shared" ref="A5:A56" si="0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78"/>
      <c r="AI5" s="78"/>
      <c r="AJ5" s="153">
        <f>COUNTA(E5:AI5)</f>
        <v>10</v>
      </c>
      <c r="AK5" s="54">
        <f>COUNTIF(E5:AI5,1)</f>
        <v>0</v>
      </c>
      <c r="AL5" s="54">
        <f>COUNTIF(E5:AI5,"тр")</f>
        <v>10</v>
      </c>
      <c r="AM5" s="55">
        <f>COUNTIF(E5:AI5,"бв")</f>
        <v>0</v>
      </c>
    </row>
    <row r="6" spans="1:39" x14ac:dyDescent="0.25">
      <c r="A6" s="11">
        <f t="shared" si="0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57</v>
      </c>
      <c r="H6" s="5" t="s">
        <v>57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78"/>
      <c r="AI6" s="78"/>
      <c r="AJ6" s="153">
        <f>COUNTA(E6:AI6)</f>
        <v>12</v>
      </c>
      <c r="AK6" s="54">
        <f>COUNTIF(E6:AI6,1)</f>
        <v>10</v>
      </c>
      <c r="AL6" s="54">
        <f>COUNTIF(E6:AI6,"тр")</f>
        <v>0</v>
      </c>
      <c r="AM6" s="55">
        <f>COUNTIF(E6:AI6,"бв")</f>
        <v>2</v>
      </c>
    </row>
    <row r="7" spans="1:39" x14ac:dyDescent="0.25">
      <c r="A7" s="11">
        <f t="shared" si="0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>
        <v>1</v>
      </c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78"/>
      <c r="AI7" s="78"/>
      <c r="AJ7" s="153">
        <f>COUNTA(E7:AI7)</f>
        <v>12</v>
      </c>
      <c r="AK7" s="54">
        <f>COUNTIF(E7:AI7,1)</f>
        <v>12</v>
      </c>
      <c r="AL7" s="54">
        <f>COUNTIF(E7:AI7,"тр")</f>
        <v>0</v>
      </c>
      <c r="AM7" s="55">
        <f>COUNTIF(E7:AI7,"бв")</f>
        <v>0</v>
      </c>
    </row>
    <row r="8" spans="1:39" x14ac:dyDescent="0.25">
      <c r="A8" s="11">
        <f t="shared" si="0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 t="s">
        <v>57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 t="s">
        <v>57</v>
      </c>
      <c r="O8" s="5"/>
      <c r="P8" s="5">
        <v>1</v>
      </c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78"/>
      <c r="AI8" s="78"/>
      <c r="AJ8" s="153">
        <f>COUNTA(E8:AI8)</f>
        <v>11</v>
      </c>
      <c r="AK8" s="54">
        <f>COUNTIF(E8:AI8,1)</f>
        <v>8</v>
      </c>
      <c r="AL8" s="54">
        <f>COUNTIF(E8:AI8,"тр")</f>
        <v>0</v>
      </c>
      <c r="AM8" s="55">
        <f>COUNTIF(E8:AI8,"бв")</f>
        <v>3</v>
      </c>
    </row>
    <row r="9" spans="1:39" x14ac:dyDescent="0.25">
      <c r="A9" s="11">
        <f t="shared" si="0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78"/>
      <c r="AI9" s="78"/>
      <c r="AJ9" s="153">
        <f>COUNTA(E9:AI9)</f>
        <v>12</v>
      </c>
      <c r="AK9" s="54">
        <f>COUNTIF(E9:AI9,1)</f>
        <v>11</v>
      </c>
      <c r="AL9" s="54">
        <f>COUNTIF(E9:AI9,"тр")</f>
        <v>1</v>
      </c>
      <c r="AM9" s="55">
        <f>COUNTIF(E9:AI9,"бв")</f>
        <v>0</v>
      </c>
    </row>
    <row r="10" spans="1:39" x14ac:dyDescent="0.25">
      <c r="A10" s="11">
        <f t="shared" si="0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57</v>
      </c>
      <c r="H10" s="5" t="s">
        <v>57</v>
      </c>
      <c r="I10" s="5">
        <v>1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78"/>
      <c r="AI10" s="78"/>
      <c r="AJ10" s="153">
        <f>COUNTA(E10:AI10)</f>
        <v>10</v>
      </c>
      <c r="AK10" s="54">
        <f>COUNTIF(E10:AI10,1)</f>
        <v>2</v>
      </c>
      <c r="AL10" s="54">
        <f>COUNTIF(E10:AI10,"тр")</f>
        <v>6</v>
      </c>
      <c r="AM10" s="55">
        <f>COUNTIF(E10:AI10,"бв")</f>
        <v>2</v>
      </c>
    </row>
    <row r="11" spans="1:39" x14ac:dyDescent="0.25">
      <c r="A11" s="11">
        <f t="shared" si="0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 t="s">
        <v>57</v>
      </c>
      <c r="H11" s="5" t="s">
        <v>57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78"/>
      <c r="AI11" s="78"/>
      <c r="AJ11" s="153">
        <f>COUNTA(E11:AI11)</f>
        <v>12</v>
      </c>
      <c r="AK11" s="54">
        <f>COUNTIF(E11:AI11,1)</f>
        <v>10</v>
      </c>
      <c r="AL11" s="54">
        <f>COUNTIF(E11:AI11,"тр")</f>
        <v>0</v>
      </c>
      <c r="AM11" s="55">
        <f>COUNTIF(E11:AI11,"бв")</f>
        <v>2</v>
      </c>
    </row>
    <row r="12" spans="1:39" x14ac:dyDescent="0.25">
      <c r="A12" s="11">
        <f t="shared" si="0"/>
        <v>9</v>
      </c>
      <c r="B12" s="12" t="s">
        <v>53</v>
      </c>
      <c r="C12" s="13" t="s">
        <v>12</v>
      </c>
      <c r="D12" s="22">
        <v>4730</v>
      </c>
      <c r="E12" s="7" t="s">
        <v>58</v>
      </c>
      <c r="F12" s="5" t="s">
        <v>58</v>
      </c>
      <c r="G12" s="5" t="s">
        <v>58</v>
      </c>
      <c r="H12" s="5" t="s">
        <v>58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78"/>
      <c r="AI12" s="78"/>
      <c r="AJ12" s="153">
        <f>COUNTA(E12:AI12)</f>
        <v>10</v>
      </c>
      <c r="AK12" s="54">
        <f>COUNTIF(E12:AI12,1)</f>
        <v>0</v>
      </c>
      <c r="AL12" s="54">
        <f>COUNTIF(E12:AI12,"тр")</f>
        <v>10</v>
      </c>
      <c r="AM12" s="55">
        <f>COUNTIF(E12:AI12,"бв")</f>
        <v>0</v>
      </c>
    </row>
    <row r="13" spans="1:39" x14ac:dyDescent="0.25">
      <c r="A13" s="11">
        <f t="shared" si="0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78"/>
      <c r="AI13" s="78"/>
      <c r="AJ13" s="153">
        <f>COUNTA(E13:AI13)</f>
        <v>12</v>
      </c>
      <c r="AK13" s="54">
        <f>COUNTIF(E13:AI13,1)</f>
        <v>12</v>
      </c>
      <c r="AL13" s="54">
        <f>COUNTIF(E13:AI13,"тр")</f>
        <v>0</v>
      </c>
      <c r="AM13" s="55">
        <f>COUNTIF(E13:AI13,"бв")</f>
        <v>0</v>
      </c>
    </row>
    <row r="14" spans="1:39" x14ac:dyDescent="0.25">
      <c r="A14" s="11">
        <f t="shared" si="0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 t="s">
        <v>58</v>
      </c>
      <c r="K14" s="5" t="s">
        <v>58</v>
      </c>
      <c r="L14" s="5" t="s">
        <v>58</v>
      </c>
      <c r="M14" s="5" t="s">
        <v>58</v>
      </c>
      <c r="N14" s="5" t="s">
        <v>58</v>
      </c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78"/>
      <c r="AI14" s="78"/>
      <c r="AJ14" s="153">
        <f>COUNTA(E14:AI14)</f>
        <v>10</v>
      </c>
      <c r="AK14" s="54">
        <f>COUNTIF(E14:AI14,1)</f>
        <v>5</v>
      </c>
      <c r="AL14" s="54">
        <f>COUNTIF(E14:AI14,"тр")</f>
        <v>5</v>
      </c>
      <c r="AM14" s="55">
        <f>COUNTIF(E14:AI14,"бв")</f>
        <v>0</v>
      </c>
    </row>
    <row r="15" spans="1:39" x14ac:dyDescent="0.25">
      <c r="A15" s="11">
        <f t="shared" si="0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 t="s">
        <v>57</v>
      </c>
      <c r="H15" s="5" t="s">
        <v>57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78"/>
      <c r="AI15" s="78"/>
      <c r="AJ15" s="153">
        <f>COUNTA(E15:AI15)</f>
        <v>12</v>
      </c>
      <c r="AK15" s="54">
        <f>COUNTIF(E15:AI15,1)</f>
        <v>10</v>
      </c>
      <c r="AL15" s="54">
        <f>COUNTIF(E15:AI15,"тр")</f>
        <v>0</v>
      </c>
      <c r="AM15" s="55">
        <f>COUNTIF(E15:AI15,"бв")</f>
        <v>2</v>
      </c>
    </row>
    <row r="16" spans="1:39" x14ac:dyDescent="0.25">
      <c r="A16" s="11">
        <f t="shared" si="0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78"/>
      <c r="AI16" s="78"/>
      <c r="AJ16" s="153">
        <f>COUNTA(E16:AI16)</f>
        <v>10</v>
      </c>
      <c r="AK16" s="54">
        <f>COUNTIF(E16:AI16,1)</f>
        <v>10</v>
      </c>
      <c r="AL16" s="54">
        <f>COUNTIF(E16:AI16,"тр")</f>
        <v>0</v>
      </c>
      <c r="AM16" s="55">
        <f>COUNTIF(E16:AI16,"бв")</f>
        <v>0</v>
      </c>
    </row>
    <row r="17" spans="1:39" x14ac:dyDescent="0.25">
      <c r="A17" s="11">
        <f t="shared" si="0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78"/>
      <c r="AI17" s="78"/>
      <c r="AJ17" s="153">
        <f>COUNTA(E17:AI17)</f>
        <v>12</v>
      </c>
      <c r="AK17" s="54">
        <f>COUNTIF(E17:AI17,1)</f>
        <v>12</v>
      </c>
      <c r="AL17" s="54">
        <f>COUNTIF(E17:AI17,"тр")</f>
        <v>0</v>
      </c>
      <c r="AM17" s="55">
        <f>COUNTIF(E17:AI17,"бв")</f>
        <v>0</v>
      </c>
    </row>
    <row r="18" spans="1:39" x14ac:dyDescent="0.25">
      <c r="A18" s="11">
        <f t="shared" si="0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 t="s">
        <v>58</v>
      </c>
      <c r="H18" s="5" t="s">
        <v>58</v>
      </c>
      <c r="I18" s="5" t="s">
        <v>58</v>
      </c>
      <c r="J18" s="5" t="s">
        <v>58</v>
      </c>
      <c r="K18" s="5" t="s">
        <v>58</v>
      </c>
      <c r="L18" s="5" t="s">
        <v>58</v>
      </c>
      <c r="M18" s="5" t="s">
        <v>58</v>
      </c>
      <c r="N18" s="5">
        <v>1</v>
      </c>
      <c r="O18" s="5"/>
      <c r="P18" s="5">
        <v>1</v>
      </c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78"/>
      <c r="AI18" s="78"/>
      <c r="AJ18" s="153">
        <f>COUNTA(E18:AI18)</f>
        <v>11</v>
      </c>
      <c r="AK18" s="54">
        <f>COUNTIF(E18:AI18,1)</f>
        <v>2</v>
      </c>
      <c r="AL18" s="54">
        <f>COUNTIF(E18:AI18,"тр")</f>
        <v>9</v>
      </c>
      <c r="AM18" s="55">
        <f>COUNTIF(E18:AI18,"бв")</f>
        <v>0</v>
      </c>
    </row>
    <row r="19" spans="1:39" x14ac:dyDescent="0.25">
      <c r="A19" s="11">
        <f t="shared" si="0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>
        <v>1</v>
      </c>
      <c r="G19" s="5">
        <v>1</v>
      </c>
      <c r="H19" s="5">
        <v>1</v>
      </c>
      <c r="I19" s="5" t="s">
        <v>57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78"/>
      <c r="AI19" s="78"/>
      <c r="AJ19" s="153">
        <f>COUNTA(E19:AI19)</f>
        <v>12</v>
      </c>
      <c r="AK19" s="54">
        <f>COUNTIF(E19:AI19,1)</f>
        <v>10</v>
      </c>
      <c r="AL19" s="54">
        <f>COUNTIF(E19:AI19,"тр")</f>
        <v>1</v>
      </c>
      <c r="AM19" s="55">
        <f>COUNTIF(E19:AI19,"бв")</f>
        <v>1</v>
      </c>
    </row>
    <row r="20" spans="1:39" x14ac:dyDescent="0.25">
      <c r="A20" s="11">
        <f t="shared" si="0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78"/>
      <c r="AI20" s="78"/>
      <c r="AJ20" s="153">
        <f>COUNTA(E20:AI20)</f>
        <v>10</v>
      </c>
      <c r="AK20" s="54">
        <f>COUNTIF(E20:AI20,1)</f>
        <v>0</v>
      </c>
      <c r="AL20" s="54">
        <f>COUNTIF(E20:AI20,"тр")</f>
        <v>10</v>
      </c>
      <c r="AM20" s="55">
        <f>COUNTIF(E20:AI20,"бв")</f>
        <v>0</v>
      </c>
    </row>
    <row r="21" spans="1:39" x14ac:dyDescent="0.25">
      <c r="A21" s="11">
        <f t="shared" si="0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78"/>
      <c r="AI21" s="78"/>
      <c r="AJ21" s="153">
        <f>COUNTA(E21:AI21)</f>
        <v>12</v>
      </c>
      <c r="AK21" s="54">
        <f>COUNTIF(E21:AI21,1)</f>
        <v>12</v>
      </c>
      <c r="AL21" s="54">
        <f>COUNTIF(E21:AI21,"тр")</f>
        <v>0</v>
      </c>
      <c r="AM21" s="55">
        <f>COUNTIF(E21:AI21,"бв")</f>
        <v>0</v>
      </c>
    </row>
    <row r="22" spans="1:39" x14ac:dyDescent="0.25">
      <c r="A22" s="44">
        <f t="shared" si="0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>
        <v>1</v>
      </c>
      <c r="N22" s="42">
        <v>1</v>
      </c>
      <c r="O22" s="42">
        <v>1</v>
      </c>
      <c r="P22" s="42">
        <v>1</v>
      </c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126"/>
      <c r="AI22" s="126"/>
      <c r="AJ22" s="153">
        <f>COUNTA(E22:AI22)</f>
        <v>12</v>
      </c>
      <c r="AK22" s="54">
        <f>COUNTIF(E22:AI22,1)</f>
        <v>11</v>
      </c>
      <c r="AL22" s="54">
        <f>COUNTIF(E22:AI22,"тр")</f>
        <v>0</v>
      </c>
      <c r="AM22" s="55">
        <f>COUNTIF(E22:AI22,"бв")</f>
        <v>1</v>
      </c>
    </row>
    <row r="23" spans="1:39" x14ac:dyDescent="0.25">
      <c r="A23" s="11">
        <f t="shared" si="0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 t="s">
        <v>57</v>
      </c>
      <c r="O23" s="5">
        <v>1</v>
      </c>
      <c r="P23" s="5">
        <v>1</v>
      </c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78"/>
      <c r="AI23" s="78"/>
      <c r="AJ23" s="153">
        <f>COUNTA(E23:AI23)</f>
        <v>12</v>
      </c>
      <c r="AK23" s="54">
        <f>COUNTIF(E23:AI23,1)</f>
        <v>11</v>
      </c>
      <c r="AL23" s="54">
        <f>COUNTIF(E23:AI23,"тр")</f>
        <v>0</v>
      </c>
      <c r="AM23" s="55">
        <f>COUNTIF(E23:AI23,"бв")</f>
        <v>1</v>
      </c>
    </row>
    <row r="24" spans="1:39" ht="16.3" thickBot="1" x14ac:dyDescent="0.3">
      <c r="A24" s="107">
        <f t="shared" si="0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/>
      <c r="P24" s="5">
        <v>1</v>
      </c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156">
        <f>COUNTA(E24:AI24)</f>
        <v>11</v>
      </c>
      <c r="AK24" s="56">
        <f>COUNTIF(E24:AI24,1)</f>
        <v>11</v>
      </c>
      <c r="AL24" s="56">
        <f>COUNTIF(E24:AI24,"тр")</f>
        <v>0</v>
      </c>
      <c r="AM24" s="57">
        <f>COUNTIF(E24:AI24,"бв")</f>
        <v>0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237</v>
      </c>
      <c r="AK25" s="69">
        <f>SUM(AK4:AK24)</f>
        <v>171</v>
      </c>
      <c r="AL25" s="69">
        <f>SUM(AL4:AL24)</f>
        <v>52</v>
      </c>
      <c r="AM25" s="75">
        <f>SUM(AM4:AM24)</f>
        <v>14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 t="s">
        <v>57</v>
      </c>
      <c r="H26" s="35" t="s">
        <v>57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/>
      <c r="P26" s="35">
        <v>1</v>
      </c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152">
        <f>COUNTA(E26:AI26)</f>
        <v>11</v>
      </c>
      <c r="AK26" s="80">
        <f>COUNTIF(E26:AI26,1)</f>
        <v>9</v>
      </c>
      <c r="AL26" s="80">
        <f>COUNTIF(E26:AI26,"тр")</f>
        <v>0</v>
      </c>
      <c r="AM26" s="81">
        <f>COUNTIF(E26:AI26,"бв")</f>
        <v>2</v>
      </c>
    </row>
    <row r="27" spans="1:39" x14ac:dyDescent="0.25">
      <c r="A27" s="11">
        <f t="shared" si="0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153">
        <f>COUNTA(E27:AI27)</f>
        <v>10</v>
      </c>
      <c r="AK27" s="54">
        <f>COUNTIF(E27:AI27,1)</f>
        <v>0</v>
      </c>
      <c r="AL27" s="54">
        <f>COUNTIF(E27:AI27,"тр")</f>
        <v>10</v>
      </c>
      <c r="AM27" s="55">
        <f>COUNTIF(E27:AI27,"бв")</f>
        <v>0</v>
      </c>
    </row>
    <row r="28" spans="1:39" x14ac:dyDescent="0.25">
      <c r="A28" s="11">
        <f t="shared" si="0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153">
        <f>COUNTA(E28:AI28)</f>
        <v>10</v>
      </c>
      <c r="AK28" s="54">
        <f>COUNTIF(E28:AI28,1)</f>
        <v>0</v>
      </c>
      <c r="AL28" s="54">
        <f>COUNTIF(E28:AI28,"тр")</f>
        <v>10</v>
      </c>
      <c r="AM28" s="55">
        <f>COUNTIF(E28:AI28,"бв")</f>
        <v>0</v>
      </c>
    </row>
    <row r="29" spans="1:39" x14ac:dyDescent="0.25">
      <c r="A29" s="11">
        <f t="shared" si="0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153">
        <f>COUNTA(E29:AI29)</f>
        <v>10</v>
      </c>
      <c r="AK29" s="54">
        <f>COUNTIF(E29:AI29,1)</f>
        <v>0</v>
      </c>
      <c r="AL29" s="54">
        <f>COUNTIF(E29:AI29,"тр")</f>
        <v>10</v>
      </c>
      <c r="AM29" s="55">
        <f>COUNTIF(E29:AI29,"бв")</f>
        <v>0</v>
      </c>
    </row>
    <row r="30" spans="1:39" x14ac:dyDescent="0.25">
      <c r="A30" s="11">
        <f t="shared" si="0"/>
        <v>26</v>
      </c>
      <c r="B30" s="14" t="s">
        <v>19</v>
      </c>
      <c r="C30" s="15">
        <v>162</v>
      </c>
      <c r="D30" s="22" t="s">
        <v>51</v>
      </c>
      <c r="E30" s="7" t="s">
        <v>58</v>
      </c>
      <c r="F30" s="7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153">
        <f>COUNTA(E30:AI30)</f>
        <v>10</v>
      </c>
      <c r="AK30" s="54">
        <f>COUNTIF(E30:AI30,1)</f>
        <v>0</v>
      </c>
      <c r="AL30" s="54">
        <f>COUNTIF(E30:AI30,"тр")</f>
        <v>10</v>
      </c>
      <c r="AM30" s="55">
        <f>COUNTIF(E30:AI30,"бв")</f>
        <v>0</v>
      </c>
    </row>
    <row r="31" spans="1:39" x14ac:dyDescent="0.25">
      <c r="A31" s="11">
        <f t="shared" si="0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>
        <v>1</v>
      </c>
      <c r="H31" s="5">
        <v>1</v>
      </c>
      <c r="I31" s="5" t="s">
        <v>57</v>
      </c>
      <c r="J31" s="5">
        <v>1</v>
      </c>
      <c r="K31" s="5">
        <v>1</v>
      </c>
      <c r="L31" s="5">
        <v>1</v>
      </c>
      <c r="M31" s="5">
        <v>1</v>
      </c>
      <c r="N31" s="5" t="s">
        <v>58</v>
      </c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153">
        <f>COUNTA(E31:AI31)</f>
        <v>10</v>
      </c>
      <c r="AK31" s="54">
        <f>COUNTIF(E31:AI31,1)</f>
        <v>6</v>
      </c>
      <c r="AL31" s="54">
        <f>COUNTIF(E31:AI31,"тр")</f>
        <v>1</v>
      </c>
      <c r="AM31" s="55">
        <f>COUNTIF(E31:AI31,"бв")</f>
        <v>3</v>
      </c>
    </row>
    <row r="32" spans="1:39" ht="16.3" thickBot="1" x14ac:dyDescent="0.3">
      <c r="A32" s="44">
        <f t="shared" si="0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154">
        <f>COUNTA(E32:AI32)</f>
        <v>12</v>
      </c>
      <c r="AK32" s="84">
        <f>COUNTIF(E32:AI32,1)</f>
        <v>11</v>
      </c>
      <c r="AL32" s="84">
        <f>COUNTIF(E32:AI32,"тр")</f>
        <v>0</v>
      </c>
      <c r="AM32" s="85">
        <f>COUNTIF(E32:AI32,"бв")</f>
        <v>1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73</v>
      </c>
      <c r="AK33" s="135">
        <f>SUM(AK26:AK32)</f>
        <v>26</v>
      </c>
      <c r="AL33" s="135">
        <f>SUM(AL26:AL32)</f>
        <v>41</v>
      </c>
      <c r="AM33" s="136">
        <f>SUM(AM26:AM32)</f>
        <v>6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155">
        <f>COUNTA(E34:AI34)</f>
        <v>10</v>
      </c>
      <c r="AK34" s="17">
        <f>COUNTIF(E34:AI34,1)</f>
        <v>0</v>
      </c>
      <c r="AL34" s="17">
        <f>COUNTIF(E34:AI34,"тр")</f>
        <v>0</v>
      </c>
      <c r="AM34" s="18">
        <f>COUNTIF(E34:AI34,"бв")</f>
        <v>10</v>
      </c>
    </row>
    <row r="35" spans="1:39" x14ac:dyDescent="0.25">
      <c r="A35" s="11">
        <f t="shared" si="0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155">
        <f>COUNTA(E35:AI35)</f>
        <v>10</v>
      </c>
      <c r="AK35" s="54">
        <f>COUNTIF(E35:AI35,1)</f>
        <v>0</v>
      </c>
      <c r="AL35" s="54">
        <f>COUNTIF(E35:AI35,"тр")</f>
        <v>0</v>
      </c>
      <c r="AM35" s="55">
        <f>COUNTIF(E35:AI35,"бв")</f>
        <v>10</v>
      </c>
    </row>
    <row r="36" spans="1:39" ht="16.3" thickBot="1" x14ac:dyDescent="0.3">
      <c r="A36" s="44">
        <f t="shared" si="0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155">
        <f>COUNTA(E36:AI36)</f>
        <v>10</v>
      </c>
      <c r="AK36" s="56">
        <f>COUNTIF(E36:AI36,1)</f>
        <v>0</v>
      </c>
      <c r="AL36" s="56">
        <f>COUNTIF(E36:AI36,"тр")</f>
        <v>10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30</v>
      </c>
      <c r="AK37" s="69">
        <f>SUM(AK34:AK36)</f>
        <v>0</v>
      </c>
      <c r="AL37" s="69">
        <f>SUM(AL34:AL36)</f>
        <v>10</v>
      </c>
      <c r="AM37" s="75">
        <f>SUM(AM34:AM36)</f>
        <v>20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155">
        <f>COUNTA(E38:AI38)</f>
        <v>10</v>
      </c>
      <c r="AK38" s="19">
        <f>COUNTIF(E38:AI38,1)</f>
        <v>0</v>
      </c>
      <c r="AL38" s="19">
        <f>COUNTIF(E38:AI38,"тр")</f>
        <v>10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10</v>
      </c>
      <c r="AK39" s="69">
        <f>SUM(AK38)</f>
        <v>0</v>
      </c>
      <c r="AL39" s="69">
        <f>SUM(AL38)</f>
        <v>10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155">
        <f>COUNTA(E40:AI40)</f>
        <v>10</v>
      </c>
      <c r="AK40" s="17">
        <f>COUNTIF(E40:AI40,1)</f>
        <v>0</v>
      </c>
      <c r="AL40" s="17">
        <f>COUNTIF(E40:AI40,"тр")</f>
        <v>10</v>
      </c>
      <c r="AM40" s="18">
        <f>COUNTIF(E40:AI40,"бв")</f>
        <v>0</v>
      </c>
    </row>
    <row r="41" spans="1:39" x14ac:dyDescent="0.25">
      <c r="A41" s="11">
        <f t="shared" si="0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 t="s">
        <v>57</v>
      </c>
      <c r="I41" s="5">
        <v>1</v>
      </c>
      <c r="J41" s="5" t="s">
        <v>57</v>
      </c>
      <c r="K41" s="5">
        <v>1</v>
      </c>
      <c r="L41" s="5">
        <v>1</v>
      </c>
      <c r="M41" s="5">
        <v>1</v>
      </c>
      <c r="N41" s="5" t="s">
        <v>58</v>
      </c>
      <c r="O41" s="5"/>
      <c r="P41" s="5">
        <v>1</v>
      </c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155">
        <f>COUNTA(E41:AI41)</f>
        <v>11</v>
      </c>
      <c r="AK41" s="54">
        <f>COUNTIF(E41:AI41,1)</f>
        <v>8</v>
      </c>
      <c r="AL41" s="54">
        <f>COUNTIF(E41:AI41,"тр")</f>
        <v>1</v>
      </c>
      <c r="AM41" s="55">
        <f>COUNTIF(E41:AI41,"бв")</f>
        <v>2</v>
      </c>
    </row>
    <row r="42" spans="1:39" ht="16.3" thickBot="1" x14ac:dyDescent="0.3">
      <c r="A42" s="44">
        <f t="shared" si="0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 t="s">
        <v>57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 t="s">
        <v>57</v>
      </c>
      <c r="M42" s="42">
        <v>1</v>
      </c>
      <c r="N42" s="42">
        <v>1</v>
      </c>
      <c r="O42" s="42">
        <v>1</v>
      </c>
      <c r="P42" s="42">
        <v>1</v>
      </c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155">
        <f>COUNTA(E42:AI42)</f>
        <v>12</v>
      </c>
      <c r="AK42" s="56">
        <f>COUNTIF(E42:AI42,1)</f>
        <v>9</v>
      </c>
      <c r="AL42" s="56">
        <f>COUNTIF(E42:AI42,"тр")</f>
        <v>0</v>
      </c>
      <c r="AM42" s="57">
        <f>COUNTIF(E42:AI42,"бв")</f>
        <v>3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33</v>
      </c>
      <c r="AK43" s="69">
        <f>SUM(AK40:AK42)</f>
        <v>17</v>
      </c>
      <c r="AL43" s="69">
        <f>SUM(AL40:AL42)</f>
        <v>11</v>
      </c>
      <c r="AM43" s="75">
        <f>SUM(AM40:AM42)</f>
        <v>5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 t="s">
        <v>57</v>
      </c>
      <c r="I44" s="35">
        <v>1</v>
      </c>
      <c r="J44" s="35" t="s">
        <v>58</v>
      </c>
      <c r="K44" s="35">
        <v>1</v>
      </c>
      <c r="L44" s="35" t="s">
        <v>58</v>
      </c>
      <c r="M44" s="35">
        <v>1</v>
      </c>
      <c r="N44" s="35">
        <v>1</v>
      </c>
      <c r="O44" s="35">
        <v>1</v>
      </c>
      <c r="P44" s="35">
        <v>1</v>
      </c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155">
        <f>COUNTA(E44:AI44)</f>
        <v>12</v>
      </c>
      <c r="AK44" s="17">
        <f>COUNTIF(E44:AI44,1)</f>
        <v>8</v>
      </c>
      <c r="AL44" s="17">
        <f>COUNTIF(E44:AI44,"тр")</f>
        <v>2</v>
      </c>
      <c r="AM44" s="18">
        <f>COUNTIF(E44:AI44,"бв")</f>
        <v>2</v>
      </c>
    </row>
    <row r="45" spans="1:39" x14ac:dyDescent="0.25">
      <c r="A45" s="11">
        <f t="shared" si="0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 t="s">
        <v>58</v>
      </c>
      <c r="M45" s="5">
        <v>1</v>
      </c>
      <c r="N45" s="5">
        <v>1</v>
      </c>
      <c r="O45" s="5">
        <v>1</v>
      </c>
      <c r="P45" s="5">
        <v>1</v>
      </c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>COUNTA(E45:AI45)</f>
        <v>12</v>
      </c>
      <c r="AK45" s="54">
        <f>COUNTIF(E45:AI45,1)</f>
        <v>11</v>
      </c>
      <c r="AL45" s="54">
        <f>COUNTIF(E45:AI45,"тр")</f>
        <v>1</v>
      </c>
      <c r="AM45" s="55">
        <f>COUNTIF(E45:AI45,"бв")</f>
        <v>0</v>
      </c>
    </row>
    <row r="46" spans="1:39" x14ac:dyDescent="0.25">
      <c r="A46" s="11">
        <f t="shared" si="0"/>
        <v>38</v>
      </c>
      <c r="B46" s="12" t="s">
        <v>54</v>
      </c>
      <c r="C46" s="13" t="s">
        <v>38</v>
      </c>
      <c r="D46" s="22">
        <v>6129</v>
      </c>
      <c r="E46" s="7" t="s">
        <v>57</v>
      </c>
      <c r="F46" s="5">
        <v>1</v>
      </c>
      <c r="G46" s="5" t="s">
        <v>57</v>
      </c>
      <c r="H46" s="5">
        <v>1</v>
      </c>
      <c r="I46" s="5" t="s">
        <v>57</v>
      </c>
      <c r="J46" s="5" t="s">
        <v>57</v>
      </c>
      <c r="K46" s="5" t="s">
        <v>57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>COUNTA(E46:AI46)</f>
        <v>12</v>
      </c>
      <c r="AK46" s="54">
        <f>COUNTIF(E46:AI46,1)</f>
        <v>7</v>
      </c>
      <c r="AL46" s="54">
        <f>COUNTIF(E46:AI46,"тр")</f>
        <v>0</v>
      </c>
      <c r="AM46" s="55">
        <f>COUNTIF(E46:AI46,"бв")</f>
        <v>5</v>
      </c>
    </row>
    <row r="47" spans="1:39" x14ac:dyDescent="0.25">
      <c r="A47" s="11">
        <f t="shared" si="0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58</v>
      </c>
      <c r="N47" s="5">
        <v>1</v>
      </c>
      <c r="O47" s="5"/>
      <c r="P47" s="5">
        <v>1</v>
      </c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155">
        <f>COUNTA(E47:AI47)</f>
        <v>11</v>
      </c>
      <c r="AK47" s="54">
        <f>COUNTIF(E47:AI47,1)</f>
        <v>8</v>
      </c>
      <c r="AL47" s="54">
        <f>COUNTIF(E47:AI47,"тр")</f>
        <v>1</v>
      </c>
      <c r="AM47" s="55">
        <f>COUNTIF(E47:AI47,"бв")</f>
        <v>2</v>
      </c>
    </row>
    <row r="48" spans="1:39" x14ac:dyDescent="0.25">
      <c r="A48" s="11">
        <f t="shared" si="0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 t="s">
        <v>57</v>
      </c>
      <c r="H48" s="5" t="s">
        <v>57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5">
        <f>COUNTA(E48:AI48)</f>
        <v>12</v>
      </c>
      <c r="AK48" s="54">
        <f>COUNTIF(E48:AI48,1)</f>
        <v>10</v>
      </c>
      <c r="AL48" s="54">
        <f>COUNTIF(E48:AI48,"тр")</f>
        <v>0</v>
      </c>
      <c r="AM48" s="55">
        <f>COUNTIF(E48:AI48,"бв")</f>
        <v>2</v>
      </c>
    </row>
    <row r="49" spans="1:39" x14ac:dyDescent="0.25">
      <c r="A49" s="11">
        <f t="shared" si="0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 t="s">
        <v>57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155">
        <f>COUNTA(E49:AI49)</f>
        <v>12</v>
      </c>
      <c r="AK49" s="54">
        <f>COUNTIF(E49:AI49,1)</f>
        <v>11</v>
      </c>
      <c r="AL49" s="54">
        <f>COUNTIF(E49:AI49,"тр")</f>
        <v>0</v>
      </c>
      <c r="AM49" s="55">
        <f>COUNTIF(E49:AI49,"бв")</f>
        <v>1</v>
      </c>
    </row>
    <row r="50" spans="1:39" ht="16.3" thickBot="1" x14ac:dyDescent="0.3">
      <c r="A50" s="44">
        <f t="shared" si="0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>
        <v>1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155">
        <f>COUNTA(E50:AI50)</f>
        <v>12</v>
      </c>
      <c r="AK50" s="56">
        <f>COUNTIF(E50:AI50,1)</f>
        <v>12</v>
      </c>
      <c r="AL50" s="56">
        <f>COUNTIF(E50:AI50,"тр")</f>
        <v>0</v>
      </c>
      <c r="AM50" s="57">
        <f>COUNTIF(E50:AI50,"бв")</f>
        <v>0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83</v>
      </c>
      <c r="AK51" s="69">
        <f>SUM(AK44:AK50)</f>
        <v>67</v>
      </c>
      <c r="AL51" s="69">
        <f>SUM(AL44:AL50)</f>
        <v>4</v>
      </c>
      <c r="AM51" s="75">
        <f>SUM(AM44:AM50)</f>
        <v>12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 t="s">
        <v>57</v>
      </c>
      <c r="G52" s="42">
        <v>1</v>
      </c>
      <c r="H52" s="42">
        <v>1</v>
      </c>
      <c r="I52" s="42">
        <v>1</v>
      </c>
      <c r="J52" s="42" t="s">
        <v>57</v>
      </c>
      <c r="K52" s="42">
        <v>1</v>
      </c>
      <c r="L52" s="42">
        <v>1</v>
      </c>
      <c r="M52" s="42">
        <v>1</v>
      </c>
      <c r="N52" s="42" t="s">
        <v>57</v>
      </c>
      <c r="O52" s="42">
        <v>1</v>
      </c>
      <c r="P52" s="42">
        <v>1</v>
      </c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155">
        <f>COUNTA(E52:AI52)</f>
        <v>12</v>
      </c>
      <c r="AK52" s="56">
        <f>COUNTIF(E52:AI52,1)</f>
        <v>8</v>
      </c>
      <c r="AL52" s="56">
        <f>COUNTIF(E52:AI52,"тр")</f>
        <v>0</v>
      </c>
      <c r="AM52" s="57">
        <f>COUNTIF(E52:AI52,"бв")</f>
        <v>4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12</v>
      </c>
      <c r="AK53" s="69">
        <f>SUM(AK52:AK52)</f>
        <v>8</v>
      </c>
      <c r="AL53" s="69">
        <f>SUM(AL52:AL52)</f>
        <v>0</v>
      </c>
      <c r="AM53" s="75">
        <f>SUM(AM52:AM52)</f>
        <v>4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/>
      <c r="R54" s="92"/>
      <c r="S54" s="5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152">
        <f>COUNTA(E54:AI54)</f>
        <v>12</v>
      </c>
      <c r="AK54" s="80">
        <f>COUNTIF(E54:AI54,1)</f>
        <v>11</v>
      </c>
      <c r="AL54" s="80">
        <f>COUNTIF(E54:AI54,"тр")</f>
        <v>0</v>
      </c>
      <c r="AM54" s="81">
        <f>COUNTIF(E54:AI54,"бв")</f>
        <v>1</v>
      </c>
    </row>
    <row r="55" spans="1:39" x14ac:dyDescent="0.25">
      <c r="A55" s="58">
        <f t="shared" si="0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55">
        <f>COUNTA(E55:AI55)</f>
        <v>10</v>
      </c>
      <c r="AK55" s="56">
        <f>COUNTIF(E55:AI55,1)</f>
        <v>9</v>
      </c>
      <c r="AL55" s="56">
        <f>COUNTIF(E55:AI55,"тр")</f>
        <v>0</v>
      </c>
      <c r="AM55" s="57">
        <f>COUNTIF(E55:AI55,"бв")</f>
        <v>1</v>
      </c>
    </row>
    <row r="56" spans="1:39" ht="16.3" thickBot="1" x14ac:dyDescent="0.3">
      <c r="A56" s="107">
        <f t="shared" si="0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 t="s">
        <v>57</v>
      </c>
      <c r="K56" s="97">
        <v>1</v>
      </c>
      <c r="L56" s="97">
        <v>1</v>
      </c>
      <c r="M56" s="97">
        <v>1</v>
      </c>
      <c r="N56" s="97">
        <v>1</v>
      </c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157">
        <f>COUNTA(E56:AI56)</f>
        <v>10</v>
      </c>
      <c r="AK56" s="84">
        <f>COUNTIF(E56:AI56,1)</f>
        <v>9</v>
      </c>
      <c r="AL56" s="84">
        <f>COUNTIF(E56:AI56,"тр")</f>
        <v>0</v>
      </c>
      <c r="AM56" s="85">
        <f>COUNTIF(E56:AI56,"бв")</f>
        <v>1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32</v>
      </c>
      <c r="AK57" s="69">
        <f>SUM(AK54:AK56)</f>
        <v>29</v>
      </c>
      <c r="AL57" s="69">
        <f>SUM(AL54:AL56)</f>
        <v>0</v>
      </c>
      <c r="AM57" s="75">
        <f>SUM(AM54:AM56)</f>
        <v>3</v>
      </c>
    </row>
    <row r="58" spans="1:39" s="33" customFormat="1" x14ac:dyDescent="0.25">
      <c r="A58" s="169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510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155">
        <f>COUNTA(E62:AI62)</f>
        <v>12</v>
      </c>
      <c r="AK62" s="17">
        <f>COUNTIF(E62:AI62,1)</f>
        <v>12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153">
        <f>COUNTA(E63:AI63)</f>
        <v>12</v>
      </c>
      <c r="AK63" s="54">
        <f>COUNTIF(E63:AI63,1)</f>
        <v>12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>
        <v>1</v>
      </c>
      <c r="H64" s="5" t="s">
        <v>57</v>
      </c>
      <c r="I64" s="5">
        <v>1</v>
      </c>
      <c r="J64" s="5">
        <v>1</v>
      </c>
      <c r="K64" s="5">
        <v>1</v>
      </c>
      <c r="L64" s="5">
        <v>1</v>
      </c>
      <c r="M64" s="5">
        <v>1</v>
      </c>
      <c r="N64" s="5">
        <v>1</v>
      </c>
      <c r="O64" s="5"/>
      <c r="P64" s="5">
        <v>1</v>
      </c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153">
        <f>COUNTA(E64:AI64)</f>
        <v>11</v>
      </c>
      <c r="AK64" s="54">
        <f>COUNTIF(E64:AI64,1)</f>
        <v>10</v>
      </c>
      <c r="AL64" s="54">
        <f>COUNTIF(E64:AI64,"тр")</f>
        <v>0</v>
      </c>
      <c r="AM64" s="55">
        <f>COUNTIF(E64:AI64,"бв")</f>
        <v>1</v>
      </c>
    </row>
    <row r="65" spans="1:39" x14ac:dyDescent="0.25">
      <c r="A65" s="11">
        <f t="shared" si="1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153">
        <f>COUNTA(E65:AI65)</f>
        <v>10</v>
      </c>
      <c r="AK65" s="54">
        <f>COUNTIF(E65:AI65,1)</f>
        <v>0</v>
      </c>
      <c r="AL65" s="54">
        <f>COUNTIF(E65:AI65,"тр")</f>
        <v>10</v>
      </c>
      <c r="AM65" s="55">
        <f>COUNTIF(E65:AI65,"бв")</f>
        <v>0</v>
      </c>
    </row>
    <row r="66" spans="1:39" ht="16.3" thickBot="1" x14ac:dyDescent="0.3">
      <c r="A66" s="44">
        <f t="shared" si="1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156">
        <f>COUNTA(E66:AI66)</f>
        <v>10</v>
      </c>
      <c r="AK66" s="56">
        <f>COUNTIF(E66:AI66,1)</f>
        <v>0</v>
      </c>
      <c r="AL66" s="56">
        <f>COUNTIF(E66:AI66,"тр")</f>
        <v>10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55</v>
      </c>
      <c r="AK67" s="69">
        <f t="shared" ref="AK67:AM67" si="2">SUM(AK62:AK66)</f>
        <v>34</v>
      </c>
      <c r="AL67" s="69">
        <f t="shared" si="2"/>
        <v>20</v>
      </c>
      <c r="AM67" s="75">
        <f t="shared" si="2"/>
        <v>1</v>
      </c>
    </row>
    <row r="68" spans="1:39" s="33" customFormat="1" x14ac:dyDescent="0.25">
      <c r="A68" s="169"/>
      <c r="B68" s="49"/>
      <c r="C68" s="50"/>
      <c r="D68" s="50"/>
      <c r="Y68" s="51" t="s">
        <v>68</v>
      </c>
      <c r="AJ68" s="76">
        <f>AJ67</f>
        <v>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0" priority="2">
      <formula>LEN(TRIM(E4))=0</formula>
    </cfRule>
  </conditionalFormatting>
  <conditionalFormatting sqref="E24:AI24">
    <cfRule type="containsBlanks" dxfId="1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8</vt:i4>
      </vt:variant>
    </vt:vector>
  </HeadingPairs>
  <TitlesOfParts>
    <vt:vector size="17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Данные</vt:lpstr>
      <vt:lpstr>АХД</vt:lpstr>
      <vt:lpstr>'Август 2019'!Заголовки_для_печати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2019-07-01T08:59:36Z</cp:lastPrinted>
  <dcterms:created xsi:type="dcterms:W3CDTF">2018-09-27T18:15:43Z</dcterms:created>
  <dcterms:modified xsi:type="dcterms:W3CDTF">2019-08-12T12:14:40Z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