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2019'!$E$2:$AJ$61</definedName>
    <definedName name="_xlnm._FilterDatabase" localSheetId="0" hidden="1">'Январь 2019'!$E$2:$AM$61</definedName>
    <definedName name="АХД" localSheetId="1">'Февраль 2019'!$C$2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6" i="7" l="1"/>
  <c r="AI26" i="7"/>
  <c r="AJ26" i="7"/>
  <c r="AK26" i="6"/>
  <c r="AL26" i="6"/>
  <c r="AM26" i="6"/>
  <c r="A67" i="6" l="1"/>
  <c r="A66" i="6"/>
  <c r="A56" i="6"/>
  <c r="AJ67" i="7" l="1"/>
  <c r="AI67" i="7"/>
  <c r="AH67" i="7"/>
  <c r="AG67" i="7"/>
  <c r="AJ66" i="7"/>
  <c r="AI66" i="7"/>
  <c r="AH66" i="7"/>
  <c r="AG66" i="7"/>
  <c r="AJ65" i="7"/>
  <c r="AJ68" i="7" s="1"/>
  <c r="AI65" i="7"/>
  <c r="AI68" i="7" s="1"/>
  <c r="AH65" i="7"/>
  <c r="AH68" i="7" s="1"/>
  <c r="AG65" i="7"/>
  <c r="AG68" i="7" s="1"/>
  <c r="AG69" i="7" s="1"/>
  <c r="A63" i="7"/>
  <c r="AJ59" i="7"/>
  <c r="AI59" i="7"/>
  <c r="AH59" i="7"/>
  <c r="AG59" i="7"/>
  <c r="AJ58" i="7"/>
  <c r="AI58" i="7"/>
  <c r="AI60" i="7" s="1"/>
  <c r="AH58" i="7"/>
  <c r="AG58" i="7"/>
  <c r="AG60" i="7" s="1"/>
  <c r="AJ56" i="7"/>
  <c r="AJ57" i="7" s="1"/>
  <c r="AI56" i="7"/>
  <c r="AI57" i="7" s="1"/>
  <c r="AH56" i="7"/>
  <c r="AH57" i="7" s="1"/>
  <c r="AG56" i="7"/>
  <c r="AG57" i="7" s="1"/>
  <c r="AJ54" i="7"/>
  <c r="AI54" i="7"/>
  <c r="AH54" i="7"/>
  <c r="AG54" i="7"/>
  <c r="AJ53" i="7"/>
  <c r="AI53" i="7"/>
  <c r="AH53" i="7"/>
  <c r="AG53" i="7"/>
  <c r="AJ52" i="7"/>
  <c r="AI52" i="7"/>
  <c r="AH52" i="7"/>
  <c r="AG52" i="7"/>
  <c r="AJ51" i="7"/>
  <c r="AI51" i="7"/>
  <c r="AH51" i="7"/>
  <c r="AG51" i="7"/>
  <c r="AJ50" i="7"/>
  <c r="AI50" i="7"/>
  <c r="AH50" i="7"/>
  <c r="AG50" i="7"/>
  <c r="AJ49" i="7"/>
  <c r="AI49" i="7"/>
  <c r="AH49" i="7"/>
  <c r="AG49" i="7"/>
  <c r="AJ48" i="7"/>
  <c r="AJ55" i="7" s="1"/>
  <c r="AI48" i="7"/>
  <c r="AH48" i="7"/>
  <c r="AH55" i="7" s="1"/>
  <c r="AG48" i="7"/>
  <c r="AG55" i="7" s="1"/>
  <c r="AJ46" i="7"/>
  <c r="AI46" i="7"/>
  <c r="AH46" i="7"/>
  <c r="AG46" i="7"/>
  <c r="AJ45" i="7"/>
  <c r="AI45" i="7"/>
  <c r="AH45" i="7"/>
  <c r="AG45" i="7"/>
  <c r="AJ44" i="7"/>
  <c r="AJ47" i="7" s="1"/>
  <c r="AI44" i="7"/>
  <c r="AI47" i="7" s="1"/>
  <c r="AH44" i="7"/>
  <c r="AG44" i="7"/>
  <c r="AG47" i="7" s="1"/>
  <c r="AJ42" i="7"/>
  <c r="AJ43" i="7" s="1"/>
  <c r="AI42" i="7"/>
  <c r="AI43" i="7" s="1"/>
  <c r="AH42" i="7"/>
  <c r="AH43" i="7" s="1"/>
  <c r="AG42" i="7"/>
  <c r="AG43" i="7" s="1"/>
  <c r="AJ40" i="7"/>
  <c r="AI40" i="7"/>
  <c r="AH40" i="7"/>
  <c r="AG40" i="7"/>
  <c r="AJ39" i="7"/>
  <c r="AI39" i="7"/>
  <c r="AI41" i="7" s="1"/>
  <c r="AH39" i="7"/>
  <c r="AG39" i="7"/>
  <c r="AG41" i="7" s="1"/>
  <c r="AJ37" i="7"/>
  <c r="AI37" i="7"/>
  <c r="AH37" i="7"/>
  <c r="AG37" i="7"/>
  <c r="AJ36" i="7"/>
  <c r="AI36" i="7"/>
  <c r="AH36" i="7"/>
  <c r="AG36" i="7"/>
  <c r="AJ35" i="7"/>
  <c r="AJ38" i="7" s="1"/>
  <c r="AI35" i="7"/>
  <c r="AH35" i="7"/>
  <c r="AH38" i="7" s="1"/>
  <c r="AG35" i="7"/>
  <c r="AG38" i="7" s="1"/>
  <c r="AJ33" i="7"/>
  <c r="AI33" i="7"/>
  <c r="AH33" i="7"/>
  <c r="AG33" i="7"/>
  <c r="AJ32" i="7"/>
  <c r="AI32" i="7"/>
  <c r="AH32" i="7"/>
  <c r="AG32" i="7"/>
  <c r="AJ31" i="7"/>
  <c r="AI31" i="7"/>
  <c r="AH31" i="7"/>
  <c r="AG31" i="7"/>
  <c r="AJ30" i="7"/>
  <c r="AI30" i="7"/>
  <c r="AH30" i="7"/>
  <c r="AG30" i="7"/>
  <c r="AJ29" i="7"/>
  <c r="AI29" i="7"/>
  <c r="AH29" i="7"/>
  <c r="AG29" i="7"/>
  <c r="AJ28" i="7"/>
  <c r="AI28" i="7"/>
  <c r="AH28" i="7"/>
  <c r="AG28" i="7"/>
  <c r="AJ27" i="7"/>
  <c r="AJ34" i="7" s="1"/>
  <c r="AI27" i="7"/>
  <c r="AH27" i="7"/>
  <c r="AH34" i="7" s="1"/>
  <c r="AG27" i="7"/>
  <c r="AG34" i="7" s="1"/>
  <c r="AJ25" i="7"/>
  <c r="AI25" i="7"/>
  <c r="AH25" i="7"/>
  <c r="AG25" i="7"/>
  <c r="AJ24" i="7"/>
  <c r="AI24" i="7"/>
  <c r="AH24" i="7"/>
  <c r="AG24" i="7"/>
  <c r="AJ23" i="7"/>
  <c r="AI23" i="7"/>
  <c r="AH23" i="7"/>
  <c r="AG23" i="7"/>
  <c r="AJ22" i="7"/>
  <c r="AI22" i="7"/>
  <c r="AH22" i="7"/>
  <c r="AG22" i="7"/>
  <c r="AJ21" i="7"/>
  <c r="AI21" i="7"/>
  <c r="AH21" i="7"/>
  <c r="AG21" i="7"/>
  <c r="AJ20" i="7"/>
  <c r="AI20" i="7"/>
  <c r="AH20" i="7"/>
  <c r="AG20" i="7"/>
  <c r="AJ19" i="7"/>
  <c r="AI19" i="7"/>
  <c r="AH19" i="7"/>
  <c r="AG19" i="7"/>
  <c r="AJ18" i="7"/>
  <c r="AI18" i="7"/>
  <c r="AH18" i="7"/>
  <c r="AG18" i="7"/>
  <c r="AJ17" i="7"/>
  <c r="AI17" i="7"/>
  <c r="AH17" i="7"/>
  <c r="AG17" i="7"/>
  <c r="AJ16" i="7"/>
  <c r="AI16" i="7"/>
  <c r="AH16" i="7"/>
  <c r="AG16" i="7"/>
  <c r="AJ15" i="7"/>
  <c r="AI15" i="7"/>
  <c r="AH15" i="7"/>
  <c r="AG15" i="7"/>
  <c r="AJ14" i="7"/>
  <c r="AI14" i="7"/>
  <c r="AH14" i="7"/>
  <c r="AG14" i="7"/>
  <c r="AJ13" i="7"/>
  <c r="AI13" i="7"/>
  <c r="AH13" i="7"/>
  <c r="AG13" i="7"/>
  <c r="AJ12" i="7"/>
  <c r="AI12" i="7"/>
  <c r="AH12" i="7"/>
  <c r="AG12" i="7"/>
  <c r="AJ11" i="7"/>
  <c r="AI11" i="7"/>
  <c r="AH11" i="7"/>
  <c r="AG11" i="7"/>
  <c r="AJ10" i="7"/>
  <c r="AI10" i="7"/>
  <c r="AH10" i="7"/>
  <c r="AG10" i="7"/>
  <c r="AJ9" i="7"/>
  <c r="AI9" i="7"/>
  <c r="AH9" i="7"/>
  <c r="AG9" i="7"/>
  <c r="AJ8" i="7"/>
  <c r="AI8" i="7"/>
  <c r="AH8" i="7"/>
  <c r="AG8" i="7"/>
  <c r="AJ7" i="7"/>
  <c r="AI7" i="7"/>
  <c r="AH7" i="7"/>
  <c r="AG7" i="7"/>
  <c r="AG26" i="7" s="1"/>
  <c r="AJ5" i="7"/>
  <c r="AI5" i="7"/>
  <c r="AH5" i="7"/>
  <c r="AG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7" i="7" s="1"/>
  <c r="A56" i="7" s="1"/>
  <c r="A58" i="7" s="1"/>
  <c r="A59" i="7" s="1"/>
  <c r="AJ4" i="7"/>
  <c r="AI4" i="7"/>
  <c r="AH4" i="7"/>
  <c r="AG4" i="7"/>
  <c r="A1" i="7"/>
  <c r="AH47" i="7" l="1"/>
  <c r="AH6" i="7"/>
  <c r="AJ6" i="7"/>
  <c r="AI6" i="7"/>
  <c r="AI38" i="7"/>
  <c r="AI55" i="7"/>
  <c r="AI34" i="7"/>
  <c r="AG6" i="7"/>
  <c r="AG61" i="7" s="1"/>
  <c r="AH41" i="7"/>
  <c r="AJ41" i="7"/>
  <c r="AH60" i="7"/>
  <c r="AJ6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<sst xmlns="http://schemas.openxmlformats.org/spreadsheetml/2006/main" count="1194" uniqueCount="77">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</sst>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13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2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8">
        <f>A5+1</f>
        <v>3</v>
      </c>
      <c r="B7" s="109" t="s">
        <v>53</v>
      </c>
      <c r="C7" s="110" t="s">
        <v>3</v>
      </c>
      <c r="D7" s="111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6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12">
        <f t="shared" si="4"/>
        <v>21</v>
      </c>
      <c r="B25" s="113" t="s">
        <v>53</v>
      </c>
      <c r="C25" s="114" t="s">
        <v>74</v>
      </c>
      <c r="D25" s="115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7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7">
        <f>A54+1</f>
        <v>45</v>
      </c>
      <c r="B56" s="118" t="s">
        <v>43</v>
      </c>
      <c r="C56" s="119" t="s">
        <v>45</v>
      </c>
      <c r="D56" s="120">
        <v>1252</v>
      </c>
      <c r="E56" s="121" t="s">
        <v>58</v>
      </c>
      <c r="F56" s="122" t="s">
        <v>58</v>
      </c>
      <c r="G56" s="122" t="s">
        <v>58</v>
      </c>
      <c r="H56" s="122" t="s">
        <v>58</v>
      </c>
      <c r="I56" s="122" t="s">
        <v>58</v>
      </c>
      <c r="J56" s="122" t="s">
        <v>58</v>
      </c>
      <c r="K56" s="122" t="s">
        <v>58</v>
      </c>
      <c r="L56" s="122" t="s">
        <v>58</v>
      </c>
      <c r="M56" s="122" t="s">
        <v>58</v>
      </c>
      <c r="N56" s="122" t="s">
        <v>58</v>
      </c>
      <c r="O56" s="122" t="s">
        <v>58</v>
      </c>
      <c r="P56" s="122" t="s">
        <v>57</v>
      </c>
      <c r="Q56" s="122">
        <v>1</v>
      </c>
      <c r="R56" s="122">
        <v>1</v>
      </c>
      <c r="S56" s="122">
        <v>1</v>
      </c>
      <c r="T56" s="122">
        <v>1</v>
      </c>
      <c r="U56" s="122" t="s">
        <v>58</v>
      </c>
      <c r="V56" s="122" t="s">
        <v>58</v>
      </c>
      <c r="W56" s="122">
        <v>1</v>
      </c>
      <c r="X56" s="122" t="s">
        <v>58</v>
      </c>
      <c r="Y56" s="122" t="s">
        <v>58</v>
      </c>
      <c r="Z56" s="122">
        <v>1</v>
      </c>
      <c r="AA56" s="122" t="s">
        <v>58</v>
      </c>
      <c r="AB56" s="122">
        <v>1</v>
      </c>
      <c r="AC56" s="122">
        <v>1</v>
      </c>
      <c r="AD56" s="122">
        <v>1</v>
      </c>
      <c r="AE56" s="122">
        <v>1</v>
      </c>
      <c r="AF56" s="122">
        <v>1</v>
      </c>
      <c r="AG56" s="122">
        <v>1</v>
      </c>
      <c r="AH56" s="122">
        <v>1</v>
      </c>
      <c r="AI56" s="122">
        <v>1</v>
      </c>
      <c r="AJ56" s="123">
        <f>АХД</f>
        <v>31</v>
      </c>
      <c r="AK56" s="124">
        <f>COUNTIF(E56:AI56,1)</f>
        <v>14</v>
      </c>
      <c r="AL56" s="124">
        <f>COUNTIF(E56:AI56,"тр")</f>
        <v>16</v>
      </c>
      <c r="AM56" s="125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2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8">
        <v>1</v>
      </c>
      <c r="B65" s="109" t="s">
        <v>54</v>
      </c>
      <c r="C65" s="116">
        <v>176</v>
      </c>
      <c r="D65" s="111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12">
        <f>A66+1</f>
        <v>3</v>
      </c>
      <c r="B67" s="113" t="s">
        <v>43</v>
      </c>
      <c r="C67" s="114" t="s">
        <v>44</v>
      </c>
      <c r="D67" s="115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1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AJ1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2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</row>
    <row r="2" spans="1:36" ht="16.3" thickBot="1" x14ac:dyDescent="0.3">
      <c r="A2" s="23"/>
      <c r="B2" s="23"/>
      <c r="C2" s="75">
        <v>28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АХД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АХД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78">
        <f>SUM(AG4:AG5)</f>
        <v>56</v>
      </c>
      <c r="AH6" s="71">
        <f>SUM(AH4:AH5)</f>
        <v>0</v>
      </c>
      <c r="AI6" s="71">
        <f>SUM(AI4:AI5)</f>
        <v>56</v>
      </c>
      <c r="AJ6" s="72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1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4" t="s">
        <v>58</v>
      </c>
      <c r="AG7" s="103">
        <f t="shared" ref="AG7:AG25" si="0">АХД</f>
        <v>28</v>
      </c>
      <c r="AH7" s="81">
        <f t="shared" ref="AH7:AH25" si="1">COUNTIF(E7:AF7,1)</f>
        <v>0</v>
      </c>
      <c r="AI7" s="81">
        <f t="shared" ref="AI7:AI25" si="2">COUNTIF(E7:AF7,"тр")</f>
        <v>28</v>
      </c>
      <c r="AJ7" s="82">
        <f t="shared" ref="AJ7:AJ25" si="3">COUNTIF(E7:AF7,"бв")</f>
        <v>0</v>
      </c>
    </row>
    <row r="8" spans="1:36" x14ac:dyDescent="0.25">
      <c r="A8" s="11">
        <f t="shared" ref="A8:A59" si="4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96"/>
      <c r="AG8" s="100">
        <f t="shared" si="0"/>
        <v>28</v>
      </c>
      <c r="AH8" s="54">
        <f t="shared" si="1"/>
        <v>3</v>
      </c>
      <c r="AI8" s="54">
        <f t="shared" si="2"/>
        <v>0</v>
      </c>
      <c r="AJ8" s="55">
        <f t="shared" si="3"/>
        <v>1</v>
      </c>
    </row>
    <row r="9" spans="1:36" x14ac:dyDescent="0.25">
      <c r="A9" s="11">
        <f t="shared" si="4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96" t="s">
        <v>58</v>
      </c>
      <c r="AG9" s="100">
        <f t="shared" si="0"/>
        <v>28</v>
      </c>
      <c r="AH9" s="54">
        <f t="shared" si="1"/>
        <v>0</v>
      </c>
      <c r="AI9" s="54">
        <f t="shared" si="2"/>
        <v>28</v>
      </c>
      <c r="AJ9" s="55">
        <f t="shared" si="3"/>
        <v>0</v>
      </c>
    </row>
    <row r="10" spans="1:36" x14ac:dyDescent="0.25">
      <c r="A10" s="11">
        <f t="shared" si="4"/>
        <v>6</v>
      </c>
      <c r="B10" s="12" t="s">
        <v>53</v>
      </c>
      <c r="C10" s="13" t="s">
        <v>6</v>
      </c>
      <c r="D10" s="102" t="s">
        <v>50</v>
      </c>
      <c r="E10" s="95">
        <v>1</v>
      </c>
      <c r="F10" s="7">
        <v>1</v>
      </c>
      <c r="G10" s="7">
        <v>1</v>
      </c>
      <c r="H10" s="5">
        <v>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96"/>
      <c r="AG10" s="100">
        <f t="shared" si="0"/>
        <v>28</v>
      </c>
      <c r="AH10" s="54">
        <f t="shared" si="1"/>
        <v>4</v>
      </c>
      <c r="AI10" s="54">
        <f t="shared" si="2"/>
        <v>0</v>
      </c>
      <c r="AJ10" s="55">
        <f t="shared" si="3"/>
        <v>0</v>
      </c>
    </row>
    <row r="11" spans="1:36" x14ac:dyDescent="0.25">
      <c r="A11" s="11">
        <f t="shared" si="4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96"/>
      <c r="AG11" s="100">
        <f t="shared" si="0"/>
        <v>28</v>
      </c>
      <c r="AH11" s="54">
        <f t="shared" si="1"/>
        <v>4</v>
      </c>
      <c r="AI11" s="54">
        <f t="shared" si="2"/>
        <v>0</v>
      </c>
      <c r="AJ11" s="55">
        <f t="shared" si="3"/>
        <v>0</v>
      </c>
    </row>
    <row r="12" spans="1:36" x14ac:dyDescent="0.25">
      <c r="A12" s="11">
        <f t="shared" si="4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96"/>
      <c r="AG12" s="100">
        <f t="shared" si="0"/>
        <v>28</v>
      </c>
      <c r="AH12" s="54">
        <f t="shared" si="1"/>
        <v>2</v>
      </c>
      <c r="AI12" s="54">
        <f t="shared" si="2"/>
        <v>0</v>
      </c>
      <c r="AJ12" s="55">
        <f t="shared" si="3"/>
        <v>2</v>
      </c>
    </row>
    <row r="13" spans="1:36" x14ac:dyDescent="0.25">
      <c r="A13" s="11">
        <f t="shared" si="4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96"/>
      <c r="AG13" s="100">
        <f t="shared" si="0"/>
        <v>28</v>
      </c>
      <c r="AH13" s="54">
        <f t="shared" si="1"/>
        <v>1</v>
      </c>
      <c r="AI13" s="54">
        <f t="shared" si="2"/>
        <v>0</v>
      </c>
      <c r="AJ13" s="55">
        <f t="shared" si="3"/>
        <v>3</v>
      </c>
    </row>
    <row r="14" spans="1:36" x14ac:dyDescent="0.25">
      <c r="A14" s="11">
        <f t="shared" si="4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96"/>
      <c r="AG14" s="100">
        <f t="shared" si="0"/>
        <v>28</v>
      </c>
      <c r="AH14" s="54">
        <f t="shared" si="1"/>
        <v>3</v>
      </c>
      <c r="AI14" s="54">
        <f t="shared" si="2"/>
        <v>1</v>
      </c>
      <c r="AJ14" s="55">
        <f t="shared" si="3"/>
        <v>0</v>
      </c>
    </row>
    <row r="15" spans="1:36" x14ac:dyDescent="0.25">
      <c r="A15" s="11">
        <f t="shared" si="4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96"/>
      <c r="AG15" s="100">
        <f t="shared" si="0"/>
        <v>28</v>
      </c>
      <c r="AH15" s="54">
        <f t="shared" si="1"/>
        <v>4</v>
      </c>
      <c r="AI15" s="54">
        <f t="shared" si="2"/>
        <v>0</v>
      </c>
      <c r="AJ15" s="55">
        <f t="shared" si="3"/>
        <v>0</v>
      </c>
    </row>
    <row r="16" spans="1:36" x14ac:dyDescent="0.25">
      <c r="A16" s="11">
        <f t="shared" si="4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96"/>
      <c r="AG16" s="100">
        <f t="shared" si="0"/>
        <v>28</v>
      </c>
      <c r="AH16" s="54">
        <f t="shared" si="1"/>
        <v>0</v>
      </c>
      <c r="AI16" s="54">
        <f t="shared" si="2"/>
        <v>4</v>
      </c>
      <c r="AJ16" s="55">
        <f t="shared" si="3"/>
        <v>0</v>
      </c>
    </row>
    <row r="17" spans="1:36" x14ac:dyDescent="0.25">
      <c r="A17" s="11">
        <f t="shared" si="4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96"/>
      <c r="AG17" s="100">
        <f t="shared" si="0"/>
        <v>28</v>
      </c>
      <c r="AH17" s="54">
        <f t="shared" si="1"/>
        <v>4</v>
      </c>
      <c r="AI17" s="54">
        <f t="shared" si="2"/>
        <v>0</v>
      </c>
      <c r="AJ17" s="55">
        <f t="shared" si="3"/>
        <v>0</v>
      </c>
    </row>
    <row r="18" spans="1:36" x14ac:dyDescent="0.25">
      <c r="A18" s="11">
        <f t="shared" si="4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96"/>
      <c r="AG18" s="100">
        <f t="shared" si="0"/>
        <v>28</v>
      </c>
      <c r="AH18" s="54">
        <f t="shared" si="1"/>
        <v>1</v>
      </c>
      <c r="AI18" s="54">
        <f t="shared" si="2"/>
        <v>0</v>
      </c>
      <c r="AJ18" s="55">
        <f t="shared" si="3"/>
        <v>3</v>
      </c>
    </row>
    <row r="19" spans="1:36" x14ac:dyDescent="0.25">
      <c r="A19" s="11">
        <f t="shared" si="4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96"/>
      <c r="AG19" s="100">
        <f t="shared" si="0"/>
        <v>28</v>
      </c>
      <c r="AH19" s="54">
        <f t="shared" si="1"/>
        <v>3</v>
      </c>
      <c r="AI19" s="54">
        <f t="shared" si="2"/>
        <v>0</v>
      </c>
      <c r="AJ19" s="55">
        <f t="shared" si="3"/>
        <v>1</v>
      </c>
    </row>
    <row r="20" spans="1:36" x14ac:dyDescent="0.25">
      <c r="A20" s="11">
        <f t="shared" si="4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96"/>
      <c r="AG20" s="100">
        <f t="shared" si="0"/>
        <v>28</v>
      </c>
      <c r="AH20" s="54">
        <f t="shared" si="1"/>
        <v>4</v>
      </c>
      <c r="AI20" s="54">
        <f t="shared" si="2"/>
        <v>0</v>
      </c>
      <c r="AJ20" s="55">
        <f t="shared" si="3"/>
        <v>0</v>
      </c>
    </row>
    <row r="21" spans="1:36" x14ac:dyDescent="0.25">
      <c r="A21" s="11">
        <f t="shared" si="4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96"/>
      <c r="AG21" s="100">
        <f t="shared" si="0"/>
        <v>28</v>
      </c>
      <c r="AH21" s="54">
        <f t="shared" si="1"/>
        <v>4</v>
      </c>
      <c r="AI21" s="54">
        <f t="shared" si="2"/>
        <v>0</v>
      </c>
      <c r="AJ21" s="55">
        <f t="shared" si="3"/>
        <v>0</v>
      </c>
    </row>
    <row r="22" spans="1:36" x14ac:dyDescent="0.25">
      <c r="A22" s="11">
        <f t="shared" si="4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96"/>
      <c r="AG22" s="104">
        <f t="shared" si="0"/>
        <v>28</v>
      </c>
      <c r="AH22" s="54">
        <f t="shared" si="1"/>
        <v>3</v>
      </c>
      <c r="AI22" s="54">
        <f t="shared" si="2"/>
        <v>0</v>
      </c>
      <c r="AJ22" s="55">
        <f t="shared" si="3"/>
        <v>1</v>
      </c>
    </row>
    <row r="23" spans="1:36" x14ac:dyDescent="0.25">
      <c r="A23" s="11">
        <f t="shared" si="4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96" t="s">
        <v>58</v>
      </c>
      <c r="AG23" s="104">
        <f t="shared" si="0"/>
        <v>28</v>
      </c>
      <c r="AH23" s="54">
        <f t="shared" si="1"/>
        <v>0</v>
      </c>
      <c r="AI23" s="54">
        <f t="shared" si="2"/>
        <v>27</v>
      </c>
      <c r="AJ23" s="55">
        <f t="shared" si="3"/>
        <v>1</v>
      </c>
    </row>
    <row r="24" spans="1:36" x14ac:dyDescent="0.25">
      <c r="A24" s="11">
        <f t="shared" si="4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96"/>
      <c r="AG24" s="104">
        <f t="shared" si="0"/>
        <v>28</v>
      </c>
      <c r="AH24" s="54">
        <f t="shared" si="1"/>
        <v>4</v>
      </c>
      <c r="AI24" s="54">
        <f t="shared" si="2"/>
        <v>0</v>
      </c>
      <c r="AJ24" s="55">
        <f t="shared" si="3"/>
        <v>0</v>
      </c>
    </row>
    <row r="25" spans="1:36" ht="16.3" thickBot="1" x14ac:dyDescent="0.3">
      <c r="A25" s="44">
        <f t="shared" si="4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9"/>
      <c r="AG25" s="105">
        <f t="shared" si="0"/>
        <v>28</v>
      </c>
      <c r="AH25" s="85">
        <f t="shared" si="1"/>
        <v>4</v>
      </c>
      <c r="AI25" s="85">
        <f t="shared" si="2"/>
        <v>0</v>
      </c>
      <c r="AJ25" s="86">
        <f t="shared" si="3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78">
        <f>SUM(AG7:AG25)</f>
        <v>532</v>
      </c>
      <c r="AH26" s="70">
        <f t="shared" ref="AH26:AJ26" si="5">SUM(AH7:AH25)</f>
        <v>48</v>
      </c>
      <c r="AI26" s="70">
        <f t="shared" si="5"/>
        <v>88</v>
      </c>
      <c r="AJ26" s="76">
        <f t="shared" si="5"/>
        <v>12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73">
        <f t="shared" ref="AG27:AG33" si="6">АХД</f>
        <v>28</v>
      </c>
      <c r="AH27" s="17">
        <f t="shared" ref="AH27:AH33" si="7">COUNTIF(E27:AF27,1)</f>
        <v>2</v>
      </c>
      <c r="AI27" s="17">
        <f t="shared" ref="AI27:AI33" si="8">COUNTIF(E27:AF27,"тр")</f>
        <v>0</v>
      </c>
      <c r="AJ27" s="18">
        <f t="shared" ref="AJ27:AJ33" si="9">COUNTIF(E27:AF27,"бв")</f>
        <v>2</v>
      </c>
    </row>
    <row r="28" spans="1:36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73">
        <f t="shared" si="6"/>
        <v>28</v>
      </c>
      <c r="AH28" s="54">
        <f t="shared" si="7"/>
        <v>0</v>
      </c>
      <c r="AI28" s="54">
        <f t="shared" si="8"/>
        <v>28</v>
      </c>
      <c r="AJ28" s="55">
        <f t="shared" si="9"/>
        <v>0</v>
      </c>
    </row>
    <row r="29" spans="1:36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73">
        <f t="shared" si="6"/>
        <v>28</v>
      </c>
      <c r="AH29" s="54">
        <f t="shared" si="7"/>
        <v>2</v>
      </c>
      <c r="AI29" s="54">
        <f t="shared" si="8"/>
        <v>0</v>
      </c>
      <c r="AJ29" s="55">
        <f t="shared" si="9"/>
        <v>2</v>
      </c>
    </row>
    <row r="30" spans="1:36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73">
        <f t="shared" si="6"/>
        <v>28</v>
      </c>
      <c r="AH30" s="54">
        <f t="shared" si="7"/>
        <v>3</v>
      </c>
      <c r="AI30" s="54">
        <f t="shared" si="8"/>
        <v>0</v>
      </c>
      <c r="AJ30" s="55">
        <f t="shared" si="9"/>
        <v>1</v>
      </c>
    </row>
    <row r="31" spans="1:36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73">
        <f t="shared" si="6"/>
        <v>28</v>
      </c>
      <c r="AH31" s="54">
        <f t="shared" si="7"/>
        <v>4</v>
      </c>
      <c r="AI31" s="54">
        <f t="shared" si="8"/>
        <v>0</v>
      </c>
      <c r="AJ31" s="55">
        <f t="shared" si="9"/>
        <v>0</v>
      </c>
    </row>
    <row r="32" spans="1:36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73">
        <f t="shared" si="6"/>
        <v>28</v>
      </c>
      <c r="AH32" s="54">
        <f t="shared" si="7"/>
        <v>2</v>
      </c>
      <c r="AI32" s="54">
        <f t="shared" si="8"/>
        <v>0</v>
      </c>
      <c r="AJ32" s="55">
        <f t="shared" si="9"/>
        <v>2</v>
      </c>
    </row>
    <row r="33" spans="1:36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73">
        <f t="shared" si="6"/>
        <v>28</v>
      </c>
      <c r="AH33" s="56">
        <f t="shared" si="7"/>
        <v>4</v>
      </c>
      <c r="AI33" s="56">
        <f t="shared" si="8"/>
        <v>0</v>
      </c>
      <c r="AJ33" s="57">
        <f t="shared" si="9"/>
        <v>0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78">
        <f>SUM(AG27:AG33)</f>
        <v>196</v>
      </c>
      <c r="AH34" s="70">
        <f>SUM(AH27:AH33)</f>
        <v>17</v>
      </c>
      <c r="AI34" s="70">
        <f>SUM(AI27:AI33)</f>
        <v>28</v>
      </c>
      <c r="AJ34" s="76">
        <f>SUM(AJ27:AJ33)</f>
        <v>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>АХД</f>
        <v>28</v>
      </c>
      <c r="AH35" s="17">
        <f>COUNTIF(E35:AF35,1)</f>
        <v>2</v>
      </c>
      <c r="AI35" s="17">
        <f>COUNTIF(E35:AF35,"тр")</f>
        <v>0</v>
      </c>
      <c r="AJ35" s="18">
        <f>COUNTIF(E35:AF35,"бв")</f>
        <v>2</v>
      </c>
    </row>
    <row r="36" spans="1:36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>АХД</f>
        <v>28</v>
      </c>
      <c r="AH36" s="54">
        <f>COUNTIF(E36:AF36,1)</f>
        <v>0</v>
      </c>
      <c r="AI36" s="54">
        <f>COUNTIF(E36:AF36,"тр")</f>
        <v>0</v>
      </c>
      <c r="AJ36" s="55">
        <f>COUNTIF(E36:AF36,"бв")</f>
        <v>4</v>
      </c>
    </row>
    <row r="37" spans="1:36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>АХД</f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84</v>
      </c>
      <c r="AH38" s="70">
        <f>SUM(AH35:AH37)</f>
        <v>2</v>
      </c>
      <c r="AI38" s="70">
        <f>SUM(AI35:AI37)</f>
        <v>28</v>
      </c>
      <c r="AJ38" s="76">
        <f>SUM(AJ35:AJ37)</f>
        <v>6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>АХД</f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>АХД</f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>АХД</f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>АХД</f>
        <v>28</v>
      </c>
      <c r="AH44" s="17">
        <f>COUNTIF(E44:AF44,1)</f>
        <v>2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>АХД</f>
        <v>28</v>
      </c>
      <c r="AH45" s="54">
        <f>COUNTIF(E45:AF45,1)</f>
        <v>3</v>
      </c>
      <c r="AI45" s="54">
        <f>COUNTIF(E45:AF45,"тр")</f>
        <v>0</v>
      </c>
      <c r="AJ45" s="55">
        <f>COUNTIF(E45:AF45,"бв")</f>
        <v>1</v>
      </c>
    </row>
    <row r="46" spans="1:36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>АХД</f>
        <v>28</v>
      </c>
      <c r="AH46" s="56">
        <f>COUNTIF(E46:AF46,1)</f>
        <v>0</v>
      </c>
      <c r="AI46" s="56">
        <f>COUNTIF(E46:AF46,"тр")</f>
        <v>4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84</v>
      </c>
      <c r="AH47" s="70">
        <f>SUM(AH44:AH46)</f>
        <v>5</v>
      </c>
      <c r="AI47" s="70">
        <f>SUM(AI44:AI46)</f>
        <v>5</v>
      </c>
      <c r="AJ47" s="76">
        <f>SUM(AJ44:AJ46)</f>
        <v>2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ref="AG48:AG54" si="10">АХД</f>
        <v>28</v>
      </c>
      <c r="AH48" s="17">
        <f t="shared" ref="AH48:AH54" si="11">COUNTIF(E48:AF48,1)</f>
        <v>4</v>
      </c>
      <c r="AI48" s="17">
        <f t="shared" ref="AI48:AI54" si="12">COUNTIF(E48:AF48,"тр")</f>
        <v>0</v>
      </c>
      <c r="AJ48" s="18">
        <f t="shared" ref="AJ48:AJ54" si="13">COUNTIF(E48:AF48,"бв")</f>
        <v>0</v>
      </c>
    </row>
    <row r="49" spans="1:36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10"/>
        <v>28</v>
      </c>
      <c r="AH49" s="54">
        <f t="shared" si="11"/>
        <v>4</v>
      </c>
      <c r="AI49" s="54">
        <f t="shared" si="12"/>
        <v>0</v>
      </c>
      <c r="AJ49" s="55">
        <f t="shared" si="13"/>
        <v>0</v>
      </c>
    </row>
    <row r="50" spans="1:36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10"/>
        <v>28</v>
      </c>
      <c r="AH50" s="54">
        <f t="shared" si="11"/>
        <v>3</v>
      </c>
      <c r="AI50" s="54">
        <f t="shared" si="12"/>
        <v>0</v>
      </c>
      <c r="AJ50" s="55">
        <f t="shared" si="13"/>
        <v>1</v>
      </c>
    </row>
    <row r="51" spans="1:36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10"/>
        <v>28</v>
      </c>
      <c r="AH51" s="54">
        <f t="shared" si="11"/>
        <v>4</v>
      </c>
      <c r="AI51" s="54">
        <f t="shared" si="12"/>
        <v>0</v>
      </c>
      <c r="AJ51" s="55">
        <f t="shared" si="13"/>
        <v>0</v>
      </c>
    </row>
    <row r="52" spans="1:36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10"/>
        <v>28</v>
      </c>
      <c r="AH52" s="54">
        <f t="shared" si="11"/>
        <v>3</v>
      </c>
      <c r="AI52" s="54">
        <f t="shared" si="12"/>
        <v>0</v>
      </c>
      <c r="AJ52" s="55">
        <f t="shared" si="13"/>
        <v>1</v>
      </c>
    </row>
    <row r="53" spans="1:36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10"/>
        <v>28</v>
      </c>
      <c r="AH53" s="54">
        <f t="shared" si="11"/>
        <v>4</v>
      </c>
      <c r="AI53" s="54">
        <f t="shared" si="12"/>
        <v>0</v>
      </c>
      <c r="AJ53" s="55">
        <f t="shared" si="13"/>
        <v>0</v>
      </c>
    </row>
    <row r="54" spans="1:36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10"/>
        <v>28</v>
      </c>
      <c r="AH54" s="56">
        <f t="shared" si="11"/>
        <v>4</v>
      </c>
      <c r="AI54" s="56">
        <f t="shared" si="12"/>
        <v>0</v>
      </c>
      <c r="AJ54" s="57">
        <f t="shared" si="13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196</v>
      </c>
      <c r="AH55" s="70">
        <f>SUM(AH48:AH54)</f>
        <v>26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A67+1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>АХД</f>
        <v>28</v>
      </c>
      <c r="AH56" s="56">
        <f>COUNTIF(E56:AF56,1)</f>
        <v>3</v>
      </c>
      <c r="AI56" s="56">
        <f>COUNTIF(E56:AF56,"тр")</f>
        <v>1</v>
      </c>
      <c r="AJ56" s="57">
        <f>COUNTIF(E56:AF56,"бв")</f>
        <v>0</v>
      </c>
    </row>
    <row r="57" spans="1:36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28</v>
      </c>
      <c r="AH57" s="70">
        <f>SUM(AH56:AH56)</f>
        <v>3</v>
      </c>
      <c r="AI57" s="70">
        <f>SUM(AI56:AI56)</f>
        <v>1</v>
      </c>
      <c r="AJ57" s="76">
        <f>SUM(AJ56:AJ56)</f>
        <v>0</v>
      </c>
    </row>
    <row r="58" spans="1:36" x14ac:dyDescent="0.25">
      <c r="A58" s="8">
        <f>A56+1</f>
        <v>47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73">
        <f>АХД</f>
        <v>28</v>
      </c>
      <c r="AH58" s="17">
        <f>COUNTIF(E58:AF58,1)</f>
        <v>4</v>
      </c>
      <c r="AI58" s="17">
        <f>COUNTIF(E58:AF58,"тр")</f>
        <v>0</v>
      </c>
      <c r="AJ58" s="18">
        <f>COUNTIF(E58:AF58,"бв")</f>
        <v>0</v>
      </c>
    </row>
    <row r="59" spans="1:36" ht="16.3" thickBot="1" x14ac:dyDescent="0.3">
      <c r="A59" s="58">
        <f t="shared" si="4"/>
        <v>48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73">
        <f>АХД</f>
        <v>28</v>
      </c>
      <c r="AH59" s="56">
        <f>COUNTIF(E59:AF59,1)</f>
        <v>4</v>
      </c>
      <c r="AI59" s="56">
        <f>COUNTIF(E59:AF59,"тр")</f>
        <v>0</v>
      </c>
      <c r="AJ59" s="57">
        <f>COUNTIF(E59:AF59,"бв")</f>
        <v>0</v>
      </c>
    </row>
    <row r="60" spans="1:36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78">
        <f>SUM(AG58:AG59)</f>
        <v>56</v>
      </c>
      <c r="AH60" s="70">
        <f>SUM(AH58:AH59)</f>
        <v>8</v>
      </c>
      <c r="AI60" s="70">
        <f>SUM(AI58:AI59)</f>
        <v>0</v>
      </c>
      <c r="AJ60" s="76">
        <f>SUM(AJ58:AJ59)</f>
        <v>0</v>
      </c>
    </row>
    <row r="61" spans="1:36" s="33" customFormat="1" x14ac:dyDescent="0.25">
      <c r="A61" s="87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AG6+AG26+AG34+AG38+AG41+AG43+AG47+AG55+AG57+AG60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2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</row>
    <row r="64" spans="1:36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27" t="s">
        <v>62</v>
      </c>
      <c r="AH64" s="31" t="s">
        <v>61</v>
      </c>
      <c r="AI64" s="31" t="s">
        <v>58</v>
      </c>
      <c r="AJ64" s="32" t="s">
        <v>57</v>
      </c>
    </row>
    <row r="65" spans="1:36" x14ac:dyDescent="0.25">
      <c r="A65" s="8">
        <v>1</v>
      </c>
      <c r="B65" s="9" t="s">
        <v>54</v>
      </c>
      <c r="C65" s="69">
        <v>176</v>
      </c>
      <c r="D65" s="101">
        <v>6172</v>
      </c>
      <c r="E65" s="92">
        <v>1</v>
      </c>
      <c r="F65" s="93">
        <v>1</v>
      </c>
      <c r="G65" s="93">
        <v>1</v>
      </c>
      <c r="H65" s="93">
        <v>1</v>
      </c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4"/>
      <c r="AG65" s="73">
        <f>АХД</f>
        <v>28</v>
      </c>
      <c r="AH65" s="17">
        <f>COUNTIF(E65:AF65,1)</f>
        <v>4</v>
      </c>
      <c r="AI65" s="17">
        <f>COUNTIF(E65:AF65,"тр")</f>
        <v>0</v>
      </c>
      <c r="AJ65" s="18">
        <f>COUNTIF(E65:AF65,"бв")</f>
        <v>0</v>
      </c>
    </row>
    <row r="66" spans="1:36" x14ac:dyDescent="0.25">
      <c r="A66" s="11">
        <v>2</v>
      </c>
      <c r="B66" s="12" t="s">
        <v>54</v>
      </c>
      <c r="C66" s="15">
        <v>177</v>
      </c>
      <c r="D66" s="90">
        <v>6173</v>
      </c>
      <c r="E66" s="95">
        <v>1</v>
      </c>
      <c r="F66" s="5">
        <v>1</v>
      </c>
      <c r="G66" s="5">
        <v>1</v>
      </c>
      <c r="H66" s="5">
        <v>1</v>
      </c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96"/>
      <c r="AG66" s="83">
        <f>АХД</f>
        <v>28</v>
      </c>
      <c r="AH66" s="54">
        <f>COUNTIF(E66:AF66,1)</f>
        <v>4</v>
      </c>
      <c r="AI66" s="54">
        <f>COUNTIF(E66:AF66,"тр")</f>
        <v>0</v>
      </c>
      <c r="AJ66" s="55">
        <f>COUNTIF(E66:AF66,"бв")</f>
        <v>0</v>
      </c>
    </row>
    <row r="67" spans="1:36" ht="16.3" thickBot="1" x14ac:dyDescent="0.3">
      <c r="A67" s="44">
        <f>A54+1</f>
        <v>45</v>
      </c>
      <c r="B67" s="39" t="s">
        <v>43</v>
      </c>
      <c r="C67" s="40" t="s">
        <v>44</v>
      </c>
      <c r="D67" s="91">
        <v>1250</v>
      </c>
      <c r="E67" s="97" t="s">
        <v>57</v>
      </c>
      <c r="F67" s="98" t="s">
        <v>57</v>
      </c>
      <c r="G67" s="98" t="s">
        <v>57</v>
      </c>
      <c r="H67" s="98">
        <v>1</v>
      </c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9"/>
      <c r="AG67" s="74">
        <f>АХД</f>
        <v>28</v>
      </c>
      <c r="AH67" s="56">
        <f>COUNTIF(E67:AF67,1)</f>
        <v>1</v>
      </c>
      <c r="AI67" s="56">
        <f>COUNTIF(E67:AF67,"тр")</f>
        <v>0</v>
      </c>
      <c r="AJ67" s="57">
        <f>COUNTIF(E67:AF67,"бв")</f>
        <v>3</v>
      </c>
    </row>
    <row r="68" spans="1:36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78">
        <f>SUM(AG65:AG67)</f>
        <v>84</v>
      </c>
      <c r="AH68" s="70">
        <f t="shared" ref="AH68:AJ68" si="14">SUM(AH65:AH67)</f>
        <v>9</v>
      </c>
      <c r="AI68" s="70">
        <f t="shared" si="14"/>
        <v>0</v>
      </c>
      <c r="AJ68" s="76">
        <f t="shared" si="14"/>
        <v>3</v>
      </c>
    </row>
    <row r="69" spans="1:36" s="33" customFormat="1" x14ac:dyDescent="0.25">
      <c r="A69" s="87"/>
      <c r="B69" s="49"/>
      <c r="C69" s="50"/>
      <c r="D69" s="50"/>
      <c r="Y69" s="51" t="s">
        <v>68</v>
      </c>
      <c r="AG69" s="77">
        <f>AG68</f>
        <v>84</v>
      </c>
    </row>
    <row r="71" spans="1:36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J61"/>
  <mergeCells count="2">
    <mergeCell ref="A1:AJ1"/>
    <mergeCell ref="A63:AJ63"/>
  </mergeCells>
  <conditionalFormatting sqref="AH6:AJ6 AG26:AJ26 AG34:AJ34 AG38:AJ38 AG41:AJ41 AG43:AJ43 AG47:AJ47 AG55:AJ55 AG57:AJ57 AG60:AJ60 E4:AF5 AG68:AJ68 AG4:AG25 E27:AG33 E35:AG37 E39:AG40 E42:AG42 E44:AG46 E48:AG54 E58:AG59 E56:AG56 E65:AG67 E7:AF25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Январь 2019</vt:lpstr>
      <vt:lpstr>Февраль 2019</vt:lpstr>
      <vt:lpstr>Данные</vt:lpstr>
      <vt:lpstr>'Февраль 2019'!АХД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2019-02-04T09:29:27Z</cp:lastPrinted>
  <dcterms:created xsi:type="dcterms:W3CDTF">2018-09-27T18:15:43Z</dcterms:created>
  <dcterms:modified xsi:type="dcterms:W3CDTF">2019-02-04T09:31:52Z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