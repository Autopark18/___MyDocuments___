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6" r:id="rId1"/>
    <sheet name="Февраль 2019" sheetId="7" r:id="rId2"/>
    <sheet name="Данные" sheetId="5" state="hidden" r:id="rId3"/>
  </sheets>
  <functionGroups builtInGroupCount="18"/>
  <definedNames>
    <definedName name="_xlnm._FilterDatabase" localSheetId="1" hidden="1">'Февраль 2019'!$E$2:$AJ$61</definedName>
    <definedName name="_xlnm._FilterDatabase" localSheetId="0" hidden="1">'Январь 2019'!$E$2:$AM$61</definedName>
    <definedName name="АХД" localSheetId="1">'Февраль 2019'!$C$2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26" i="6" l="1"/>
  <c r="AL26" i="6"/>
  <c r="AM26" i="6"/>
  <c r="A67" i="6" l="1"/>
  <c r="A66" i="6"/>
  <c r="A56" i="6"/>
  <c r="AJ67" i="7" l="1"/>
  <c r="AI67" i="7"/>
  <c r="AH67" i="7"/>
  <c r="AG67" i="7"/>
  <c r="AJ66" i="7"/>
  <c r="AI66" i="7"/>
  <c r="AH66" i="7"/>
  <c r="AG66" i="7"/>
  <c r="AJ65" i="7"/>
  <c r="AI65" i="7"/>
  <c r="AI68" i="7" s="1"/>
  <c r="AH65" i="7"/>
  <c r="AG65" i="7"/>
  <c r="AG68" i="7" s="1"/>
  <c r="AG69" i="7" s="1"/>
  <c r="A63" i="7"/>
  <c r="AJ59" i="7"/>
  <c r="AI59" i="7"/>
  <c r="AH59" i="7"/>
  <c r="AG59" i="7"/>
  <c r="AJ58" i="7"/>
  <c r="AI58" i="7"/>
  <c r="AI60" i="7" s="1"/>
  <c r="AH58" i="7"/>
  <c r="AG58" i="7"/>
  <c r="AG60" i="7" s="1"/>
  <c r="AJ56" i="7"/>
  <c r="AJ57" i="7" s="1"/>
  <c r="AI56" i="7"/>
  <c r="AI57" i="7" s="1"/>
  <c r="AH56" i="7"/>
  <c r="AH57" i="7" s="1"/>
  <c r="AG56" i="7"/>
  <c r="AG57" i="7" s="1"/>
  <c r="AJ54" i="7"/>
  <c r="AI54" i="7"/>
  <c r="AH54" i="7"/>
  <c r="AG54" i="7"/>
  <c r="AJ53" i="7"/>
  <c r="AI53" i="7"/>
  <c r="AH53" i="7"/>
  <c r="AG53" i="7"/>
  <c r="AJ52" i="7"/>
  <c r="AI52" i="7"/>
  <c r="AH52" i="7"/>
  <c r="AG52" i="7"/>
  <c r="AJ51" i="7"/>
  <c r="AI51" i="7"/>
  <c r="AH51" i="7"/>
  <c r="AG51" i="7"/>
  <c r="AJ50" i="7"/>
  <c r="AI50" i="7"/>
  <c r="AH50" i="7"/>
  <c r="AG50" i="7"/>
  <c r="AJ49" i="7"/>
  <c r="AI49" i="7"/>
  <c r="AH49" i="7"/>
  <c r="AG49" i="7"/>
  <c r="AJ48" i="7"/>
  <c r="AI48" i="7"/>
  <c r="AH48" i="7"/>
  <c r="AH55" i="7" s="1"/>
  <c r="AG48" i="7"/>
  <c r="AG55" i="7" s="1"/>
  <c r="AJ46" i="7"/>
  <c r="AI46" i="7"/>
  <c r="AH46" i="7"/>
  <c r="AG46" i="7"/>
  <c r="AJ45" i="7"/>
  <c r="AI45" i="7"/>
  <c r="AH45" i="7"/>
  <c r="AG45" i="7"/>
  <c r="AJ44" i="7"/>
  <c r="AI44" i="7"/>
  <c r="AH44" i="7"/>
  <c r="AG44" i="7"/>
  <c r="AG47" i="7" s="1"/>
  <c r="AJ42" i="7"/>
  <c r="AJ43" i="7" s="1"/>
  <c r="AI42" i="7"/>
  <c r="AI43" i="7" s="1"/>
  <c r="AH42" i="7"/>
  <c r="AH43" i="7" s="1"/>
  <c r="AG42" i="7"/>
  <c r="AG43" i="7" s="1"/>
  <c r="AJ40" i="7"/>
  <c r="AI40" i="7"/>
  <c r="AH40" i="7"/>
  <c r="AG40" i="7"/>
  <c r="AJ39" i="7"/>
  <c r="AI39" i="7"/>
  <c r="AI41" i="7" s="1"/>
  <c r="AH39" i="7"/>
  <c r="AG39" i="7"/>
  <c r="AG41" i="7" s="1"/>
  <c r="AJ37" i="7"/>
  <c r="AI37" i="7"/>
  <c r="AH37" i="7"/>
  <c r="AG37" i="7"/>
  <c r="AJ36" i="7"/>
  <c r="AI36" i="7"/>
  <c r="AH36" i="7"/>
  <c r="AG36" i="7"/>
  <c r="AJ35" i="7"/>
  <c r="AI35" i="7"/>
  <c r="AH35" i="7"/>
  <c r="AH38" i="7" s="1"/>
  <c r="AG35" i="7"/>
  <c r="AG38" i="7" s="1"/>
  <c r="AJ33" i="7"/>
  <c r="AI33" i="7"/>
  <c r="AH33" i="7"/>
  <c r="AG33" i="7"/>
  <c r="AJ32" i="7"/>
  <c r="AI32" i="7"/>
  <c r="AH32" i="7"/>
  <c r="AG32" i="7"/>
  <c r="AJ31" i="7"/>
  <c r="AI31" i="7"/>
  <c r="AH31" i="7"/>
  <c r="AG31" i="7"/>
  <c r="AJ30" i="7"/>
  <c r="AI30" i="7"/>
  <c r="AH30" i="7"/>
  <c r="AG30" i="7"/>
  <c r="AJ29" i="7"/>
  <c r="AI29" i="7"/>
  <c r="AH29" i="7"/>
  <c r="AG29" i="7"/>
  <c r="AJ28" i="7"/>
  <c r="AI28" i="7"/>
  <c r="AH28" i="7"/>
  <c r="AG28" i="7"/>
  <c r="AJ27" i="7"/>
  <c r="AJ34" i="7" s="1"/>
  <c r="AI27" i="7"/>
  <c r="AH27" i="7"/>
  <c r="AH34" i="7" s="1"/>
  <c r="AG27" i="7"/>
  <c r="AG34" i="7" s="1"/>
  <c r="AJ25" i="7"/>
  <c r="AI25" i="7"/>
  <c r="AH25" i="7"/>
  <c r="AG25" i="7"/>
  <c r="AJ24" i="7"/>
  <c r="AI24" i="7"/>
  <c r="AH24" i="7"/>
  <c r="AG24" i="7"/>
  <c r="AJ23" i="7"/>
  <c r="AI23" i="7"/>
  <c r="AH23" i="7"/>
  <c r="AG23" i="7"/>
  <c r="AJ22" i="7"/>
  <c r="AI22" i="7"/>
  <c r="AH22" i="7"/>
  <c r="AG22" i="7"/>
  <c r="AJ21" i="7"/>
  <c r="AI21" i="7"/>
  <c r="AH21" i="7"/>
  <c r="AG21" i="7"/>
  <c r="AJ20" i="7"/>
  <c r="AI20" i="7"/>
  <c r="AH20" i="7"/>
  <c r="AG20" i="7"/>
  <c r="AJ19" i="7"/>
  <c r="AI19" i="7"/>
  <c r="AH19" i="7"/>
  <c r="AG19" i="7"/>
  <c r="AJ18" i="7"/>
  <c r="AI18" i="7"/>
  <c r="AH18" i="7"/>
  <c r="AG18" i="7"/>
  <c r="AJ17" i="7"/>
  <c r="AI17" i="7"/>
  <c r="AH17" i="7"/>
  <c r="AG17" i="7"/>
  <c r="AJ16" i="7"/>
  <c r="AI16" i="7"/>
  <c r="AH16" i="7"/>
  <c r="AG16" i="7"/>
  <c r="AJ15" i="7"/>
  <c r="AI15" i="7"/>
  <c r="AH15" i="7"/>
  <c r="AG15" i="7"/>
  <c r="AJ14" i="7"/>
  <c r="AI14" i="7"/>
  <c r="AH14" i="7"/>
  <c r="AG14" i="7"/>
  <c r="AJ13" i="7"/>
  <c r="AI13" i="7"/>
  <c r="AH13" i="7"/>
  <c r="AG13" i="7"/>
  <c r="AJ12" i="7"/>
  <c r="AI12" i="7"/>
  <c r="AH12" i="7"/>
  <c r="AG12" i="7"/>
  <c r="AJ11" i="7"/>
  <c r="AI11" i="7"/>
  <c r="AH11" i="7"/>
  <c r="AG11" i="7"/>
  <c r="AJ10" i="7"/>
  <c r="AI10" i="7"/>
  <c r="AH10" i="7"/>
  <c r="AG10" i="7"/>
  <c r="AJ9" i="7"/>
  <c r="AI9" i="7"/>
  <c r="AH9" i="7"/>
  <c r="AG9" i="7"/>
  <c r="AJ8" i="7"/>
  <c r="AI8" i="7"/>
  <c r="AH8" i="7"/>
  <c r="AG8" i="7"/>
  <c r="AJ7" i="7"/>
  <c r="AI7" i="7"/>
  <c r="AH7" i="7"/>
  <c r="AG7" i="7"/>
  <c r="AG26" i="7" s="1"/>
  <c r="AJ5" i="7"/>
  <c r="AI5" i="7"/>
  <c r="AH5" i="7"/>
  <c r="AG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39" i="7" s="1"/>
  <c r="A40" i="7" s="1"/>
  <c r="A42" i="7" s="1"/>
  <c r="A44" i="7" s="1"/>
  <c r="A45" i="7" s="1"/>
  <c r="A46" i="7" s="1"/>
  <c r="A48" i="7" s="1"/>
  <c r="A49" i="7" s="1"/>
  <c r="A50" i="7" s="1"/>
  <c r="A51" i="7" s="1"/>
  <c r="A52" i="7" s="1"/>
  <c r="A53" i="7" s="1"/>
  <c r="A54" i="7" s="1"/>
  <c r="A67" i="7" s="1"/>
  <c r="A56" i="7" s="1"/>
  <c r="A58" i="7" s="1"/>
  <c r="A59" i="7" s="1"/>
  <c r="AJ4" i="7"/>
  <c r="AI4" i="7"/>
  <c r="AH4" i="7"/>
  <c r="AG4" i="7"/>
  <c r="A1" i="7"/>
  <c r="AJ55" i="7" l="1"/>
  <c r="AJ47" i="7"/>
  <c r="AH68" i="7"/>
  <c r="AJ38" i="7"/>
  <c r="AI47" i="7"/>
  <c r="AI26" i="7"/>
  <c r="AH26" i="7"/>
  <c r="AJ26" i="7"/>
  <c r="AJ68" i="7"/>
  <c r="AH47" i="7"/>
  <c r="AH6" i="7"/>
  <c r="AJ6" i="7"/>
  <c r="AI6" i="7"/>
  <c r="AI38" i="7"/>
  <c r="AI55" i="7"/>
  <c r="AI34" i="7"/>
  <c r="AG6" i="7"/>
  <c r="AG61" i="7" s="1"/>
  <c r="AH41" i="7"/>
  <c r="AJ41" i="7"/>
  <c r="AH60" i="7"/>
  <c r="AJ6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<sst xmlns="http://schemas.openxmlformats.org/spreadsheetml/2006/main" count="1212" uniqueCount="77">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</sst>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7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3" borderId="36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13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2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</row>
    <row r="2" spans="1:39" ht="16.3" thickBot="1" x14ac:dyDescent="0.3">
      <c r="A2" s="23"/>
      <c r="B2" s="23"/>
      <c r="C2" s="75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3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4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8">
        <f>SUM(AJ4:AJ5)</f>
        <v>62</v>
      </c>
      <c r="AK6" s="71">
        <f>SUM(AK4:AK5)</f>
        <v>0</v>
      </c>
      <c r="AL6" s="71">
        <f>SUM(AL4:AL5)</f>
        <v>62</v>
      </c>
      <c r="AM6" s="72">
        <f>SUM(AM4:AM5)</f>
        <v>0</v>
      </c>
    </row>
    <row r="7" spans="1:39" x14ac:dyDescent="0.25">
      <c r="A7" s="108">
        <f>A5+1</f>
        <v>3</v>
      </c>
      <c r="B7" s="109" t="s">
        <v>53</v>
      </c>
      <c r="C7" s="110" t="s">
        <v>3</v>
      </c>
      <c r="D7" s="111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93" t="s">
        <v>58</v>
      </c>
      <c r="AG7" s="93" t="s">
        <v>58</v>
      </c>
      <c r="AH7" s="106" t="s">
        <v>58</v>
      </c>
      <c r="AI7" s="94" t="s">
        <v>58</v>
      </c>
      <c r="AJ7" s="80">
        <f t="shared" ref="AJ7:AJ22" si="0">АХД</f>
        <v>31</v>
      </c>
      <c r="AK7" s="81">
        <f t="shared" ref="AK7:AK22" si="1">COUNTIF(E7:AI7,1)</f>
        <v>0</v>
      </c>
      <c r="AL7" s="81">
        <f t="shared" ref="AL7:AL22" si="2">COUNTIF(E7:AI7,"тр")</f>
        <v>31</v>
      </c>
      <c r="AM7" s="82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5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9">
        <v>1</v>
      </c>
      <c r="AI8" s="96">
        <v>1</v>
      </c>
      <c r="AJ8" s="73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9" t="s">
        <v>58</v>
      </c>
      <c r="AI9" s="96" t="s">
        <v>58</v>
      </c>
      <c r="AJ9" s="73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5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9">
        <v>1</v>
      </c>
      <c r="AI10" s="96">
        <v>1</v>
      </c>
      <c r="AJ10" s="73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5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9">
        <v>1</v>
      </c>
      <c r="AI11" s="96">
        <v>1</v>
      </c>
      <c r="AJ11" s="73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5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9">
        <v>1</v>
      </c>
      <c r="AI12" s="96">
        <v>1</v>
      </c>
      <c r="AJ12" s="73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5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9">
        <v>1</v>
      </c>
      <c r="AI13" s="96">
        <v>1</v>
      </c>
      <c r="AJ13" s="73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9">
        <v>1</v>
      </c>
      <c r="AI14" s="96">
        <v>1</v>
      </c>
      <c r="AJ14" s="73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5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9">
        <v>1</v>
      </c>
      <c r="AI15" s="96">
        <v>1</v>
      </c>
      <c r="AJ15" s="73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9">
        <v>1</v>
      </c>
      <c r="AI16" s="96" t="s">
        <v>58</v>
      </c>
      <c r="AJ16" s="73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5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9">
        <v>1</v>
      </c>
      <c r="AI17" s="96">
        <v>1</v>
      </c>
      <c r="AJ17" s="73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9">
        <v>1</v>
      </c>
      <c r="AI18" s="96" t="s">
        <v>57</v>
      </c>
      <c r="AJ18" s="73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5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9">
        <v>1</v>
      </c>
      <c r="AI19" s="96">
        <v>1</v>
      </c>
      <c r="AJ19" s="73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9">
        <v>1</v>
      </c>
      <c r="AI20" s="96">
        <v>1</v>
      </c>
      <c r="AJ20" s="73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9">
        <v>1</v>
      </c>
      <c r="AI21" s="96">
        <v>1</v>
      </c>
      <c r="AJ21" s="73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9">
        <v>1</v>
      </c>
      <c r="AI22" s="96">
        <v>1</v>
      </c>
      <c r="AJ22" s="83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5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9" t="s">
        <v>58</v>
      </c>
      <c r="AI23" s="96" t="s">
        <v>58</v>
      </c>
      <c r="AJ23" s="83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5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9">
        <v>1</v>
      </c>
      <c r="AI24" s="96">
        <v>1</v>
      </c>
      <c r="AJ24" s="83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12">
        <f t="shared" si="4"/>
        <v>21</v>
      </c>
      <c r="B25" s="113" t="s">
        <v>53</v>
      </c>
      <c r="C25" s="114" t="s">
        <v>74</v>
      </c>
      <c r="D25" s="115" t="s">
        <v>71</v>
      </c>
      <c r="E25" s="97"/>
      <c r="F25" s="98"/>
      <c r="G25" s="98"/>
      <c r="H25" s="98"/>
      <c r="I25" s="98" t="s">
        <v>57</v>
      </c>
      <c r="J25" s="98" t="s">
        <v>57</v>
      </c>
      <c r="K25" s="98" t="s">
        <v>57</v>
      </c>
      <c r="L25" s="98" t="s">
        <v>58</v>
      </c>
      <c r="M25" s="98" t="s">
        <v>58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>
        <v>1</v>
      </c>
      <c r="V25" s="98">
        <v>1</v>
      </c>
      <c r="W25" s="98">
        <v>1</v>
      </c>
      <c r="X25" s="98" t="s">
        <v>57</v>
      </c>
      <c r="Y25" s="98">
        <v>1</v>
      </c>
      <c r="Z25" s="98">
        <v>1</v>
      </c>
      <c r="AA25" s="98">
        <v>1</v>
      </c>
      <c r="AB25" s="98">
        <v>1</v>
      </c>
      <c r="AC25" s="98">
        <v>1</v>
      </c>
      <c r="AD25" s="98">
        <v>1</v>
      </c>
      <c r="AE25" s="98" t="s">
        <v>57</v>
      </c>
      <c r="AF25" s="98">
        <v>1</v>
      </c>
      <c r="AG25" s="98">
        <v>1</v>
      </c>
      <c r="AH25" s="107" t="s">
        <v>58</v>
      </c>
      <c r="AI25" s="99">
        <v>1</v>
      </c>
      <c r="AJ25" s="84">
        <v>27</v>
      </c>
      <c r="AK25" s="85">
        <f t="shared" si="5"/>
        <v>19</v>
      </c>
      <c r="AL25" s="85">
        <f t="shared" si="6"/>
        <v>3</v>
      </c>
      <c r="AM25" s="86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8">
        <f>SUM(AJ7:AJ25)</f>
        <v>577</v>
      </c>
      <c r="AK26" s="70">
        <f t="shared" ref="AK26:AM26" si="8">SUM(AK7:AK25)</f>
        <v>363</v>
      </c>
      <c r="AL26" s="70">
        <f t="shared" si="8"/>
        <v>172</v>
      </c>
      <c r="AM26" s="76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3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3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3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3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3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3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3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8">
        <f>SUM(AJ27:AJ33)</f>
        <v>217</v>
      </c>
      <c r="AK34" s="70">
        <f>SUM(AK27:AK33)</f>
        <v>135</v>
      </c>
      <c r="AL34" s="70">
        <f>SUM(AL27:AL33)</f>
        <v>52</v>
      </c>
      <c r="AM34" s="76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3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3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3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8">
        <f>SUM(AJ35:AJ37)</f>
        <v>93</v>
      </c>
      <c r="AK38" s="70">
        <f>SUM(AK35:AK37)</f>
        <v>47</v>
      </c>
      <c r="AL38" s="70">
        <f>SUM(AL35:AL37)</f>
        <v>31</v>
      </c>
      <c r="AM38" s="76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3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3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8">
        <f>SUM(AJ39:AJ40)</f>
        <v>62</v>
      </c>
      <c r="AK41" s="70">
        <f>SUM(AK39:AK40)</f>
        <v>0</v>
      </c>
      <c r="AL41" s="70">
        <f>SUM(AL39:AL40)</f>
        <v>62</v>
      </c>
      <c r="AM41" s="76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3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8">
        <f>SUM(AJ42)</f>
        <v>31</v>
      </c>
      <c r="AK43" s="70">
        <f>SUM(AK42)</f>
        <v>0</v>
      </c>
      <c r="AL43" s="70">
        <f>SUM(AL42)</f>
        <v>31</v>
      </c>
      <c r="AM43" s="76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3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3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3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8">
        <f>SUM(AJ44:AJ46)</f>
        <v>93</v>
      </c>
      <c r="AK47" s="70">
        <f>SUM(AK44:AK46)</f>
        <v>44</v>
      </c>
      <c r="AL47" s="70">
        <f>SUM(AL44:AL46)</f>
        <v>41</v>
      </c>
      <c r="AM47" s="76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3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3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3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3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3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3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3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8">
        <f>SUM(AJ48:AJ54)</f>
        <v>217</v>
      </c>
      <c r="AK55" s="70">
        <f>SUM(AK48:AK54)</f>
        <v>190</v>
      </c>
      <c r="AL55" s="70">
        <f>SUM(AL48:AL54)</f>
        <v>16</v>
      </c>
      <c r="AM55" s="76">
        <f>SUM(AM48:AM54)</f>
        <v>11</v>
      </c>
    </row>
    <row r="56" spans="1:39" ht="16.3" thickBot="1" x14ac:dyDescent="0.3">
      <c r="A56" s="117">
        <f>A54+1</f>
        <v>45</v>
      </c>
      <c r="B56" s="118" t="s">
        <v>43</v>
      </c>
      <c r="C56" s="119" t="s">
        <v>45</v>
      </c>
      <c r="D56" s="120">
        <v>1252</v>
      </c>
      <c r="E56" s="121" t="s">
        <v>58</v>
      </c>
      <c r="F56" s="122" t="s">
        <v>58</v>
      </c>
      <c r="G56" s="122" t="s">
        <v>58</v>
      </c>
      <c r="H56" s="122" t="s">
        <v>58</v>
      </c>
      <c r="I56" s="122" t="s">
        <v>58</v>
      </c>
      <c r="J56" s="122" t="s">
        <v>58</v>
      </c>
      <c r="K56" s="122" t="s">
        <v>58</v>
      </c>
      <c r="L56" s="122" t="s">
        <v>58</v>
      </c>
      <c r="M56" s="122" t="s">
        <v>58</v>
      </c>
      <c r="N56" s="122" t="s">
        <v>58</v>
      </c>
      <c r="O56" s="122" t="s">
        <v>58</v>
      </c>
      <c r="P56" s="122" t="s">
        <v>57</v>
      </c>
      <c r="Q56" s="122">
        <v>1</v>
      </c>
      <c r="R56" s="122">
        <v>1</v>
      </c>
      <c r="S56" s="122">
        <v>1</v>
      </c>
      <c r="T56" s="122">
        <v>1</v>
      </c>
      <c r="U56" s="122" t="s">
        <v>58</v>
      </c>
      <c r="V56" s="122" t="s">
        <v>58</v>
      </c>
      <c r="W56" s="122">
        <v>1</v>
      </c>
      <c r="X56" s="122" t="s">
        <v>58</v>
      </c>
      <c r="Y56" s="122" t="s">
        <v>58</v>
      </c>
      <c r="Z56" s="122">
        <v>1</v>
      </c>
      <c r="AA56" s="122" t="s">
        <v>58</v>
      </c>
      <c r="AB56" s="122">
        <v>1</v>
      </c>
      <c r="AC56" s="122">
        <v>1</v>
      </c>
      <c r="AD56" s="122">
        <v>1</v>
      </c>
      <c r="AE56" s="122">
        <v>1</v>
      </c>
      <c r="AF56" s="122">
        <v>1</v>
      </c>
      <c r="AG56" s="122">
        <v>1</v>
      </c>
      <c r="AH56" s="122">
        <v>1</v>
      </c>
      <c r="AI56" s="122">
        <v>1</v>
      </c>
      <c r="AJ56" s="123">
        <f>АХД</f>
        <v>31</v>
      </c>
      <c r="AK56" s="124">
        <f>COUNTIF(E56:AI56,1)</f>
        <v>14</v>
      </c>
      <c r="AL56" s="124">
        <f>COUNTIF(E56:AI56,"тр")</f>
        <v>16</v>
      </c>
      <c r="AM56" s="125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8">
        <f>SUM(AJ56:AJ56)</f>
        <v>31</v>
      </c>
      <c r="AK57" s="70">
        <f>SUM(AK56:AK56)</f>
        <v>14</v>
      </c>
      <c r="AL57" s="70">
        <f>SUM(AL56:AL56)</f>
        <v>16</v>
      </c>
      <c r="AM57" s="76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3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3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8">
        <f>SUM(AJ58:AJ59)</f>
        <v>62</v>
      </c>
      <c r="AK60" s="70">
        <f>SUM(AK58:AK59)</f>
        <v>62</v>
      </c>
      <c r="AL60" s="70">
        <f>SUM(AL58:AL59)</f>
        <v>0</v>
      </c>
      <c r="AM60" s="76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2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26"/>
      <c r="C63" s="126"/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  <c r="AH63" s="126"/>
      <c r="AI63" s="126"/>
      <c r="AJ63" s="126"/>
      <c r="AK63" s="126"/>
      <c r="AL63" s="126"/>
      <c r="AM63" s="126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8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8">
        <v>1</v>
      </c>
      <c r="B65" s="109" t="s">
        <v>54</v>
      </c>
      <c r="C65" s="116">
        <v>176</v>
      </c>
      <c r="D65" s="111">
        <v>6172</v>
      </c>
      <c r="E65" s="92">
        <v>1</v>
      </c>
      <c r="F65" s="93">
        <v>1</v>
      </c>
      <c r="G65" s="93">
        <v>1</v>
      </c>
      <c r="H65" s="93">
        <v>1</v>
      </c>
      <c r="I65" s="93">
        <v>1</v>
      </c>
      <c r="J65" s="93">
        <v>1</v>
      </c>
      <c r="K65" s="93">
        <v>1</v>
      </c>
      <c r="L65" s="93">
        <v>1</v>
      </c>
      <c r="M65" s="93">
        <v>1</v>
      </c>
      <c r="N65" s="93">
        <v>1</v>
      </c>
      <c r="O65" s="93">
        <v>1</v>
      </c>
      <c r="P65" s="93">
        <v>1</v>
      </c>
      <c r="Q65" s="93">
        <v>1</v>
      </c>
      <c r="R65" s="93">
        <v>1</v>
      </c>
      <c r="S65" s="93">
        <v>1</v>
      </c>
      <c r="T65" s="93">
        <v>1</v>
      </c>
      <c r="U65" s="93">
        <v>1</v>
      </c>
      <c r="V65" s="93">
        <v>1</v>
      </c>
      <c r="W65" s="93">
        <v>1</v>
      </c>
      <c r="X65" s="93">
        <v>1</v>
      </c>
      <c r="Y65" s="93">
        <v>1</v>
      </c>
      <c r="Z65" s="93">
        <v>1</v>
      </c>
      <c r="AA65" s="93">
        <v>1</v>
      </c>
      <c r="AB65" s="93">
        <v>1</v>
      </c>
      <c r="AC65" s="93">
        <v>1</v>
      </c>
      <c r="AD65" s="93">
        <v>1</v>
      </c>
      <c r="AE65" s="93">
        <v>1</v>
      </c>
      <c r="AF65" s="93">
        <v>1</v>
      </c>
      <c r="AG65" s="93">
        <v>1</v>
      </c>
      <c r="AH65" s="93">
        <v>1</v>
      </c>
      <c r="AI65" s="94">
        <v>1</v>
      </c>
      <c r="AJ65" s="73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6">
        <v>1</v>
      </c>
      <c r="AJ66" s="83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12">
        <f>A66+1</f>
        <v>3</v>
      </c>
      <c r="B67" s="113" t="s">
        <v>43</v>
      </c>
      <c r="C67" s="114" t="s">
        <v>44</v>
      </c>
      <c r="D67" s="115">
        <v>1250</v>
      </c>
      <c r="E67" s="97" t="s">
        <v>57</v>
      </c>
      <c r="F67" s="98">
        <v>1</v>
      </c>
      <c r="G67" s="98">
        <v>1</v>
      </c>
      <c r="H67" s="98">
        <v>1</v>
      </c>
      <c r="I67" s="98" t="s">
        <v>57</v>
      </c>
      <c r="J67" s="98" t="s">
        <v>57</v>
      </c>
      <c r="K67" s="98" t="s">
        <v>57</v>
      </c>
      <c r="L67" s="98">
        <v>1</v>
      </c>
      <c r="M67" s="98">
        <v>1</v>
      </c>
      <c r="N67" s="98">
        <v>1</v>
      </c>
      <c r="O67" s="98">
        <v>1</v>
      </c>
      <c r="P67" s="98" t="s">
        <v>57</v>
      </c>
      <c r="Q67" s="98" t="s">
        <v>57</v>
      </c>
      <c r="R67" s="98" t="s">
        <v>57</v>
      </c>
      <c r="S67" s="98" t="s">
        <v>57</v>
      </c>
      <c r="T67" s="98" t="s">
        <v>57</v>
      </c>
      <c r="U67" s="98">
        <v>1</v>
      </c>
      <c r="V67" s="98">
        <v>1</v>
      </c>
      <c r="W67" s="98">
        <v>1</v>
      </c>
      <c r="X67" s="98">
        <v>1</v>
      </c>
      <c r="Y67" s="98">
        <v>1</v>
      </c>
      <c r="Z67" s="98">
        <v>1</v>
      </c>
      <c r="AA67" s="98">
        <v>1</v>
      </c>
      <c r="AB67" s="98">
        <v>1</v>
      </c>
      <c r="AC67" s="98">
        <v>1</v>
      </c>
      <c r="AD67" s="98" t="s">
        <v>57</v>
      </c>
      <c r="AE67" s="98" t="s">
        <v>57</v>
      </c>
      <c r="AF67" s="98" t="s">
        <v>57</v>
      </c>
      <c r="AG67" s="98">
        <v>1</v>
      </c>
      <c r="AH67" s="98" t="s">
        <v>57</v>
      </c>
      <c r="AI67" s="99" t="s">
        <v>57</v>
      </c>
      <c r="AJ67" s="74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8">
        <f>SUM(AJ65:AJ67)</f>
        <v>93</v>
      </c>
      <c r="AK68" s="70">
        <f t="shared" ref="AK68:AM68" si="17">SUM(AK65:AK67)</f>
        <v>79</v>
      </c>
      <c r="AL68" s="70">
        <f t="shared" si="17"/>
        <v>0</v>
      </c>
      <c r="AM68" s="76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7">
        <f>AJ68</f>
        <v>93</v>
      </c>
    </row>
    <row r="71" spans="1:39" x14ac:dyDescent="0.25">
      <c r="B71" s="3" t="s">
        <v>75</v>
      </c>
      <c r="E71" s="89"/>
      <c r="F71" s="89"/>
      <c r="G71" s="89"/>
      <c r="H71" s="89"/>
      <c r="I71" s="89"/>
      <c r="J71" s="89"/>
      <c r="K71" s="89"/>
      <c r="L71" s="89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J71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2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</row>
    <row r="2" spans="1:36" ht="16.3" thickBot="1" x14ac:dyDescent="0.3">
      <c r="A2" s="23"/>
      <c r="B2" s="23"/>
      <c r="C2" s="75">
        <v>28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7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3">
        <f>АХД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4">
        <f>АХД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78">
        <f>SUM(AG4:AG5)</f>
        <v>56</v>
      </c>
      <c r="AH6" s="71">
        <f>SUM(AH4:AH5)</f>
        <v>0</v>
      </c>
      <c r="AI6" s="71">
        <f>SUM(AI4:AI5)</f>
        <v>56</v>
      </c>
      <c r="AJ6" s="72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101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94" t="s">
        <v>58</v>
      </c>
      <c r="AG7" s="103">
        <f t="shared" ref="AG7:AG25" si="0">АХД</f>
        <v>28</v>
      </c>
      <c r="AH7" s="81">
        <f t="shared" ref="AH7:AH25" si="1">COUNTIF(E7:AF7,1)</f>
        <v>0</v>
      </c>
      <c r="AI7" s="81">
        <f t="shared" ref="AI7:AI25" si="2">COUNTIF(E7:AF7,"тр")</f>
        <v>28</v>
      </c>
      <c r="AJ7" s="82">
        <f t="shared" ref="AJ7:AJ25" si="3">COUNTIF(E7:AF7,"бв")</f>
        <v>0</v>
      </c>
    </row>
    <row r="8" spans="1:36" x14ac:dyDescent="0.25">
      <c r="A8" s="11">
        <f t="shared" ref="A8:A59" si="4">A7+1</f>
        <v>4</v>
      </c>
      <c r="B8" s="12" t="s">
        <v>53</v>
      </c>
      <c r="C8" s="13" t="s">
        <v>4</v>
      </c>
      <c r="D8" s="90">
        <v>6982</v>
      </c>
      <c r="E8" s="95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96"/>
      <c r="AG8" s="100">
        <f t="shared" si="0"/>
        <v>28</v>
      </c>
      <c r="AH8" s="54">
        <f t="shared" si="1"/>
        <v>6</v>
      </c>
      <c r="AI8" s="54">
        <f t="shared" si="2"/>
        <v>0</v>
      </c>
      <c r="AJ8" s="55">
        <f t="shared" si="3"/>
        <v>1</v>
      </c>
    </row>
    <row r="9" spans="1:36" x14ac:dyDescent="0.25">
      <c r="A9" s="11">
        <f t="shared" si="4"/>
        <v>5</v>
      </c>
      <c r="B9" s="12" t="s">
        <v>53</v>
      </c>
      <c r="C9" s="13" t="s">
        <v>5</v>
      </c>
      <c r="D9" s="90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96" t="s">
        <v>58</v>
      </c>
      <c r="AG9" s="100">
        <f t="shared" si="0"/>
        <v>28</v>
      </c>
      <c r="AH9" s="54">
        <f t="shared" si="1"/>
        <v>0</v>
      </c>
      <c r="AI9" s="54">
        <f t="shared" si="2"/>
        <v>28</v>
      </c>
      <c r="AJ9" s="55">
        <f t="shared" si="3"/>
        <v>0</v>
      </c>
    </row>
    <row r="10" spans="1:36" x14ac:dyDescent="0.25">
      <c r="A10" s="11">
        <f t="shared" si="4"/>
        <v>6</v>
      </c>
      <c r="B10" s="12" t="s">
        <v>53</v>
      </c>
      <c r="C10" s="13" t="s">
        <v>6</v>
      </c>
      <c r="D10" s="102" t="s">
        <v>50</v>
      </c>
      <c r="E10" s="95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96"/>
      <c r="AG10" s="100">
        <f t="shared" si="0"/>
        <v>28</v>
      </c>
      <c r="AH10" s="54">
        <f t="shared" si="1"/>
        <v>6</v>
      </c>
      <c r="AI10" s="54">
        <f t="shared" si="2"/>
        <v>1</v>
      </c>
      <c r="AJ10" s="55">
        <f t="shared" si="3"/>
        <v>0</v>
      </c>
    </row>
    <row r="11" spans="1:36" x14ac:dyDescent="0.25">
      <c r="A11" s="11">
        <f t="shared" si="4"/>
        <v>7</v>
      </c>
      <c r="B11" s="12" t="s">
        <v>53</v>
      </c>
      <c r="C11" s="13" t="s">
        <v>7</v>
      </c>
      <c r="D11" s="90">
        <v>1291</v>
      </c>
      <c r="E11" s="9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96"/>
      <c r="AG11" s="100">
        <f t="shared" si="0"/>
        <v>28</v>
      </c>
      <c r="AH11" s="54">
        <f t="shared" si="1"/>
        <v>7</v>
      </c>
      <c r="AI11" s="54">
        <f t="shared" si="2"/>
        <v>0</v>
      </c>
      <c r="AJ11" s="55">
        <f t="shared" si="3"/>
        <v>0</v>
      </c>
    </row>
    <row r="12" spans="1:36" x14ac:dyDescent="0.25">
      <c r="A12" s="11">
        <f t="shared" si="4"/>
        <v>8</v>
      </c>
      <c r="B12" s="12" t="s">
        <v>53</v>
      </c>
      <c r="C12" s="13" t="s">
        <v>8</v>
      </c>
      <c r="D12" s="90">
        <v>6850</v>
      </c>
      <c r="E12" s="95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96"/>
      <c r="AG12" s="100">
        <f t="shared" si="0"/>
        <v>28</v>
      </c>
      <c r="AH12" s="54">
        <f t="shared" si="1"/>
        <v>5</v>
      </c>
      <c r="AI12" s="54">
        <f t="shared" si="2"/>
        <v>0</v>
      </c>
      <c r="AJ12" s="55">
        <f t="shared" si="3"/>
        <v>2</v>
      </c>
    </row>
    <row r="13" spans="1:36" x14ac:dyDescent="0.25">
      <c r="A13" s="11">
        <f t="shared" si="4"/>
        <v>9</v>
      </c>
      <c r="B13" s="12" t="s">
        <v>53</v>
      </c>
      <c r="C13" s="13" t="s">
        <v>9</v>
      </c>
      <c r="D13" s="90">
        <v>7540</v>
      </c>
      <c r="E13" s="95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96"/>
      <c r="AG13" s="100">
        <f t="shared" si="0"/>
        <v>28</v>
      </c>
      <c r="AH13" s="54">
        <f t="shared" si="1"/>
        <v>4</v>
      </c>
      <c r="AI13" s="54">
        <f t="shared" si="2"/>
        <v>0</v>
      </c>
      <c r="AJ13" s="55">
        <f t="shared" si="3"/>
        <v>3</v>
      </c>
    </row>
    <row r="14" spans="1:36" x14ac:dyDescent="0.25">
      <c r="A14" s="11">
        <f t="shared" si="4"/>
        <v>10</v>
      </c>
      <c r="B14" s="12" t="s">
        <v>53</v>
      </c>
      <c r="C14" s="13" t="s">
        <v>10</v>
      </c>
      <c r="D14" s="90">
        <v>4729</v>
      </c>
      <c r="E14" s="95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96"/>
      <c r="AG14" s="100">
        <f t="shared" si="0"/>
        <v>28</v>
      </c>
      <c r="AH14" s="54">
        <f t="shared" si="1"/>
        <v>6</v>
      </c>
      <c r="AI14" s="54">
        <f t="shared" si="2"/>
        <v>1</v>
      </c>
      <c r="AJ14" s="55">
        <f t="shared" si="3"/>
        <v>0</v>
      </c>
    </row>
    <row r="15" spans="1:36" x14ac:dyDescent="0.25">
      <c r="A15" s="11">
        <f t="shared" si="4"/>
        <v>11</v>
      </c>
      <c r="B15" s="12" t="s">
        <v>53</v>
      </c>
      <c r="C15" s="13" t="s">
        <v>11</v>
      </c>
      <c r="D15" s="90">
        <v>4769</v>
      </c>
      <c r="E15" s="9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96"/>
      <c r="AG15" s="100">
        <f t="shared" si="0"/>
        <v>28</v>
      </c>
      <c r="AH15" s="54">
        <f t="shared" si="1"/>
        <v>7</v>
      </c>
      <c r="AI15" s="54">
        <f t="shared" si="2"/>
        <v>0</v>
      </c>
      <c r="AJ15" s="55">
        <f t="shared" si="3"/>
        <v>0</v>
      </c>
    </row>
    <row r="16" spans="1:36" x14ac:dyDescent="0.25">
      <c r="A16" s="11">
        <f t="shared" si="4"/>
        <v>12</v>
      </c>
      <c r="B16" s="12" t="s">
        <v>53</v>
      </c>
      <c r="C16" s="13" t="s">
        <v>12</v>
      </c>
      <c r="D16" s="90">
        <v>4730</v>
      </c>
      <c r="E16" s="95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96"/>
      <c r="AG16" s="100">
        <f t="shared" si="0"/>
        <v>28</v>
      </c>
      <c r="AH16" s="54">
        <f t="shared" si="1"/>
        <v>2</v>
      </c>
      <c r="AI16" s="54">
        <f t="shared" si="2"/>
        <v>5</v>
      </c>
      <c r="AJ16" s="55">
        <f t="shared" si="3"/>
        <v>0</v>
      </c>
    </row>
    <row r="17" spans="1:36" x14ac:dyDescent="0.25">
      <c r="A17" s="11">
        <f t="shared" si="4"/>
        <v>13</v>
      </c>
      <c r="B17" s="12" t="s">
        <v>53</v>
      </c>
      <c r="C17" s="13" t="s">
        <v>13</v>
      </c>
      <c r="D17" s="90">
        <v>1213</v>
      </c>
      <c r="E17" s="9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96"/>
      <c r="AG17" s="100">
        <f t="shared" si="0"/>
        <v>28</v>
      </c>
      <c r="AH17" s="54">
        <f t="shared" si="1"/>
        <v>7</v>
      </c>
      <c r="AI17" s="54">
        <f t="shared" si="2"/>
        <v>0</v>
      </c>
      <c r="AJ17" s="55">
        <f t="shared" si="3"/>
        <v>0</v>
      </c>
    </row>
    <row r="18" spans="1:36" x14ac:dyDescent="0.25">
      <c r="A18" s="11">
        <f t="shared" si="4"/>
        <v>14</v>
      </c>
      <c r="B18" s="12" t="s">
        <v>53</v>
      </c>
      <c r="C18" s="13" t="s">
        <v>14</v>
      </c>
      <c r="D18" s="90">
        <v>4189</v>
      </c>
      <c r="E18" s="95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96"/>
      <c r="AG18" s="100">
        <f t="shared" si="0"/>
        <v>28</v>
      </c>
      <c r="AH18" s="54">
        <f t="shared" si="1"/>
        <v>2</v>
      </c>
      <c r="AI18" s="54">
        <f t="shared" si="2"/>
        <v>2</v>
      </c>
      <c r="AJ18" s="55">
        <f t="shared" si="3"/>
        <v>3</v>
      </c>
    </row>
    <row r="19" spans="1:36" x14ac:dyDescent="0.25">
      <c r="A19" s="11">
        <f t="shared" si="4"/>
        <v>15</v>
      </c>
      <c r="B19" s="12" t="s">
        <v>53</v>
      </c>
      <c r="C19" s="13" t="s">
        <v>15</v>
      </c>
      <c r="D19" s="90">
        <v>3584</v>
      </c>
      <c r="E19" s="95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96"/>
      <c r="AG19" s="100">
        <f t="shared" si="0"/>
        <v>28</v>
      </c>
      <c r="AH19" s="54">
        <f t="shared" si="1"/>
        <v>6</v>
      </c>
      <c r="AI19" s="54">
        <f t="shared" si="2"/>
        <v>0</v>
      </c>
      <c r="AJ19" s="55">
        <f t="shared" si="3"/>
        <v>1</v>
      </c>
    </row>
    <row r="20" spans="1:36" x14ac:dyDescent="0.25">
      <c r="A20" s="11">
        <f t="shared" si="4"/>
        <v>16</v>
      </c>
      <c r="B20" s="12" t="s">
        <v>53</v>
      </c>
      <c r="C20" s="13" t="s">
        <v>16</v>
      </c>
      <c r="D20" s="90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96"/>
      <c r="AG20" s="100">
        <f t="shared" si="0"/>
        <v>28</v>
      </c>
      <c r="AH20" s="54">
        <f t="shared" si="1"/>
        <v>7</v>
      </c>
      <c r="AI20" s="54">
        <f t="shared" si="2"/>
        <v>0</v>
      </c>
      <c r="AJ20" s="55">
        <f t="shared" si="3"/>
        <v>0</v>
      </c>
    </row>
    <row r="21" spans="1:36" x14ac:dyDescent="0.25">
      <c r="A21" s="11">
        <f t="shared" si="4"/>
        <v>17</v>
      </c>
      <c r="B21" s="12" t="s">
        <v>53</v>
      </c>
      <c r="C21" s="13" t="s">
        <v>17</v>
      </c>
      <c r="D21" s="90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96"/>
      <c r="AG21" s="100">
        <f t="shared" si="0"/>
        <v>28</v>
      </c>
      <c r="AH21" s="54">
        <f t="shared" si="1"/>
        <v>7</v>
      </c>
      <c r="AI21" s="54">
        <f t="shared" si="2"/>
        <v>0</v>
      </c>
      <c r="AJ21" s="55">
        <f t="shared" si="3"/>
        <v>0</v>
      </c>
    </row>
    <row r="22" spans="1:36" x14ac:dyDescent="0.25">
      <c r="A22" s="11">
        <f t="shared" si="4"/>
        <v>18</v>
      </c>
      <c r="B22" s="12" t="s">
        <v>53</v>
      </c>
      <c r="C22" s="13" t="s">
        <v>18</v>
      </c>
      <c r="D22" s="90">
        <v>4302</v>
      </c>
      <c r="E22" s="95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96"/>
      <c r="AG22" s="104">
        <f t="shared" si="0"/>
        <v>28</v>
      </c>
      <c r="AH22" s="54">
        <f t="shared" si="1"/>
        <v>6</v>
      </c>
      <c r="AI22" s="54">
        <f t="shared" si="2"/>
        <v>0</v>
      </c>
      <c r="AJ22" s="55">
        <f t="shared" si="3"/>
        <v>1</v>
      </c>
    </row>
    <row r="23" spans="1:36" x14ac:dyDescent="0.25">
      <c r="A23" s="11">
        <f t="shared" si="4"/>
        <v>19</v>
      </c>
      <c r="B23" s="12" t="s">
        <v>53</v>
      </c>
      <c r="C23" s="13" t="s">
        <v>72</v>
      </c>
      <c r="D23" s="90" t="s">
        <v>69</v>
      </c>
      <c r="E23" s="95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96" t="s">
        <v>58</v>
      </c>
      <c r="AG23" s="104">
        <f t="shared" si="0"/>
        <v>28</v>
      </c>
      <c r="AH23" s="54">
        <f t="shared" si="1"/>
        <v>0</v>
      </c>
      <c r="AI23" s="54">
        <f t="shared" si="2"/>
        <v>27</v>
      </c>
      <c r="AJ23" s="55">
        <f t="shared" si="3"/>
        <v>1</v>
      </c>
    </row>
    <row r="24" spans="1:36" x14ac:dyDescent="0.25">
      <c r="A24" s="11">
        <f t="shared" si="4"/>
        <v>20</v>
      </c>
      <c r="B24" s="12" t="s">
        <v>53</v>
      </c>
      <c r="C24" s="13" t="s">
        <v>73</v>
      </c>
      <c r="D24" s="90" t="s">
        <v>70</v>
      </c>
      <c r="E24" s="9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96"/>
      <c r="AG24" s="104">
        <f t="shared" si="0"/>
        <v>28</v>
      </c>
      <c r="AH24" s="54">
        <f t="shared" si="1"/>
        <v>6</v>
      </c>
      <c r="AI24" s="54">
        <f t="shared" si="2"/>
        <v>0</v>
      </c>
      <c r="AJ24" s="55">
        <f t="shared" si="3"/>
        <v>1</v>
      </c>
    </row>
    <row r="25" spans="1:36" ht="16.3" thickBot="1" x14ac:dyDescent="0.3">
      <c r="A25" s="44">
        <f t="shared" si="4"/>
        <v>21</v>
      </c>
      <c r="B25" s="39" t="s">
        <v>53</v>
      </c>
      <c r="C25" s="40" t="s">
        <v>74</v>
      </c>
      <c r="D25" s="91" t="s">
        <v>71</v>
      </c>
      <c r="E25" s="97">
        <v>1</v>
      </c>
      <c r="F25" s="98">
        <v>1</v>
      </c>
      <c r="G25" s="98">
        <v>1</v>
      </c>
      <c r="H25" s="98">
        <v>1</v>
      </c>
      <c r="I25" s="98">
        <v>1</v>
      </c>
      <c r="J25" s="98">
        <v>1</v>
      </c>
      <c r="K25" s="98">
        <v>1</v>
      </c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9"/>
      <c r="AG25" s="105">
        <f t="shared" si="0"/>
        <v>28</v>
      </c>
      <c r="AH25" s="85">
        <f t="shared" si="1"/>
        <v>7</v>
      </c>
      <c r="AI25" s="85">
        <f t="shared" si="2"/>
        <v>0</v>
      </c>
      <c r="AJ25" s="86">
        <f t="shared" si="3"/>
        <v>0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78">
        <f>SUM(AG7:AG25)</f>
        <v>532</v>
      </c>
      <c r="AH26" s="70">
        <f t="shared" ref="AH26:AJ26" si="5">SUM(AH7:AH25)</f>
        <v>91</v>
      </c>
      <c r="AI26" s="70">
        <f t="shared" si="5"/>
        <v>92</v>
      </c>
      <c r="AJ26" s="76">
        <f t="shared" si="5"/>
        <v>13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73">
        <f t="shared" ref="AG27:AG33" si="6">АХД</f>
        <v>28</v>
      </c>
      <c r="AH27" s="17">
        <f t="shared" ref="AH27:AH33" si="7">COUNTIF(E27:AF27,1)</f>
        <v>2</v>
      </c>
      <c r="AI27" s="17">
        <f t="shared" ref="AI27:AI33" si="8">COUNTIF(E27:AF27,"тр")</f>
        <v>3</v>
      </c>
      <c r="AJ27" s="18">
        <f t="shared" ref="AJ27:AJ33" si="9">COUNTIF(E27:AF27,"бв")</f>
        <v>2</v>
      </c>
    </row>
    <row r="28" spans="1:36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73">
        <f t="shared" si="6"/>
        <v>28</v>
      </c>
      <c r="AH28" s="54">
        <f t="shared" si="7"/>
        <v>0</v>
      </c>
      <c r="AI28" s="54">
        <f t="shared" si="8"/>
        <v>28</v>
      </c>
      <c r="AJ28" s="55">
        <f t="shared" si="9"/>
        <v>0</v>
      </c>
    </row>
    <row r="29" spans="1:36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73">
        <f t="shared" si="6"/>
        <v>28</v>
      </c>
      <c r="AH29" s="54">
        <f t="shared" si="7"/>
        <v>5</v>
      </c>
      <c r="AI29" s="54">
        <f t="shared" si="8"/>
        <v>0</v>
      </c>
      <c r="AJ29" s="55">
        <f t="shared" si="9"/>
        <v>2</v>
      </c>
    </row>
    <row r="30" spans="1:36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73">
        <f t="shared" si="6"/>
        <v>28</v>
      </c>
      <c r="AH30" s="54">
        <f t="shared" si="7"/>
        <v>3</v>
      </c>
      <c r="AI30" s="54">
        <f t="shared" si="8"/>
        <v>0</v>
      </c>
      <c r="AJ30" s="55">
        <f t="shared" si="9"/>
        <v>4</v>
      </c>
    </row>
    <row r="31" spans="1:36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73">
        <f t="shared" si="6"/>
        <v>28</v>
      </c>
      <c r="AH31" s="54">
        <f t="shared" si="7"/>
        <v>7</v>
      </c>
      <c r="AI31" s="54">
        <f t="shared" si="8"/>
        <v>0</v>
      </c>
      <c r="AJ31" s="55">
        <f t="shared" si="9"/>
        <v>0</v>
      </c>
    </row>
    <row r="32" spans="1:36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73">
        <f t="shared" si="6"/>
        <v>28</v>
      </c>
      <c r="AH32" s="54">
        <f t="shared" si="7"/>
        <v>5</v>
      </c>
      <c r="AI32" s="54">
        <f t="shared" si="8"/>
        <v>0</v>
      </c>
      <c r="AJ32" s="55">
        <f t="shared" si="9"/>
        <v>2</v>
      </c>
    </row>
    <row r="33" spans="1:36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73">
        <f t="shared" si="6"/>
        <v>28</v>
      </c>
      <c r="AH33" s="56">
        <f t="shared" si="7"/>
        <v>7</v>
      </c>
      <c r="AI33" s="56">
        <f t="shared" si="8"/>
        <v>0</v>
      </c>
      <c r="AJ33" s="57">
        <f t="shared" si="9"/>
        <v>0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78">
        <f>SUM(AG27:AG33)</f>
        <v>196</v>
      </c>
      <c r="AH34" s="70">
        <f>SUM(AH27:AH33)</f>
        <v>29</v>
      </c>
      <c r="AI34" s="70">
        <f>SUM(AI27:AI33)</f>
        <v>31</v>
      </c>
      <c r="AJ34" s="76">
        <f>SUM(AJ27:AJ33)</f>
        <v>10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73">
        <f>АХД</f>
        <v>28</v>
      </c>
      <c r="AH35" s="17">
        <f>COUNTIF(E35:AF35,1)</f>
        <v>5</v>
      </c>
      <c r="AI35" s="17">
        <f>COUNTIF(E35:AF35,"тр")</f>
        <v>0</v>
      </c>
      <c r="AJ35" s="18">
        <f>COUNTIF(E35:AF35,"бв")</f>
        <v>2</v>
      </c>
    </row>
    <row r="36" spans="1:36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73">
        <f>АХД</f>
        <v>28</v>
      </c>
      <c r="AH36" s="54">
        <f>COUNTIF(E36:AF36,1)</f>
        <v>3</v>
      </c>
      <c r="AI36" s="54">
        <f>COUNTIF(E36:AF36,"тр")</f>
        <v>0</v>
      </c>
      <c r="AJ36" s="55">
        <f>COUNTIF(E36:AF36,"бв")</f>
        <v>4</v>
      </c>
    </row>
    <row r="37" spans="1:36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3">
        <f>АХД</f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8">
        <f>SUM(AG35:AG37)</f>
        <v>84</v>
      </c>
      <c r="AH38" s="70">
        <f>SUM(AH35:AH37)</f>
        <v>8</v>
      </c>
      <c r="AI38" s="70">
        <f>SUM(AI35:AI37)</f>
        <v>28</v>
      </c>
      <c r="AJ38" s="76">
        <f>SUM(AJ35:AJ37)</f>
        <v>6</v>
      </c>
    </row>
    <row r="39" spans="1:36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73">
        <f>АХД</f>
        <v>28</v>
      </c>
      <c r="AH39" s="17">
        <f>COUNTIF(E39:AF39,1)</f>
        <v>0</v>
      </c>
      <c r="AI39" s="17">
        <f>COUNTIF(E39:AF39,"тр")</f>
        <v>28</v>
      </c>
      <c r="AJ39" s="18">
        <f>COUNTIF(E39:AF39,"бв")</f>
        <v>0</v>
      </c>
    </row>
    <row r="40" spans="1:36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73">
        <f>АХД</f>
        <v>28</v>
      </c>
      <c r="AH40" s="56">
        <f>COUNTIF(E40:AF40,1)</f>
        <v>0</v>
      </c>
      <c r="AI40" s="56">
        <f>COUNTIF(E40:AF40,"тр")</f>
        <v>28</v>
      </c>
      <c r="AJ40" s="57">
        <f>COUNTIF(E40:AF40,"бв")</f>
        <v>0</v>
      </c>
    </row>
    <row r="41" spans="1:36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78">
        <f>SUM(AG39:AG40)</f>
        <v>56</v>
      </c>
      <c r="AH41" s="70">
        <f>SUM(AH39:AH40)</f>
        <v>0</v>
      </c>
      <c r="AI41" s="70">
        <f>SUM(AI39:AI40)</f>
        <v>56</v>
      </c>
      <c r="AJ41" s="76">
        <f>SUM(AJ39:AJ40)</f>
        <v>0</v>
      </c>
    </row>
    <row r="42" spans="1:36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73">
        <f>АХД</f>
        <v>28</v>
      </c>
      <c r="AH42" s="19">
        <f>COUNTIF(E42:AF42,1)</f>
        <v>0</v>
      </c>
      <c r="AI42" s="19">
        <f>COUNTIF(E42:AF42,"тр")</f>
        <v>28</v>
      </c>
      <c r="AJ42" s="20">
        <f>COUNTIF(E42:AF42,"бв")</f>
        <v>0</v>
      </c>
    </row>
    <row r="43" spans="1:36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78">
        <f>SUM(AG42)</f>
        <v>28</v>
      </c>
      <c r="AH43" s="70">
        <f>SUM(AH42)</f>
        <v>0</v>
      </c>
      <c r="AI43" s="70">
        <f>SUM(AI42)</f>
        <v>28</v>
      </c>
      <c r="AJ43" s="76">
        <f>SUM(AJ42)</f>
        <v>0</v>
      </c>
    </row>
    <row r="44" spans="1:36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>
        <v>1</v>
      </c>
      <c r="G44" s="35" t="s">
        <v>57</v>
      </c>
      <c r="H44" s="35">
        <v>1</v>
      </c>
      <c r="I44" s="35">
        <v>1</v>
      </c>
      <c r="J44" s="35">
        <v>1</v>
      </c>
      <c r="K44" s="35">
        <v>1</v>
      </c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73">
        <f>АХД</f>
        <v>28</v>
      </c>
      <c r="AH44" s="17">
        <f>COUNTIF(E44:AF44,1)</f>
        <v>5</v>
      </c>
      <c r="AI44" s="17">
        <f>COUNTIF(E44:AF44,"тр")</f>
        <v>1</v>
      </c>
      <c r="AJ44" s="18">
        <f>COUNTIF(E44:AF44,"бв")</f>
        <v>1</v>
      </c>
    </row>
    <row r="45" spans="1:36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>
        <v>1</v>
      </c>
      <c r="F45" s="7">
        <v>1</v>
      </c>
      <c r="G45" s="7" t="s">
        <v>57</v>
      </c>
      <c r="H45" s="5">
        <v>1</v>
      </c>
      <c r="I45" s="5">
        <v>1</v>
      </c>
      <c r="J45" s="5">
        <v>1</v>
      </c>
      <c r="K45" s="5">
        <v>1</v>
      </c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73">
        <f>АХД</f>
        <v>28</v>
      </c>
      <c r="AH45" s="54">
        <f>COUNTIF(E45:AF45,1)</f>
        <v>6</v>
      </c>
      <c r="AI45" s="54">
        <f>COUNTIF(E45:AF45,"тр")</f>
        <v>0</v>
      </c>
      <c r="AJ45" s="55">
        <f>COUNTIF(E45:AF45,"бв")</f>
        <v>1</v>
      </c>
    </row>
    <row r="46" spans="1:36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58</v>
      </c>
      <c r="F46" s="43" t="s">
        <v>58</v>
      </c>
      <c r="G46" s="43" t="s">
        <v>58</v>
      </c>
      <c r="H46" s="42" t="s">
        <v>58</v>
      </c>
      <c r="I46" s="42" t="s">
        <v>58</v>
      </c>
      <c r="J46" s="42" t="s">
        <v>58</v>
      </c>
      <c r="K46" s="42" t="s">
        <v>58</v>
      </c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73">
        <f>АХД</f>
        <v>28</v>
      </c>
      <c r="AH46" s="56">
        <f>COUNTIF(E46:AF46,1)</f>
        <v>0</v>
      </c>
      <c r="AI46" s="56">
        <f>COUNTIF(E46:AF46,"тр")</f>
        <v>7</v>
      </c>
      <c r="AJ46" s="57">
        <f>COUNTIF(E46:AF46,"бв")</f>
        <v>0</v>
      </c>
    </row>
    <row r="47" spans="1:36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78">
        <f>SUM(AG44:AG46)</f>
        <v>84</v>
      </c>
      <c r="AH47" s="70">
        <f>SUM(AH44:AH46)</f>
        <v>11</v>
      </c>
      <c r="AI47" s="70">
        <f>SUM(AI44:AI46)</f>
        <v>8</v>
      </c>
      <c r="AJ47" s="76">
        <f>SUM(AJ44:AJ46)</f>
        <v>2</v>
      </c>
    </row>
    <row r="48" spans="1:36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73">
        <f t="shared" ref="AG48:AG54" si="10">АХД</f>
        <v>28</v>
      </c>
      <c r="AH48" s="17">
        <f t="shared" ref="AH48:AH54" si="11">COUNTIF(E48:AF48,1)</f>
        <v>7</v>
      </c>
      <c r="AI48" s="17">
        <f t="shared" ref="AI48:AI54" si="12">COUNTIF(E48:AF48,"тр")</f>
        <v>0</v>
      </c>
      <c r="AJ48" s="18">
        <f t="shared" ref="AJ48:AJ54" si="13">COUNTIF(E48:AF48,"бв")</f>
        <v>0</v>
      </c>
    </row>
    <row r="49" spans="1:36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73">
        <f t="shared" si="10"/>
        <v>28</v>
      </c>
      <c r="AH49" s="54">
        <f t="shared" si="11"/>
        <v>7</v>
      </c>
      <c r="AI49" s="54">
        <f t="shared" si="12"/>
        <v>0</v>
      </c>
      <c r="AJ49" s="55">
        <f t="shared" si="13"/>
        <v>0</v>
      </c>
    </row>
    <row r="50" spans="1:36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 t="s">
        <v>57</v>
      </c>
      <c r="H50" s="5">
        <v>1</v>
      </c>
      <c r="I50" s="5">
        <v>1</v>
      </c>
      <c r="J50" s="5">
        <v>1</v>
      </c>
      <c r="K50" s="5">
        <v>1</v>
      </c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73">
        <f t="shared" si="10"/>
        <v>28</v>
      </c>
      <c r="AH50" s="54">
        <f t="shared" si="11"/>
        <v>6</v>
      </c>
      <c r="AI50" s="54">
        <f t="shared" si="12"/>
        <v>0</v>
      </c>
      <c r="AJ50" s="55">
        <f t="shared" si="13"/>
        <v>1</v>
      </c>
    </row>
    <row r="51" spans="1:36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73">
        <f t="shared" si="10"/>
        <v>28</v>
      </c>
      <c r="AH51" s="54">
        <f t="shared" si="11"/>
        <v>7</v>
      </c>
      <c r="AI51" s="54">
        <f t="shared" si="12"/>
        <v>0</v>
      </c>
      <c r="AJ51" s="55">
        <f t="shared" si="13"/>
        <v>0</v>
      </c>
    </row>
    <row r="52" spans="1:36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 t="s">
        <v>57</v>
      </c>
      <c r="I52" s="5">
        <v>1</v>
      </c>
      <c r="J52" s="5">
        <v>1</v>
      </c>
      <c r="K52" s="5">
        <v>1</v>
      </c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73">
        <f t="shared" si="10"/>
        <v>28</v>
      </c>
      <c r="AH52" s="54">
        <f t="shared" si="11"/>
        <v>6</v>
      </c>
      <c r="AI52" s="54">
        <f t="shared" si="12"/>
        <v>0</v>
      </c>
      <c r="AJ52" s="55">
        <f t="shared" si="13"/>
        <v>1</v>
      </c>
    </row>
    <row r="53" spans="1:36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73">
        <f t="shared" si="10"/>
        <v>28</v>
      </c>
      <c r="AH53" s="54">
        <f t="shared" si="11"/>
        <v>7</v>
      </c>
      <c r="AI53" s="54">
        <f t="shared" si="12"/>
        <v>0</v>
      </c>
      <c r="AJ53" s="55">
        <f t="shared" si="13"/>
        <v>0</v>
      </c>
    </row>
    <row r="54" spans="1:36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73">
        <f t="shared" si="10"/>
        <v>28</v>
      </c>
      <c r="AH54" s="56">
        <f t="shared" si="11"/>
        <v>7</v>
      </c>
      <c r="AI54" s="56">
        <f t="shared" si="12"/>
        <v>0</v>
      </c>
      <c r="AJ54" s="57">
        <f t="shared" si="13"/>
        <v>0</v>
      </c>
    </row>
    <row r="55" spans="1:36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78">
        <f>SUM(AG48:AG54)</f>
        <v>196</v>
      </c>
      <c r="AH55" s="70">
        <f>SUM(AH48:AH54)</f>
        <v>47</v>
      </c>
      <c r="AI55" s="70">
        <f>SUM(AI48:AI54)</f>
        <v>0</v>
      </c>
      <c r="AJ55" s="76">
        <f>SUM(AJ48:AJ54)</f>
        <v>2</v>
      </c>
    </row>
    <row r="56" spans="1:36" ht="16.3" thickBot="1" x14ac:dyDescent="0.3">
      <c r="A56" s="44">
        <f>A67+1</f>
        <v>46</v>
      </c>
      <c r="B56" s="39" t="s">
        <v>43</v>
      </c>
      <c r="C56" s="40" t="s">
        <v>45</v>
      </c>
      <c r="D56" s="41">
        <v>1252</v>
      </c>
      <c r="E56" s="43">
        <v>1</v>
      </c>
      <c r="F56" s="42">
        <v>1</v>
      </c>
      <c r="G56" s="42">
        <v>1</v>
      </c>
      <c r="H56" s="42" t="s">
        <v>58</v>
      </c>
      <c r="I56" s="42" t="s">
        <v>58</v>
      </c>
      <c r="J56" s="42" t="s">
        <v>58</v>
      </c>
      <c r="K56" s="42" t="s">
        <v>58</v>
      </c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73">
        <f>АХД</f>
        <v>28</v>
      </c>
      <c r="AH56" s="56">
        <f>COUNTIF(E56:AF56,1)</f>
        <v>3</v>
      </c>
      <c r="AI56" s="56">
        <f>COUNTIF(E56:AF56,"тр")</f>
        <v>4</v>
      </c>
      <c r="AJ56" s="57">
        <f>COUNTIF(E56:AF56,"бв")</f>
        <v>0</v>
      </c>
    </row>
    <row r="57" spans="1:36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78">
        <f>SUM(AG56:AG56)</f>
        <v>28</v>
      </c>
      <c r="AH57" s="70">
        <f>SUM(AH56:AH56)</f>
        <v>3</v>
      </c>
      <c r="AI57" s="70">
        <f>SUM(AI56:AI56)</f>
        <v>4</v>
      </c>
      <c r="AJ57" s="76">
        <f>SUM(AJ56:AJ56)</f>
        <v>0</v>
      </c>
    </row>
    <row r="58" spans="1:36" x14ac:dyDescent="0.25">
      <c r="A58" s="8">
        <f>A56+1</f>
        <v>47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73">
        <f>АХД</f>
        <v>28</v>
      </c>
      <c r="AH58" s="17">
        <f>COUNTIF(E58:AF58,1)</f>
        <v>7</v>
      </c>
      <c r="AI58" s="17">
        <f>COUNTIF(E58:AF58,"тр")</f>
        <v>0</v>
      </c>
      <c r="AJ58" s="18">
        <f>COUNTIF(E58:AF58,"бв")</f>
        <v>0</v>
      </c>
    </row>
    <row r="59" spans="1:36" ht="16.3" thickBot="1" x14ac:dyDescent="0.3">
      <c r="A59" s="58">
        <f t="shared" si="4"/>
        <v>48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73">
        <f>АХД</f>
        <v>28</v>
      </c>
      <c r="AH59" s="56">
        <f>COUNTIF(E59:AF59,1)</f>
        <v>7</v>
      </c>
      <c r="AI59" s="56">
        <f>COUNTIF(E59:AF59,"тр")</f>
        <v>0</v>
      </c>
      <c r="AJ59" s="57">
        <f>COUNTIF(E59:AF59,"бв")</f>
        <v>0</v>
      </c>
    </row>
    <row r="60" spans="1:36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78">
        <f>SUM(AG58:AG59)</f>
        <v>56</v>
      </c>
      <c r="AH60" s="70">
        <f>SUM(AH58:AH59)</f>
        <v>14</v>
      </c>
      <c r="AI60" s="70">
        <f>SUM(AI58:AI59)</f>
        <v>0</v>
      </c>
      <c r="AJ60" s="76">
        <f>SUM(AJ58:AJ59)</f>
        <v>0</v>
      </c>
    </row>
    <row r="61" spans="1:36" s="33" customFormat="1" x14ac:dyDescent="0.25">
      <c r="A61" s="87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AG6+AG26+AG34+AG38+AG41+AG43+AG47+AG55+AG57+AG60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2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26"/>
      <c r="C63" s="126"/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  <c r="AH63" s="126"/>
      <c r="AI63" s="126"/>
      <c r="AJ63" s="126"/>
    </row>
    <row r="64" spans="1:36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27" t="s">
        <v>62</v>
      </c>
      <c r="AH64" s="31" t="s">
        <v>61</v>
      </c>
      <c r="AI64" s="31" t="s">
        <v>58</v>
      </c>
      <c r="AJ64" s="32" t="s">
        <v>57</v>
      </c>
    </row>
    <row r="65" spans="1:36" x14ac:dyDescent="0.25">
      <c r="A65" s="8">
        <v>1</v>
      </c>
      <c r="B65" s="9" t="s">
        <v>54</v>
      </c>
      <c r="C65" s="69">
        <v>176</v>
      </c>
      <c r="D65" s="101">
        <v>6172</v>
      </c>
      <c r="E65" s="92">
        <v>1</v>
      </c>
      <c r="F65" s="93">
        <v>1</v>
      </c>
      <c r="G65" s="93">
        <v>1</v>
      </c>
      <c r="H65" s="93">
        <v>1</v>
      </c>
      <c r="I65" s="93">
        <v>1</v>
      </c>
      <c r="J65" s="93">
        <v>1</v>
      </c>
      <c r="K65" s="93" t="s">
        <v>58</v>
      </c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  <c r="AA65" s="93"/>
      <c r="AB65" s="93"/>
      <c r="AC65" s="93"/>
      <c r="AD65" s="93"/>
      <c r="AE65" s="93"/>
      <c r="AF65" s="94"/>
      <c r="AG65" s="73">
        <f>АХД</f>
        <v>28</v>
      </c>
      <c r="AH65" s="17">
        <f>COUNTIF(E65:AF65,1)</f>
        <v>6</v>
      </c>
      <c r="AI65" s="17">
        <f>COUNTIF(E65:AF65,"тр")</f>
        <v>1</v>
      </c>
      <c r="AJ65" s="18">
        <f>COUNTIF(E65:AF65,"бв")</f>
        <v>0</v>
      </c>
    </row>
    <row r="66" spans="1:36" x14ac:dyDescent="0.25">
      <c r="A66" s="11">
        <v>2</v>
      </c>
      <c r="B66" s="12" t="s">
        <v>54</v>
      </c>
      <c r="C66" s="15">
        <v>177</v>
      </c>
      <c r="D66" s="90">
        <v>6173</v>
      </c>
      <c r="E66" s="9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96"/>
      <c r="AG66" s="83">
        <f>АХД</f>
        <v>28</v>
      </c>
      <c r="AH66" s="54">
        <f>COUNTIF(E66:AF66,1)</f>
        <v>7</v>
      </c>
      <c r="AI66" s="54">
        <f>COUNTIF(E66:AF66,"тр")</f>
        <v>0</v>
      </c>
      <c r="AJ66" s="55">
        <f>COUNTIF(E66:AF66,"бв")</f>
        <v>0</v>
      </c>
    </row>
    <row r="67" spans="1:36" ht="16.3" thickBot="1" x14ac:dyDescent="0.3">
      <c r="A67" s="44">
        <f>A54+1</f>
        <v>45</v>
      </c>
      <c r="B67" s="39" t="s">
        <v>43</v>
      </c>
      <c r="C67" s="40" t="s">
        <v>44</v>
      </c>
      <c r="D67" s="91">
        <v>1250</v>
      </c>
      <c r="E67" s="97" t="s">
        <v>57</v>
      </c>
      <c r="F67" s="98" t="s">
        <v>57</v>
      </c>
      <c r="G67" s="98" t="s">
        <v>57</v>
      </c>
      <c r="H67" s="98">
        <v>1</v>
      </c>
      <c r="I67" s="98">
        <v>1</v>
      </c>
      <c r="J67" s="98">
        <v>1</v>
      </c>
      <c r="K67" s="98">
        <v>1</v>
      </c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98"/>
      <c r="AC67" s="98"/>
      <c r="AD67" s="98"/>
      <c r="AE67" s="98"/>
      <c r="AF67" s="99"/>
      <c r="AG67" s="74">
        <f>АХД</f>
        <v>28</v>
      </c>
      <c r="AH67" s="56">
        <f>COUNTIF(E67:AF67,1)</f>
        <v>4</v>
      </c>
      <c r="AI67" s="56">
        <f>COUNTIF(E67:AF67,"тр")</f>
        <v>0</v>
      </c>
      <c r="AJ67" s="57">
        <f>COUNTIF(E67:AF67,"бв")</f>
        <v>3</v>
      </c>
    </row>
    <row r="68" spans="1:36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78">
        <f>SUM(AG65:AG67)</f>
        <v>84</v>
      </c>
      <c r="AH68" s="70">
        <f t="shared" ref="AH68:AJ68" si="14">SUM(AH65:AH67)</f>
        <v>17</v>
      </c>
      <c r="AI68" s="70">
        <f t="shared" si="14"/>
        <v>1</v>
      </c>
      <c r="AJ68" s="76">
        <f t="shared" si="14"/>
        <v>3</v>
      </c>
    </row>
    <row r="69" spans="1:36" s="33" customFormat="1" x14ac:dyDescent="0.25">
      <c r="A69" s="87"/>
      <c r="B69" s="49"/>
      <c r="C69" s="50"/>
      <c r="D69" s="50"/>
      <c r="Y69" s="51" t="s">
        <v>68</v>
      </c>
      <c r="AG69" s="77">
        <f>AG68</f>
        <v>84</v>
      </c>
    </row>
    <row r="71" spans="1:36" x14ac:dyDescent="0.25">
      <c r="B71" s="3" t="s">
        <v>75</v>
      </c>
      <c r="E71" s="89"/>
      <c r="F71" s="89"/>
      <c r="G71" s="89"/>
      <c r="H71" s="89"/>
      <c r="I71" s="89"/>
      <c r="J71" s="89"/>
      <c r="K71" s="89"/>
      <c r="L71" s="89"/>
      <c r="S71" s="3" t="s">
        <v>76</v>
      </c>
    </row>
  </sheetData>
  <autoFilter ref="E2:AJ61"/>
  <mergeCells count="2">
    <mergeCell ref="A1:AJ1"/>
    <mergeCell ref="A63:AJ63"/>
  </mergeCells>
  <conditionalFormatting sqref="AH6:AJ6 AG26:AJ26 AG34:AJ34 AG38:AJ38 AG41:AJ41 AG43:AJ43 AG47:AJ47 AG55:AJ55 AG57:AJ57 AG60:AJ60 E4:AF5 AG68:AJ68 AG4:AG25 E27:AG33 E35:AG37 E39:AG40 E42:AG42 E44:AG46 E48:AG54 E58:AG59 E56:AG56 E65:AG67 E7:AF25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Январь 2019</vt:lpstr>
      <vt:lpstr>Февраль 2019</vt:lpstr>
      <vt:lpstr>Данные</vt:lpstr>
      <vt:lpstr>'Февраль 2019'!АХД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2019-02-04T09:29:27Z</cp:lastPrinted>
  <dcterms:created xsi:type="dcterms:W3CDTF">2018-09-27T18:15:43Z</dcterms:created>
  <dcterms:modified xsi:type="dcterms:W3CDTF">2019-02-07T07:12:05Z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