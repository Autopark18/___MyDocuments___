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K56" i="9" s="1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L50" i="9" s="1"/>
  <c r="AK43" i="9"/>
  <c r="AK50" i="9" s="1"/>
  <c r="AJ43" i="9"/>
  <c r="AJ50" i="9" s="1"/>
  <c r="AI43" i="9"/>
  <c r="AI50" i="9" s="1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L32" i="9" s="1"/>
  <c r="AK25" i="9"/>
  <c r="AK32" i="9" s="1"/>
  <c r="AJ25" i="9"/>
  <c r="AJ32" i="9" s="1"/>
  <c r="AI25" i="9"/>
  <c r="AI32" i="9" s="1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6" i="9" l="1"/>
  <c r="AI65" i="9"/>
  <c r="AI66" i="9" s="1"/>
  <c r="AK65" i="9"/>
  <c r="AJ65" i="9"/>
  <c r="AL65" i="9"/>
  <c r="AJ24" i="9"/>
  <c r="AL24" i="9"/>
  <c r="AI24" i="9"/>
  <c r="AI57" i="9" s="1"/>
  <c r="AK24" i="9"/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<sst xmlns="http://schemas.openxmlformats.org/spreadsheetml/2006/main" count="2470" uniqueCount="80">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</sst>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56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10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60">
        <f>A37+1</f>
        <v>32</v>
      </c>
      <c r="B39" s="39" t="s">
        <v>55</v>
      </c>
      <c r="C39" s="40" t="s">
        <v>29</v>
      </c>
      <c r="D39" s="41">
        <v>3811</v>
      </c>
      <c r="E39" s="164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5"/>
      <c r="AJ39" s="161">
        <f>COUNTA(E39:AI39)</f>
        <v>3</v>
      </c>
      <c r="AK39" s="162">
        <f>COUNTIF(E39:AI39,1)</f>
        <v>0</v>
      </c>
      <c r="AL39" s="162">
        <f>COUNTIF(E39:AI39,"тр")</f>
        <v>3</v>
      </c>
      <c r="AM39" s="163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0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8" sqref="E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5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 t="s">
        <v>58</v>
      </c>
      <c r="AF6" s="5" t="s">
        <v>58</v>
      </c>
      <c r="AG6" s="5" t="s">
        <v>58</v>
      </c>
      <c r="AH6" s="5" t="s">
        <v>58</v>
      </c>
      <c r="AI6" s="155">
        <f>COUNTA(E6:AH6)</f>
        <v>30</v>
      </c>
      <c r="AJ6" s="17">
        <f>COUNTIF(E6:AH6,1)</f>
        <v>0</v>
      </c>
      <c r="AK6" s="17">
        <f>COUNTIF(E6:AH6,"тр")</f>
        <v>30</v>
      </c>
      <c r="AL6" s="18">
        <f>COUNTIF(E6:AH6,"бв")</f>
        <v>0</v>
      </c>
    </row>
    <row r="7" spans="1:38" x14ac:dyDescent="0.25">
      <c r="A7" s="11">
        <f t="shared" ref="A7:A55" si="0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>COUNTA(E7:AH7)</f>
        <v>1</v>
      </c>
      <c r="AJ7" s="54">
        <f>COUNTIF(E7:AH7,1)</f>
        <v>1</v>
      </c>
      <c r="AK7" s="54">
        <f>COUNTIF(E7:AH7,"тр")</f>
        <v>0</v>
      </c>
      <c r="AL7" s="55">
        <f>COUNTIF(E7:AH7,"бв")</f>
        <v>0</v>
      </c>
    </row>
    <row r="8" spans="1:38" x14ac:dyDescent="0.25">
      <c r="A8" s="11">
        <f t="shared" si="0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/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>COUNTA(E8:AH8)</f>
        <v>1</v>
      </c>
      <c r="AJ8" s="54">
        <f>COUNTIF(E8:AH8,1)</f>
        <v>0</v>
      </c>
      <c r="AK8" s="54">
        <f>COUNTIF(E8:AH8,"тр")</f>
        <v>0</v>
      </c>
      <c r="AL8" s="55">
        <f>COUNTIF(E8:AH8,"бв")</f>
        <v>1</v>
      </c>
    </row>
    <row r="9" spans="1:38" x14ac:dyDescent="0.25">
      <c r="A9" s="11">
        <f t="shared" si="0"/>
        <v>5</v>
      </c>
      <c r="B9" s="12" t="s">
        <v>53</v>
      </c>
      <c r="C9" s="13" t="s">
        <v>7</v>
      </c>
      <c r="D9" s="89">
        <v>1291</v>
      </c>
      <c r="E9" s="94">
        <v>1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>COUNTA(E9:AH9)</f>
        <v>1</v>
      </c>
      <c r="AJ9" s="54">
        <f>COUNTIF(E9:AH9,1)</f>
        <v>1</v>
      </c>
      <c r="AK9" s="54">
        <f>COUNTIF(E9:AH9,"тр")</f>
        <v>0</v>
      </c>
      <c r="AL9" s="55">
        <f>COUNTIF(E9:AH9,"бв")</f>
        <v>0</v>
      </c>
    </row>
    <row r="10" spans="1:38" x14ac:dyDescent="0.25">
      <c r="A10" s="11">
        <f t="shared" si="0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>COUNTA(E10:AH10)</f>
        <v>1</v>
      </c>
      <c r="AJ10" s="54">
        <f>COUNTIF(E10:AH10,1)</f>
        <v>1</v>
      </c>
      <c r="AK10" s="54">
        <f>COUNTIF(E10:AH10,"тр")</f>
        <v>0</v>
      </c>
      <c r="AL10" s="55">
        <f>COUNTIF(E10:AH10,"бв")</f>
        <v>0</v>
      </c>
    </row>
    <row r="11" spans="1:38" x14ac:dyDescent="0.25">
      <c r="A11" s="11">
        <f t="shared" si="0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>COUNTA(E11:AH11)</f>
        <v>1</v>
      </c>
      <c r="AJ11" s="54">
        <f>COUNTIF(E11:AH11,1)</f>
        <v>1</v>
      </c>
      <c r="AK11" s="54">
        <f>COUNTIF(E11:AH11,"тр")</f>
        <v>0</v>
      </c>
      <c r="AL11" s="55">
        <f>COUNTIF(E11:AH11,"бв")</f>
        <v>0</v>
      </c>
    </row>
    <row r="12" spans="1:38" x14ac:dyDescent="0.25">
      <c r="A12" s="11">
        <f t="shared" si="0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>COUNTA(E12:AH12)</f>
        <v>1</v>
      </c>
      <c r="AJ12" s="54">
        <f>COUNTIF(E12:AH12,1)</f>
        <v>1</v>
      </c>
      <c r="AK12" s="54">
        <f>COUNTIF(E12:AH12,"тр")</f>
        <v>0</v>
      </c>
      <c r="AL12" s="55">
        <f>COUNTIF(E12:AH12,"бв")</f>
        <v>0</v>
      </c>
    </row>
    <row r="13" spans="1:38" x14ac:dyDescent="0.25">
      <c r="A13" s="11">
        <f t="shared" si="0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>COUNTA(E13:AH13)</f>
        <v>1</v>
      </c>
      <c r="AJ13" s="54">
        <f>COUNTIF(E13:AH13,1)</f>
        <v>1</v>
      </c>
      <c r="AK13" s="54">
        <f>COUNTIF(E13:AH13,"тр")</f>
        <v>0</v>
      </c>
      <c r="AL13" s="55">
        <f>COUNTIF(E13:AH13,"бв")</f>
        <v>0</v>
      </c>
    </row>
    <row r="14" spans="1:38" x14ac:dyDescent="0.25">
      <c r="A14" s="11">
        <f t="shared" si="0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>COUNTA(E14:AH14)</f>
        <v>1</v>
      </c>
      <c r="AJ14" s="54">
        <f>COUNTIF(E14:AH14,1)</f>
        <v>1</v>
      </c>
      <c r="AK14" s="54">
        <f>COUNTIF(E14:AH14,"тр")</f>
        <v>0</v>
      </c>
      <c r="AL14" s="55">
        <f>COUNTIF(E14:AH14,"бв")</f>
        <v>0</v>
      </c>
    </row>
    <row r="15" spans="1:38" x14ac:dyDescent="0.25">
      <c r="A15" s="11">
        <f t="shared" si="0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>COUNTA(E15:AH15)</f>
        <v>1</v>
      </c>
      <c r="AJ15" s="54">
        <f>COUNTIF(E15:AH15,1)</f>
        <v>1</v>
      </c>
      <c r="AK15" s="54">
        <f>COUNTIF(E15:AH15,"тр")</f>
        <v>0</v>
      </c>
      <c r="AL15" s="55">
        <f>COUNTIF(E15:AH15,"бв")</f>
        <v>0</v>
      </c>
    </row>
    <row r="16" spans="1:38" x14ac:dyDescent="0.25">
      <c r="A16" s="11">
        <f t="shared" si="0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>COUNTA(E16:AH16)</f>
        <v>1</v>
      </c>
      <c r="AJ16" s="54">
        <f>COUNTIF(E16:AH16,1)</f>
        <v>1</v>
      </c>
      <c r="AK16" s="54">
        <f>COUNTIF(E16:AH16,"тр")</f>
        <v>0</v>
      </c>
      <c r="AL16" s="55">
        <f>COUNTIF(E16:AH16,"бв")</f>
        <v>0</v>
      </c>
    </row>
    <row r="17" spans="1:38" x14ac:dyDescent="0.25">
      <c r="A17" s="11">
        <f t="shared" si="0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>COUNTA(E17:AH17)</f>
        <v>1</v>
      </c>
      <c r="AJ17" s="54">
        <f>COUNTIF(E17:AH17,1)</f>
        <v>1</v>
      </c>
      <c r="AK17" s="54">
        <f>COUNTIF(E17:AH17,"тр")</f>
        <v>0</v>
      </c>
      <c r="AL17" s="55">
        <f>COUNTIF(E17:AH17,"бв")</f>
        <v>0</v>
      </c>
    </row>
    <row r="18" spans="1:38" x14ac:dyDescent="0.25">
      <c r="A18" s="11">
        <f t="shared" si="0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>COUNTA(E18:AH18)</f>
        <v>1</v>
      </c>
      <c r="AJ18" s="54">
        <f>COUNTIF(E18:AH18,1)</f>
        <v>1</v>
      </c>
      <c r="AK18" s="54">
        <f>COUNTIF(E18:AH18,"тр")</f>
        <v>0</v>
      </c>
      <c r="AL18" s="55">
        <f>COUNTIF(E18:AH18,"бв")</f>
        <v>0</v>
      </c>
    </row>
    <row r="19" spans="1:38" x14ac:dyDescent="0.25">
      <c r="A19" s="11">
        <f t="shared" si="0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>COUNTA(E19:AH19)</f>
        <v>1</v>
      </c>
      <c r="AJ19" s="54">
        <f>COUNTIF(E19:AH19,1)</f>
        <v>1</v>
      </c>
      <c r="AK19" s="54">
        <f>COUNTIF(E19:AH19,"тр")</f>
        <v>0</v>
      </c>
      <c r="AL19" s="55">
        <f>COUNTIF(E19:AH19,"бв")</f>
        <v>0</v>
      </c>
    </row>
    <row r="20" spans="1:38" x14ac:dyDescent="0.25">
      <c r="A20" s="11">
        <f t="shared" si="0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>COUNTA(E20:AH20)</f>
        <v>1</v>
      </c>
      <c r="AJ20" s="54">
        <f>COUNTIF(E20:AH20,1)</f>
        <v>1</v>
      </c>
      <c r="AK20" s="54">
        <f>COUNTIF(E20:AH20,"тр")</f>
        <v>0</v>
      </c>
      <c r="AL20" s="55">
        <f>COUNTIF(E20:AH20,"бв")</f>
        <v>0</v>
      </c>
    </row>
    <row r="21" spans="1:38" x14ac:dyDescent="0.25">
      <c r="A21" s="11">
        <f t="shared" si="0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>COUNTA(E21:AH21)</f>
        <v>30</v>
      </c>
      <c r="AJ21" s="54">
        <f>COUNTIF(E21:AH21,1)</f>
        <v>0</v>
      </c>
      <c r="AK21" s="54">
        <f>COUNTIF(E21:AH21,"тр")</f>
        <v>30</v>
      </c>
      <c r="AL21" s="55">
        <f>COUNTIF(E21:AH21,"бв")</f>
        <v>0</v>
      </c>
    </row>
    <row r="22" spans="1:38" x14ac:dyDescent="0.25">
      <c r="A22" s="11">
        <f t="shared" si="0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>COUNTA(E22:AH22)</f>
        <v>1</v>
      </c>
      <c r="AJ22" s="54">
        <f>COUNTIF(E22:AH22,1)</f>
        <v>1</v>
      </c>
      <c r="AK22" s="54">
        <f>COUNTIF(E22:AH22,"тр")</f>
        <v>0</v>
      </c>
      <c r="AL22" s="55">
        <f>COUNTIF(E22:AH22,"бв")</f>
        <v>0</v>
      </c>
    </row>
    <row r="23" spans="1:38" ht="16.3" thickBot="1" x14ac:dyDescent="0.3">
      <c r="A23" s="44">
        <f t="shared" si="0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>COUNTA(E23:AH23)</f>
        <v>1</v>
      </c>
      <c r="AJ23" s="84">
        <f>COUNTIF(E23:AH23,1)</f>
        <v>1</v>
      </c>
      <c r="AK23" s="84">
        <f>COUNTIF(E23:AH23,"тр")</f>
        <v>0</v>
      </c>
      <c r="AL23" s="85">
        <f>COUNTIF(E23:AH23,"бв")</f>
        <v>0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76</v>
      </c>
      <c r="AJ24" s="141">
        <f>SUM(AJ6:AJ23)</f>
        <v>15</v>
      </c>
      <c r="AK24" s="141">
        <f>SUM(AK6:AK23)</f>
        <v>60</v>
      </c>
      <c r="AL24" s="142">
        <f>SUM(AL6:AL23)</f>
        <v>1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>COUNTA(E25:AH25)</f>
        <v>1</v>
      </c>
      <c r="AJ25" s="80">
        <f>COUNTIF(E25:AH25,1)</f>
        <v>1</v>
      </c>
      <c r="AK25" s="80">
        <f>COUNTIF(E25:AH25,"тр")</f>
        <v>0</v>
      </c>
      <c r="AL25" s="81">
        <f>COUNTIF(E25:AH25,"бв")</f>
        <v>0</v>
      </c>
    </row>
    <row r="26" spans="1:38" x14ac:dyDescent="0.25">
      <c r="A26" s="11">
        <f t="shared" si="0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>COUNTA(E26:AH26)</f>
        <v>1</v>
      </c>
      <c r="AJ26" s="54">
        <f>COUNTIF(E26:AH26,1)</f>
        <v>1</v>
      </c>
      <c r="AK26" s="54">
        <f>COUNTIF(E26:AH26,"тр")</f>
        <v>0</v>
      </c>
      <c r="AL26" s="55">
        <f>COUNTIF(E26:AH26,"бв")</f>
        <v>0</v>
      </c>
    </row>
    <row r="27" spans="1:38" x14ac:dyDescent="0.25">
      <c r="A27" s="11">
        <f t="shared" si="0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>COUNTA(E27:AH27)</f>
        <v>1</v>
      </c>
      <c r="AJ27" s="54">
        <f>COUNTIF(E27:AH27,1)</f>
        <v>0</v>
      </c>
      <c r="AK27" s="54">
        <f>COUNTIF(E27:AH27,"тр")</f>
        <v>0</v>
      </c>
      <c r="AL27" s="55">
        <f>COUNTIF(E27:AH27,"бв")</f>
        <v>1</v>
      </c>
    </row>
    <row r="28" spans="1:38" x14ac:dyDescent="0.25">
      <c r="A28" s="11">
        <f t="shared" si="0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>COUNTA(E28:AH28)</f>
        <v>30</v>
      </c>
      <c r="AJ28" s="54">
        <f>COUNTIF(E28:AH28,1)</f>
        <v>0</v>
      </c>
      <c r="AK28" s="54">
        <f>COUNTIF(E28:AH28,"тр")</f>
        <v>30</v>
      </c>
      <c r="AL28" s="55">
        <f>COUNTIF(E28:AH28,"бв")</f>
        <v>0</v>
      </c>
    </row>
    <row r="29" spans="1:38" x14ac:dyDescent="0.25">
      <c r="A29" s="11">
        <f t="shared" si="0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>COUNTA(E29:AH29)</f>
        <v>1</v>
      </c>
      <c r="AJ29" s="54">
        <f>COUNTIF(E29:AH29,1)</f>
        <v>1</v>
      </c>
      <c r="AK29" s="54">
        <f>COUNTIF(E29:AH29,"тр")</f>
        <v>0</v>
      </c>
      <c r="AL29" s="55">
        <f>COUNTIF(E29:AH29,"бв")</f>
        <v>0</v>
      </c>
    </row>
    <row r="30" spans="1:38" x14ac:dyDescent="0.25">
      <c r="A30" s="11">
        <f t="shared" si="0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>COUNTA(E30:AH30)</f>
        <v>1</v>
      </c>
      <c r="AJ30" s="54">
        <f>COUNTIF(E30:AH30,1)</f>
        <v>0</v>
      </c>
      <c r="AK30" s="54">
        <f>COUNTIF(E30:AH30,"тр")</f>
        <v>1</v>
      </c>
      <c r="AL30" s="55">
        <f>COUNTIF(E30:AH30,"бв")</f>
        <v>0</v>
      </c>
    </row>
    <row r="31" spans="1:38" ht="16.3" thickBot="1" x14ac:dyDescent="0.3">
      <c r="A31" s="44">
        <f t="shared" si="0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>COUNTA(E31:AH31)</f>
        <v>1</v>
      </c>
      <c r="AJ31" s="84">
        <f>COUNTIF(E31:AH31,1)</f>
        <v>1</v>
      </c>
      <c r="AK31" s="84">
        <f>COUNTIF(E31:AH31,"тр")</f>
        <v>0</v>
      </c>
      <c r="AL31" s="85">
        <f>COUNTIF(E31:AH31,"бв")</f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36</v>
      </c>
      <c r="AJ32" s="135">
        <f>SUM(AJ25:AJ31)</f>
        <v>4</v>
      </c>
      <c r="AK32" s="135">
        <f>SUM(AK25:AK31)</f>
        <v>31</v>
      </c>
      <c r="AL32" s="136">
        <f>SUM(AL25:AL31)</f>
        <v>1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</v>
      </c>
      <c r="AJ33" s="17">
        <f>COUNTIF(E33:AH33,1)</f>
        <v>1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0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</v>
      </c>
      <c r="AJ34" s="54">
        <f>COUNTIF(E34:AH34,1)</f>
        <v>0</v>
      </c>
      <c r="AK34" s="54">
        <f>COUNTIF(E34:AH34,"тр")</f>
        <v>0</v>
      </c>
      <c r="AL34" s="55">
        <f>COUNTIF(E34:AH34,"бв")</f>
        <v>1</v>
      </c>
    </row>
    <row r="35" spans="1:38" ht="16.3" thickBot="1" x14ac:dyDescent="0.3">
      <c r="A35" s="44">
        <f t="shared" si="0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32</v>
      </c>
      <c r="AJ36" s="69">
        <f>SUM(AJ33:AJ35)</f>
        <v>1</v>
      </c>
      <c r="AK36" s="69">
        <f>SUM(AK33:AK35)</f>
        <v>30</v>
      </c>
      <c r="AL36" s="75">
        <f>SUM(AL33:AL35)</f>
        <v>1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155">
        <f>COUNTA(E39:AH39)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x14ac:dyDescent="0.25">
      <c r="A40" s="11">
        <f t="shared" si="0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/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</v>
      </c>
      <c r="AJ40" s="54">
        <f>COUNTIF(E40:AH40,1)</f>
        <v>1</v>
      </c>
      <c r="AK40" s="54">
        <f>COUNTIF(E40:AH40,"тр")</f>
        <v>0</v>
      </c>
      <c r="AL40" s="55">
        <f>COUNTIF(E40:AH40,"бв")</f>
        <v>0</v>
      </c>
    </row>
    <row r="41" spans="1:38" ht="16.3" thickBot="1" x14ac:dyDescent="0.3">
      <c r="A41" s="44">
        <f t="shared" si="0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/>
      <c r="G41" s="43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</v>
      </c>
      <c r="AJ41" s="56">
        <f>COUNTIF(E41:AH41,1)</f>
        <v>1</v>
      </c>
      <c r="AK41" s="56">
        <f>COUNTIF(E41:AH41,"тр")</f>
        <v>0</v>
      </c>
      <c r="AL41" s="57">
        <f>COUNTIF(E41:AH41,"бв")</f>
        <v>0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32</v>
      </c>
      <c r="AJ42" s="69">
        <f>SUM(AJ39:AJ41)</f>
        <v>2</v>
      </c>
      <c r="AK42" s="69">
        <f>SUM(AK39:AK41)</f>
        <v>30</v>
      </c>
      <c r="AL42" s="75">
        <f>SUM(AL39:AL41)</f>
        <v>0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/>
      <c r="G43" s="6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>COUNTA(E43:AH43)</f>
        <v>1</v>
      </c>
      <c r="AJ43" s="17">
        <f>COUNTIF(E43:AH43,1)</f>
        <v>1</v>
      </c>
      <c r="AK43" s="17">
        <f>COUNTIF(E43:AH43,"тр")</f>
        <v>0</v>
      </c>
      <c r="AL43" s="18">
        <f>COUNTIF(E43:AH43,"бв")</f>
        <v>0</v>
      </c>
    </row>
    <row r="44" spans="1:38" x14ac:dyDescent="0.25">
      <c r="A44" s="11">
        <f t="shared" si="0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>COUNTA(E44:AH44)</f>
        <v>1</v>
      </c>
      <c r="AJ44" s="54">
        <f>COUNTIF(E44:AH44,1)</f>
        <v>1</v>
      </c>
      <c r="AK44" s="54">
        <f>COUNTIF(E44:AH44,"тр")</f>
        <v>0</v>
      </c>
      <c r="AL44" s="55">
        <f>COUNTIF(E44:AH44,"бв")</f>
        <v>0</v>
      </c>
    </row>
    <row r="45" spans="1:38" x14ac:dyDescent="0.25">
      <c r="A45" s="11">
        <f t="shared" si="0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>COUNTA(E45:AH45)</f>
        <v>1</v>
      </c>
      <c r="AJ45" s="54">
        <f>COUNTIF(E45:AH45,1)</f>
        <v>1</v>
      </c>
      <c r="AK45" s="54">
        <f>COUNTIF(E45:AH45,"тр")</f>
        <v>0</v>
      </c>
      <c r="AL45" s="55">
        <f>COUNTIF(E45:AH45,"бв")</f>
        <v>0</v>
      </c>
    </row>
    <row r="46" spans="1:38" x14ac:dyDescent="0.25">
      <c r="A46" s="11">
        <f t="shared" si="0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>COUNTA(E46:AH46)</f>
        <v>1</v>
      </c>
      <c r="AJ46" s="54">
        <f>COUNTIF(E46:AH46,1)</f>
        <v>1</v>
      </c>
      <c r="AK46" s="54">
        <f>COUNTIF(E46:AH46,"тр")</f>
        <v>0</v>
      </c>
      <c r="AL46" s="55">
        <f>COUNTIF(E46:AH46,"бв")</f>
        <v>0</v>
      </c>
    </row>
    <row r="47" spans="1:38" x14ac:dyDescent="0.25">
      <c r="A47" s="11">
        <f t="shared" si="0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>COUNTA(E47:AH47)</f>
        <v>1</v>
      </c>
      <c r="AJ47" s="54">
        <f>COUNTIF(E47:AH47,1)</f>
        <v>1</v>
      </c>
      <c r="AK47" s="54">
        <f>COUNTIF(E47:AH47,"тр")</f>
        <v>0</v>
      </c>
      <c r="AL47" s="55">
        <f>COUNTIF(E47:AH47,"бв")</f>
        <v>0</v>
      </c>
    </row>
    <row r="48" spans="1:38" x14ac:dyDescent="0.25">
      <c r="A48" s="11">
        <f t="shared" si="0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>COUNTA(E48:AH48)</f>
        <v>1</v>
      </c>
      <c r="AJ48" s="54">
        <f>COUNTIF(E48:AH48,1)</f>
        <v>1</v>
      </c>
      <c r="AK48" s="54">
        <f>COUNTIF(E48:AH48,"тр")</f>
        <v>0</v>
      </c>
      <c r="AL48" s="55">
        <f>COUNTIF(E48:AH48,"бв")</f>
        <v>0</v>
      </c>
    </row>
    <row r="49" spans="1:38" ht="16.3" thickBot="1" x14ac:dyDescent="0.3">
      <c r="A49" s="44">
        <f t="shared" si="0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>COUNTA(E49:AH49)</f>
        <v>1</v>
      </c>
      <c r="AJ49" s="56">
        <f>COUNTIF(E49:AH49,1)</f>
        <v>1</v>
      </c>
      <c r="AK49" s="56">
        <f>COUNTIF(E49:AH49,"тр")</f>
        <v>0</v>
      </c>
      <c r="AL49" s="57">
        <f>COUNTIF(E49:AH49,"бв")</f>
        <v>0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7</v>
      </c>
      <c r="AJ50" s="69">
        <f>SUM(AJ43:AJ49)</f>
        <v>7</v>
      </c>
      <c r="AK50" s="69">
        <f>SUM(AK43:AK49)</f>
        <v>0</v>
      </c>
      <c r="AL50" s="75">
        <f>SUM(AL43:AL49)</f>
        <v>0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</v>
      </c>
      <c r="AJ51" s="56">
        <f>COUNTIF(E51:AH51,1)</f>
        <v>0</v>
      </c>
      <c r="AK51" s="56">
        <f>COUNTIF(E51:AH51,"тр")</f>
        <v>0</v>
      </c>
      <c r="AL51" s="57">
        <f>COUNTIF(E51:AH51,"бв")</f>
        <v>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 t="s">
        <v>58</v>
      </c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</v>
      </c>
      <c r="AJ52" s="69">
        <f>SUM(AJ51:AJ51)</f>
        <v>0</v>
      </c>
      <c r="AK52" s="69">
        <f>SUM(AK51:AK51)</f>
        <v>0</v>
      </c>
      <c r="AL52" s="75">
        <f>SUM(AL51:AL51)</f>
        <v>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</v>
      </c>
      <c r="AJ53" s="80">
        <f>COUNTIF(E53:AH53,1)</f>
        <v>1</v>
      </c>
      <c r="AK53" s="80">
        <f>COUNTIF(E53:AH53,"тр")</f>
        <v>0</v>
      </c>
      <c r="AL53" s="81">
        <f>COUNTIF(E53:AH53,"бв")</f>
        <v>0</v>
      </c>
    </row>
    <row r="54" spans="1:38" x14ac:dyDescent="0.25">
      <c r="A54" s="58">
        <f t="shared" si="0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</v>
      </c>
      <c r="AJ54" s="56">
        <f>COUNTIF(E54:AH54,1)</f>
        <v>1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0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</v>
      </c>
      <c r="AJ55" s="84">
        <f>COUNTIF(E55:AH55,1)</f>
        <v>1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3</v>
      </c>
      <c r="AJ56" s="69">
        <f>SUM(AJ53:AJ55)</f>
        <v>3</v>
      </c>
      <c r="AK56" s="69">
        <f>SUM(AK53:AK55)</f>
        <v>0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247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5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</v>
      </c>
      <c r="AJ61" s="80">
        <f>COUNTIF(E61:AH61,1)</f>
        <v>1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</v>
      </c>
      <c r="AJ62" s="54">
        <f>COUNTIF(E62:AH62,1)</f>
        <v>1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</v>
      </c>
      <c r="AJ63" s="54">
        <f>COUNTIF(E63:AH63,1)</f>
        <v>1</v>
      </c>
      <c r="AK63" s="54">
        <f>COUNTIF(E63:AH63,"тр")</f>
        <v>0</v>
      </c>
      <c r="AL63" s="55">
        <f>COUNTIF(E63:AH63,"бв")</f>
        <v>0</v>
      </c>
    </row>
    <row r="64" spans="1:38" ht="16.3" thickBot="1" x14ac:dyDescent="0.3">
      <c r="A64" s="107">
        <f t="shared" si="1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33</v>
      </c>
      <c r="AJ65" s="135">
        <f t="shared" ref="AJ65:AL65" si="2">SUM(AJ61:AJ64)</f>
        <v>3</v>
      </c>
      <c r="AK65" s="135">
        <f t="shared" si="2"/>
        <v>30</v>
      </c>
      <c r="AL65" s="136">
        <f t="shared" si="2"/>
        <v>0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33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2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2019-04-01T09:53:31Z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