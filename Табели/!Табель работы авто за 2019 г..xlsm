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4" i="10" l="1"/>
  <c r="AL64" i="10"/>
  <c r="AK64" i="10"/>
  <c r="AJ64" i="10"/>
  <c r="AM63" i="10"/>
  <c r="AL63" i="10"/>
  <c r="AK63" i="10"/>
  <c r="AJ63" i="10"/>
  <c r="AM62" i="10"/>
  <c r="AL62" i="10"/>
  <c r="AK62" i="10"/>
  <c r="AJ62" i="10"/>
  <c r="A62" i="10"/>
  <c r="A63" i="10" s="1"/>
  <c r="A64" i="10" s="1"/>
  <c r="AM61" i="10"/>
  <c r="AL61" i="10"/>
  <c r="AK61" i="10"/>
  <c r="AJ61" i="10"/>
  <c r="A59" i="10"/>
  <c r="AM55" i="10"/>
  <c r="AL55" i="10"/>
  <c r="AK55" i="10"/>
  <c r="AJ55" i="10"/>
  <c r="AM54" i="10"/>
  <c r="AL54" i="10"/>
  <c r="AK54" i="10"/>
  <c r="AJ54" i="10"/>
  <c r="AM53" i="10"/>
  <c r="AM56" i="10" s="1"/>
  <c r="AL53" i="10"/>
  <c r="AL56" i="10" s="1"/>
  <c r="AK53" i="10"/>
  <c r="AK56" i="10" s="1"/>
  <c r="AJ53" i="10"/>
  <c r="AJ56" i="10" s="1"/>
  <c r="AM51" i="10"/>
  <c r="AM52" i="10" s="1"/>
  <c r="AL51" i="10"/>
  <c r="AL52" i="10" s="1"/>
  <c r="AK51" i="10"/>
  <c r="AK52" i="10" s="1"/>
  <c r="AJ51" i="10"/>
  <c r="AJ52" i="10" s="1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M50" i="10" s="1"/>
  <c r="AL43" i="10"/>
  <c r="AL50" i="10" s="1"/>
  <c r="AK43" i="10"/>
  <c r="AK50" i="10" s="1"/>
  <c r="AJ43" i="10"/>
  <c r="AJ50" i="10" s="1"/>
  <c r="AM41" i="10"/>
  <c r="AL41" i="10"/>
  <c r="AK41" i="10"/>
  <c r="AJ41" i="10"/>
  <c r="AM40" i="10"/>
  <c r="AL40" i="10"/>
  <c r="AK40" i="10"/>
  <c r="AJ40" i="10"/>
  <c r="AM39" i="10"/>
  <c r="AM42" i="10" s="1"/>
  <c r="AL39" i="10"/>
  <c r="AL42" i="10" s="1"/>
  <c r="AK39" i="10"/>
  <c r="AK42" i="10" s="1"/>
  <c r="AJ39" i="10"/>
  <c r="AJ42" i="10" s="1"/>
  <c r="AM37" i="10"/>
  <c r="AM38" i="10" s="1"/>
  <c r="AL37" i="10"/>
  <c r="AL38" i="10" s="1"/>
  <c r="AK37" i="10"/>
  <c r="AK38" i="10" s="1"/>
  <c r="AJ37" i="10"/>
  <c r="AJ38" i="10" s="1"/>
  <c r="AM35" i="10"/>
  <c r="AL35" i="10"/>
  <c r="AK35" i="10"/>
  <c r="AJ35" i="10"/>
  <c r="AM34" i="10"/>
  <c r="AL34" i="10"/>
  <c r="AK34" i="10"/>
  <c r="AJ34" i="10"/>
  <c r="AM33" i="10"/>
  <c r="AM36" i="10" s="1"/>
  <c r="AL33" i="10"/>
  <c r="AK33" i="10"/>
  <c r="AK36" i="10" s="1"/>
  <c r="AJ33" i="10"/>
  <c r="AJ36" i="10" s="1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M32" i="10" s="1"/>
  <c r="AL25" i="10"/>
  <c r="AL32" i="10" s="1"/>
  <c r="AK25" i="10"/>
  <c r="AK32" i="10" s="1"/>
  <c r="AJ25" i="10"/>
  <c r="AJ32" i="10" s="1"/>
  <c r="AM23" i="10"/>
  <c r="AL23" i="10"/>
  <c r="AK23" i="10"/>
  <c r="AJ23" i="10"/>
  <c r="AM22" i="10"/>
  <c r="AL22" i="10"/>
  <c r="AK22" i="10"/>
  <c r="AJ22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M24" i="10" s="1"/>
  <c r="AL6" i="10"/>
  <c r="AK6" i="10"/>
  <c r="AK24" i="10" s="1"/>
  <c r="AJ6" i="10"/>
  <c r="A6" i="10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5" i="10" s="1"/>
  <c r="A26" i="10" s="1"/>
  <c r="A27" i="10" s="1"/>
  <c r="A28" i="10" s="1"/>
  <c r="A29" i="10" s="1"/>
  <c r="A30" i="10" s="1"/>
  <c r="A31" i="10" s="1"/>
  <c r="A33" i="10" s="1"/>
  <c r="A34" i="10" s="1"/>
  <c r="A35" i="10" s="1"/>
  <c r="A37" i="10" s="1"/>
  <c r="A39" i="10" s="1"/>
  <c r="A40" i="10" s="1"/>
  <c r="A41" i="10" s="1"/>
  <c r="A43" i="10" s="1"/>
  <c r="A44" i="10" s="1"/>
  <c r="A45" i="10" s="1"/>
  <c r="A46" i="10" s="1"/>
  <c r="A47" i="10" s="1"/>
  <c r="A48" i="10" s="1"/>
  <c r="A49" i="10" s="1"/>
  <c r="A51" i="10" s="1"/>
  <c r="A53" i="10" s="1"/>
  <c r="A54" i="10" s="1"/>
  <c r="A55" i="10" s="1"/>
  <c r="AM4" i="10"/>
  <c r="AM5" i="10" s="1"/>
  <c r="AL4" i="10"/>
  <c r="AL5" i="10" s="1"/>
  <c r="AK4" i="10"/>
  <c r="AK5" i="10" s="1"/>
  <c r="AJ4" i="10"/>
  <c r="AJ5" i="10" s="1"/>
  <c r="A1" i="10"/>
  <c r="AJ65" i="10" l="1"/>
  <c r="AJ66" i="10" s="1"/>
  <c r="AL65" i="10"/>
  <c r="AL36" i="10"/>
  <c r="AK65" i="10"/>
  <c r="AM65" i="10"/>
  <c r="AJ24" i="10"/>
  <c r="AJ57" i="10" s="1"/>
  <c r="AL24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L42" i="9" l="1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<sst xmlns="http://schemas.openxmlformats.org/spreadsheetml/2006/main" count="2953" uniqueCount="80">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</sst>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6"/>
      <c r="C63" s="166"/>
      <c r="D63" s="166"/>
      <c r="E63" s="166"/>
      <c r="F63" s="166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5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6"/>
      <c r="C63" s="166"/>
      <c r="D63" s="166"/>
      <c r="E63" s="166"/>
      <c r="F63" s="166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4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6"/>
      <c r="C63" s="166"/>
      <c r="D63" s="166"/>
      <c r="E63" s="166"/>
      <c r="F63" s="166"/>
      <c r="G63" s="166"/>
      <c r="H63" s="166"/>
      <c r="I63" s="166"/>
      <c r="J63" s="166"/>
      <c r="K63" s="166"/>
      <c r="L63" s="166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3" priority="2">
      <formula>LEN(TRIM(E4))=0</formula>
    </cfRule>
  </conditionalFormatting>
  <conditionalFormatting sqref="AJ38:AM38">
    <cfRule type="containsBlanks" dxfId="2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58" sqref="AH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>
        <v>1</v>
      </c>
      <c r="O4" s="42">
        <v>1</v>
      </c>
      <c r="P4" s="42">
        <v>1</v>
      </c>
      <c r="Q4" s="42" t="s">
        <v>57</v>
      </c>
      <c r="R4" s="42" t="s">
        <v>57</v>
      </c>
      <c r="S4" s="42">
        <v>1</v>
      </c>
      <c r="T4" s="42">
        <v>1</v>
      </c>
      <c r="U4" s="42">
        <v>1</v>
      </c>
      <c r="V4" s="42">
        <v>1</v>
      </c>
      <c r="W4" s="42">
        <v>1</v>
      </c>
      <c r="X4" s="42" t="s">
        <v>57</v>
      </c>
      <c r="Y4" s="42" t="s">
        <v>57</v>
      </c>
      <c r="Z4" s="42">
        <v>1</v>
      </c>
      <c r="AA4" s="42" t="s">
        <v>58</v>
      </c>
      <c r="AB4" s="42">
        <v>1</v>
      </c>
      <c r="AC4" s="42" t="s">
        <v>58</v>
      </c>
      <c r="AD4" s="42" t="s">
        <v>58</v>
      </c>
      <c r="AE4" s="42" t="s">
        <v>57</v>
      </c>
      <c r="AF4" s="42" t="s">
        <v>57</v>
      </c>
      <c r="AG4" s="42">
        <v>1</v>
      </c>
      <c r="AH4" s="42">
        <v>1</v>
      </c>
      <c r="AI4" s="156">
        <f>COUNTA(E4:AH4)</f>
        <v>30</v>
      </c>
      <c r="AJ4" s="56">
        <f>COUNTIF(E4:AH4,1)</f>
        <v>12</v>
      </c>
      <c r="AK4" s="56">
        <f>COUNTIF(E4:AH4,"тр")</f>
        <v>12</v>
      </c>
      <c r="AL4" s="57">
        <f>COUNTIF(E4:AH4,"бв")</f>
        <v>6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30</v>
      </c>
      <c r="AJ5" s="70">
        <f>SUM(AJ4:AJ4)</f>
        <v>12</v>
      </c>
      <c r="AK5" s="70">
        <f>SUM(AK4:AK4)</f>
        <v>12</v>
      </c>
      <c r="AL5" s="71">
        <f>SUM(AL4:AL4)</f>
        <v>6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1320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6"/>
      <c r="C59" s="166"/>
      <c r="D59" s="166"/>
      <c r="E59" s="166"/>
      <c r="F59" s="166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>
        <v>1</v>
      </c>
      <c r="AA61" s="92">
        <v>1</v>
      </c>
      <c r="AB61" s="92">
        <v>1</v>
      </c>
      <c r="AC61" s="92">
        <v>1</v>
      </c>
      <c r="AD61" s="92">
        <v>1</v>
      </c>
      <c r="AE61" s="92">
        <v>1</v>
      </c>
      <c r="AF61" s="92">
        <v>1</v>
      </c>
      <c r="AG61" s="92">
        <v>1</v>
      </c>
      <c r="AH61" s="92">
        <v>1</v>
      </c>
      <c r="AI61" s="152">
        <f>COUNTA(E61:AH61)</f>
        <v>30</v>
      </c>
      <c r="AJ61" s="80">
        <f>COUNTIF(E61:AH61,1)</f>
        <v>30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5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120</v>
      </c>
      <c r="AJ65" s="135">
        <f t="shared" ref="AJ65:AL65" si="14">SUM(AJ61:AJ64)</f>
        <v>81</v>
      </c>
      <c r="AK65" s="135">
        <f t="shared" si="14"/>
        <v>31</v>
      </c>
      <c r="AL65" s="136">
        <f t="shared" si="14"/>
        <v>8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120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1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/>
      <c r="F4" s="42"/>
      <c r="G4" s="42"/>
      <c r="H4" s="42"/>
      <c r="I4" s="42"/>
      <c r="J4" s="5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156">
        <f>COUNTA(E4:AI4)</f>
        <v>0</v>
      </c>
      <c r="AK4" s="56">
        <f>COUNTIF(E4:AI4,1)</f>
        <v>0</v>
      </c>
      <c r="AL4" s="56">
        <f>COUNTIF(E4:AI4,"тр")</f>
        <v>0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0</v>
      </c>
      <c r="AK5" s="70">
        <f>SUM(AK4:AK4)</f>
        <v>0</v>
      </c>
      <c r="AL5" s="70">
        <f>SUM(AL4:AL4)</f>
        <v>0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155">
        <f t="shared" ref="AJ6:AJ23" si="0">COUNTA(E6:AI6)</f>
        <v>0</v>
      </c>
      <c r="AK6" s="17">
        <f t="shared" ref="AK6:AK23" si="1">COUNTIF(E6:AI6,1)</f>
        <v>0</v>
      </c>
      <c r="AL6" s="17">
        <f t="shared" ref="AL6:AL23" si="2">COUNTIF(E6:AI6,"тр")</f>
        <v>0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/>
      <c r="F7" s="7"/>
      <c r="G7" s="7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153">
        <f t="shared" si="0"/>
        <v>0</v>
      </c>
      <c r="AK7" s="54">
        <f t="shared" si="1"/>
        <v>0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/>
      <c r="F8" s="7"/>
      <c r="G8" s="7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153">
        <f t="shared" si="0"/>
        <v>0</v>
      </c>
      <c r="AK8" s="54">
        <f t="shared" si="1"/>
        <v>0</v>
      </c>
      <c r="AL8" s="54">
        <f t="shared" si="2"/>
        <v>0</v>
      </c>
      <c r="AM8" s="55">
        <f t="shared" si="3"/>
        <v>0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153">
        <f t="shared" si="0"/>
        <v>0</v>
      </c>
      <c r="AK9" s="54">
        <f t="shared" si="1"/>
        <v>0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/>
      <c r="F10" s="7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153">
        <f t="shared" si="0"/>
        <v>0</v>
      </c>
      <c r="AK10" s="54">
        <f t="shared" si="1"/>
        <v>0</v>
      </c>
      <c r="AL10" s="54">
        <f t="shared" si="2"/>
        <v>0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153">
        <f t="shared" si="0"/>
        <v>0</v>
      </c>
      <c r="AK11" s="54">
        <f t="shared" si="1"/>
        <v>0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53">
        <f t="shared" si="0"/>
        <v>0</v>
      </c>
      <c r="AK12" s="54">
        <f t="shared" si="1"/>
        <v>0</v>
      </c>
      <c r="AL12" s="54">
        <f t="shared" si="2"/>
        <v>0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153">
        <f t="shared" si="0"/>
        <v>0</v>
      </c>
      <c r="AK13" s="54">
        <f t="shared" si="1"/>
        <v>0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153">
        <f t="shared" si="0"/>
        <v>0</v>
      </c>
      <c r="AK14" s="54">
        <f t="shared" si="1"/>
        <v>0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153">
        <f t="shared" si="0"/>
        <v>0</v>
      </c>
      <c r="AK15" s="54">
        <f t="shared" si="1"/>
        <v>0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153">
        <f t="shared" si="0"/>
        <v>0</v>
      </c>
      <c r="AK16" s="54">
        <f t="shared" si="1"/>
        <v>0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/>
      <c r="F17" s="7"/>
      <c r="G17" s="7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153">
        <f t="shared" si="0"/>
        <v>0</v>
      </c>
      <c r="AK17" s="54">
        <f t="shared" si="1"/>
        <v>0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153">
        <f t="shared" si="0"/>
        <v>0</v>
      </c>
      <c r="AK18" s="54">
        <f t="shared" si="1"/>
        <v>0</v>
      </c>
      <c r="AL18" s="54">
        <f t="shared" si="2"/>
        <v>0</v>
      </c>
      <c r="AM18" s="55">
        <f t="shared" si="3"/>
        <v>0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153">
        <f t="shared" si="0"/>
        <v>0</v>
      </c>
      <c r="AK19" s="54">
        <f t="shared" si="1"/>
        <v>0</v>
      </c>
      <c r="AL19" s="54">
        <f t="shared" si="2"/>
        <v>0</v>
      </c>
      <c r="AM19" s="55">
        <f t="shared" si="3"/>
        <v>0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153">
        <f t="shared" si="0"/>
        <v>0</v>
      </c>
      <c r="AK20" s="54">
        <f t="shared" si="1"/>
        <v>0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5" t="s">
        <v>58</v>
      </c>
      <c r="AJ21" s="153">
        <f t="shared" si="0"/>
        <v>31</v>
      </c>
      <c r="AK21" s="54">
        <f t="shared" si="1"/>
        <v>0</v>
      </c>
      <c r="AL21" s="54">
        <f t="shared" si="2"/>
        <v>31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153">
        <f t="shared" si="0"/>
        <v>0</v>
      </c>
      <c r="AK22" s="54">
        <f t="shared" si="1"/>
        <v>0</v>
      </c>
      <c r="AL22" s="54">
        <f t="shared" si="2"/>
        <v>0</v>
      </c>
      <c r="AM22" s="55">
        <f t="shared" si="3"/>
        <v>0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154">
        <f t="shared" si="0"/>
        <v>0</v>
      </c>
      <c r="AK23" s="84">
        <f t="shared" si="1"/>
        <v>0</v>
      </c>
      <c r="AL23" s="84">
        <f t="shared" si="2"/>
        <v>0</v>
      </c>
      <c r="AM23" s="85">
        <f t="shared" si="3"/>
        <v>0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31</v>
      </c>
      <c r="AK24" s="141">
        <f>SUM(AK6:AK23)</f>
        <v>0</v>
      </c>
      <c r="AL24" s="141">
        <f>SUM(AL6:AL23)</f>
        <v>31</v>
      </c>
      <c r="AM24" s="142">
        <f>SUM(AM6:AM23)</f>
        <v>0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152">
        <f t="shared" ref="AJ25:AJ31" si="5">COUNTA(E25:AI25)</f>
        <v>0</v>
      </c>
      <c r="AK25" s="80">
        <f t="shared" ref="AK25:AK31" si="6">COUNTIF(E25:AI25,1)</f>
        <v>0</v>
      </c>
      <c r="AL25" s="80">
        <f t="shared" ref="AL25:AL31" si="7">COUNTIF(E25:AI25,"тр")</f>
        <v>0</v>
      </c>
      <c r="AM25" s="81">
        <f t="shared" ref="AM25:AM31" si="8">COUNTIF(E25:AI25,"бв")</f>
        <v>0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153">
        <f t="shared" si="5"/>
        <v>0</v>
      </c>
      <c r="AK26" s="54">
        <f t="shared" si="6"/>
        <v>0</v>
      </c>
      <c r="AL26" s="54">
        <f t="shared" si="7"/>
        <v>0</v>
      </c>
      <c r="AM26" s="55">
        <f t="shared" si="8"/>
        <v>0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0</v>
      </c>
      <c r="AK27" s="54">
        <f t="shared" si="6"/>
        <v>0</v>
      </c>
      <c r="AL27" s="54">
        <f t="shared" si="7"/>
        <v>0</v>
      </c>
      <c r="AM27" s="55">
        <f t="shared" si="8"/>
        <v>0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/>
      <c r="F29" s="7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0</v>
      </c>
      <c r="AK29" s="54">
        <f t="shared" si="6"/>
        <v>0</v>
      </c>
      <c r="AL29" s="54">
        <f t="shared" si="7"/>
        <v>0</v>
      </c>
      <c r="AM29" s="55">
        <f t="shared" si="8"/>
        <v>0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0</v>
      </c>
      <c r="AK30" s="54">
        <f t="shared" si="6"/>
        <v>0</v>
      </c>
      <c r="AL30" s="54">
        <f t="shared" si="7"/>
        <v>0</v>
      </c>
      <c r="AM30" s="55">
        <f t="shared" si="8"/>
        <v>0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154">
        <f t="shared" si="5"/>
        <v>0</v>
      </c>
      <c r="AK31" s="84">
        <f t="shared" si="6"/>
        <v>0</v>
      </c>
      <c r="AL31" s="84">
        <f t="shared" si="7"/>
        <v>0</v>
      </c>
      <c r="AM31" s="85">
        <f t="shared" si="8"/>
        <v>0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31</v>
      </c>
      <c r="AK32" s="135">
        <f>SUM(AK25:AK31)</f>
        <v>0</v>
      </c>
      <c r="AL32" s="135">
        <f>SUM(AL25:AL31)</f>
        <v>31</v>
      </c>
      <c r="AM32" s="136">
        <f>SUM(AM25:AM31)</f>
        <v>0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155">
        <f>COUNTA(E33:AI33)</f>
        <v>0</v>
      </c>
      <c r="AK33" s="17">
        <f>COUNTIF(E33:AI33,1)</f>
        <v>0</v>
      </c>
      <c r="AL33" s="17">
        <f>COUNTIF(E33:AI33,"тр")</f>
        <v>0</v>
      </c>
      <c r="AM33" s="18">
        <f>COUNTIF(E33:AI33,"бв")</f>
        <v>0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155">
        <f>COUNTA(E34:AI34)</f>
        <v>0</v>
      </c>
      <c r="AK34" s="54">
        <f>COUNTIF(E34:AI34,1)</f>
        <v>0</v>
      </c>
      <c r="AL34" s="54">
        <f>COUNTIF(E34:AI34,"тр")</f>
        <v>0</v>
      </c>
      <c r="AM34" s="55">
        <f>COUNTIF(E34:AI34,"бв")</f>
        <v>0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31</v>
      </c>
      <c r="AK36" s="69">
        <f>SUM(AK33:AK35)</f>
        <v>0</v>
      </c>
      <c r="AL36" s="69">
        <f>SUM(AL33:AL35)</f>
        <v>31</v>
      </c>
      <c r="AM36" s="75">
        <f>SUM(AM33:AM35)</f>
        <v>0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155">
        <f>COUNTA(E39:AI39)</f>
        <v>0</v>
      </c>
      <c r="AK39" s="17">
        <f>COUNTIF(E39:AI39,1)</f>
        <v>0</v>
      </c>
      <c r="AL39" s="17">
        <f>COUNTIF(E39:AI39,"тр")</f>
        <v>0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/>
      <c r="F40" s="7"/>
      <c r="G40" s="7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155">
        <f>COUNTA(E40:AI40)</f>
        <v>0</v>
      </c>
      <c r="AK40" s="54">
        <f>COUNTIF(E40:AI40,1)</f>
        <v>0</v>
      </c>
      <c r="AL40" s="54">
        <f>COUNTIF(E40:AI40,"тр")</f>
        <v>0</v>
      </c>
      <c r="AM40" s="55">
        <f>COUNTIF(E40:AI40,"бв")</f>
        <v>0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/>
      <c r="F41" s="43"/>
      <c r="G41" s="43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155">
        <f>COUNTA(E41:AI41)</f>
        <v>0</v>
      </c>
      <c r="AK41" s="56">
        <f>COUNTIF(E41:AI41,1)</f>
        <v>0</v>
      </c>
      <c r="AL41" s="56">
        <f>COUNTIF(E41:AI41,"тр")</f>
        <v>0</v>
      </c>
      <c r="AM41" s="57">
        <f>COUNTIF(E41:AI41,"бв")</f>
        <v>0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0</v>
      </c>
      <c r="AK42" s="69">
        <f>SUM(AK39:AK41)</f>
        <v>0</v>
      </c>
      <c r="AL42" s="69">
        <f>SUM(AL39:AL41)</f>
        <v>0</v>
      </c>
      <c r="AM42" s="75">
        <f>SUM(AM39:AM41)</f>
        <v>0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/>
      <c r="F43" s="6"/>
      <c r="G43" s="6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ref="AJ43:AJ49" si="9">COUNTA(E43:AI43)</f>
        <v>0</v>
      </c>
      <c r="AK43" s="17">
        <f t="shared" ref="AK43:AK49" si="10">COUNTIF(E43:AI43,1)</f>
        <v>0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0</v>
      </c>
      <c r="AK44" s="54">
        <f t="shared" si="10"/>
        <v>0</v>
      </c>
      <c r="AL44" s="54">
        <f t="shared" si="11"/>
        <v>0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0</v>
      </c>
      <c r="AK45" s="54">
        <f t="shared" si="10"/>
        <v>0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0</v>
      </c>
      <c r="AK46" s="54">
        <f t="shared" si="10"/>
        <v>0</v>
      </c>
      <c r="AL46" s="54">
        <f t="shared" si="11"/>
        <v>0</v>
      </c>
      <c r="AM46" s="55">
        <f t="shared" si="12"/>
        <v>0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0</v>
      </c>
      <c r="AK47" s="54">
        <f t="shared" si="10"/>
        <v>0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0</v>
      </c>
      <c r="AK48" s="54">
        <f t="shared" si="10"/>
        <v>0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 t="shared" si="9"/>
        <v>0</v>
      </c>
      <c r="AK49" s="56">
        <f t="shared" si="10"/>
        <v>0</v>
      </c>
      <c r="AL49" s="56">
        <f t="shared" si="11"/>
        <v>0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0</v>
      </c>
      <c r="AK50" s="69">
        <f>SUM(AK43:AK49)</f>
        <v>0</v>
      </c>
      <c r="AL50" s="69">
        <f>SUM(AL43:AL49)</f>
        <v>0</v>
      </c>
      <c r="AM50" s="75">
        <f>SUM(AM43:AM49)</f>
        <v>0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155">
        <f>COUNTA(E51:AI51)</f>
        <v>0</v>
      </c>
      <c r="AK51" s="56">
        <f>COUNTIF(E51:AI51,1)</f>
        <v>0</v>
      </c>
      <c r="AL51" s="56">
        <f>COUNTIF(E51:AI51,"тр")</f>
        <v>0</v>
      </c>
      <c r="AM51" s="57">
        <f>COUNTIF(E51:AI51,"бв")</f>
        <v>0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0</v>
      </c>
      <c r="AK52" s="69">
        <f>SUM(AK51:AK51)</f>
        <v>0</v>
      </c>
      <c r="AL52" s="69">
        <f>SUM(AL51:AL51)</f>
        <v>0</v>
      </c>
      <c r="AM52" s="75">
        <f>SUM(AM51:AM51)</f>
        <v>0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152">
        <f>COUNTA(E53:AI53)</f>
        <v>0</v>
      </c>
      <c r="AK53" s="80">
        <f>COUNTIF(E53:AI53,1)</f>
        <v>0</v>
      </c>
      <c r="AL53" s="80">
        <f>COUNTIF(E53:AI53,"тр")</f>
        <v>0</v>
      </c>
      <c r="AM53" s="81">
        <f>COUNTIF(E53:AI53,"бв")</f>
        <v>0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155">
        <f>COUNTA(E54:AI54)</f>
        <v>0</v>
      </c>
      <c r="AK54" s="56">
        <f>COUNTIF(E54:AI54,1)</f>
        <v>0</v>
      </c>
      <c r="AL54" s="56">
        <f>COUNTIF(E54:AI54,"тр")</f>
        <v>0</v>
      </c>
      <c r="AM54" s="57">
        <f>COUNTIF(E54:AI54,"бв")</f>
        <v>0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157">
        <f>COUNTA(E55:AI55)</f>
        <v>0</v>
      </c>
      <c r="AK55" s="84">
        <f>COUNTIF(E55:AI55,1)</f>
        <v>0</v>
      </c>
      <c r="AL55" s="84">
        <f>COUNTIF(E55:AI55,"тр")</f>
        <v>0</v>
      </c>
      <c r="AM55" s="85">
        <f>COUNTIF(E55:AI55,"бв")</f>
        <v>0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SUM(AJ53:AJ55)</f>
        <v>0</v>
      </c>
      <c r="AK56" s="69">
        <f>SUM(AK53:AK55)</f>
        <v>0</v>
      </c>
      <c r="AL56" s="69">
        <f>SUM(AL53:AL55)</f>
        <v>0</v>
      </c>
      <c r="AM56" s="75">
        <f>SUM(AM53:AM55)</f>
        <v>0</v>
      </c>
    </row>
    <row r="57" spans="1:39" s="33" customFormat="1" x14ac:dyDescent="0.25">
      <c r="A57" s="16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124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6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6"/>
      <c r="C59" s="166"/>
      <c r="D59" s="166"/>
      <c r="E59" s="166"/>
      <c r="F59" s="166"/>
      <c r="G59" s="166"/>
      <c r="H59" s="166"/>
      <c r="I59" s="166"/>
      <c r="J59" s="166"/>
      <c r="K59" s="166"/>
      <c r="L59" s="166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F59" s="166"/>
      <c r="AG59" s="166"/>
      <c r="AH59" s="166"/>
      <c r="AI59" s="166"/>
      <c r="AJ59" s="166"/>
      <c r="AK59" s="166"/>
      <c r="AL59" s="166"/>
      <c r="AM59" s="166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/>
      <c r="AI60" s="30">
        <v>30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152">
        <f>COUNTA(E61:AI61)</f>
        <v>0</v>
      </c>
      <c r="AK61" s="80">
        <f>COUNTIF(E61:AI61,1)</f>
        <v>0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153">
        <f>COUNTA(E62:AI62)</f>
        <v>0</v>
      </c>
      <c r="AK62" s="54">
        <f>COUNTIF(E62:AI62,1)</f>
        <v>0</v>
      </c>
      <c r="AL62" s="54">
        <f>COUNTIF(E62:AI62,"тр")</f>
        <v>0</v>
      </c>
      <c r="AM62" s="55">
        <f>COUNTIF(E62:AI62,"бв")</f>
        <v>0</v>
      </c>
    </row>
    <row r="63" spans="1:39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0</v>
      </c>
      <c r="AK63" s="54">
        <f>COUNTIF(E63:AI63,1)</f>
        <v>0</v>
      </c>
      <c r="AL63" s="54">
        <f>COUNTIF(E63:AI63,"тр")</f>
        <v>0</v>
      </c>
      <c r="AM63" s="55">
        <f>COUNTIF(E63:AI63,"бв")</f>
        <v>0</v>
      </c>
    </row>
    <row r="64" spans="1:39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97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31</v>
      </c>
      <c r="AK65" s="135">
        <f t="shared" ref="AK65:AM65" si="14">SUM(AK61:AK64)</f>
        <v>0</v>
      </c>
      <c r="AL65" s="135">
        <f t="shared" si="14"/>
        <v>31</v>
      </c>
      <c r="AM65" s="136">
        <f t="shared" si="14"/>
        <v>0</v>
      </c>
    </row>
    <row r="66" spans="1:39" s="33" customFormat="1" x14ac:dyDescent="0.25">
      <c r="A66" s="165"/>
      <c r="B66" s="49"/>
      <c r="C66" s="50"/>
      <c r="D66" s="50"/>
      <c r="Y66" s="51" t="s">
        <v>68</v>
      </c>
      <c r="AJ66" s="76">
        <f>AJ65</f>
        <v>31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4:AI4 AJ4:AJ5 E25:AJ31 E43:AJ49 E51:AJ51 E53:AJ55 E33:AJ35 E37:AJ37 E39:AJ41 E61:AJ64 E6:AJ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:AM5 AJ52:AM52 AJ50:AN50 AJ42:AM42 AJ38:AM38 AJ36:AM36 AJ32:AM32 AJ24:AM2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2019-05-03T08:13:16Z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