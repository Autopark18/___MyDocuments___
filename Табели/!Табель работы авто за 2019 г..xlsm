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6" r:id="rId1"/>
    <sheet name="Февраль 2019" sheetId="7" r:id="rId2"/>
    <sheet name="Март 2019" sheetId="8" r:id="rId3"/>
    <sheet name="Данные" sheetId="5" state="hidden" r:id="rId4"/>
  </sheets>
  <functionGroups builtInGroupCount="18"/>
  <definedNames>
    <definedName name="_xlnm._FilterDatabase" localSheetId="2" hidden="1">'Март 2019'!$E$2:$AM$57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8" l="1"/>
  <c r="AM64" i="8" l="1"/>
  <c r="AL64" i="8"/>
  <c r="AK64" i="8"/>
  <c r="AJ64" i="8"/>
  <c r="AM63" i="8"/>
  <c r="AL63" i="8"/>
  <c r="AK63" i="8"/>
  <c r="AJ63" i="8"/>
  <c r="AM62" i="8"/>
  <c r="AL62" i="8"/>
  <c r="AK62" i="8"/>
  <c r="AJ62" i="8"/>
  <c r="A62" i="8"/>
  <c r="A63" i="8" s="1"/>
  <c r="A64" i="8" s="1"/>
  <c r="AM61" i="8"/>
  <c r="AL61" i="8"/>
  <c r="AK61" i="8"/>
  <c r="AJ61" i="8"/>
  <c r="A59" i="8"/>
  <c r="AM55" i="8"/>
  <c r="AL55" i="8"/>
  <c r="AK55" i="8"/>
  <c r="AJ55" i="8"/>
  <c r="AM54" i="8"/>
  <c r="AL54" i="8"/>
  <c r="AK54" i="8"/>
  <c r="AJ54" i="8"/>
  <c r="AM53" i="8"/>
  <c r="AM56" i="8" s="1"/>
  <c r="AL53" i="8"/>
  <c r="AL56" i="8" s="1"/>
  <c r="AK53" i="8"/>
  <c r="AK56" i="8" s="1"/>
  <c r="AJ53" i="8"/>
  <c r="AJ56" i="8" s="1"/>
  <c r="AM51" i="8"/>
  <c r="AM52" i="8" s="1"/>
  <c r="AL51" i="8"/>
  <c r="AL52" i="8" s="1"/>
  <c r="AK51" i="8"/>
  <c r="AK52" i="8" s="1"/>
  <c r="AJ51" i="8"/>
  <c r="AJ52" i="8" s="1"/>
  <c r="AM49" i="8"/>
  <c r="AL49" i="8"/>
  <c r="AK49" i="8"/>
  <c r="AJ49" i="8"/>
  <c r="AM48" i="8"/>
  <c r="AL48" i="8"/>
  <c r="AK48" i="8"/>
  <c r="AJ48" i="8"/>
  <c r="AM47" i="8"/>
  <c r="AL47" i="8"/>
  <c r="AK47" i="8"/>
  <c r="AJ47" i="8"/>
  <c r="AM46" i="8"/>
  <c r="AL46" i="8"/>
  <c r="AK46" i="8"/>
  <c r="AJ46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L41" i="8"/>
  <c r="AK41" i="8"/>
  <c r="AJ41" i="8"/>
  <c r="AM40" i="8"/>
  <c r="AL40" i="8"/>
  <c r="AK40" i="8"/>
  <c r="AJ40" i="8"/>
  <c r="AM39" i="8"/>
  <c r="AL39" i="8"/>
  <c r="AK39" i="8"/>
  <c r="AJ39" i="8"/>
  <c r="AM37" i="8"/>
  <c r="AM38" i="8" s="1"/>
  <c r="AL37" i="8"/>
  <c r="AL38" i="8" s="1"/>
  <c r="AK37" i="8"/>
  <c r="AK38" i="8" s="1"/>
  <c r="AJ37" i="8"/>
  <c r="AJ38" i="8" s="1"/>
  <c r="AM35" i="8"/>
  <c r="AL35" i="8"/>
  <c r="AK35" i="8"/>
  <c r="AJ35" i="8"/>
  <c r="AM34" i="8"/>
  <c r="AL34" i="8"/>
  <c r="AK34" i="8"/>
  <c r="AJ34" i="8"/>
  <c r="AM33" i="8"/>
  <c r="AL33" i="8"/>
  <c r="AK33" i="8"/>
  <c r="AJ33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6" i="8"/>
  <c r="AL26" i="8"/>
  <c r="AK26" i="8"/>
  <c r="AJ26" i="8"/>
  <c r="AM25" i="8"/>
  <c r="AL25" i="8"/>
  <c r="AK25" i="8"/>
  <c r="AJ25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8" i="8"/>
  <c r="AL8" i="8"/>
  <c r="AK8" i="8"/>
  <c r="AJ8" i="8"/>
  <c r="AM7" i="8"/>
  <c r="AL7" i="8"/>
  <c r="AK7" i="8"/>
  <c r="AJ7" i="8"/>
  <c r="AM6" i="8"/>
  <c r="AL6" i="8"/>
  <c r="AK6" i="8"/>
  <c r="AJ6" i="8"/>
  <c r="AM4" i="8"/>
  <c r="AL4" i="8"/>
  <c r="AK4" i="8"/>
  <c r="AJ4" i="8"/>
  <c r="A7" i="8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5" i="8" s="1"/>
  <c r="A26" i="8" s="1"/>
  <c r="A27" i="8" s="1"/>
  <c r="A28" i="8" s="1"/>
  <c r="A29" i="8" s="1"/>
  <c r="A30" i="8" s="1"/>
  <c r="A31" i="8" s="1"/>
  <c r="A33" i="8" s="1"/>
  <c r="A34" i="8" s="1"/>
  <c r="A35" i="8" s="1"/>
  <c r="A1" i="8"/>
  <c r="A59" i="7"/>
  <c r="A55" i="7"/>
  <c r="A39" i="7"/>
  <c r="A67" i="7"/>
  <c r="A68" i="7"/>
  <c r="A66" i="7"/>
  <c r="A37" i="8" l="1"/>
  <c r="A39" i="8" s="1"/>
  <c r="A40" i="8" s="1"/>
  <c r="A41" i="8" s="1"/>
  <c r="A43" i="8" s="1"/>
  <c r="A44" i="8" s="1"/>
  <c r="A45" i="8" s="1"/>
  <c r="A46" i="8" s="1"/>
  <c r="A47" i="8" s="1"/>
  <c r="A48" i="8" s="1"/>
  <c r="A49" i="8" s="1"/>
  <c r="A51" i="8" s="1"/>
  <c r="A53" i="8" s="1"/>
  <c r="A54" i="8" s="1"/>
  <c r="A55" i="8" s="1"/>
  <c r="AJ5" i="8"/>
  <c r="AJ24" i="8" s="1"/>
  <c r="AJ32" i="8" s="1"/>
  <c r="AL5" i="8"/>
  <c r="AL24" i="8" s="1"/>
  <c r="AL32" i="8" s="1"/>
  <c r="AM5" i="8"/>
  <c r="AM24" i="8" s="1"/>
  <c r="AM32" i="8" s="1"/>
  <c r="AK5" i="8"/>
  <c r="AK24" i="8" s="1"/>
  <c r="AK32" i="8" s="1"/>
  <c r="AJ65" i="8"/>
  <c r="AJ66" i="8" s="1"/>
  <c r="AL65" i="8"/>
  <c r="AK65" i="8"/>
  <c r="AM65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36" i="8" l="1"/>
  <c r="AL42" i="8" s="1"/>
  <c r="AL50" i="8" s="1"/>
  <c r="AJ36" i="8"/>
  <c r="AJ42" i="8" s="1"/>
  <c r="AJ50" i="8" s="1"/>
  <c r="AJ57" i="8" s="1"/>
  <c r="AK36" i="8"/>
  <c r="AK42" i="8" s="1"/>
  <c r="AK50" i="8" s="1"/>
  <c r="AM36" i="8"/>
  <c r="AM42" i="8" s="1"/>
  <c r="AM50" i="8" s="1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<sst xmlns="http://schemas.openxmlformats.org/spreadsheetml/2006/main" count="1837" uniqueCount="80">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</sst>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5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  <c r="AK63" s="158"/>
      <c r="AL63" s="158"/>
      <c r="AM63" s="158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2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Q66" sqref="Q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158"/>
      <c r="AB63" s="158"/>
      <c r="AC63" s="158"/>
      <c r="AD63" s="158"/>
      <c r="AE63" s="158"/>
      <c r="AF63" s="158"/>
      <c r="AG63" s="158"/>
      <c r="AH63" s="158"/>
      <c r="AI63" s="158"/>
      <c r="AJ63" s="158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1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8" sqref="O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58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42" t="s">
        <v>58</v>
      </c>
      <c r="AJ4" s="156">
        <f>COUNTA(E4:AI4)</f>
        <v>31</v>
      </c>
      <c r="AK4" s="56">
        <f>COUNTIF(E4:AI4,1)</f>
        <v>0</v>
      </c>
      <c r="AL4" s="56">
        <f>COUNTIF(E4:AI4,"тр")</f>
        <v>31</v>
      </c>
      <c r="AM4" s="57">
        <f>COUNTIF(E4:AI4,"бв")</f>
        <v>0</v>
      </c>
    </row>
    <row r="5" spans="1:39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77">
        <f>SUM(AJ4:AJ4)</f>
        <v>31</v>
      </c>
      <c r="AK5" s="70">
        <f>SUM(AK4:AK4)</f>
        <v>0</v>
      </c>
      <c r="AL5" s="70">
        <f>SUM(AL4:AL4)</f>
        <v>31</v>
      </c>
      <c r="AM5" s="71">
        <f>SUM(AM4:AM4)</f>
        <v>0</v>
      </c>
    </row>
    <row r="6" spans="1:39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4">
        <v>1</v>
      </c>
      <c r="F6" s="5">
        <v>1</v>
      </c>
      <c r="G6" s="5">
        <v>1</v>
      </c>
      <c r="H6" s="5">
        <v>1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78"/>
      <c r="AJ6" s="155">
        <f>COUNTA(E6:AI6)</f>
        <v>11</v>
      </c>
      <c r="AK6" s="17">
        <f>COUNTIF(E6:AI6,1)</f>
        <v>4</v>
      </c>
      <c r="AL6" s="17">
        <f>COUNTIF(E6:AI6,"тр")</f>
        <v>7</v>
      </c>
      <c r="AM6" s="18">
        <f>COUNTIF(E6:AI6,"бв")</f>
        <v>0</v>
      </c>
    </row>
    <row r="7" spans="1:39" x14ac:dyDescent="0.25">
      <c r="A7" s="11">
        <f t="shared" ref="A7:A55" si="0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78"/>
      <c r="AJ7" s="153">
        <f>COUNTA(E7:AI7)</f>
        <v>11</v>
      </c>
      <c r="AK7" s="54">
        <f>COUNTIF(E7:AI7,1)</f>
        <v>6</v>
      </c>
      <c r="AL7" s="54">
        <f>COUNTIF(E7:AI7,"тр")</f>
        <v>5</v>
      </c>
      <c r="AM7" s="55">
        <f>COUNTIF(E7:AI7,"бв")</f>
        <v>0</v>
      </c>
    </row>
    <row r="8" spans="1:39" x14ac:dyDescent="0.25">
      <c r="A8" s="11">
        <f t="shared" si="0"/>
        <v>4</v>
      </c>
      <c r="B8" s="12" t="s">
        <v>53</v>
      </c>
      <c r="C8" s="13" t="s">
        <v>6</v>
      </c>
      <c r="D8" s="100" t="s">
        <v>50</v>
      </c>
      <c r="E8" s="94">
        <v>1</v>
      </c>
      <c r="F8" s="7">
        <v>1</v>
      </c>
      <c r="G8" s="7" t="s">
        <v>58</v>
      </c>
      <c r="H8" s="5">
        <v>1</v>
      </c>
      <c r="I8" s="5" t="s">
        <v>57</v>
      </c>
      <c r="J8" s="5">
        <v>1</v>
      </c>
      <c r="K8" s="5">
        <v>1</v>
      </c>
      <c r="L8" s="5">
        <v>1</v>
      </c>
      <c r="M8" s="5">
        <v>1</v>
      </c>
      <c r="N8" s="5">
        <v>1</v>
      </c>
      <c r="O8" s="5">
        <v>1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3">
        <f>COUNTA(E8:AI8)</f>
        <v>11</v>
      </c>
      <c r="AK8" s="54">
        <f>COUNTIF(E8:AI8,1)</f>
        <v>9</v>
      </c>
      <c r="AL8" s="54">
        <f>COUNTIF(E8:AI8,"тр")</f>
        <v>1</v>
      </c>
      <c r="AM8" s="55">
        <f>COUNTIF(E8:AI8,"бв")</f>
        <v>1</v>
      </c>
    </row>
    <row r="9" spans="1:39" x14ac:dyDescent="0.25">
      <c r="A9" s="11">
        <f t="shared" si="0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78"/>
      <c r="AJ9" s="153">
        <f>COUNTA(E9:AI9)</f>
        <v>11</v>
      </c>
      <c r="AK9" s="54">
        <f>COUNTIF(E9:AI9,1)</f>
        <v>11</v>
      </c>
      <c r="AL9" s="54">
        <f>COUNTIF(E9:AI9,"тр")</f>
        <v>0</v>
      </c>
      <c r="AM9" s="55">
        <f>COUNTIF(E9:AI9,"бв")</f>
        <v>0</v>
      </c>
    </row>
    <row r="10" spans="1:39" x14ac:dyDescent="0.25">
      <c r="A10" s="11">
        <f t="shared" si="0"/>
        <v>6</v>
      </c>
      <c r="B10" s="12" t="s">
        <v>53</v>
      </c>
      <c r="C10" s="13" t="s">
        <v>8</v>
      </c>
      <c r="D10" s="89">
        <v>6850</v>
      </c>
      <c r="E10" s="94" t="s">
        <v>58</v>
      </c>
      <c r="F10" s="7" t="s">
        <v>58</v>
      </c>
      <c r="G10" s="5" t="s">
        <v>58</v>
      </c>
      <c r="H10" s="5" t="s">
        <v>57</v>
      </c>
      <c r="I10" s="5">
        <v>1</v>
      </c>
      <c r="J10" s="5">
        <v>1</v>
      </c>
      <c r="K10" s="5" t="s">
        <v>58</v>
      </c>
      <c r="L10" s="5" t="s">
        <v>57</v>
      </c>
      <c r="M10" s="5" t="s">
        <v>57</v>
      </c>
      <c r="N10" s="5" t="s">
        <v>57</v>
      </c>
      <c r="O10" s="5">
        <v>1</v>
      </c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78"/>
      <c r="AJ10" s="153">
        <f>COUNTA(E10:AI10)</f>
        <v>11</v>
      </c>
      <c r="AK10" s="54">
        <f>COUNTIF(E10:AI10,1)</f>
        <v>3</v>
      </c>
      <c r="AL10" s="54">
        <f>COUNTIF(E10:AI10,"тр")</f>
        <v>4</v>
      </c>
      <c r="AM10" s="55">
        <f>COUNTIF(E10:AI10,"бв")</f>
        <v>4</v>
      </c>
    </row>
    <row r="11" spans="1:39" x14ac:dyDescent="0.25">
      <c r="A11" s="11">
        <f t="shared" si="0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>
        <v>1</v>
      </c>
      <c r="G11" s="5" t="s">
        <v>57</v>
      </c>
      <c r="H11" s="5">
        <v>1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78"/>
      <c r="AJ11" s="153">
        <f>COUNTA(E11:AI11)</f>
        <v>11</v>
      </c>
      <c r="AK11" s="54">
        <f>COUNTIF(E11:AI11,1)</f>
        <v>9</v>
      </c>
      <c r="AL11" s="54">
        <f>COUNTIF(E11:AI11,"тр")</f>
        <v>0</v>
      </c>
      <c r="AM11" s="55">
        <f>COUNTIF(E11:AI11,"бв")</f>
        <v>2</v>
      </c>
    </row>
    <row r="12" spans="1:39" x14ac:dyDescent="0.25">
      <c r="A12" s="11">
        <f t="shared" si="0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 s="5" t="s">
        <v>58</v>
      </c>
      <c r="M12" s="5" t="s">
        <v>58</v>
      </c>
      <c r="N12" s="5" t="s">
        <v>58</v>
      </c>
      <c r="O12" s="5" t="s">
        <v>58</v>
      </c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78"/>
      <c r="AJ12" s="153">
        <f>COUNTA(E12:AI12)</f>
        <v>11</v>
      </c>
      <c r="AK12" s="54">
        <f>COUNTIF(E12:AI12,1)</f>
        <v>7</v>
      </c>
      <c r="AL12" s="54">
        <f>COUNTIF(E12:AI12,"тр")</f>
        <v>4</v>
      </c>
      <c r="AM12" s="55">
        <f>COUNTIF(E12:AI12,"бв")</f>
        <v>0</v>
      </c>
    </row>
    <row r="13" spans="1:39" x14ac:dyDescent="0.25">
      <c r="A13" s="11">
        <f t="shared" si="0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78"/>
      <c r="AJ13" s="153">
        <f>COUNTA(E13:AI13)</f>
        <v>11</v>
      </c>
      <c r="AK13" s="54">
        <f>COUNTIF(E13:AI13,1)</f>
        <v>11</v>
      </c>
      <c r="AL13" s="54">
        <f>COUNTIF(E13:AI13,"тр")</f>
        <v>0</v>
      </c>
      <c r="AM13" s="55">
        <f>COUNTIF(E13:AI13,"бв")</f>
        <v>0</v>
      </c>
    </row>
    <row r="14" spans="1:39" x14ac:dyDescent="0.25">
      <c r="A14" s="11">
        <f t="shared" si="0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78"/>
      <c r="AJ14" s="153">
        <f>COUNTA(E14:AI14)</f>
        <v>11</v>
      </c>
      <c r="AK14" s="54">
        <f>COUNTIF(E14:AI14,1)</f>
        <v>11</v>
      </c>
      <c r="AL14" s="54">
        <f>COUNTIF(E14:AI14,"тр")</f>
        <v>0</v>
      </c>
      <c r="AM14" s="55">
        <f>COUNTIF(E14:AI14,"бв")</f>
        <v>0</v>
      </c>
    </row>
    <row r="15" spans="1:39" x14ac:dyDescent="0.25">
      <c r="A15" s="11">
        <f t="shared" si="0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78"/>
      <c r="AJ15" s="153">
        <f>COUNTA(E15:AI15)</f>
        <v>11</v>
      </c>
      <c r="AK15" s="54">
        <f>COUNTIF(E15:AI15,1)</f>
        <v>11</v>
      </c>
      <c r="AL15" s="54">
        <f>COUNTIF(E15:AI15,"тр")</f>
        <v>0</v>
      </c>
      <c r="AM15" s="55">
        <f>COUNTIF(E15:AI15,"бв")</f>
        <v>0</v>
      </c>
    </row>
    <row r="16" spans="1:39" x14ac:dyDescent="0.25">
      <c r="A16" s="11">
        <f t="shared" si="0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78"/>
      <c r="AJ16" s="153">
        <f>COUNTA(E16:AI16)</f>
        <v>11</v>
      </c>
      <c r="AK16" s="54">
        <f>COUNTIF(E16:AI16,1)</f>
        <v>11</v>
      </c>
      <c r="AL16" s="54">
        <f>COUNTIF(E16:AI16,"тр")</f>
        <v>0</v>
      </c>
      <c r="AM16" s="55">
        <f>COUNTIF(E16:AI16,"бв")</f>
        <v>0</v>
      </c>
    </row>
    <row r="17" spans="1:39" x14ac:dyDescent="0.25">
      <c r="A17" s="11">
        <f t="shared" si="0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 t="s">
        <v>57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 t="s">
        <v>57</v>
      </c>
      <c r="O17" s="5">
        <v>1</v>
      </c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78"/>
      <c r="AJ17" s="153">
        <f>COUNTA(E17:AI17)</f>
        <v>11</v>
      </c>
      <c r="AK17" s="54">
        <f>COUNTIF(E17:AI17,1)</f>
        <v>9</v>
      </c>
      <c r="AL17" s="54">
        <f>COUNTIF(E17:AI17,"тр")</f>
        <v>0</v>
      </c>
      <c r="AM17" s="55">
        <f>COUNTIF(E17:AI17,"бв")</f>
        <v>2</v>
      </c>
    </row>
    <row r="18" spans="1:39" x14ac:dyDescent="0.25">
      <c r="A18" s="11">
        <f t="shared" si="0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 t="s">
        <v>57</v>
      </c>
      <c r="G18" s="5" t="s">
        <v>57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 t="s">
        <v>57</v>
      </c>
      <c r="N18" s="5" t="s">
        <v>57</v>
      </c>
      <c r="O18" s="5">
        <v>1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78"/>
      <c r="AJ18" s="153">
        <f>COUNTA(E18:AI18)</f>
        <v>11</v>
      </c>
      <c r="AK18" s="54">
        <f>COUNTIF(E18:AI18,1)</f>
        <v>7</v>
      </c>
      <c r="AL18" s="54">
        <f>COUNTIF(E18:AI18,"тр")</f>
        <v>0</v>
      </c>
      <c r="AM18" s="55">
        <f>COUNTIF(E18:AI18,"бв")</f>
        <v>4</v>
      </c>
    </row>
    <row r="19" spans="1:39" x14ac:dyDescent="0.25">
      <c r="A19" s="11">
        <f t="shared" si="0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78"/>
      <c r="AJ19" s="153">
        <f>COUNTA(E19:AI19)</f>
        <v>11</v>
      </c>
      <c r="AK19" s="54">
        <f>COUNTIF(E19:AI19,1)</f>
        <v>11</v>
      </c>
      <c r="AL19" s="54">
        <f>COUNTIF(E19:AI19,"тр")</f>
        <v>0</v>
      </c>
      <c r="AM19" s="55">
        <f>COUNTIF(E19:AI19,"бв")</f>
        <v>0</v>
      </c>
    </row>
    <row r="20" spans="1:39" x14ac:dyDescent="0.25">
      <c r="A20" s="11">
        <f t="shared" si="0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 t="s">
        <v>57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 t="s">
        <v>57</v>
      </c>
      <c r="N20" s="5">
        <v>1</v>
      </c>
      <c r="O20" s="5">
        <v>1</v>
      </c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78"/>
      <c r="AJ20" s="153">
        <f>COUNTA(E20:AI20)</f>
        <v>11</v>
      </c>
      <c r="AK20" s="54">
        <f>COUNTIF(E20:AI20,1)</f>
        <v>8</v>
      </c>
      <c r="AL20" s="54">
        <f>COUNTIF(E20:AI20,"тр")</f>
        <v>0</v>
      </c>
      <c r="AM20" s="55">
        <f>COUNTIF(E20:AI20,"бв")</f>
        <v>3</v>
      </c>
    </row>
    <row r="21" spans="1:39" x14ac:dyDescent="0.25">
      <c r="A21" s="11">
        <f t="shared" si="0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>
        <v>1</v>
      </c>
      <c r="L21" s="5" t="s">
        <v>58</v>
      </c>
      <c r="M21" s="5" t="s">
        <v>58</v>
      </c>
      <c r="N21" s="5" t="s">
        <v>58</v>
      </c>
      <c r="O21" s="5" t="s">
        <v>58</v>
      </c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78"/>
      <c r="AJ21" s="153">
        <f>COUNTA(E21:AI21)</f>
        <v>11</v>
      </c>
      <c r="AK21" s="54">
        <f>COUNTIF(E21:AI21,1)</f>
        <v>1</v>
      </c>
      <c r="AL21" s="54">
        <f>COUNTIF(E21:AI21,"тр")</f>
        <v>10</v>
      </c>
      <c r="AM21" s="55">
        <f>COUNTIF(E21:AI21,"бв")</f>
        <v>0</v>
      </c>
    </row>
    <row r="22" spans="1:39" x14ac:dyDescent="0.25">
      <c r="A22" s="11">
        <f t="shared" si="0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>
        <v>1</v>
      </c>
      <c r="N22" s="5">
        <v>1</v>
      </c>
      <c r="O22" s="5">
        <v>1</v>
      </c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78"/>
      <c r="AJ22" s="153">
        <f>COUNTA(E22:AI22)</f>
        <v>11</v>
      </c>
      <c r="AK22" s="54">
        <f>COUNTIF(E22:AI22,1)</f>
        <v>10</v>
      </c>
      <c r="AL22" s="54">
        <f>COUNTIF(E22:AI22,"тр")</f>
        <v>0</v>
      </c>
      <c r="AM22" s="55">
        <f>COUNTIF(E22:AI22,"бв")</f>
        <v>1</v>
      </c>
    </row>
    <row r="23" spans="1:39" ht="16.3" thickBot="1" x14ac:dyDescent="0.3">
      <c r="A23" s="44">
        <f t="shared" si="0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 t="s">
        <v>57</v>
      </c>
      <c r="G23" s="97" t="s">
        <v>57</v>
      </c>
      <c r="H23" s="97">
        <v>1</v>
      </c>
      <c r="I23" s="97">
        <v>1</v>
      </c>
      <c r="J23" s="97">
        <v>1</v>
      </c>
      <c r="K23" s="97">
        <v>1</v>
      </c>
      <c r="L23" s="97" t="s">
        <v>57</v>
      </c>
      <c r="M23" s="97">
        <v>1</v>
      </c>
      <c r="N23" s="97" t="s">
        <v>58</v>
      </c>
      <c r="O23" s="97">
        <v>1</v>
      </c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02"/>
      <c r="AJ23" s="154">
        <f>COUNTA(E23:AI23)</f>
        <v>11</v>
      </c>
      <c r="AK23" s="84">
        <f>COUNTIF(E23:AI23,1)</f>
        <v>7</v>
      </c>
      <c r="AL23" s="84">
        <f>COUNTIF(E23:AI23,"тр")</f>
        <v>1</v>
      </c>
      <c r="AM23" s="85">
        <f>COUNTIF(E23:AI23,"бв")</f>
        <v>3</v>
      </c>
    </row>
    <row r="24" spans="1:39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140">
        <f>SUM(AJ6:AJ23)</f>
        <v>198</v>
      </c>
      <c r="AK24" s="141">
        <f>SUM(AK6:AK23)</f>
        <v>146</v>
      </c>
      <c r="AL24" s="141">
        <f>SUM(AL6:AL23)</f>
        <v>32</v>
      </c>
      <c r="AM24" s="142">
        <f>SUM(AM6:AM23)</f>
        <v>20</v>
      </c>
    </row>
    <row r="25" spans="1:39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 t="s">
        <v>57</v>
      </c>
      <c r="G25" s="35" t="s">
        <v>57</v>
      </c>
      <c r="H25" s="35">
        <v>1</v>
      </c>
      <c r="I25" s="35" t="s">
        <v>58</v>
      </c>
      <c r="J25" s="35" t="s">
        <v>58</v>
      </c>
      <c r="K25" s="35" t="s">
        <v>58</v>
      </c>
      <c r="L25" s="35" t="s">
        <v>58</v>
      </c>
      <c r="M25" s="35">
        <v>1</v>
      </c>
      <c r="N25" s="35" t="s">
        <v>58</v>
      </c>
      <c r="O25" s="35" t="s">
        <v>58</v>
      </c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25"/>
      <c r="AJ25" s="152">
        <f>COUNTA(E25:AI25)</f>
        <v>11</v>
      </c>
      <c r="AK25" s="80">
        <f>COUNTIF(E25:AI25,1)</f>
        <v>3</v>
      </c>
      <c r="AL25" s="80">
        <f>COUNTIF(E25:AI25,"тр")</f>
        <v>6</v>
      </c>
      <c r="AM25" s="81">
        <f>COUNTIF(E25:AI25,"бв")</f>
        <v>2</v>
      </c>
    </row>
    <row r="26" spans="1:39" x14ac:dyDescent="0.25">
      <c r="A26" s="11">
        <f t="shared" si="0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>
        <v>1</v>
      </c>
      <c r="G26" s="5">
        <v>1</v>
      </c>
      <c r="H26" s="5" t="s">
        <v>57</v>
      </c>
      <c r="I26" s="5">
        <v>1</v>
      </c>
      <c r="J26" s="5">
        <v>1</v>
      </c>
      <c r="K26" s="5">
        <v>1</v>
      </c>
      <c r="L26" s="5" t="s">
        <v>57</v>
      </c>
      <c r="M26" s="5" t="s">
        <v>57</v>
      </c>
      <c r="N26" s="5" t="s">
        <v>57</v>
      </c>
      <c r="O26" s="5" t="s">
        <v>57</v>
      </c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78"/>
      <c r="AJ26" s="153">
        <f>COUNTA(E26:AI26)</f>
        <v>11</v>
      </c>
      <c r="AK26" s="54">
        <f>COUNTIF(E26:AI26,1)</f>
        <v>6</v>
      </c>
      <c r="AL26" s="54">
        <f>COUNTIF(E26:AI26,"тр")</f>
        <v>0</v>
      </c>
      <c r="AM26" s="55">
        <f>COUNTIF(E26:AI26,"бв")</f>
        <v>5</v>
      </c>
    </row>
    <row r="27" spans="1:39" x14ac:dyDescent="0.25">
      <c r="A27" s="11">
        <f t="shared" si="0"/>
        <v>22</v>
      </c>
      <c r="B27" s="14" t="s">
        <v>19</v>
      </c>
      <c r="C27" s="13" t="s">
        <v>22</v>
      </c>
      <c r="D27" s="22">
        <v>2963</v>
      </c>
      <c r="E27" s="7">
        <v>1</v>
      </c>
      <c r="F27" s="5">
        <v>1</v>
      </c>
      <c r="G27" s="5" t="s">
        <v>57</v>
      </c>
      <c r="H27" s="5" t="s">
        <v>57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>
        <v>1</v>
      </c>
      <c r="O27" s="5">
        <v>1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78"/>
      <c r="AJ27" s="153">
        <f>COUNTA(E27:AI27)</f>
        <v>11</v>
      </c>
      <c r="AK27" s="54">
        <f>COUNTIF(E27:AI27,1)</f>
        <v>9</v>
      </c>
      <c r="AL27" s="54">
        <f>COUNTIF(E27:AI27,"тр")</f>
        <v>0</v>
      </c>
      <c r="AM27" s="55">
        <f>COUNTIF(E27:AI27,"бв")</f>
        <v>2</v>
      </c>
    </row>
    <row r="28" spans="1:39" x14ac:dyDescent="0.25">
      <c r="A28" s="11">
        <f t="shared" si="0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78"/>
      <c r="AJ28" s="153">
        <f>COUNTA(E28:AI28)</f>
        <v>11</v>
      </c>
      <c r="AK28" s="54">
        <f>COUNTIF(E28:AI28,1)</f>
        <v>0</v>
      </c>
      <c r="AL28" s="54">
        <f>COUNTIF(E28:AI28,"тр")</f>
        <v>11</v>
      </c>
      <c r="AM28" s="55">
        <f>COUNTIF(E28:AI28,"бв")</f>
        <v>0</v>
      </c>
    </row>
    <row r="29" spans="1:39" x14ac:dyDescent="0.25">
      <c r="A29" s="11">
        <f t="shared" si="0"/>
        <v>24</v>
      </c>
      <c r="B29" s="14" t="s">
        <v>19</v>
      </c>
      <c r="C29" s="15">
        <v>162</v>
      </c>
      <c r="D29" s="22" t="s">
        <v>51</v>
      </c>
      <c r="E29" s="7" t="s">
        <v>58</v>
      </c>
      <c r="F29" s="7">
        <v>1</v>
      </c>
      <c r="G29" s="5">
        <v>1</v>
      </c>
      <c r="H29" s="5">
        <v>1</v>
      </c>
      <c r="I29" s="5">
        <v>1</v>
      </c>
      <c r="J29" s="5" t="s">
        <v>57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8"/>
      <c r="AJ29" s="153">
        <f>COUNTA(E29:AI29)</f>
        <v>11</v>
      </c>
      <c r="AK29" s="54">
        <f>COUNTIF(E29:AI29,1)</f>
        <v>9</v>
      </c>
      <c r="AL29" s="54">
        <f>COUNTIF(E29:AI29,"тр")</f>
        <v>1</v>
      </c>
      <c r="AM29" s="55">
        <f>COUNTIF(E29:AI29,"бв")</f>
        <v>1</v>
      </c>
    </row>
    <row r="30" spans="1:39" x14ac:dyDescent="0.25">
      <c r="A30" s="11">
        <f t="shared" si="0"/>
        <v>25</v>
      </c>
      <c r="B30" s="14" t="s">
        <v>19</v>
      </c>
      <c r="C30" s="15">
        <v>163</v>
      </c>
      <c r="D30" s="22" t="s">
        <v>52</v>
      </c>
      <c r="E30" s="7">
        <v>1</v>
      </c>
      <c r="F30" s="5">
        <v>1</v>
      </c>
      <c r="G30" s="5">
        <v>1</v>
      </c>
      <c r="H30" s="5" t="s">
        <v>57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8"/>
      <c r="AJ30" s="153">
        <f>COUNTA(E30:AI30)</f>
        <v>11</v>
      </c>
      <c r="AK30" s="54">
        <f>COUNTIF(E30:AI30,1)</f>
        <v>8</v>
      </c>
      <c r="AL30" s="54">
        <f>COUNTIF(E30:AI30,"тр")</f>
        <v>0</v>
      </c>
      <c r="AM30" s="55">
        <f>COUNTIF(E30:AI30,"бв")</f>
        <v>3</v>
      </c>
    </row>
    <row r="31" spans="1:39" ht="16.3" thickBot="1" x14ac:dyDescent="0.3">
      <c r="A31" s="44">
        <f t="shared" si="0"/>
        <v>26</v>
      </c>
      <c r="B31" s="67" t="s">
        <v>19</v>
      </c>
      <c r="C31" s="40" t="s">
        <v>24</v>
      </c>
      <c r="D31" s="41">
        <v>1276</v>
      </c>
      <c r="E31" s="43" t="s">
        <v>58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57</v>
      </c>
      <c r="N31" s="42">
        <v>1</v>
      </c>
      <c r="O31" s="42">
        <v>1</v>
      </c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26"/>
      <c r="AJ31" s="154">
        <f>COUNTA(E31:AI31)</f>
        <v>11</v>
      </c>
      <c r="AK31" s="84">
        <f>COUNTIF(E31:AI31,1)</f>
        <v>9</v>
      </c>
      <c r="AL31" s="84">
        <f>COUNTIF(E31:AI31,"тр")</f>
        <v>1</v>
      </c>
      <c r="AM31" s="85">
        <f>COUNTIF(E31:AI31,"бв")</f>
        <v>1</v>
      </c>
    </row>
    <row r="32" spans="1:39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134">
        <f>SUM(AJ25:AJ31)</f>
        <v>77</v>
      </c>
      <c r="AK32" s="135">
        <f>SUM(AK25:AK31)</f>
        <v>44</v>
      </c>
      <c r="AL32" s="135">
        <f>SUM(AL25:AL31)</f>
        <v>19</v>
      </c>
      <c r="AM32" s="136">
        <f>SUM(AM25:AM31)</f>
        <v>14</v>
      </c>
    </row>
    <row r="33" spans="1:39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 t="s">
        <v>57</v>
      </c>
      <c r="N33" s="35" t="s">
        <v>57</v>
      </c>
      <c r="O33" s="35">
        <v>1</v>
      </c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155">
        <f>COUNTA(E33:AI33)</f>
        <v>11</v>
      </c>
      <c r="AK33" s="17">
        <f>COUNTIF(E33:AI33,1)</f>
        <v>9</v>
      </c>
      <c r="AL33" s="17">
        <f>COUNTIF(E33:AI33,"тр")</f>
        <v>0</v>
      </c>
      <c r="AM33" s="18">
        <f>COUNTIF(E33:AI33,"бв")</f>
        <v>2</v>
      </c>
    </row>
    <row r="34" spans="1:39" x14ac:dyDescent="0.25">
      <c r="A34" s="11">
        <f t="shared" si="0"/>
        <v>28</v>
      </c>
      <c r="B34" s="16" t="s">
        <v>25</v>
      </c>
      <c r="C34" s="13" t="s">
        <v>27</v>
      </c>
      <c r="D34" s="22">
        <v>1290</v>
      </c>
      <c r="E34" s="7">
        <v>1</v>
      </c>
      <c r="F34" s="5">
        <v>1</v>
      </c>
      <c r="G34" s="5">
        <v>1</v>
      </c>
      <c r="H34" s="5">
        <v>1</v>
      </c>
      <c r="I34" s="5" t="s">
        <v>57</v>
      </c>
      <c r="J34" s="5">
        <v>1</v>
      </c>
      <c r="K34" s="5">
        <v>1</v>
      </c>
      <c r="L34" s="5">
        <v>1</v>
      </c>
      <c r="M34" s="5">
        <v>1</v>
      </c>
      <c r="N34" s="5">
        <v>1</v>
      </c>
      <c r="O34" s="5">
        <v>1</v>
      </c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155">
        <f>COUNTA(E34:AI34)</f>
        <v>11</v>
      </c>
      <c r="AK34" s="54">
        <f>COUNTIF(E34:AI34,1)</f>
        <v>10</v>
      </c>
      <c r="AL34" s="54">
        <f>COUNTIF(E34:AI34,"тр")</f>
        <v>0</v>
      </c>
      <c r="AM34" s="55">
        <f>COUNTIF(E34:AI34,"бв")</f>
        <v>1</v>
      </c>
    </row>
    <row r="35" spans="1:39" ht="16.3" thickBot="1" x14ac:dyDescent="0.3">
      <c r="A35" s="44">
        <f t="shared" si="0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42" t="s">
        <v>58</v>
      </c>
      <c r="AJ35" s="155">
        <f>COUNTA(E35:AI35)</f>
        <v>31</v>
      </c>
      <c r="AK35" s="56">
        <f>COUNTIF(E35:AI35,1)</f>
        <v>0</v>
      </c>
      <c r="AL35" s="56">
        <f>COUNTIF(E35:AI35,"тр")</f>
        <v>31</v>
      </c>
      <c r="AM35" s="57">
        <f>COUNTIF(E35:AI35,"бв")</f>
        <v>0</v>
      </c>
    </row>
    <row r="36" spans="1:39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SUM(AJ33:AJ35)</f>
        <v>53</v>
      </c>
      <c r="AK36" s="69">
        <f>SUM(AK33:AK35)</f>
        <v>19</v>
      </c>
      <c r="AL36" s="69">
        <f>SUM(AL33:AL35)</f>
        <v>31</v>
      </c>
      <c r="AM36" s="75">
        <f>SUM(AM33:AM35)</f>
        <v>3</v>
      </c>
    </row>
    <row r="37" spans="1:39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62" t="s">
        <v>58</v>
      </c>
      <c r="AJ37" s="155">
        <f>COUNTA(E37:AI37)</f>
        <v>31</v>
      </c>
      <c r="AK37" s="19">
        <f>COUNTIF(E37:AI37,1)</f>
        <v>0</v>
      </c>
      <c r="AL37" s="19">
        <f>COUNTIF(E37:AI37,"тр")</f>
        <v>31</v>
      </c>
      <c r="AM37" s="20">
        <f>COUNTIF(E37:AI37,"бв")</f>
        <v>0</v>
      </c>
    </row>
    <row r="38" spans="1:39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SUM(AJ37)</f>
        <v>31</v>
      </c>
      <c r="AK38" s="69">
        <f>SUM(AK37)</f>
        <v>0</v>
      </c>
      <c r="AL38" s="69">
        <f>SUM(AL37)</f>
        <v>31</v>
      </c>
      <c r="AM38" s="75">
        <f>SUM(AM37)</f>
        <v>0</v>
      </c>
    </row>
    <row r="39" spans="1:39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155">
        <f>COUNTA(E39:AI39)</f>
        <v>11</v>
      </c>
      <c r="AK39" s="17">
        <f>COUNTIF(E39:AI39,1)</f>
        <v>0</v>
      </c>
      <c r="AL39" s="17">
        <f>COUNTIF(E39:AI39,"тр")</f>
        <v>11</v>
      </c>
      <c r="AM39" s="18">
        <f>COUNTIF(E39:AI39,"бв")</f>
        <v>0</v>
      </c>
    </row>
    <row r="40" spans="1:39" x14ac:dyDescent="0.25">
      <c r="A40" s="11">
        <f t="shared" si="0"/>
        <v>32</v>
      </c>
      <c r="B40" s="12" t="s">
        <v>33</v>
      </c>
      <c r="C40" s="13" t="s">
        <v>34</v>
      </c>
      <c r="D40" s="22">
        <v>7945</v>
      </c>
      <c r="E40" s="7" t="s">
        <v>58</v>
      </c>
      <c r="F40" s="7">
        <v>1</v>
      </c>
      <c r="G40" s="7">
        <v>1</v>
      </c>
      <c r="H40" s="5">
        <v>1</v>
      </c>
      <c r="I40" s="5">
        <v>1</v>
      </c>
      <c r="J40" s="5">
        <v>1</v>
      </c>
      <c r="K40" s="5">
        <v>1</v>
      </c>
      <c r="L40" s="5" t="s">
        <v>58</v>
      </c>
      <c r="M40" s="5" t="s">
        <v>58</v>
      </c>
      <c r="N40" s="5" t="s">
        <v>58</v>
      </c>
      <c r="O40" s="5" t="s">
        <v>58</v>
      </c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155">
        <f>COUNTA(E40:AI40)</f>
        <v>11</v>
      </c>
      <c r="AK40" s="54">
        <f>COUNTIF(E40:AI40,1)</f>
        <v>6</v>
      </c>
      <c r="AL40" s="54">
        <f>COUNTIF(E40:AI40,"тр")</f>
        <v>5</v>
      </c>
      <c r="AM40" s="55">
        <f>COUNTIF(E40:AI40,"бв")</f>
        <v>0</v>
      </c>
    </row>
    <row r="41" spans="1:39" ht="16.3" thickBot="1" x14ac:dyDescent="0.3">
      <c r="A41" s="44">
        <f t="shared" si="0"/>
        <v>33</v>
      </c>
      <c r="B41" s="39" t="s">
        <v>35</v>
      </c>
      <c r="C41" s="68">
        <v>135</v>
      </c>
      <c r="D41" s="41">
        <v>8933</v>
      </c>
      <c r="E41" s="43" t="s">
        <v>58</v>
      </c>
      <c r="F41" s="43" t="s">
        <v>58</v>
      </c>
      <c r="G41" s="43" t="s">
        <v>58</v>
      </c>
      <c r="H41" s="42">
        <v>1</v>
      </c>
      <c r="I41" s="42" t="s">
        <v>58</v>
      </c>
      <c r="J41" s="42" t="s">
        <v>58</v>
      </c>
      <c r="K41" s="42">
        <v>1</v>
      </c>
      <c r="L41" s="42">
        <v>1</v>
      </c>
      <c r="M41" s="42" t="s">
        <v>57</v>
      </c>
      <c r="N41" s="42" t="s">
        <v>57</v>
      </c>
      <c r="O41" s="42" t="s">
        <v>57</v>
      </c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155">
        <f>COUNTA(E41:AI41)</f>
        <v>11</v>
      </c>
      <c r="AK41" s="56">
        <f>COUNTIF(E41:AI41,1)</f>
        <v>3</v>
      </c>
      <c r="AL41" s="56">
        <f>COUNTIF(E41:AI41,"тр")</f>
        <v>5</v>
      </c>
      <c r="AM41" s="57">
        <f>COUNTIF(E41:AI41,"бв")</f>
        <v>3</v>
      </c>
    </row>
    <row r="42" spans="1:39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SUM(AJ39:AJ41)</f>
        <v>33</v>
      </c>
      <c r="AK42" s="69">
        <f>SUM(AK39:AK41)</f>
        <v>9</v>
      </c>
      <c r="AL42" s="69">
        <f>SUM(AL39:AL41)</f>
        <v>21</v>
      </c>
      <c r="AM42" s="75">
        <f>SUM(AM39:AM41)</f>
        <v>3</v>
      </c>
    </row>
    <row r="43" spans="1:39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155">
        <f>COUNTA(E43:AI43)</f>
        <v>11</v>
      </c>
      <c r="AK43" s="17">
        <f>COUNTIF(E43:AI43,1)</f>
        <v>11</v>
      </c>
      <c r="AL43" s="17">
        <f>COUNTIF(E43:AI43,"тр")</f>
        <v>0</v>
      </c>
      <c r="AM43" s="18">
        <f>COUNTIF(E43:AI43,"бв")</f>
        <v>0</v>
      </c>
    </row>
    <row r="44" spans="1:39" x14ac:dyDescent="0.25">
      <c r="A44" s="11">
        <f t="shared" si="0"/>
        <v>35</v>
      </c>
      <c r="B44" s="12" t="s">
        <v>54</v>
      </c>
      <c r="C44" s="13" t="s">
        <v>37</v>
      </c>
      <c r="D44" s="22">
        <v>4995</v>
      </c>
      <c r="E44" s="7" t="s">
        <v>58</v>
      </c>
      <c r="F44" s="5" t="s">
        <v>58</v>
      </c>
      <c r="G44" s="5" t="s">
        <v>58</v>
      </c>
      <c r="H44" s="5" t="s">
        <v>58</v>
      </c>
      <c r="I44" s="5" t="s">
        <v>58</v>
      </c>
      <c r="J44" s="5">
        <v>1</v>
      </c>
      <c r="K44" s="5" t="s">
        <v>58</v>
      </c>
      <c r="L44" s="5">
        <v>1</v>
      </c>
      <c r="M44" s="5">
        <v>1</v>
      </c>
      <c r="N44" s="5">
        <v>1</v>
      </c>
      <c r="O44" s="5">
        <v>1</v>
      </c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155">
        <f>COUNTA(E44:AI44)</f>
        <v>11</v>
      </c>
      <c r="AK44" s="54">
        <f>COUNTIF(E44:AI44,1)</f>
        <v>5</v>
      </c>
      <c r="AL44" s="54">
        <f>COUNTIF(E44:AI44,"тр")</f>
        <v>6</v>
      </c>
      <c r="AM44" s="55">
        <f>COUNTIF(E44:AI44,"бв")</f>
        <v>0</v>
      </c>
    </row>
    <row r="45" spans="1:39" x14ac:dyDescent="0.25">
      <c r="A45" s="11">
        <f t="shared" si="0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>COUNTA(E45:AI45)</f>
        <v>11</v>
      </c>
      <c r="AK45" s="54">
        <f>COUNTIF(E45:AI45,1)</f>
        <v>11</v>
      </c>
      <c r="AL45" s="54">
        <f>COUNTIF(E45:AI45,"тр")</f>
        <v>0</v>
      </c>
      <c r="AM45" s="55">
        <f>COUNTIF(E45:AI45,"бв")</f>
        <v>0</v>
      </c>
    </row>
    <row r="46" spans="1:39" x14ac:dyDescent="0.25">
      <c r="A46" s="11">
        <f t="shared" si="0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 t="s">
        <v>57</v>
      </c>
      <c r="G46" s="5" t="s">
        <v>58</v>
      </c>
      <c r="H46" s="5">
        <v>1</v>
      </c>
      <c r="I46" s="5">
        <v>1</v>
      </c>
      <c r="J46" s="5">
        <v>1</v>
      </c>
      <c r="K46" s="5">
        <v>1</v>
      </c>
      <c r="L46" s="5" t="s">
        <v>57</v>
      </c>
      <c r="M46" s="5" t="s">
        <v>57</v>
      </c>
      <c r="N46" s="5">
        <v>1</v>
      </c>
      <c r="O46" s="5">
        <v>1</v>
      </c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>COUNTA(E46:AI46)</f>
        <v>11</v>
      </c>
      <c r="AK46" s="54">
        <f>COUNTIF(E46:AI46,1)</f>
        <v>7</v>
      </c>
      <c r="AL46" s="54">
        <f>COUNTIF(E46:AI46,"тр")</f>
        <v>1</v>
      </c>
      <c r="AM46" s="55">
        <f>COUNTIF(E46:AI46,"бв")</f>
        <v>3</v>
      </c>
    </row>
    <row r="47" spans="1:39" x14ac:dyDescent="0.25">
      <c r="A47" s="11">
        <f t="shared" si="0"/>
        <v>38</v>
      </c>
      <c r="B47" s="12" t="s">
        <v>54</v>
      </c>
      <c r="C47" s="13" t="s">
        <v>40</v>
      </c>
      <c r="D47" s="22">
        <v>1297</v>
      </c>
      <c r="E47" s="7" t="s">
        <v>58</v>
      </c>
      <c r="F47" s="5" t="s">
        <v>58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>COUNTA(E47:AI47)</f>
        <v>11</v>
      </c>
      <c r="AK47" s="54">
        <f>COUNTIF(E47:AI47,1)</f>
        <v>8</v>
      </c>
      <c r="AL47" s="54">
        <f>COUNTIF(E47:AI47,"тр")</f>
        <v>2</v>
      </c>
      <c r="AM47" s="55">
        <f>COUNTIF(E47:AI47,"бв")</f>
        <v>1</v>
      </c>
    </row>
    <row r="48" spans="1:39" x14ac:dyDescent="0.25">
      <c r="A48" s="11">
        <f t="shared" si="0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>COUNTA(E48:AI48)</f>
        <v>11</v>
      </c>
      <c r="AK48" s="54">
        <f>COUNTIF(E48:AI48,1)</f>
        <v>11</v>
      </c>
      <c r="AL48" s="54">
        <f>COUNTIF(E48:AI48,"тр")</f>
        <v>0</v>
      </c>
      <c r="AM48" s="55">
        <f>COUNTIF(E48:AI48,"бв")</f>
        <v>0</v>
      </c>
    </row>
    <row r="49" spans="1:39" ht="16.3" thickBot="1" x14ac:dyDescent="0.3">
      <c r="A49" s="44">
        <f t="shared" si="0"/>
        <v>40</v>
      </c>
      <c r="B49" s="39" t="s">
        <v>54</v>
      </c>
      <c r="C49" s="40" t="s">
        <v>42</v>
      </c>
      <c r="D49" s="41">
        <v>1344</v>
      </c>
      <c r="E49" s="43" t="s">
        <v>58</v>
      </c>
      <c r="F49" s="42" t="s">
        <v>58</v>
      </c>
      <c r="G49" s="42" t="s">
        <v>58</v>
      </c>
      <c r="H49" s="42" t="s">
        <v>58</v>
      </c>
      <c r="I49" s="42" t="s">
        <v>58</v>
      </c>
      <c r="J49" s="42" t="s">
        <v>58</v>
      </c>
      <c r="K49" s="42" t="s">
        <v>58</v>
      </c>
      <c r="L49" s="42" t="s">
        <v>58</v>
      </c>
      <c r="M49" s="42" t="s">
        <v>58</v>
      </c>
      <c r="N49" s="42" t="s">
        <v>58</v>
      </c>
      <c r="O49" s="42" t="s">
        <v>58</v>
      </c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155">
        <f>COUNTA(E49:AI49)</f>
        <v>11</v>
      </c>
      <c r="AK49" s="56">
        <f>COUNTIF(E49:AI49,1)</f>
        <v>0</v>
      </c>
      <c r="AL49" s="56">
        <f>COUNTIF(E49:AI49,"тр")</f>
        <v>11</v>
      </c>
      <c r="AM49" s="57">
        <f>COUNTIF(E49:AI49,"бв")</f>
        <v>0</v>
      </c>
    </row>
    <row r="50" spans="1:39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SUM(AJ43:AJ49)</f>
        <v>77</v>
      </c>
      <c r="AK50" s="69">
        <f>SUM(AK43:AK49)</f>
        <v>53</v>
      </c>
      <c r="AL50" s="69">
        <f>SUM(AL43:AL49)</f>
        <v>20</v>
      </c>
      <c r="AM50" s="75">
        <f>SUM(AM43:AM49)</f>
        <v>4</v>
      </c>
    </row>
    <row r="51" spans="1:39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>
        <v>1</v>
      </c>
      <c r="F51" s="42">
        <v>1</v>
      </c>
      <c r="G51" s="42" t="s">
        <v>57</v>
      </c>
      <c r="H51" s="42">
        <v>1</v>
      </c>
      <c r="I51" s="42">
        <v>1</v>
      </c>
      <c r="J51" s="42" t="s">
        <v>58</v>
      </c>
      <c r="K51" s="42">
        <v>1</v>
      </c>
      <c r="L51" s="42" t="s">
        <v>57</v>
      </c>
      <c r="M51" s="42" t="s">
        <v>57</v>
      </c>
      <c r="N51" s="42" t="s">
        <v>57</v>
      </c>
      <c r="O51" s="42">
        <v>1</v>
      </c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155">
        <f>COUNTA(E51:AI51)</f>
        <v>11</v>
      </c>
      <c r="AK51" s="56">
        <f>COUNTIF(E51:AI51,1)</f>
        <v>6</v>
      </c>
      <c r="AL51" s="56">
        <f>COUNTIF(E51:AI51,"тр")</f>
        <v>1</v>
      </c>
      <c r="AM51" s="57">
        <f>COUNTIF(E51:AI51,"бв")</f>
        <v>4</v>
      </c>
    </row>
    <row r="52" spans="1:39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65"/>
      <c r="AJ52" s="77">
        <f>SUM(AJ51:AJ51)</f>
        <v>11</v>
      </c>
      <c r="AK52" s="69">
        <f>SUM(AK51:AK51)</f>
        <v>6</v>
      </c>
      <c r="AL52" s="69">
        <f>SUM(AL51:AL51)</f>
        <v>1</v>
      </c>
      <c r="AM52" s="75">
        <f>SUM(AM51:AM51)</f>
        <v>4</v>
      </c>
    </row>
    <row r="53" spans="1:39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>
        <v>1</v>
      </c>
      <c r="G53" s="92" t="s">
        <v>57</v>
      </c>
      <c r="H53" s="92" t="s">
        <v>57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01"/>
      <c r="AJ53" s="152">
        <f>COUNTA(E53:AI53)</f>
        <v>11</v>
      </c>
      <c r="AK53" s="80">
        <f>COUNTIF(E53:AI53,1)</f>
        <v>9</v>
      </c>
      <c r="AL53" s="80">
        <f>COUNTIF(E53:AI53,"тр")</f>
        <v>0</v>
      </c>
      <c r="AM53" s="81">
        <f>COUNTIF(E53:AI53,"бв")</f>
        <v>2</v>
      </c>
    </row>
    <row r="54" spans="1:39" x14ac:dyDescent="0.25">
      <c r="A54" s="58">
        <f t="shared" si="0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 t="s">
        <v>57</v>
      </c>
      <c r="H54" s="42">
        <v>1</v>
      </c>
      <c r="I54" s="42">
        <v>1</v>
      </c>
      <c r="J54" s="42" t="s">
        <v>58</v>
      </c>
      <c r="K54" s="42">
        <v>1</v>
      </c>
      <c r="L54" s="42">
        <v>1</v>
      </c>
      <c r="M54" s="42" t="s">
        <v>57</v>
      </c>
      <c r="N54" s="42">
        <v>1</v>
      </c>
      <c r="O54" s="42">
        <v>1</v>
      </c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26"/>
      <c r="AJ54" s="155">
        <f>COUNTA(E54:AI54)</f>
        <v>11</v>
      </c>
      <c r="AK54" s="56">
        <f>COUNTIF(E54:AI54,1)</f>
        <v>8</v>
      </c>
      <c r="AL54" s="56">
        <f>COUNTIF(E54:AI54,"тр")</f>
        <v>1</v>
      </c>
      <c r="AM54" s="57">
        <f>COUNTIF(E54:AI54,"бв")</f>
        <v>2</v>
      </c>
    </row>
    <row r="55" spans="1:39" ht="16.3" thickBot="1" x14ac:dyDescent="0.3">
      <c r="A55" s="107">
        <f t="shared" si="0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 t="s">
        <v>57</v>
      </c>
      <c r="N55" s="97" t="s">
        <v>57</v>
      </c>
      <c r="O55" s="97">
        <v>1</v>
      </c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02"/>
      <c r="AJ55" s="157">
        <f>COUNTA(E55:AI55)</f>
        <v>11</v>
      </c>
      <c r="AK55" s="84">
        <f>COUNTIF(E55:AI55,1)</f>
        <v>9</v>
      </c>
      <c r="AL55" s="84">
        <f>COUNTIF(E55:AI55,"тр")</f>
        <v>0</v>
      </c>
      <c r="AM55" s="85">
        <f>COUNTIF(E55:AI55,"бв")</f>
        <v>2</v>
      </c>
    </row>
    <row r="56" spans="1:39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124"/>
      <c r="AJ56" s="77">
        <f>SUM(AJ53:AJ55)</f>
        <v>33</v>
      </c>
      <c r="AK56" s="69">
        <f>SUM(AK53:AK55)</f>
        <v>26</v>
      </c>
      <c r="AL56" s="69">
        <f>SUM(AL53:AL55)</f>
        <v>1</v>
      </c>
      <c r="AM56" s="75">
        <f>SUM(AM53:AM55)</f>
        <v>6</v>
      </c>
    </row>
    <row r="57" spans="1:39" s="33" customFormat="1" x14ac:dyDescent="0.25">
      <c r="A57" s="145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3">
        <f>AJ5+AJ24+AJ32+AJ36+AJ38+AJ42+AJ50+AJ52+AJ56</f>
        <v>544</v>
      </c>
      <c r="AK57" s="53"/>
      <c r="AL57" s="53"/>
      <c r="AM57" s="53"/>
    </row>
    <row r="58" spans="1:39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8"/>
      <c r="AL58" s="48"/>
      <c r="AM58" s="48"/>
    </row>
    <row r="59" spans="1:39" ht="16.3" thickBot="1" x14ac:dyDescent="0.3">
      <c r="A59" s="158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Март 2019 автоколонны № 2 г. Смолевичи</v>
      </c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158"/>
      <c r="AB59" s="158"/>
      <c r="AC59" s="158"/>
      <c r="AD59" s="158"/>
      <c r="AE59" s="158"/>
      <c r="AF59" s="158"/>
      <c r="AG59" s="158"/>
      <c r="AH59" s="158"/>
      <c r="AI59" s="158"/>
      <c r="AJ59" s="158"/>
      <c r="AK59" s="158"/>
      <c r="AL59" s="158"/>
      <c r="AM59" s="158"/>
    </row>
    <row r="60" spans="1:39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30">
        <v>31</v>
      </c>
      <c r="AJ60" s="131" t="s">
        <v>62</v>
      </c>
      <c r="AK60" s="132" t="s">
        <v>61</v>
      </c>
      <c r="AL60" s="132" t="s">
        <v>58</v>
      </c>
      <c r="AM60" s="133" t="s">
        <v>57</v>
      </c>
    </row>
    <row r="61" spans="1:39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>
        <v>1</v>
      </c>
      <c r="O61" s="92">
        <v>1</v>
      </c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01"/>
      <c r="AJ61" s="152">
        <f t="shared" ref="AJ61:AJ63" si="1">COUNTA(E61:AI61)</f>
        <v>11</v>
      </c>
      <c r="AK61" s="80">
        <f>COUNTIF(E61:AI61,1)</f>
        <v>11</v>
      </c>
      <c r="AL61" s="80">
        <f>COUNTIF(E61:AI61,"тр")</f>
        <v>0</v>
      </c>
      <c r="AM61" s="81">
        <f>COUNTIF(E61:AI61,"бв")</f>
        <v>0</v>
      </c>
    </row>
    <row r="62" spans="1:39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78"/>
      <c r="AJ62" s="153">
        <f t="shared" si="1"/>
        <v>11</v>
      </c>
      <c r="AK62" s="54">
        <f>COUNTIF(E62:AI62,1)</f>
        <v>11</v>
      </c>
      <c r="AL62" s="54">
        <f>COUNTIF(E62:AI62,"тр")</f>
        <v>0</v>
      </c>
      <c r="AM62" s="55">
        <f>COUNTIF(E62:AI62,"бв")</f>
        <v>0</v>
      </c>
    </row>
    <row r="63" spans="1:39" x14ac:dyDescent="0.25">
      <c r="A63" s="11">
        <f t="shared" ref="A63:A64" si="2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 t="s">
        <v>57</v>
      </c>
      <c r="H63" s="5">
        <v>1</v>
      </c>
      <c r="I63" s="5">
        <v>1</v>
      </c>
      <c r="J63" s="5">
        <v>1</v>
      </c>
      <c r="K63" s="5" t="s">
        <v>58</v>
      </c>
      <c r="L63" s="5">
        <v>1</v>
      </c>
      <c r="M63" s="5">
        <v>1</v>
      </c>
      <c r="N63" s="5">
        <v>1</v>
      </c>
      <c r="O63" s="5" t="s">
        <v>57</v>
      </c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78"/>
      <c r="AJ63" s="153">
        <f t="shared" si="1"/>
        <v>11</v>
      </c>
      <c r="AK63" s="54">
        <f>COUNTIF(E63:AI63,1)</f>
        <v>8</v>
      </c>
      <c r="AL63" s="54">
        <f>COUNTIF(E63:AI63,"тр")</f>
        <v>1</v>
      </c>
      <c r="AM63" s="55">
        <f>COUNTIF(E63:AI63,"бв")</f>
        <v>2</v>
      </c>
    </row>
    <row r="64" spans="1:39" ht="16.3" thickBot="1" x14ac:dyDescent="0.3">
      <c r="A64" s="107">
        <f t="shared" si="2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02" t="s">
        <v>58</v>
      </c>
      <c r="AJ64" s="154">
        <f>COUNTA(E64:AI64)</f>
        <v>31</v>
      </c>
      <c r="AK64" s="84">
        <f>COUNTIF(E64:AI64,1)</f>
        <v>0</v>
      </c>
      <c r="AL64" s="84">
        <f>COUNTIF(E64:AI64,"тр")</f>
        <v>31</v>
      </c>
      <c r="AM64" s="85">
        <f>COUNTIF(E64:AI64,"бв")</f>
        <v>0</v>
      </c>
    </row>
    <row r="65" spans="1:39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49"/>
      <c r="AJ65" s="134">
        <f>SUM(AJ61:AJ64)</f>
        <v>64</v>
      </c>
      <c r="AK65" s="135">
        <f t="shared" ref="AK65:AM65" si="3">SUM(AK61:AK64)</f>
        <v>30</v>
      </c>
      <c r="AL65" s="135">
        <f t="shared" si="3"/>
        <v>32</v>
      </c>
      <c r="AM65" s="136">
        <f t="shared" si="3"/>
        <v>2</v>
      </c>
    </row>
    <row r="66" spans="1:39" s="33" customFormat="1" x14ac:dyDescent="0.25">
      <c r="A66" s="145"/>
      <c r="B66" s="49"/>
      <c r="C66" s="50"/>
      <c r="D66" s="50"/>
      <c r="Y66" s="51" t="s">
        <v>68</v>
      </c>
      <c r="AJ66" s="76">
        <f>AJ65</f>
        <v>64</v>
      </c>
    </row>
    <row r="68" spans="1:39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M57"/>
  <mergeCells count="2">
    <mergeCell ref="A1:AM1"/>
    <mergeCell ref="A59:AM59"/>
  </mergeCells>
  <conditionalFormatting sqref="AK5:AM5 AJ24:AM24 AJ32:AM32 AJ36:AM36 AJ38:AM38 AJ42:AM42 AJ50:AM50 AJ52:AM52 AJ56:AM56 AJ65:AM65 E25:AJ31 E43:AJ49 E51:AJ51 E53:AJ55 E33:AJ35 E37:AJ37 E39:AJ41 E61:AJ64 E6:AJ23 E4:AI4 AJ4:AJ5">
    <cfRule type="containsBlanks" dxfId="0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78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Январь 2019</vt:lpstr>
      <vt:lpstr>Февраль 2019</vt:lpstr>
      <vt:lpstr>Март 2019</vt:lpstr>
      <vt:lpstr>Данные</vt:lpstr>
      <vt:lpstr>АХД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2019-03-05T08:45:51Z</cp:lastPrinted>
  <dcterms:created xsi:type="dcterms:W3CDTF">2018-09-27T18:15:43Z</dcterms:created>
  <dcterms:modified xsi:type="dcterms:W3CDTF">2019-03-11T08:57:13Z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