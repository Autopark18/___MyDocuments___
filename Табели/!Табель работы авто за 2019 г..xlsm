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30" i="10" l="1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<sst xmlns="http://schemas.openxmlformats.org/spreadsheetml/2006/main" count="3122" uniqueCount="80">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</sst>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T4" sqref="T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>
        <v>1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16</v>
      </c>
      <c r="AK4" s="17">
        <f t="shared" ref="AK4:AK21" si="1">COUNTIF(E4:AI4,1)</f>
        <v>16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53">
        <f t="shared" si="0"/>
        <v>16</v>
      </c>
      <c r="AK5" s="54">
        <f t="shared" si="1"/>
        <v>14</v>
      </c>
      <c r="AL5" s="54">
        <f t="shared" si="2"/>
        <v>0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3">
        <f t="shared" si="0"/>
        <v>16</v>
      </c>
      <c r="AK6" s="54">
        <f t="shared" si="1"/>
        <v>13</v>
      </c>
      <c r="AL6" s="54">
        <f t="shared" si="2"/>
        <v>3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16</v>
      </c>
      <c r="AK7" s="54">
        <f t="shared" si="1"/>
        <v>9</v>
      </c>
      <c r="AL7" s="54">
        <f t="shared" si="2"/>
        <v>5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16</v>
      </c>
      <c r="AK8" s="54">
        <f t="shared" si="1"/>
        <v>14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16</v>
      </c>
      <c r="AK9" s="54">
        <f t="shared" si="1"/>
        <v>12</v>
      </c>
      <c r="AL9" s="54">
        <f t="shared" si="2"/>
        <v>4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16</v>
      </c>
      <c r="AK10" s="54">
        <f t="shared" si="1"/>
        <v>7</v>
      </c>
      <c r="AL10" s="54">
        <f t="shared" si="2"/>
        <v>9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16</v>
      </c>
      <c r="AK11" s="54">
        <f t="shared" si="1"/>
        <v>5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16</v>
      </c>
      <c r="AK12" s="54">
        <f t="shared" si="1"/>
        <v>10</v>
      </c>
      <c r="AL12" s="54">
        <f t="shared" si="2"/>
        <v>6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16</v>
      </c>
      <c r="AK13" s="54">
        <f t="shared" si="1"/>
        <v>16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16</v>
      </c>
      <c r="AK14" s="54">
        <f t="shared" si="1"/>
        <v>16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16</v>
      </c>
      <c r="AK15" s="54">
        <f t="shared" si="1"/>
        <v>16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16</v>
      </c>
      <c r="AK16" s="54">
        <f t="shared" si="1"/>
        <v>16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16</v>
      </c>
      <c r="AK17" s="54">
        <f t="shared" si="1"/>
        <v>15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16</v>
      </c>
      <c r="AK18" s="54">
        <f t="shared" si="1"/>
        <v>12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153">
        <f t="shared" si="0"/>
        <v>16</v>
      </c>
      <c r="AK19" s="54">
        <f t="shared" si="1"/>
        <v>3</v>
      </c>
      <c r="AL19" s="54">
        <f t="shared" si="2"/>
        <v>13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16</v>
      </c>
      <c r="AK20" s="54">
        <f t="shared" si="1"/>
        <v>15</v>
      </c>
      <c r="AL20" s="54">
        <f t="shared" si="2"/>
        <v>1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 t="s">
        <v>58</v>
      </c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16</v>
      </c>
      <c r="AK21" s="84">
        <f t="shared" si="1"/>
        <v>13</v>
      </c>
      <c r="AL21" s="84">
        <f t="shared" si="2"/>
        <v>3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288</v>
      </c>
      <c r="AK22" s="141">
        <f>SUM(AK4:AK21)</f>
        <v>222</v>
      </c>
      <c r="AL22" s="141">
        <f>SUM(AL4:AL21)</f>
        <v>56</v>
      </c>
      <c r="AM22" s="142">
        <f>SUM(AM4:AM21)</f>
        <v>10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>
        <v>1</v>
      </c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16</v>
      </c>
      <c r="AK23" s="80">
        <f t="shared" ref="AK23:AK29" si="6">COUNTIF(E23:AI23,1)</f>
        <v>5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 t="s">
        <v>58</v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3">
        <f t="shared" si="5"/>
        <v>16</v>
      </c>
      <c r="AK24" s="54">
        <f t="shared" si="6"/>
        <v>10</v>
      </c>
      <c r="AL24" s="54">
        <f t="shared" si="7"/>
        <v>5</v>
      </c>
      <c r="AM24" s="55">
        <f t="shared" si="8"/>
        <v>1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153">
        <f t="shared" si="5"/>
        <v>16</v>
      </c>
      <c r="AK25" s="54">
        <f t="shared" si="6"/>
        <v>14</v>
      </c>
      <c r="AL25" s="54">
        <f t="shared" si="7"/>
        <v>1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16</v>
      </c>
      <c r="AK27" s="54">
        <f t="shared" si="6"/>
        <v>13</v>
      </c>
      <c r="AL27" s="54">
        <f t="shared" si="7"/>
        <v>0</v>
      </c>
      <c r="AM27" s="55">
        <f t="shared" si="8"/>
        <v>3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>
        <v>1</v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16</v>
      </c>
      <c r="AK28" s="54">
        <f t="shared" si="6"/>
        <v>4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>
        <v>1</v>
      </c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16</v>
      </c>
      <c r="AK29" s="84">
        <f t="shared" si="6"/>
        <v>3</v>
      </c>
      <c r="AL29" s="84">
        <f t="shared" si="7"/>
        <v>0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127</v>
      </c>
      <c r="AK30" s="135">
        <f>SUM(AK23:AK29)</f>
        <v>49</v>
      </c>
      <c r="AL30" s="135">
        <f>SUM(AL23:AL29)</f>
        <v>60</v>
      </c>
      <c r="AM30" s="136">
        <f>SUM(AM23:AM29)</f>
        <v>18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 t="s">
        <v>57</v>
      </c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16</v>
      </c>
      <c r="AK31" s="17">
        <f>COUNTIF(E31:AI31,1)</f>
        <v>8</v>
      </c>
      <c r="AL31" s="17">
        <f>COUNTIF(E31:AI31,"тр")</f>
        <v>0</v>
      </c>
      <c r="AM31" s="18">
        <f>COUNTIF(E31:AI31,"бв")</f>
        <v>8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>
        <v>1</v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16</v>
      </c>
      <c r="AK32" s="54">
        <f>COUNTIF(E32:AI32,1)</f>
        <v>13</v>
      </c>
      <c r="AL32" s="54">
        <f>COUNTIF(E32:AI32,"тр")</f>
        <v>0</v>
      </c>
      <c r="AM32" s="55">
        <f>COUNTIF(E32:AI32,"бв")</f>
        <v>3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63</v>
      </c>
      <c r="AK34" s="69">
        <f>SUM(AK31:AK33)</f>
        <v>21</v>
      </c>
      <c r="AL34" s="69">
        <f>SUM(AL31:AL33)</f>
        <v>31</v>
      </c>
      <c r="AM34" s="75">
        <f>SUM(AM31:AM33)</f>
        <v>11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 t="s">
        <v>57</v>
      </c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16</v>
      </c>
      <c r="AK37" s="17">
        <f>COUNTIF(E37:AI37,1)</f>
        <v>11</v>
      </c>
      <c r="AL37" s="17">
        <f>COUNTIF(E37:AI37,"тр")</f>
        <v>0</v>
      </c>
      <c r="AM37" s="18">
        <f>COUNTIF(E37:AI37,"бв")</f>
        <v>5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 t="s">
        <v>58</v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16</v>
      </c>
      <c r="AK38" s="54">
        <f>COUNTIF(E38:AI38,1)</f>
        <v>3</v>
      </c>
      <c r="AL38" s="54">
        <f>COUNTIF(E38:AI38,"тр")</f>
        <v>13</v>
      </c>
      <c r="AM38" s="55">
        <f>COUNTIF(E38:AI38,"бв")</f>
        <v>0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>
        <v>1</v>
      </c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16</v>
      </c>
      <c r="AK39" s="56">
        <f>COUNTIF(E39:AI39,1)</f>
        <v>13</v>
      </c>
      <c r="AL39" s="56">
        <f>COUNTIF(E39:AI39,"тр")</f>
        <v>0</v>
      </c>
      <c r="AM39" s="57">
        <f>COUNTIF(E39:AI39,"бв")</f>
        <v>3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48</v>
      </c>
      <c r="AK40" s="69">
        <f>SUM(AK37:AK39)</f>
        <v>27</v>
      </c>
      <c r="AL40" s="69">
        <f>SUM(AL37:AL39)</f>
        <v>13</v>
      </c>
      <c r="AM40" s="75">
        <f>SUM(AM37:AM39)</f>
        <v>8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>
        <v>1</v>
      </c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16</v>
      </c>
      <c r="AK41" s="17">
        <f t="shared" ref="AK41:AK47" si="10">COUNTIF(E41:AI41,1)</f>
        <v>15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>
        <v>1</v>
      </c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155">
        <f t="shared" si="9"/>
        <v>16</v>
      </c>
      <c r="AK42" s="54">
        <f t="shared" si="10"/>
        <v>14</v>
      </c>
      <c r="AL42" s="54">
        <f t="shared" si="11"/>
        <v>0</v>
      </c>
      <c r="AM42" s="55">
        <f t="shared" si="12"/>
        <v>2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>
        <v>1</v>
      </c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155">
        <f t="shared" si="9"/>
        <v>16</v>
      </c>
      <c r="AK43" s="54">
        <f t="shared" si="10"/>
        <v>15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16</v>
      </c>
      <c r="AK44" s="54">
        <f t="shared" si="10"/>
        <v>14</v>
      </c>
      <c r="AL44" s="54">
        <f t="shared" si="11"/>
        <v>0</v>
      </c>
      <c r="AM44" s="55">
        <f t="shared" si="12"/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16</v>
      </c>
      <c r="AK45" s="54">
        <f t="shared" si="10"/>
        <v>14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 t="s">
        <v>58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16</v>
      </c>
      <c r="AK46" s="54">
        <f t="shared" si="10"/>
        <v>0</v>
      </c>
      <c r="AL46" s="54">
        <f t="shared" si="11"/>
        <v>16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>
        <v>1</v>
      </c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16</v>
      </c>
      <c r="AK47" s="56">
        <f t="shared" si="10"/>
        <v>15</v>
      </c>
      <c r="AL47" s="56">
        <f t="shared" si="11"/>
        <v>0</v>
      </c>
      <c r="AM47" s="57">
        <f t="shared" si="12"/>
        <v>1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112</v>
      </c>
      <c r="AK48" s="69">
        <f>SUM(AK41:AK47)</f>
        <v>87</v>
      </c>
      <c r="AL48" s="69">
        <f>SUM(AL41:AL47)</f>
        <v>17</v>
      </c>
      <c r="AM48" s="75">
        <f>SUM(AM41:AM47)</f>
        <v>8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16</v>
      </c>
      <c r="AK49" s="56">
        <f>COUNTIF(E49:AI49,1)</f>
        <v>14</v>
      </c>
      <c r="AL49" s="56">
        <f>COUNTIF(E49:AI49,"тр")</f>
        <v>0</v>
      </c>
      <c r="AM49" s="57">
        <f>COUNTIF(E49:AI49,"бв")</f>
        <v>2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16</v>
      </c>
      <c r="AK50" s="69">
        <f>SUM(AK49:AK49)</f>
        <v>14</v>
      </c>
      <c r="AL50" s="69">
        <f>SUM(AL49:AL49)</f>
        <v>0</v>
      </c>
      <c r="AM50" s="75">
        <f>SUM(AM49:AM49)</f>
        <v>2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>
        <v>1</v>
      </c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16</v>
      </c>
      <c r="AK51" s="80">
        <f>COUNTIF(E51:AI51,1)</f>
        <v>12</v>
      </c>
      <c r="AL51" s="80">
        <f>COUNTIF(E51:AI51,"тр")</f>
        <v>2</v>
      </c>
      <c r="AM51" s="81">
        <f>COUNTIF(E51:AI51,"бв")</f>
        <v>2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>
        <v>1</v>
      </c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16</v>
      </c>
      <c r="AK52" s="56">
        <f>COUNTIF(E52:AI52,1)</f>
        <v>13</v>
      </c>
      <c r="AL52" s="56">
        <f>COUNTIF(E52:AI52,"тр")</f>
        <v>0</v>
      </c>
      <c r="AM52" s="57">
        <f>COUNTIF(E52:AI52,"бв")</f>
        <v>3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>
        <v>1</v>
      </c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16</v>
      </c>
      <c r="AK53" s="84">
        <f>COUNTIF(E53:AI53,1)</f>
        <v>13</v>
      </c>
      <c r="AL53" s="84">
        <f>COUNTIF(E53:AI53,"тр")</f>
        <v>1</v>
      </c>
      <c r="AM53" s="85">
        <f>COUNTIF(E53:AI53,"бв")</f>
        <v>2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48</v>
      </c>
      <c r="AK54" s="69">
        <f>SUM(AK51:AK53)</f>
        <v>38</v>
      </c>
      <c r="AL54" s="69">
        <f>SUM(AL51:AL53)</f>
        <v>3</v>
      </c>
      <c r="AM54" s="75">
        <f>SUM(AM51:AM53)</f>
        <v>7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733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16</v>
      </c>
      <c r="AK59" s="17">
        <f>COUNTIF(E59:AI59,1)</f>
        <v>16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16</v>
      </c>
      <c r="AK60" s="54">
        <f>COUNTIF(E60:AI60,1)</f>
        <v>16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>
        <v>1</v>
      </c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16</v>
      </c>
      <c r="AK61" s="54">
        <f>COUNTIF(E61:AI61,1)</f>
        <v>9</v>
      </c>
      <c r="AL61" s="54">
        <f>COUNTIF(E61:AI61,"тр")</f>
        <v>0</v>
      </c>
      <c r="AM61" s="55">
        <f>COUNTIF(E61:AI61,"бв")</f>
        <v>7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 t="s">
        <v>57</v>
      </c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16</v>
      </c>
      <c r="AK63" s="56">
        <f>COUNTIF(E63:AI63,1)</f>
        <v>6</v>
      </c>
      <c r="AL63" s="56">
        <f>COUNTIF(E63:AI63,"тр")</f>
        <v>7</v>
      </c>
      <c r="AM63" s="57">
        <f>COUNTIF(E63:AI63,"бв")</f>
        <v>3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95</v>
      </c>
      <c r="AK64" s="69">
        <f t="shared" ref="AK64:AM64" si="14">SUM(AK59:AK63)</f>
        <v>47</v>
      </c>
      <c r="AL64" s="69">
        <f t="shared" si="14"/>
        <v>38</v>
      </c>
      <c r="AM64" s="75">
        <f t="shared" si="14"/>
        <v>10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95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2019-05-16T07:54:03Z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