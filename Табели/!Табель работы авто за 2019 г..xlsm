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Май 2019" sheetId="10" r:id="rId5"/>
    <sheet name="Июнь 2019" sheetId="11" r:id="rId6"/>
    <sheet name="Июль 2019" sheetId="12" r:id="rId7"/>
    <sheet name="Данные" sheetId="5" state="hidden" r:id="rId8"/>
  </sheets>
  <functionGroups builtInGroupCount="18"/>
  <definedNames>
    <definedName name="_xlnm._FilterDatabase" localSheetId="3" hidden="1">'Апрель 2019'!$E$2:$AL$57</definedName>
    <definedName name="_xlnm._FilterDatabase" localSheetId="6" hidden="1">'Июль 2019'!$E$2:$AM$58</definedName>
    <definedName name="_xlnm._FilterDatabase" localSheetId="5" hidden="1">'Июнь 2019'!$E$2:$AL$58</definedName>
    <definedName name="_xlnm._FilterDatabase" localSheetId="4" hidden="1">'Май 2019'!$E$2:$AM$58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6">'Июль 2019'!$3:$3</definedName>
    <definedName name="_xlnm.Print_Titles" localSheetId="5">'Июнь 2019'!$3:$3</definedName>
    <definedName name="_xlnm.Print_Titles" localSheetId="4">'Май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66" i="12" l="1"/>
  <c r="AL66" i="12"/>
  <c r="AK66" i="12"/>
  <c r="AJ66" i="12"/>
  <c r="AM65" i="12"/>
  <c r="AL65" i="12"/>
  <c r="AK65" i="12"/>
  <c r="AJ65" i="12"/>
  <c r="AM64" i="12"/>
  <c r="AL64" i="12"/>
  <c r="AK64" i="12"/>
  <c r="AJ64" i="12"/>
  <c r="A64" i="12"/>
  <c r="A65" i="12" s="1"/>
  <c r="A66" i="12" s="1"/>
  <c r="AM63" i="12"/>
  <c r="AL63" i="12"/>
  <c r="AK63" i="12"/>
  <c r="AJ63" i="12"/>
  <c r="A63" i="12"/>
  <c r="AM62" i="12"/>
  <c r="AL62" i="12"/>
  <c r="AK62" i="12"/>
  <c r="AJ62" i="12"/>
  <c r="A60" i="12"/>
  <c r="AM56" i="12"/>
  <c r="AL56" i="12"/>
  <c r="AK56" i="12"/>
  <c r="AJ56" i="12"/>
  <c r="AM55" i="12"/>
  <c r="AL55" i="12"/>
  <c r="AK55" i="12"/>
  <c r="AJ55" i="12"/>
  <c r="AM54" i="12"/>
  <c r="AM57" i="12" s="1"/>
  <c r="AL54" i="12"/>
  <c r="AK54" i="12"/>
  <c r="AJ54" i="12"/>
  <c r="AJ57" i="12" s="1"/>
  <c r="AM52" i="12"/>
  <c r="AM53" i="12" s="1"/>
  <c r="AL52" i="12"/>
  <c r="AL53" i="12" s="1"/>
  <c r="AK52" i="12"/>
  <c r="AK53" i="12" s="1"/>
  <c r="AJ52" i="12"/>
  <c r="AJ53" i="12" s="1"/>
  <c r="AM50" i="12"/>
  <c r="AL50" i="12"/>
  <c r="AK50" i="12"/>
  <c r="AJ50" i="12"/>
  <c r="AM49" i="12"/>
  <c r="AL49" i="12"/>
  <c r="AK49" i="12"/>
  <c r="AJ49" i="12"/>
  <c r="AM48" i="12"/>
  <c r="AL48" i="12"/>
  <c r="AK48" i="12"/>
  <c r="AJ48" i="12"/>
  <c r="AM47" i="12"/>
  <c r="AL47" i="12"/>
  <c r="AK47" i="12"/>
  <c r="AJ47" i="12"/>
  <c r="AM46" i="12"/>
  <c r="AL46" i="12"/>
  <c r="AK46" i="12"/>
  <c r="AJ46" i="12"/>
  <c r="AM45" i="12"/>
  <c r="AL45" i="12"/>
  <c r="AK45" i="12"/>
  <c r="AJ45" i="12"/>
  <c r="AM44" i="12"/>
  <c r="AL44" i="12"/>
  <c r="AK44" i="12"/>
  <c r="AK51" i="12" s="1"/>
  <c r="AJ44" i="12"/>
  <c r="AM42" i="12"/>
  <c r="AL42" i="12"/>
  <c r="AK42" i="12"/>
  <c r="AJ42" i="12"/>
  <c r="AM41" i="12"/>
  <c r="AL41" i="12"/>
  <c r="AK41" i="12"/>
  <c r="AJ41" i="12"/>
  <c r="AM40" i="12"/>
  <c r="AM43" i="12" s="1"/>
  <c r="AL40" i="12"/>
  <c r="AK40" i="12"/>
  <c r="AK43" i="12" s="1"/>
  <c r="AJ40" i="12"/>
  <c r="AM38" i="12"/>
  <c r="AM39" i="12" s="1"/>
  <c r="AL38" i="12"/>
  <c r="AL39" i="12" s="1"/>
  <c r="AK38" i="12"/>
  <c r="AK39" i="12" s="1"/>
  <c r="AJ38" i="12"/>
  <c r="AJ39" i="12" s="1"/>
  <c r="AM36" i="12"/>
  <c r="AL36" i="12"/>
  <c r="AK36" i="12"/>
  <c r="AJ36" i="12"/>
  <c r="AM35" i="12"/>
  <c r="AL35" i="12"/>
  <c r="AK35" i="12"/>
  <c r="AJ35" i="12"/>
  <c r="AM34" i="12"/>
  <c r="AL34" i="12"/>
  <c r="AK34" i="12"/>
  <c r="AJ34" i="12"/>
  <c r="AJ37" i="12" s="1"/>
  <c r="AM32" i="12"/>
  <c r="AL32" i="12"/>
  <c r="AK32" i="12"/>
  <c r="AJ32" i="12"/>
  <c r="AM31" i="12"/>
  <c r="AL31" i="12"/>
  <c r="AK31" i="12"/>
  <c r="AJ31" i="12"/>
  <c r="AM30" i="12"/>
  <c r="AL30" i="12"/>
  <c r="AK30" i="12"/>
  <c r="AJ30" i="12"/>
  <c r="AM29" i="12"/>
  <c r="AL29" i="12"/>
  <c r="AK29" i="12"/>
  <c r="AJ29" i="12"/>
  <c r="AM28" i="12"/>
  <c r="AL28" i="12"/>
  <c r="AK28" i="12"/>
  <c r="AJ28" i="12"/>
  <c r="AM27" i="12"/>
  <c r="AL27" i="12"/>
  <c r="AK27" i="12"/>
  <c r="AJ27" i="12"/>
  <c r="AM26" i="12"/>
  <c r="AL26" i="12"/>
  <c r="AK26" i="12"/>
  <c r="AJ26" i="12"/>
  <c r="AJ33" i="12" s="1"/>
  <c r="AM24" i="12"/>
  <c r="AL24" i="12"/>
  <c r="AK24" i="12"/>
  <c r="AJ24" i="12"/>
  <c r="AM23" i="12"/>
  <c r="AL23" i="12"/>
  <c r="AK23" i="12"/>
  <c r="AJ23" i="12"/>
  <c r="AM22" i="12"/>
  <c r="AL22" i="12"/>
  <c r="AK22" i="12"/>
  <c r="AJ22" i="12"/>
  <c r="AM21" i="12"/>
  <c r="AL21" i="12"/>
  <c r="AK21" i="12"/>
  <c r="AJ21" i="12"/>
  <c r="AM20" i="12"/>
  <c r="AL20" i="12"/>
  <c r="AK20" i="12"/>
  <c r="AJ20" i="12"/>
  <c r="AM19" i="12"/>
  <c r="AL19" i="12"/>
  <c r="AK19" i="12"/>
  <c r="AJ19" i="12"/>
  <c r="AM18" i="12"/>
  <c r="AL18" i="12"/>
  <c r="AK18" i="12"/>
  <c r="AJ18" i="12"/>
  <c r="AM17" i="12"/>
  <c r="AL17" i="12"/>
  <c r="AK17" i="12"/>
  <c r="AJ17" i="12"/>
  <c r="AM16" i="12"/>
  <c r="AL16" i="12"/>
  <c r="AK16" i="12"/>
  <c r="AJ16" i="12"/>
  <c r="AM15" i="12"/>
  <c r="AL15" i="12"/>
  <c r="AK15" i="12"/>
  <c r="AJ15" i="12"/>
  <c r="AM14" i="12"/>
  <c r="AL14" i="12"/>
  <c r="AK14" i="12"/>
  <c r="AJ14" i="12"/>
  <c r="AM13" i="12"/>
  <c r="AL13" i="12"/>
  <c r="AK13" i="12"/>
  <c r="AJ13" i="12"/>
  <c r="AM12" i="12"/>
  <c r="AL12" i="12"/>
  <c r="AK12" i="12"/>
  <c r="AJ12" i="12"/>
  <c r="AM11" i="12"/>
  <c r="AL11" i="12"/>
  <c r="AK11" i="12"/>
  <c r="AJ11" i="12"/>
  <c r="AM10" i="12"/>
  <c r="AL10" i="12"/>
  <c r="AK10" i="12"/>
  <c r="AJ10" i="12"/>
  <c r="AM9" i="12"/>
  <c r="AL9" i="12"/>
  <c r="AK9" i="12"/>
  <c r="AJ9" i="12"/>
  <c r="AM8" i="12"/>
  <c r="AL8" i="12"/>
  <c r="AK8" i="12"/>
  <c r="AJ8" i="12"/>
  <c r="AM7" i="12"/>
  <c r="AL7" i="12"/>
  <c r="AK7" i="12"/>
  <c r="AJ7" i="12"/>
  <c r="AM6" i="12"/>
  <c r="AL6" i="12"/>
  <c r="AK6" i="12"/>
  <c r="AJ6" i="12"/>
  <c r="AM5" i="12"/>
  <c r="AL5" i="12"/>
  <c r="AK5" i="12"/>
  <c r="AJ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6" i="12" s="1"/>
  <c r="A27" i="12" s="1"/>
  <c r="A28" i="12" s="1"/>
  <c r="A29" i="12" s="1"/>
  <c r="A30" i="12" s="1"/>
  <c r="A31" i="12" s="1"/>
  <c r="A32" i="12" s="1"/>
  <c r="A34" i="12" s="1"/>
  <c r="A35" i="12" s="1"/>
  <c r="A36" i="12" s="1"/>
  <c r="A38" i="12" s="1"/>
  <c r="A40" i="12" s="1"/>
  <c r="A41" i="12" s="1"/>
  <c r="A42" i="12" s="1"/>
  <c r="A44" i="12" s="1"/>
  <c r="A45" i="12" s="1"/>
  <c r="A46" i="12" s="1"/>
  <c r="A47" i="12" s="1"/>
  <c r="A48" i="12" s="1"/>
  <c r="A49" i="12" s="1"/>
  <c r="A50" i="12" s="1"/>
  <c r="A52" i="12" s="1"/>
  <c r="A54" i="12" s="1"/>
  <c r="A55" i="12" s="1"/>
  <c r="A56" i="12" s="1"/>
  <c r="AM4" i="12"/>
  <c r="AL4" i="12"/>
  <c r="AK4" i="12"/>
  <c r="AJ4" i="12"/>
  <c r="A1" i="12"/>
  <c r="AJ51" i="12" l="1"/>
  <c r="AK33" i="12"/>
  <c r="AK37" i="12"/>
  <c r="AJ43" i="12"/>
  <c r="AL43" i="12"/>
  <c r="AM37" i="12"/>
  <c r="AL57" i="12"/>
  <c r="AK57" i="12"/>
  <c r="AM33" i="12"/>
  <c r="AL33" i="12"/>
  <c r="AL37" i="12"/>
  <c r="AJ67" i="12"/>
  <c r="AJ68" i="12" s="1"/>
  <c r="AL67" i="12"/>
  <c r="AJ25" i="12"/>
  <c r="AL25" i="12"/>
  <c r="AL51" i="12"/>
  <c r="AM51" i="12"/>
  <c r="AK67" i="12"/>
  <c r="AM67" i="12"/>
  <c r="AK25" i="12"/>
  <c r="AM25" i="12"/>
  <c r="AI24" i="11"/>
  <c r="AJ24" i="11"/>
  <c r="AK24" i="11"/>
  <c r="AL24" i="11"/>
  <c r="AK25" i="10"/>
  <c r="AL25" i="10"/>
  <c r="AM25" i="10"/>
  <c r="AJ25" i="10"/>
  <c r="A26" i="10"/>
  <c r="A24" i="10"/>
  <c r="AJ24" i="10"/>
  <c r="AK24" i="10"/>
  <c r="AL24" i="10"/>
  <c r="AM24" i="10"/>
  <c r="AJ58" i="12" l="1"/>
  <c r="AL66" i="11"/>
  <c r="AK66" i="11"/>
  <c r="AJ66" i="11"/>
  <c r="AI66" i="11"/>
  <c r="AL65" i="11"/>
  <c r="AK65" i="11"/>
  <c r="AJ65" i="11"/>
  <c r="AI65" i="11"/>
  <c r="AL64" i="11"/>
  <c r="AK64" i="11"/>
  <c r="AJ64" i="11"/>
  <c r="AI64" i="11"/>
  <c r="AL63" i="11"/>
  <c r="AK63" i="11"/>
  <c r="AJ63" i="11"/>
  <c r="AI63" i="11"/>
  <c r="A63" i="11"/>
  <c r="A64" i="11" s="1"/>
  <c r="A65" i="11" s="1"/>
  <c r="A66" i="11" s="1"/>
  <c r="AL62" i="11"/>
  <c r="AK62" i="11"/>
  <c r="AJ62" i="11"/>
  <c r="AI62" i="11"/>
  <c r="A60" i="11"/>
  <c r="AL56" i="11"/>
  <c r="AK56" i="11"/>
  <c r="AJ56" i="11"/>
  <c r="AI56" i="11"/>
  <c r="AL55" i="11"/>
  <c r="AK55" i="11"/>
  <c r="AJ55" i="11"/>
  <c r="AI55" i="11"/>
  <c r="AL54" i="11"/>
  <c r="AK54" i="11"/>
  <c r="AJ54" i="11"/>
  <c r="AJ57" i="11" s="1"/>
  <c r="AI54" i="11"/>
  <c r="AL52" i="11"/>
  <c r="AL53" i="11" s="1"/>
  <c r="AK52" i="11"/>
  <c r="AK53" i="11" s="1"/>
  <c r="AJ52" i="11"/>
  <c r="AJ53" i="11" s="1"/>
  <c r="AI52" i="11"/>
  <c r="AI53" i="11" s="1"/>
  <c r="AL50" i="11"/>
  <c r="AK50" i="11"/>
  <c r="AJ50" i="11"/>
  <c r="AI50" i="11"/>
  <c r="AL49" i="11"/>
  <c r="AK49" i="11"/>
  <c r="AJ49" i="11"/>
  <c r="AI49" i="1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4" i="11"/>
  <c r="AK44" i="11"/>
  <c r="AJ44" i="11"/>
  <c r="AI44" i="11"/>
  <c r="AL42" i="11"/>
  <c r="AK42" i="11"/>
  <c r="AJ42" i="11"/>
  <c r="AI42" i="11"/>
  <c r="AL41" i="11"/>
  <c r="AK41" i="11"/>
  <c r="AJ41" i="11"/>
  <c r="AI41" i="11"/>
  <c r="AL40" i="11"/>
  <c r="AL43" i="11" s="1"/>
  <c r="AK40" i="11"/>
  <c r="AJ40" i="11"/>
  <c r="AJ43" i="11" s="1"/>
  <c r="AI40" i="11"/>
  <c r="AL38" i="11"/>
  <c r="AL39" i="11" s="1"/>
  <c r="AK38" i="11"/>
  <c r="AK39" i="11" s="1"/>
  <c r="AJ38" i="11"/>
  <c r="AJ39" i="11" s="1"/>
  <c r="AI38" i="11"/>
  <c r="AI39" i="11" s="1"/>
  <c r="AL36" i="11"/>
  <c r="AK36" i="11"/>
  <c r="AJ36" i="11"/>
  <c r="AI36" i="11"/>
  <c r="AL35" i="11"/>
  <c r="AK35" i="11"/>
  <c r="AJ35" i="11"/>
  <c r="AI35" i="11"/>
  <c r="AL34" i="11"/>
  <c r="AL37" i="11" s="1"/>
  <c r="AK34" i="11"/>
  <c r="AJ34" i="11"/>
  <c r="AI34" i="11"/>
  <c r="AL32" i="11"/>
  <c r="AK32" i="11"/>
  <c r="AJ32" i="11"/>
  <c r="AI32" i="11"/>
  <c r="AL31" i="11"/>
  <c r="AK31" i="11"/>
  <c r="AJ31" i="11"/>
  <c r="AI31" i="11"/>
  <c r="AL30" i="11"/>
  <c r="AK30" i="11"/>
  <c r="AJ30" i="11"/>
  <c r="AI30" i="11"/>
  <c r="AL29" i="11"/>
  <c r="AK29" i="11"/>
  <c r="AJ29" i="11"/>
  <c r="AI29" i="11"/>
  <c r="AL28" i="11"/>
  <c r="AK28" i="11"/>
  <c r="AJ28" i="11"/>
  <c r="AI28" i="11"/>
  <c r="AL27" i="11"/>
  <c r="AK27" i="11"/>
  <c r="AJ27" i="11"/>
  <c r="AI27" i="11"/>
  <c r="AL26" i="11"/>
  <c r="AK26" i="11"/>
  <c r="AJ26" i="11"/>
  <c r="AI26" i="11"/>
  <c r="AL23" i="11"/>
  <c r="AK23" i="11"/>
  <c r="AJ23" i="11"/>
  <c r="AI23" i="11"/>
  <c r="AL22" i="11"/>
  <c r="AK22" i="11"/>
  <c r="AJ22" i="11"/>
  <c r="AI22" i="11"/>
  <c r="AL21" i="11"/>
  <c r="AK21" i="11"/>
  <c r="AJ21" i="11"/>
  <c r="AI21" i="11"/>
  <c r="AL20" i="11"/>
  <c r="AK20" i="11"/>
  <c r="AJ20" i="11"/>
  <c r="AI20" i="11"/>
  <c r="AL19" i="11"/>
  <c r="AK19" i="11"/>
  <c r="AJ19" i="11"/>
  <c r="AI19" i="11"/>
  <c r="AL18" i="11"/>
  <c r="AK18" i="11"/>
  <c r="AJ18" i="11"/>
  <c r="AI18" i="11"/>
  <c r="AL17" i="11"/>
  <c r="AK17" i="11"/>
  <c r="AJ17" i="11"/>
  <c r="AI17" i="11"/>
  <c r="AL16" i="11"/>
  <c r="AK16" i="11"/>
  <c r="AJ16" i="11"/>
  <c r="AI16" i="11"/>
  <c r="AL15" i="11"/>
  <c r="AK15" i="11"/>
  <c r="AJ15" i="11"/>
  <c r="AI15" i="11"/>
  <c r="AL14" i="11"/>
  <c r="AK14" i="11"/>
  <c r="AJ14" i="11"/>
  <c r="AI14" i="11"/>
  <c r="AL13" i="11"/>
  <c r="AK13" i="11"/>
  <c r="AJ13" i="11"/>
  <c r="AI13" i="11"/>
  <c r="AL12" i="11"/>
  <c r="AK12" i="11"/>
  <c r="AJ12" i="11"/>
  <c r="AI12" i="11"/>
  <c r="AL11" i="11"/>
  <c r="AK11" i="11"/>
  <c r="AJ11" i="11"/>
  <c r="AI11" i="11"/>
  <c r="AL10" i="11"/>
  <c r="AK10" i="11"/>
  <c r="AJ10" i="11"/>
  <c r="AI10" i="11"/>
  <c r="AL9" i="11"/>
  <c r="AK9" i="11"/>
  <c r="AJ9" i="11"/>
  <c r="AI9" i="11"/>
  <c r="AL8" i="11"/>
  <c r="AK8" i="11"/>
  <c r="AJ8" i="11"/>
  <c r="AI8" i="11"/>
  <c r="AL7" i="11"/>
  <c r="AK7" i="11"/>
  <c r="AJ7" i="11"/>
  <c r="AI7" i="11"/>
  <c r="AL6" i="11"/>
  <c r="AK6" i="11"/>
  <c r="AJ6" i="11"/>
  <c r="AI6" i="11"/>
  <c r="AL5" i="11"/>
  <c r="AK5" i="11"/>
  <c r="AJ5" i="11"/>
  <c r="AI5" i="11"/>
  <c r="A5" i="11"/>
  <c r="A6" i="11" s="1"/>
  <c r="A7" i="11" s="1"/>
  <c r="A8" i="11" s="1"/>
  <c r="A9" i="11" s="1"/>
  <c r="A10" i="11" s="1"/>
  <c r="A11" i="11" s="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L4" i="11"/>
  <c r="AK4" i="11"/>
  <c r="AJ4" i="11"/>
  <c r="AI4" i="11"/>
  <c r="A1" i="11"/>
  <c r="AJ33" i="11" l="1"/>
  <c r="AL33" i="11"/>
  <c r="AK37" i="11"/>
  <c r="AL51" i="11"/>
  <c r="AI51" i="11"/>
  <c r="AL57" i="11"/>
  <c r="AJ37" i="11"/>
  <c r="AI57" i="11"/>
  <c r="AI43" i="11"/>
  <c r="AJ51" i="11"/>
  <c r="AK43" i="11"/>
  <c r="AI25" i="11"/>
  <c r="AK25" i="11"/>
  <c r="AJ25" i="11"/>
  <c r="AL25" i="11"/>
  <c r="A24" i="11"/>
  <c r="A26" i="11" s="1"/>
  <c r="A27" i="11" s="1"/>
  <c r="A28" i="11" s="1"/>
  <c r="A29" i="11" s="1"/>
  <c r="A30" i="11" s="1"/>
  <c r="A31" i="11" s="1"/>
  <c r="A32" i="11" s="1"/>
  <c r="A34" i="11" s="1"/>
  <c r="A35" i="11" s="1"/>
  <c r="A36" i="11" s="1"/>
  <c r="A38" i="11" s="1"/>
  <c r="A40" i="11" s="1"/>
  <c r="A41" i="11" s="1"/>
  <c r="A42" i="11" s="1"/>
  <c r="A44" i="11" s="1"/>
  <c r="A45" i="11" s="1"/>
  <c r="A46" i="11" s="1"/>
  <c r="A47" i="11" s="1"/>
  <c r="A48" i="11" s="1"/>
  <c r="A49" i="11" s="1"/>
  <c r="A50" i="11" s="1"/>
  <c r="A52" i="11" s="1"/>
  <c r="A54" i="11" s="1"/>
  <c r="A55" i="11" s="1"/>
  <c r="A56" i="11" s="1"/>
  <c r="AI33" i="11"/>
  <c r="AI67" i="11"/>
  <c r="AI68" i="11" s="1"/>
  <c r="AK67" i="11"/>
  <c r="AI37" i="11"/>
  <c r="AK33" i="11"/>
  <c r="AK57" i="11"/>
  <c r="AK51" i="11"/>
  <c r="AJ67" i="11"/>
  <c r="AL67" i="11"/>
  <c r="AJ22" i="10"/>
  <c r="AK22" i="10"/>
  <c r="AL22" i="10"/>
  <c r="AM22" i="10"/>
  <c r="AJ23" i="10"/>
  <c r="AK23" i="10"/>
  <c r="AL23" i="10"/>
  <c r="AM23" i="10"/>
  <c r="AI58" i="11" l="1"/>
  <c r="AJ66" i="9"/>
  <c r="AK66" i="9"/>
  <c r="AL66" i="9"/>
  <c r="AI66" i="9"/>
  <c r="AL65" i="9"/>
  <c r="AK65" i="9"/>
  <c r="AJ65" i="9"/>
  <c r="AI65" i="9"/>
  <c r="AM65" i="10" l="1"/>
  <c r="AL65" i="10"/>
  <c r="AK65" i="10"/>
  <c r="AJ65" i="10"/>
  <c r="AM64" i="10"/>
  <c r="AL64" i="10"/>
  <c r="AK64" i="10"/>
  <c r="AJ64" i="10"/>
  <c r="AM63" i="10"/>
  <c r="AL63" i="10"/>
  <c r="AK63" i="10"/>
  <c r="AJ63" i="10"/>
  <c r="A63" i="10"/>
  <c r="A64" i="10" s="1"/>
  <c r="A65" i="10" s="1"/>
  <c r="A66" i="10" s="1"/>
  <c r="AM62" i="10"/>
  <c r="AL62" i="10"/>
  <c r="AK62" i="10"/>
  <c r="AJ62" i="10"/>
  <c r="A60" i="10"/>
  <c r="AM56" i="10"/>
  <c r="AL56" i="10"/>
  <c r="AK56" i="10"/>
  <c r="AJ56" i="10"/>
  <c r="AM55" i="10"/>
  <c r="AL55" i="10"/>
  <c r="AK55" i="10"/>
  <c r="AJ55" i="10"/>
  <c r="AM54" i="10"/>
  <c r="AM57" i="10" s="1"/>
  <c r="AL54" i="10"/>
  <c r="AK54" i="10"/>
  <c r="AJ54" i="10"/>
  <c r="AM52" i="10"/>
  <c r="AM53" i="10" s="1"/>
  <c r="AL52" i="10"/>
  <c r="AL53" i="10" s="1"/>
  <c r="AK52" i="10"/>
  <c r="AK53" i="10" s="1"/>
  <c r="AJ52" i="10"/>
  <c r="AJ53" i="10" s="1"/>
  <c r="AM50" i="10"/>
  <c r="AL50" i="10"/>
  <c r="AK50" i="10"/>
  <c r="AJ50" i="10"/>
  <c r="AM49" i="10"/>
  <c r="AL49" i="10"/>
  <c r="AK49" i="10"/>
  <c r="AJ49" i="10"/>
  <c r="AM48" i="10"/>
  <c r="AL48" i="10"/>
  <c r="AK48" i="10"/>
  <c r="AJ48" i="10"/>
  <c r="AM47" i="10"/>
  <c r="AL47" i="10"/>
  <c r="AK47" i="10"/>
  <c r="AJ47" i="10"/>
  <c r="AM46" i="10"/>
  <c r="AL46" i="10"/>
  <c r="AK46" i="10"/>
  <c r="AJ46" i="10"/>
  <c r="AM45" i="10"/>
  <c r="AL45" i="10"/>
  <c r="AK45" i="10"/>
  <c r="AJ45" i="10"/>
  <c r="AM44" i="10"/>
  <c r="AL44" i="10"/>
  <c r="AK44" i="10"/>
  <c r="AJ44" i="10"/>
  <c r="AM42" i="10"/>
  <c r="AL42" i="10"/>
  <c r="AK42" i="10"/>
  <c r="AJ42" i="10"/>
  <c r="AM41" i="10"/>
  <c r="AL41" i="10"/>
  <c r="AK41" i="10"/>
  <c r="AJ41" i="10"/>
  <c r="AM40" i="10"/>
  <c r="AL40" i="10"/>
  <c r="AK40" i="10"/>
  <c r="AJ40" i="10"/>
  <c r="AM38" i="10"/>
  <c r="AM39" i="10" s="1"/>
  <c r="AL38" i="10"/>
  <c r="AL39" i="10" s="1"/>
  <c r="AK38" i="10"/>
  <c r="AK39" i="10" s="1"/>
  <c r="AJ38" i="10"/>
  <c r="AJ39" i="10" s="1"/>
  <c r="AM36" i="10"/>
  <c r="AL36" i="10"/>
  <c r="AK36" i="10"/>
  <c r="AJ36" i="10"/>
  <c r="AM35" i="10"/>
  <c r="AL35" i="10"/>
  <c r="AK35" i="10"/>
  <c r="AJ35" i="10"/>
  <c r="AM34" i="10"/>
  <c r="AL34" i="10"/>
  <c r="AK34" i="10"/>
  <c r="AK37" i="10" s="1"/>
  <c r="AJ34" i="10"/>
  <c r="AM32" i="10"/>
  <c r="AL32" i="10"/>
  <c r="AK32" i="10"/>
  <c r="AJ32" i="10"/>
  <c r="AM31" i="10"/>
  <c r="AL31" i="10"/>
  <c r="AK31" i="10"/>
  <c r="AJ31" i="10"/>
  <c r="AM30" i="10"/>
  <c r="AL30" i="10"/>
  <c r="AK30" i="10"/>
  <c r="AJ30" i="10"/>
  <c r="AM29" i="10"/>
  <c r="AL29" i="10"/>
  <c r="AK29" i="10"/>
  <c r="AJ29" i="10"/>
  <c r="AM28" i="10"/>
  <c r="AL28" i="10"/>
  <c r="AK28" i="10"/>
  <c r="AJ28" i="10"/>
  <c r="AM27" i="10"/>
  <c r="AL27" i="10"/>
  <c r="AK27" i="10"/>
  <c r="AJ27" i="10"/>
  <c r="AM26" i="10"/>
  <c r="AL26" i="10"/>
  <c r="AK26" i="10"/>
  <c r="AJ26" i="10"/>
  <c r="AM21" i="10"/>
  <c r="AL21" i="10"/>
  <c r="AK21" i="10"/>
  <c r="AJ21" i="10"/>
  <c r="AM20" i="10"/>
  <c r="AL20" i="10"/>
  <c r="AK20" i="10"/>
  <c r="AJ20" i="10"/>
  <c r="AM19" i="10"/>
  <c r="AL19" i="10"/>
  <c r="AK19" i="10"/>
  <c r="AJ19" i="10"/>
  <c r="AM18" i="10"/>
  <c r="AL18" i="10"/>
  <c r="AK18" i="10"/>
  <c r="AJ18" i="10"/>
  <c r="AM17" i="10"/>
  <c r="AL17" i="10"/>
  <c r="AK17" i="10"/>
  <c r="AJ17" i="10"/>
  <c r="AM16" i="10"/>
  <c r="AL16" i="10"/>
  <c r="AK16" i="10"/>
  <c r="AJ16" i="10"/>
  <c r="AM15" i="10"/>
  <c r="AL15" i="10"/>
  <c r="AK15" i="10"/>
  <c r="AJ15" i="10"/>
  <c r="AM14" i="10"/>
  <c r="AL14" i="10"/>
  <c r="AK14" i="10"/>
  <c r="AJ14" i="10"/>
  <c r="AM13" i="10"/>
  <c r="AL13" i="10"/>
  <c r="AK13" i="10"/>
  <c r="AJ13" i="10"/>
  <c r="AM12" i="10"/>
  <c r="AL12" i="10"/>
  <c r="AK12" i="10"/>
  <c r="AJ12" i="10"/>
  <c r="AM11" i="10"/>
  <c r="AL11" i="10"/>
  <c r="AK11" i="10"/>
  <c r="AJ11" i="10"/>
  <c r="AM10" i="10"/>
  <c r="AL10" i="10"/>
  <c r="AK10" i="10"/>
  <c r="AJ10" i="10"/>
  <c r="AM9" i="10"/>
  <c r="AL9" i="10"/>
  <c r="AK9" i="10"/>
  <c r="AJ9" i="10"/>
  <c r="AM8" i="10"/>
  <c r="AL8" i="10"/>
  <c r="AK8" i="10"/>
  <c r="AJ8" i="10"/>
  <c r="AM7" i="10"/>
  <c r="AL7" i="10"/>
  <c r="AK7" i="10"/>
  <c r="AJ7" i="10"/>
  <c r="AM6" i="10"/>
  <c r="AL6" i="10"/>
  <c r="AK6" i="10"/>
  <c r="AJ6" i="10"/>
  <c r="AM5" i="10"/>
  <c r="AL5" i="10"/>
  <c r="AK5" i="10"/>
  <c r="AJ5" i="10"/>
  <c r="AM4" i="10"/>
  <c r="AL4" i="10"/>
  <c r="AK4" i="10"/>
  <c r="AJ4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M66" i="10"/>
  <c r="AL66" i="10"/>
  <c r="AK66" i="10"/>
  <c r="AJ66" i="10"/>
  <c r="A1" i="10"/>
  <c r="A27" i="10" l="1"/>
  <c r="A28" i="10" s="1"/>
  <c r="A29" i="10" s="1"/>
  <c r="A30" i="10" s="1"/>
  <c r="A31" i="10" s="1"/>
  <c r="A32" i="10" s="1"/>
  <c r="A34" i="10" s="1"/>
  <c r="A35" i="10" s="1"/>
  <c r="A36" i="10" s="1"/>
  <c r="A38" i="10" s="1"/>
  <c r="A40" i="10" s="1"/>
  <c r="A41" i="10" s="1"/>
  <c r="A42" i="10" s="1"/>
  <c r="A44" i="10" s="1"/>
  <c r="A45" i="10" s="1"/>
  <c r="A46" i="10" s="1"/>
  <c r="A47" i="10" s="1"/>
  <c r="A48" i="10" s="1"/>
  <c r="A49" i="10" s="1"/>
  <c r="A50" i="10" s="1"/>
  <c r="A52" i="10" s="1"/>
  <c r="A54" i="10" s="1"/>
  <c r="A55" i="10" s="1"/>
  <c r="A56" i="10" s="1"/>
  <c r="AK57" i="10"/>
  <c r="AK43" i="10"/>
  <c r="AK33" i="10"/>
  <c r="AK51" i="10"/>
  <c r="AM37" i="10"/>
  <c r="AM43" i="10"/>
  <c r="AJ37" i="10"/>
  <c r="AJ57" i="10"/>
  <c r="AL43" i="10"/>
  <c r="AM51" i="10"/>
  <c r="AK67" i="10"/>
  <c r="AM67" i="10"/>
  <c r="AJ67" i="10"/>
  <c r="AL67" i="10"/>
  <c r="AJ68" i="10"/>
  <c r="AJ43" i="10"/>
  <c r="AL57" i="10"/>
  <c r="AL33" i="10"/>
  <c r="AL51" i="10"/>
  <c r="AM33" i="10"/>
  <c r="AJ51" i="10"/>
  <c r="AJ33" i="10"/>
  <c r="AL37" i="10"/>
  <c r="A41" i="8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I43" i="9"/>
  <c r="AL41" i="9"/>
  <c r="AK41" i="9"/>
  <c r="AJ41" i="9"/>
  <c r="AI41" i="9"/>
  <c r="AL40" i="9"/>
  <c r="AK40" i="9"/>
  <c r="AJ40" i="9"/>
  <c r="AI40" i="9"/>
  <c r="AL39" i="9"/>
  <c r="AK39" i="9"/>
  <c r="AJ39" i="9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J33" i="9"/>
  <c r="AJ36" i="9" s="1"/>
  <c r="AI33" i="9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58" i="10" l="1"/>
  <c r="AL42" i="9"/>
  <c r="AI36" i="9"/>
  <c r="AK42" i="9"/>
  <c r="AK36" i="9"/>
  <c r="AI56" i="9"/>
  <c r="AJ42" i="9"/>
  <c r="AJ50" i="9"/>
  <c r="AJ32" i="9"/>
  <c r="AI50" i="9"/>
  <c r="AK56" i="9"/>
  <c r="AI32" i="9"/>
  <c r="AL50" i="9"/>
  <c r="AL32" i="9"/>
  <c r="AK32" i="9"/>
  <c r="AK50" i="9"/>
  <c r="AJ56" i="9"/>
  <c r="AI67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<sst xmlns="http://schemas.openxmlformats.org/spreadsheetml/2006/main" count="4482" uniqueCount="87">
  <si>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</si>
  <si>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</si>
  <si>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</si>
  <si>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</si>
  <si>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</si>
  <si>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</si>
  <si>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</si>
  <si>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</si>
  <si>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</si>
  <si>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</si>
  <si>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</si>
  <si>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</si>
  <si>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</si>
  <si>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</si>
  <si>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</si>
  <si>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</si>
  <si>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</si>
  <si>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</si>
  <si>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</si>
  <si>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</si>
  <si>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</si>
  <si>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</si>
  <si>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</si>
  <si>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</si>
  <si>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</si>
  <si>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</si>
  <si>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</si>
  <si>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</si>
  <si>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</si>
  <si>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</si>
  <si>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</si>
  <si>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</si>
  <si>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</si>
  <si>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</si>
  <si>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</si>
  <si>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</si>
  <si>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</si>
  <si>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</si>
  <si>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</si>
  <si>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</si>
  <si>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</si>
  <si>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</si>
  <si>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</si>
  <si>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</si>
  <si>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</si>
  <si>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</si>
  <si>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</si>
  <si>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</si>
  <si>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</si>
  <si>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</si>
  <si>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</si>
  <si>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</si>
  <si>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</si>
  <si>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</si>
  <si>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</si>
  <si>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</si>
  <si>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</si>
  <si>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</si>
  <si>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</si>
  <si>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</si>
  <si>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</si>
  <si>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</si>
  <si>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</si>
  <si>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</si>
  <si>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</si>
  <si>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</si>
  <si>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</si>
  <si>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</si>
  <si>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</si>
  <si>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</si>
  <si>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</si>
  <si>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</si>
  <si>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</si>
  <si>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</si>
  <si>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</si>
  <si>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</si>
  <si>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</si>
  <si>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</si>
  <si>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</si>
  <si>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</si>
  <si>
    <t>МАЗ-104</t>
  </si>
  <si>
    <t>7724</t>
  </si>
  <si>
    <t>7725</t>
  </si>
  <si>
    <t>12005</t>
  </si>
  <si>
    <t>11993</t>
  </si>
  <si>
    <t>12012</t>
  </si>
  <si>
    <t>7742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</si>
</sst>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70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11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1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9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3" s="169"/>
      <c r="C63" s="169"/>
      <c r="D63" s="169"/>
      <c r="E63" s="169"/>
      <c r="F63" s="169"/>
      <c r="G63" s="169"/>
      <c r="H63" s="169"/>
      <c r="I63" s="169"/>
      <c r="J63" s="169"/>
      <c r="K63" s="169"/>
      <c r="L63" s="169"/>
      <c r="M63" s="169"/>
      <c r="N63" s="169"/>
      <c r="O63" s="169"/>
      <c r="P63" s="169"/>
      <c r="Q63" s="169"/>
      <c r="R63" s="169"/>
      <c r="S63" s="169"/>
      <c r="T63" s="169"/>
      <c r="U63" s="169"/>
      <c r="V63" s="169"/>
      <c r="W63" s="169"/>
      <c r="X63" s="169"/>
      <c r="Y63" s="169"/>
      <c r="Z63" s="169"/>
      <c r="AA63" s="169"/>
      <c r="AB63" s="169"/>
      <c r="AC63" s="169"/>
      <c r="AD63" s="169"/>
      <c r="AE63" s="169"/>
      <c r="AF63" s="169"/>
      <c r="AG63" s="169"/>
      <c r="AH63" s="169"/>
      <c r="AI63" s="169"/>
      <c r="AJ63" s="169"/>
      <c r="AK63" s="169"/>
      <c r="AL63" s="169"/>
      <c r="AM63" s="169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8" priority="2">
      <formula>LEN(TRIM(E4))=0</formula>
    </cfRule>
  </conditionalFormatting>
  <conditionalFormatting sqref="AJ38:AM38">
    <cfRule type="containsBlanks" dxfId="7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9"/>
  <sheetViews>
    <sheetView zoomScale="90" zoomScaleNormal="90" workbookViewId="0">
      <pane xSplit="4" ySplit="3" topLeftCell="E55" activePane="bottomRight" state="frozen"/>
      <selection pane="topRight" activeCell="E1" sqref="E1"/>
      <selection pane="bottomLeft" activeCell="A4" sqref="A4"/>
      <selection pane="bottomRight" activeCell="A60" sqref="A60:AL60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156">
        <f>COUNTA(E4:AH4)</f>
        <v>8</v>
      </c>
      <c r="AJ4" s="56">
        <f>COUNTIF(E4:AH4,1)</f>
        <v>0</v>
      </c>
      <c r="AK4" s="56">
        <f>COUNTIF(E4:AH4,"тр")</f>
        <v>8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8</v>
      </c>
      <c r="AJ5" s="70">
        <f>SUM(AJ4:AJ4)</f>
        <v>0</v>
      </c>
      <c r="AK5" s="70">
        <f>SUM(AK4:AK4)</f>
        <v>8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57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 t="s">
        <v>57</v>
      </c>
      <c r="Y6" s="5" t="s">
        <v>57</v>
      </c>
      <c r="Z6" s="5" t="s">
        <v>57</v>
      </c>
      <c r="AA6" s="5">
        <v>1</v>
      </c>
      <c r="AB6" s="5">
        <v>1</v>
      </c>
      <c r="AC6" s="5" t="s">
        <v>57</v>
      </c>
      <c r="AD6" s="5">
        <v>1</v>
      </c>
      <c r="AE6" s="5" t="s">
        <v>57</v>
      </c>
      <c r="AF6" s="5">
        <v>1</v>
      </c>
      <c r="AG6" s="5">
        <v>1</v>
      </c>
      <c r="AH6" s="5">
        <v>1</v>
      </c>
      <c r="AI6" s="155">
        <f t="shared" ref="AI6:AI23" si="0">COUNTA(E6:AH6)</f>
        <v>30</v>
      </c>
      <c r="AJ6" s="17">
        <f t="shared" ref="AJ6:AJ23" si="1">COUNTIF(E6:AH6,1)</f>
        <v>22</v>
      </c>
      <c r="AK6" s="17">
        <f t="shared" ref="AK6:AK23" si="2">COUNTIF(E6:AH6,"тр")</f>
        <v>1</v>
      </c>
      <c r="AL6" s="18">
        <f t="shared" ref="AL6:AL23" si="3">COUNTIF(E6:AH6,"бв")</f>
        <v>7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>
        <v>1</v>
      </c>
      <c r="O7" s="5" t="s">
        <v>58</v>
      </c>
      <c r="P7" s="5" t="s">
        <v>58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153">
        <f t="shared" si="0"/>
        <v>30</v>
      </c>
      <c r="AJ7" s="54">
        <f t="shared" si="1"/>
        <v>26</v>
      </c>
      <c r="AK7" s="54">
        <f t="shared" si="2"/>
        <v>4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 t="s">
        <v>58</v>
      </c>
      <c r="O8" s="5" t="s">
        <v>58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5">
        <v>1</v>
      </c>
      <c r="AI8" s="153">
        <f t="shared" si="0"/>
        <v>30</v>
      </c>
      <c r="AJ8" s="54">
        <f t="shared" si="1"/>
        <v>22</v>
      </c>
      <c r="AK8" s="54">
        <f t="shared" si="2"/>
        <v>4</v>
      </c>
      <c r="AL8" s="55">
        <f t="shared" si="3"/>
        <v>4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>
        <v>1</v>
      </c>
      <c r="Y9" s="5">
        <v>1</v>
      </c>
      <c r="Z9" s="5">
        <v>1</v>
      </c>
      <c r="AA9" s="5">
        <v>1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153">
        <f t="shared" si="0"/>
        <v>30</v>
      </c>
      <c r="AJ9" s="54">
        <f t="shared" si="1"/>
        <v>19</v>
      </c>
      <c r="AK9" s="54">
        <f t="shared" si="2"/>
        <v>11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>
        <v>1</v>
      </c>
      <c r="O10" s="5" t="s">
        <v>58</v>
      </c>
      <c r="P10" s="5" t="s">
        <v>58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 t="s">
        <v>57</v>
      </c>
      <c r="AA10" s="5">
        <v>1</v>
      </c>
      <c r="AB10" s="5" t="s">
        <v>58</v>
      </c>
      <c r="AC10" s="5">
        <v>1</v>
      </c>
      <c r="AD10" s="5">
        <v>1</v>
      </c>
      <c r="AE10" s="5" t="s">
        <v>57</v>
      </c>
      <c r="AF10" s="5" t="s">
        <v>57</v>
      </c>
      <c r="AG10" s="5">
        <v>1</v>
      </c>
      <c r="AH10" s="5" t="s">
        <v>57</v>
      </c>
      <c r="AI10" s="153">
        <f t="shared" si="0"/>
        <v>30</v>
      </c>
      <c r="AJ10" s="54">
        <f t="shared" si="1"/>
        <v>21</v>
      </c>
      <c r="AK10" s="54">
        <f t="shared" si="2"/>
        <v>3</v>
      </c>
      <c r="AL10" s="55">
        <f t="shared" si="3"/>
        <v>6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 t="s">
        <v>57</v>
      </c>
      <c r="AC11" s="5">
        <v>1</v>
      </c>
      <c r="AD11" s="5" t="s">
        <v>58</v>
      </c>
      <c r="AE11" s="5" t="s">
        <v>57</v>
      </c>
      <c r="AF11" s="5" t="s">
        <v>58</v>
      </c>
      <c r="AG11" s="5" t="s">
        <v>58</v>
      </c>
      <c r="AH11" s="5" t="s">
        <v>58</v>
      </c>
      <c r="AI11" s="153">
        <f t="shared" si="0"/>
        <v>30</v>
      </c>
      <c r="AJ11" s="54">
        <f t="shared" si="1"/>
        <v>20</v>
      </c>
      <c r="AK11" s="54">
        <f t="shared" si="2"/>
        <v>7</v>
      </c>
      <c r="AL11" s="55">
        <f t="shared" si="3"/>
        <v>3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 t="s">
        <v>58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153">
        <f t="shared" si="0"/>
        <v>30</v>
      </c>
      <c r="AJ12" s="54">
        <f t="shared" si="1"/>
        <v>25</v>
      </c>
      <c r="AK12" s="54">
        <f t="shared" si="2"/>
        <v>1</v>
      </c>
      <c r="AL12" s="55">
        <f t="shared" si="3"/>
        <v>4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 t="s">
        <v>58</v>
      </c>
      <c r="AH13" s="5">
        <v>1</v>
      </c>
      <c r="AI13" s="153">
        <f t="shared" si="0"/>
        <v>30</v>
      </c>
      <c r="AJ13" s="54">
        <f t="shared" si="1"/>
        <v>29</v>
      </c>
      <c r="AK13" s="54">
        <f t="shared" si="2"/>
        <v>1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153">
        <f t="shared" si="0"/>
        <v>30</v>
      </c>
      <c r="AJ14" s="54">
        <f t="shared" si="1"/>
        <v>26</v>
      </c>
      <c r="AK14" s="54">
        <f t="shared" si="2"/>
        <v>4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153">
        <f t="shared" si="0"/>
        <v>30</v>
      </c>
      <c r="AJ15" s="54">
        <f t="shared" si="1"/>
        <v>29</v>
      </c>
      <c r="AK15" s="54">
        <f t="shared" si="2"/>
        <v>0</v>
      </c>
      <c r="AL15" s="55">
        <f t="shared" si="3"/>
        <v>1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 t="s">
        <v>58</v>
      </c>
      <c r="W16" s="5" t="s">
        <v>58</v>
      </c>
      <c r="X16" s="5" t="s">
        <v>58</v>
      </c>
      <c r="Y16" s="5" t="s">
        <v>58</v>
      </c>
      <c r="Z16" s="5" t="s">
        <v>58</v>
      </c>
      <c r="AA16" s="5" t="s">
        <v>58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153">
        <f t="shared" si="0"/>
        <v>30</v>
      </c>
      <c r="AJ16" s="54">
        <f t="shared" si="1"/>
        <v>24</v>
      </c>
      <c r="AK16" s="54">
        <f t="shared" si="2"/>
        <v>6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 t="s">
        <v>57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 t="s">
        <v>57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 t="s">
        <v>57</v>
      </c>
      <c r="AF17" s="5" t="s">
        <v>57</v>
      </c>
      <c r="AG17" s="5">
        <v>1</v>
      </c>
      <c r="AH17" s="5">
        <v>1</v>
      </c>
      <c r="AI17" s="153">
        <f t="shared" si="0"/>
        <v>30</v>
      </c>
      <c r="AJ17" s="54">
        <f t="shared" si="1"/>
        <v>24</v>
      </c>
      <c r="AK17" s="54">
        <f t="shared" si="2"/>
        <v>0</v>
      </c>
      <c r="AL17" s="55">
        <f t="shared" si="3"/>
        <v>6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153">
        <f t="shared" si="0"/>
        <v>30</v>
      </c>
      <c r="AJ18" s="54">
        <f t="shared" si="1"/>
        <v>30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153">
        <f t="shared" si="0"/>
        <v>30</v>
      </c>
      <c r="AJ19" s="54">
        <f t="shared" si="1"/>
        <v>30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 t="s">
        <v>57</v>
      </c>
      <c r="R20" s="5" t="s">
        <v>57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 t="s">
        <v>57</v>
      </c>
      <c r="Y20" s="5" t="s">
        <v>57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153">
        <f t="shared" si="0"/>
        <v>30</v>
      </c>
      <c r="AJ20" s="54">
        <f t="shared" si="1"/>
        <v>24</v>
      </c>
      <c r="AK20" s="54">
        <f t="shared" si="2"/>
        <v>0</v>
      </c>
      <c r="AL20" s="55">
        <f t="shared" si="3"/>
        <v>6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>
        <v>1</v>
      </c>
      <c r="AB22" s="5">
        <v>1</v>
      </c>
      <c r="AC22" s="5">
        <v>1</v>
      </c>
      <c r="AD22" s="5">
        <v>1</v>
      </c>
      <c r="AE22" s="5">
        <v>1</v>
      </c>
      <c r="AF22" s="5" t="s">
        <v>57</v>
      </c>
      <c r="AG22" s="5">
        <v>1</v>
      </c>
      <c r="AH22" s="5">
        <v>1</v>
      </c>
      <c r="AI22" s="153">
        <f t="shared" si="0"/>
        <v>30</v>
      </c>
      <c r="AJ22" s="54">
        <f t="shared" si="1"/>
        <v>29</v>
      </c>
      <c r="AK22" s="54">
        <f t="shared" si="2"/>
        <v>0</v>
      </c>
      <c r="AL22" s="55">
        <f t="shared" si="3"/>
        <v>1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>
        <v>1</v>
      </c>
      <c r="O23" s="97">
        <v>1</v>
      </c>
      <c r="P23" s="97">
        <v>1</v>
      </c>
      <c r="Q23" s="97">
        <v>1</v>
      </c>
      <c r="R23" s="97">
        <v>1</v>
      </c>
      <c r="S23" s="97">
        <v>1</v>
      </c>
      <c r="T23" s="97">
        <v>1</v>
      </c>
      <c r="U23" s="97">
        <v>1</v>
      </c>
      <c r="V23" s="97">
        <v>1</v>
      </c>
      <c r="W23" s="97">
        <v>1</v>
      </c>
      <c r="X23" s="97" t="s">
        <v>58</v>
      </c>
      <c r="Y23" s="97" t="s">
        <v>58</v>
      </c>
      <c r="Z23" s="97" t="s">
        <v>58</v>
      </c>
      <c r="AA23" s="97">
        <v>1</v>
      </c>
      <c r="AB23" s="97">
        <v>1</v>
      </c>
      <c r="AC23" s="97" t="s">
        <v>57</v>
      </c>
      <c r="AD23" s="97" t="s">
        <v>57</v>
      </c>
      <c r="AE23" s="97">
        <v>1</v>
      </c>
      <c r="AF23" s="97">
        <v>1</v>
      </c>
      <c r="AG23" s="97">
        <v>1</v>
      </c>
      <c r="AH23" s="97">
        <v>1</v>
      </c>
      <c r="AI23" s="154">
        <f t="shared" si="0"/>
        <v>30</v>
      </c>
      <c r="AJ23" s="84">
        <f t="shared" si="1"/>
        <v>22</v>
      </c>
      <c r="AK23" s="84">
        <f t="shared" si="2"/>
        <v>3</v>
      </c>
      <c r="AL23" s="85">
        <f t="shared" si="3"/>
        <v>5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540</v>
      </c>
      <c r="AJ24" s="141">
        <f>SUM(AJ6:AJ23)</f>
        <v>422</v>
      </c>
      <c r="AK24" s="141">
        <f>SUM(AK6:AK23)</f>
        <v>75</v>
      </c>
      <c r="AL24" s="142">
        <f>SUM(AL6:AL23)</f>
        <v>43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>
        <v>1</v>
      </c>
      <c r="O25" s="35">
        <v>1</v>
      </c>
      <c r="P25" s="35">
        <v>1</v>
      </c>
      <c r="Q25" s="35" t="s">
        <v>57</v>
      </c>
      <c r="R25" s="35" t="s">
        <v>57</v>
      </c>
      <c r="S25" s="35">
        <v>1</v>
      </c>
      <c r="T25" s="35">
        <v>1</v>
      </c>
      <c r="U25" s="35">
        <v>1</v>
      </c>
      <c r="V25" s="35" t="s">
        <v>58</v>
      </c>
      <c r="W25" s="35" t="s">
        <v>58</v>
      </c>
      <c r="X25" s="35" t="s">
        <v>58</v>
      </c>
      <c r="Y25" s="35" t="s">
        <v>58</v>
      </c>
      <c r="Z25" s="35" t="s">
        <v>58</v>
      </c>
      <c r="AA25" s="35" t="s">
        <v>58</v>
      </c>
      <c r="AB25" s="35" t="s">
        <v>58</v>
      </c>
      <c r="AC25" s="35" t="s">
        <v>58</v>
      </c>
      <c r="AD25" s="35" t="s">
        <v>58</v>
      </c>
      <c r="AE25" s="35" t="s">
        <v>58</v>
      </c>
      <c r="AF25" s="35" t="s">
        <v>58</v>
      </c>
      <c r="AG25" s="35" t="s">
        <v>58</v>
      </c>
      <c r="AH25" s="35" t="s">
        <v>58</v>
      </c>
      <c r="AI25" s="152">
        <f t="shared" ref="AI25:AI31" si="5">COUNTA(E25:AH25)</f>
        <v>30</v>
      </c>
      <c r="AJ25" s="80">
        <f t="shared" ref="AJ25:AJ31" si="6">COUNTIF(E25:AH25,1)</f>
        <v>13</v>
      </c>
      <c r="AK25" s="80">
        <f t="shared" ref="AK25:AK31" si="7">COUNTIF(E25:AH25,"тр")</f>
        <v>13</v>
      </c>
      <c r="AL25" s="81">
        <f t="shared" ref="AL25:AL31" si="8">COUNTIF(E25:AH25,"бв")</f>
        <v>4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 t="s">
        <v>57</v>
      </c>
      <c r="O26" s="5">
        <v>1</v>
      </c>
      <c r="P26" s="5">
        <v>1</v>
      </c>
      <c r="Q26" s="5">
        <v>1</v>
      </c>
      <c r="R26" s="5">
        <v>1</v>
      </c>
      <c r="S26" s="5">
        <v>1</v>
      </c>
      <c r="T26" s="5" t="s">
        <v>57</v>
      </c>
      <c r="U26" s="5" t="s">
        <v>57</v>
      </c>
      <c r="V26" s="5">
        <v>1</v>
      </c>
      <c r="W26" s="5">
        <v>1</v>
      </c>
      <c r="X26" s="5">
        <v>1</v>
      </c>
      <c r="Y26" s="5">
        <v>1</v>
      </c>
      <c r="Z26" s="5">
        <v>1</v>
      </c>
      <c r="AA26" s="5" t="s">
        <v>57</v>
      </c>
      <c r="AB26" s="5" t="s">
        <v>57</v>
      </c>
      <c r="AC26" s="5">
        <v>1</v>
      </c>
      <c r="AD26" s="5">
        <v>1</v>
      </c>
      <c r="AE26" s="5">
        <v>1</v>
      </c>
      <c r="AF26" s="5">
        <v>1</v>
      </c>
      <c r="AG26" s="5">
        <v>1</v>
      </c>
      <c r="AH26" s="5">
        <v>1</v>
      </c>
      <c r="AI26" s="153">
        <f t="shared" si="5"/>
        <v>30</v>
      </c>
      <c r="AJ26" s="54">
        <f t="shared" si="6"/>
        <v>22</v>
      </c>
      <c r="AK26" s="54">
        <f t="shared" si="7"/>
        <v>0</v>
      </c>
      <c r="AL26" s="55">
        <f t="shared" si="8"/>
        <v>8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>
        <v>1</v>
      </c>
      <c r="O27" s="5">
        <v>1</v>
      </c>
      <c r="P27" s="5">
        <v>1</v>
      </c>
      <c r="Q27" s="5" t="s">
        <v>57</v>
      </c>
      <c r="R27" s="5" t="s">
        <v>57</v>
      </c>
      <c r="S27" s="5">
        <v>1</v>
      </c>
      <c r="T27" s="5">
        <v>1</v>
      </c>
      <c r="U27" s="5">
        <v>1</v>
      </c>
      <c r="V27" s="5">
        <v>1</v>
      </c>
      <c r="W27" s="5">
        <v>1</v>
      </c>
      <c r="X27" s="5">
        <v>1</v>
      </c>
      <c r="Y27" s="5">
        <v>1</v>
      </c>
      <c r="Z27" s="5" t="s">
        <v>57</v>
      </c>
      <c r="AA27" s="5">
        <v>1</v>
      </c>
      <c r="AB27" s="5">
        <v>1</v>
      </c>
      <c r="AC27" s="5">
        <v>1</v>
      </c>
      <c r="AD27" s="5">
        <v>1</v>
      </c>
      <c r="AE27" s="5">
        <v>1</v>
      </c>
      <c r="AF27" s="5" t="s">
        <v>57</v>
      </c>
      <c r="AG27" s="5">
        <v>1</v>
      </c>
      <c r="AH27" s="5">
        <v>1</v>
      </c>
      <c r="AI27" s="153">
        <f t="shared" si="5"/>
        <v>30</v>
      </c>
      <c r="AJ27" s="54">
        <f t="shared" si="6"/>
        <v>23</v>
      </c>
      <c r="AK27" s="54">
        <f t="shared" si="7"/>
        <v>0</v>
      </c>
      <c r="AL27" s="55">
        <f t="shared" si="8"/>
        <v>7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 t="s">
        <v>57</v>
      </c>
      <c r="S29" s="5">
        <v>1</v>
      </c>
      <c r="T29" s="5">
        <v>1</v>
      </c>
      <c r="U29" s="5">
        <v>1</v>
      </c>
      <c r="V29" s="5">
        <v>1</v>
      </c>
      <c r="W29" s="5" t="s">
        <v>57</v>
      </c>
      <c r="X29" s="5">
        <v>1</v>
      </c>
      <c r="Y29" s="5" t="s">
        <v>57</v>
      </c>
      <c r="Z29" s="5">
        <v>1</v>
      </c>
      <c r="AA29" s="5">
        <v>1</v>
      </c>
      <c r="AB29" s="5">
        <v>1</v>
      </c>
      <c r="AC29" s="5">
        <v>1</v>
      </c>
      <c r="AD29" s="5">
        <v>1</v>
      </c>
      <c r="AE29" s="5">
        <v>1</v>
      </c>
      <c r="AF29" s="5" t="s">
        <v>57</v>
      </c>
      <c r="AG29" s="5" t="s">
        <v>57</v>
      </c>
      <c r="AH29" s="5">
        <v>1</v>
      </c>
      <c r="AI29" s="153">
        <f t="shared" si="5"/>
        <v>30</v>
      </c>
      <c r="AJ29" s="54">
        <f t="shared" si="6"/>
        <v>21</v>
      </c>
      <c r="AK29" s="54">
        <f t="shared" si="7"/>
        <v>2</v>
      </c>
      <c r="AL29" s="55">
        <f t="shared" si="8"/>
        <v>7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>
        <v>1</v>
      </c>
      <c r="W30" s="5">
        <v>1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>
        <v>1</v>
      </c>
      <c r="AF30" s="5">
        <v>1</v>
      </c>
      <c r="AG30" s="5" t="s">
        <v>57</v>
      </c>
      <c r="AH30" s="5">
        <v>1</v>
      </c>
      <c r="AI30" s="153">
        <f t="shared" si="5"/>
        <v>30</v>
      </c>
      <c r="AJ30" s="54">
        <f t="shared" si="6"/>
        <v>12</v>
      </c>
      <c r="AK30" s="54">
        <f t="shared" si="7"/>
        <v>17</v>
      </c>
      <c r="AL30" s="55">
        <f t="shared" si="8"/>
        <v>1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 t="s">
        <v>58</v>
      </c>
      <c r="O31" s="42">
        <v>1</v>
      </c>
      <c r="P31" s="42">
        <v>1</v>
      </c>
      <c r="Q31" s="42">
        <v>1</v>
      </c>
      <c r="R31" s="42">
        <v>1</v>
      </c>
      <c r="S31" s="42">
        <v>1</v>
      </c>
      <c r="T31" s="42">
        <v>1</v>
      </c>
      <c r="U31" s="42">
        <v>1</v>
      </c>
      <c r="V31" s="42">
        <v>1</v>
      </c>
      <c r="W31" s="42">
        <v>1</v>
      </c>
      <c r="X31" s="42">
        <v>1</v>
      </c>
      <c r="Y31" s="42" t="s">
        <v>57</v>
      </c>
      <c r="Z31" s="42" t="s">
        <v>57</v>
      </c>
      <c r="AA31" s="42" t="s">
        <v>57</v>
      </c>
      <c r="AB31" s="42" t="s">
        <v>57</v>
      </c>
      <c r="AC31" s="42" t="s">
        <v>57</v>
      </c>
      <c r="AD31" s="42" t="s">
        <v>57</v>
      </c>
      <c r="AE31" s="42" t="s">
        <v>57</v>
      </c>
      <c r="AF31" s="42" t="s">
        <v>57</v>
      </c>
      <c r="AG31" s="42" t="s">
        <v>57</v>
      </c>
      <c r="AH31" s="42" t="s">
        <v>57</v>
      </c>
      <c r="AI31" s="154">
        <f t="shared" si="5"/>
        <v>30</v>
      </c>
      <c r="AJ31" s="84">
        <f t="shared" si="6"/>
        <v>18</v>
      </c>
      <c r="AK31" s="84">
        <f t="shared" si="7"/>
        <v>2</v>
      </c>
      <c r="AL31" s="85">
        <f t="shared" si="8"/>
        <v>10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210</v>
      </c>
      <c r="AJ32" s="135">
        <f>SUM(AJ25:AJ31)</f>
        <v>109</v>
      </c>
      <c r="AK32" s="135">
        <f>SUM(AK25:AK31)</f>
        <v>64</v>
      </c>
      <c r="AL32" s="136">
        <f>SUM(AL25:AL31)</f>
        <v>37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>
        <v>1</v>
      </c>
      <c r="O33" s="35">
        <v>1</v>
      </c>
      <c r="P33" s="35">
        <v>1</v>
      </c>
      <c r="Q33" s="35">
        <v>1</v>
      </c>
      <c r="R33" s="35">
        <v>1</v>
      </c>
      <c r="S33" s="35">
        <v>1</v>
      </c>
      <c r="T33" s="35">
        <v>1</v>
      </c>
      <c r="U33" s="35">
        <v>1</v>
      </c>
      <c r="V33" s="35">
        <v>1</v>
      </c>
      <c r="W33" s="35">
        <v>1</v>
      </c>
      <c r="X33" s="35">
        <v>1</v>
      </c>
      <c r="Y33" s="35">
        <v>1</v>
      </c>
      <c r="Z33" s="35">
        <v>1</v>
      </c>
      <c r="AA33" s="35">
        <v>1</v>
      </c>
      <c r="AB33" s="35">
        <v>1</v>
      </c>
      <c r="AC33" s="35">
        <v>1</v>
      </c>
      <c r="AD33" s="35">
        <v>1</v>
      </c>
      <c r="AE33" s="35">
        <v>1</v>
      </c>
      <c r="AF33" s="35">
        <v>1</v>
      </c>
      <c r="AG33" s="35">
        <v>1</v>
      </c>
      <c r="AH33" s="35">
        <v>1</v>
      </c>
      <c r="AI33" s="155">
        <f>COUNTA(E33:AH33)</f>
        <v>30</v>
      </c>
      <c r="AJ33" s="17">
        <f>COUNTIF(E33:AH33,1)</f>
        <v>30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>
        <v>1</v>
      </c>
      <c r="O34" s="5">
        <v>1</v>
      </c>
      <c r="P34" s="5">
        <v>1</v>
      </c>
      <c r="Q34" s="5">
        <v>1</v>
      </c>
      <c r="R34" s="5">
        <v>1</v>
      </c>
      <c r="S34" s="5">
        <v>1</v>
      </c>
      <c r="T34" s="5">
        <v>1</v>
      </c>
      <c r="U34" s="5" t="s">
        <v>57</v>
      </c>
      <c r="V34" s="5" t="s">
        <v>57</v>
      </c>
      <c r="W34" s="5">
        <v>1</v>
      </c>
      <c r="X34" s="5">
        <v>1</v>
      </c>
      <c r="Y34" s="5">
        <v>1</v>
      </c>
      <c r="Z34" s="5">
        <v>1</v>
      </c>
      <c r="AA34" s="5">
        <v>1</v>
      </c>
      <c r="AB34" s="5">
        <v>1</v>
      </c>
      <c r="AC34" s="5">
        <v>1</v>
      </c>
      <c r="AD34" s="5">
        <v>1</v>
      </c>
      <c r="AE34" s="5" t="s">
        <v>57</v>
      </c>
      <c r="AF34" s="5" t="s">
        <v>57</v>
      </c>
      <c r="AG34" s="5">
        <v>1</v>
      </c>
      <c r="AH34" s="5">
        <v>1</v>
      </c>
      <c r="AI34" s="155">
        <f>COUNTA(E34:AH34)</f>
        <v>30</v>
      </c>
      <c r="AJ34" s="54">
        <f>COUNTIF(E34:AH34,1)</f>
        <v>20</v>
      </c>
      <c r="AK34" s="54">
        <f>COUNTIF(E34:AH34,"тр")</f>
        <v>0</v>
      </c>
      <c r="AL34" s="55">
        <f>COUNTIF(E34:AH34,"бв")</f>
        <v>10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90</v>
      </c>
      <c r="AJ36" s="69">
        <f>SUM(AJ33:AJ35)</f>
        <v>50</v>
      </c>
      <c r="AK36" s="69">
        <f>SUM(AK33:AK35)</f>
        <v>30</v>
      </c>
      <c r="AL36" s="75">
        <f>SUM(AL33:AL35)</f>
        <v>10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>
        <v>1</v>
      </c>
      <c r="O39" s="35">
        <v>1</v>
      </c>
      <c r="P39" s="35">
        <v>1</v>
      </c>
      <c r="Q39" s="35">
        <v>1</v>
      </c>
      <c r="R39" s="35">
        <v>1</v>
      </c>
      <c r="S39" s="35" t="s">
        <v>57</v>
      </c>
      <c r="T39" s="35" t="s">
        <v>57</v>
      </c>
      <c r="U39" s="35">
        <v>1</v>
      </c>
      <c r="V39" s="35">
        <v>1</v>
      </c>
      <c r="W39" s="35">
        <v>1</v>
      </c>
      <c r="X39" s="35">
        <v>1</v>
      </c>
      <c r="Y39" s="35">
        <v>1</v>
      </c>
      <c r="Z39" s="35" t="s">
        <v>57</v>
      </c>
      <c r="AA39" s="35">
        <v>1</v>
      </c>
      <c r="AB39" s="35">
        <v>1</v>
      </c>
      <c r="AC39" s="35">
        <v>1</v>
      </c>
      <c r="AD39" s="35">
        <v>1</v>
      </c>
      <c r="AE39" s="35">
        <v>1</v>
      </c>
      <c r="AF39" s="35">
        <v>1</v>
      </c>
      <c r="AG39" s="35" t="s">
        <v>57</v>
      </c>
      <c r="AH39" s="35">
        <v>1</v>
      </c>
      <c r="AI39" s="155">
        <f>COUNTA(E39:AH39)</f>
        <v>30</v>
      </c>
      <c r="AJ39" s="17">
        <f>COUNTIF(E39:AH39,1)</f>
        <v>23</v>
      </c>
      <c r="AK39" s="17">
        <f>COUNTIF(E39:AH39,"тр")</f>
        <v>1</v>
      </c>
      <c r="AL39" s="18">
        <f>COUNTIF(E39:AH39,"бв")</f>
        <v>6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>
        <v>1</v>
      </c>
      <c r="O40" s="5">
        <v>1</v>
      </c>
      <c r="P40" s="5">
        <v>1</v>
      </c>
      <c r="Q40" s="5" t="s">
        <v>57</v>
      </c>
      <c r="R40" s="5" t="s">
        <v>57</v>
      </c>
      <c r="S40" s="5">
        <v>1</v>
      </c>
      <c r="T40" s="5">
        <v>1</v>
      </c>
      <c r="U40" s="5">
        <v>1</v>
      </c>
      <c r="V40" s="5">
        <v>1</v>
      </c>
      <c r="W40" s="5">
        <v>1</v>
      </c>
      <c r="X40" s="5" t="s">
        <v>57</v>
      </c>
      <c r="Y40" s="5" t="s">
        <v>57</v>
      </c>
      <c r="Z40" s="5" t="s">
        <v>58</v>
      </c>
      <c r="AA40" s="5" t="s">
        <v>58</v>
      </c>
      <c r="AB40" s="5" t="s">
        <v>58</v>
      </c>
      <c r="AC40" s="5" t="s">
        <v>58</v>
      </c>
      <c r="AD40" s="5" t="s">
        <v>58</v>
      </c>
      <c r="AE40" s="5" t="s">
        <v>58</v>
      </c>
      <c r="AF40" s="5" t="s">
        <v>58</v>
      </c>
      <c r="AG40" s="5" t="s">
        <v>58</v>
      </c>
      <c r="AH40" s="5" t="s">
        <v>58</v>
      </c>
      <c r="AI40" s="155">
        <f>COUNTA(E40:AH40)</f>
        <v>30</v>
      </c>
      <c r="AJ40" s="54">
        <f>COUNTIF(E40:AH40,1)</f>
        <v>16</v>
      </c>
      <c r="AK40" s="54">
        <f>COUNTIF(E40:AH40,"тр")</f>
        <v>9</v>
      </c>
      <c r="AL40" s="55">
        <f>COUNTIF(E40:AH40,"бв")</f>
        <v>5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 t="s">
        <v>58</v>
      </c>
      <c r="O41" s="42" t="s">
        <v>58</v>
      </c>
      <c r="P41" s="42">
        <v>1</v>
      </c>
      <c r="Q41" s="42">
        <v>1</v>
      </c>
      <c r="R41" s="42">
        <v>1</v>
      </c>
      <c r="S41" s="42" t="s">
        <v>58</v>
      </c>
      <c r="T41" s="42" t="s">
        <v>58</v>
      </c>
      <c r="U41" s="42" t="s">
        <v>58</v>
      </c>
      <c r="V41" s="42" t="s">
        <v>57</v>
      </c>
      <c r="W41" s="42">
        <v>1</v>
      </c>
      <c r="X41" s="42">
        <v>1</v>
      </c>
      <c r="Y41" s="42">
        <v>1</v>
      </c>
      <c r="Z41" s="42">
        <v>1</v>
      </c>
      <c r="AA41" s="42">
        <v>1</v>
      </c>
      <c r="AB41" s="42" t="s">
        <v>57</v>
      </c>
      <c r="AC41" s="42" t="s">
        <v>57</v>
      </c>
      <c r="AD41" s="42">
        <v>1</v>
      </c>
      <c r="AE41" s="42">
        <v>1</v>
      </c>
      <c r="AF41" s="42">
        <v>1</v>
      </c>
      <c r="AG41" s="42">
        <v>1</v>
      </c>
      <c r="AH41" s="42" t="s">
        <v>57</v>
      </c>
      <c r="AI41" s="155">
        <f>COUNTA(E41:AH41)</f>
        <v>30</v>
      </c>
      <c r="AJ41" s="56">
        <f>COUNTIF(E41:AH41,1)</f>
        <v>16</v>
      </c>
      <c r="AK41" s="56">
        <f>COUNTIF(E41:AH41,"тр")</f>
        <v>6</v>
      </c>
      <c r="AL41" s="57">
        <f>COUNTIF(E41:AH41,"бв")</f>
        <v>8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90</v>
      </c>
      <c r="AJ42" s="69">
        <f>SUM(AJ39:AJ41)</f>
        <v>55</v>
      </c>
      <c r="AK42" s="69">
        <f>SUM(AK39:AK41)</f>
        <v>16</v>
      </c>
      <c r="AL42" s="75">
        <f>SUM(AL39:AL41)</f>
        <v>19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>
        <v>1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>
        <v>1</v>
      </c>
      <c r="Y43" s="35">
        <v>1</v>
      </c>
      <c r="Z43" s="35">
        <v>1</v>
      </c>
      <c r="AA43" s="35">
        <v>1</v>
      </c>
      <c r="AB43" s="35">
        <v>1</v>
      </c>
      <c r="AC43" s="35">
        <v>1</v>
      </c>
      <c r="AD43" s="35">
        <v>1</v>
      </c>
      <c r="AE43" s="35">
        <v>1</v>
      </c>
      <c r="AF43" s="35">
        <v>1</v>
      </c>
      <c r="AG43" s="35">
        <v>1</v>
      </c>
      <c r="AH43" s="35">
        <v>1</v>
      </c>
      <c r="AI43" s="155">
        <f t="shared" ref="AI43:AI49" si="9">COUNTA(E43:AH43)</f>
        <v>30</v>
      </c>
      <c r="AJ43" s="17">
        <f t="shared" ref="AJ43:AJ49" si="10">COUNTIF(E43:AH43,1)</f>
        <v>30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>
        <v>1</v>
      </c>
      <c r="O44" s="5">
        <v>1</v>
      </c>
      <c r="P44" s="5">
        <v>1</v>
      </c>
      <c r="Q44" s="5">
        <v>1</v>
      </c>
      <c r="R44" s="5">
        <v>1</v>
      </c>
      <c r="S44" s="5">
        <v>1</v>
      </c>
      <c r="T44" s="5">
        <v>1</v>
      </c>
      <c r="U44" s="5">
        <v>1</v>
      </c>
      <c r="V44" s="5">
        <v>1</v>
      </c>
      <c r="W44" s="5">
        <v>1</v>
      </c>
      <c r="X44" s="5">
        <v>1</v>
      </c>
      <c r="Y44" s="5">
        <v>1</v>
      </c>
      <c r="Z44" s="5">
        <v>1</v>
      </c>
      <c r="AA44" s="5">
        <v>1</v>
      </c>
      <c r="AB44" s="5">
        <v>1</v>
      </c>
      <c r="AC44" s="5" t="s">
        <v>57</v>
      </c>
      <c r="AD44" s="5">
        <v>1</v>
      </c>
      <c r="AE44" s="5">
        <v>1</v>
      </c>
      <c r="AF44" s="5">
        <v>1</v>
      </c>
      <c r="AG44" s="5">
        <v>1</v>
      </c>
      <c r="AH44" s="5">
        <v>1</v>
      </c>
      <c r="AI44" s="155">
        <f t="shared" si="9"/>
        <v>30</v>
      </c>
      <c r="AJ44" s="54">
        <f t="shared" si="10"/>
        <v>27</v>
      </c>
      <c r="AK44" s="54">
        <f t="shared" si="11"/>
        <v>0</v>
      </c>
      <c r="AL44" s="55">
        <f t="shared" si="12"/>
        <v>3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29</v>
      </c>
      <c r="AK45" s="54">
        <f t="shared" si="11"/>
        <v>1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 t="s">
        <v>57</v>
      </c>
      <c r="O46" s="5" t="s">
        <v>57</v>
      </c>
      <c r="P46" s="5">
        <v>1</v>
      </c>
      <c r="Q46" s="5" t="s">
        <v>57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 t="s">
        <v>57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57</v>
      </c>
      <c r="AH46" s="5">
        <v>1</v>
      </c>
      <c r="AI46" s="155">
        <f t="shared" si="9"/>
        <v>30</v>
      </c>
      <c r="AJ46" s="54">
        <f t="shared" si="10"/>
        <v>25</v>
      </c>
      <c r="AK46" s="54">
        <f t="shared" si="11"/>
        <v>0</v>
      </c>
      <c r="AL46" s="55">
        <f t="shared" si="12"/>
        <v>5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>
        <v>1</v>
      </c>
      <c r="O47" s="5">
        <v>1</v>
      </c>
      <c r="P47" s="5">
        <v>1</v>
      </c>
      <c r="Q47" s="5">
        <v>1</v>
      </c>
      <c r="R47" s="5" t="s">
        <v>57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>
        <v>1</v>
      </c>
      <c r="Y47" s="5" t="s">
        <v>57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 t="s">
        <v>57</v>
      </c>
      <c r="AG47" s="5">
        <v>1</v>
      </c>
      <c r="AH47" s="5">
        <v>1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 t="s">
        <v>58</v>
      </c>
      <c r="X48" s="5" t="s">
        <v>57</v>
      </c>
      <c r="Y48" s="5" t="s">
        <v>57</v>
      </c>
      <c r="Z48" s="5">
        <v>1</v>
      </c>
      <c r="AA48" s="5" t="s">
        <v>58</v>
      </c>
      <c r="AB48" s="5" t="s">
        <v>58</v>
      </c>
      <c r="AC48" s="5" t="s">
        <v>58</v>
      </c>
      <c r="AD48" s="5" t="s">
        <v>58</v>
      </c>
      <c r="AE48" s="5" t="s">
        <v>58</v>
      </c>
      <c r="AF48" s="5" t="s">
        <v>58</v>
      </c>
      <c r="AG48" s="5" t="s">
        <v>58</v>
      </c>
      <c r="AH48" s="5" t="s">
        <v>58</v>
      </c>
      <c r="AI48" s="155">
        <f t="shared" si="9"/>
        <v>30</v>
      </c>
      <c r="AJ48" s="54">
        <f t="shared" si="10"/>
        <v>19</v>
      </c>
      <c r="AK48" s="54">
        <f t="shared" si="11"/>
        <v>9</v>
      </c>
      <c r="AL48" s="55">
        <f t="shared" si="12"/>
        <v>2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>
        <v>1</v>
      </c>
      <c r="O49" s="42" t="s">
        <v>57</v>
      </c>
      <c r="P49" s="42" t="s">
        <v>57</v>
      </c>
      <c r="Q49" s="42">
        <v>1</v>
      </c>
      <c r="R49" s="42" t="s">
        <v>57</v>
      </c>
      <c r="S49" s="42" t="s">
        <v>57</v>
      </c>
      <c r="T49" s="42" t="s">
        <v>57</v>
      </c>
      <c r="U49" s="42" t="s">
        <v>57</v>
      </c>
      <c r="V49" s="42" t="s">
        <v>57</v>
      </c>
      <c r="W49" s="42">
        <v>1</v>
      </c>
      <c r="X49" s="42">
        <v>1</v>
      </c>
      <c r="Y49" s="42">
        <v>1</v>
      </c>
      <c r="Z49" s="42">
        <v>1</v>
      </c>
      <c r="AA49" s="42">
        <v>1</v>
      </c>
      <c r="AB49" s="42">
        <v>1</v>
      </c>
      <c r="AC49" s="42">
        <v>1</v>
      </c>
      <c r="AD49" s="42">
        <v>1</v>
      </c>
      <c r="AE49" s="42">
        <v>1</v>
      </c>
      <c r="AF49" s="42" t="s">
        <v>58</v>
      </c>
      <c r="AG49" s="42">
        <v>1</v>
      </c>
      <c r="AH49" s="42">
        <v>1</v>
      </c>
      <c r="AI49" s="155">
        <f t="shared" si="9"/>
        <v>30</v>
      </c>
      <c r="AJ49" s="56">
        <f t="shared" si="10"/>
        <v>21</v>
      </c>
      <c r="AK49" s="56">
        <f t="shared" si="11"/>
        <v>1</v>
      </c>
      <c r="AL49" s="57">
        <f t="shared" si="12"/>
        <v>8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210</v>
      </c>
      <c r="AJ50" s="69">
        <f>SUM(AJ43:AJ49)</f>
        <v>174</v>
      </c>
      <c r="AK50" s="69">
        <f>SUM(AK43:AK49)</f>
        <v>12</v>
      </c>
      <c r="AL50" s="75">
        <f>SUM(AL43:AL49)</f>
        <v>24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 t="s">
        <v>57</v>
      </c>
      <c r="O51" s="42" t="s">
        <v>57</v>
      </c>
      <c r="P51" s="42" t="s">
        <v>57</v>
      </c>
      <c r="Q51" s="42" t="s">
        <v>57</v>
      </c>
      <c r="R51" s="42" t="s">
        <v>57</v>
      </c>
      <c r="S51" s="42">
        <v>1</v>
      </c>
      <c r="T51" s="42" t="s">
        <v>57</v>
      </c>
      <c r="U51" s="42" t="s">
        <v>57</v>
      </c>
      <c r="V51" s="42" t="s">
        <v>57</v>
      </c>
      <c r="W51" s="42" t="s">
        <v>57</v>
      </c>
      <c r="X51" s="42" t="s">
        <v>57</v>
      </c>
      <c r="Y51" s="42" t="s">
        <v>57</v>
      </c>
      <c r="Z51" s="42" t="s">
        <v>57</v>
      </c>
      <c r="AA51" s="42" t="s">
        <v>57</v>
      </c>
      <c r="AB51" s="42" t="s">
        <v>57</v>
      </c>
      <c r="AC51" s="42">
        <v>1</v>
      </c>
      <c r="AD51" s="42" t="s">
        <v>57</v>
      </c>
      <c r="AE51" s="42">
        <v>1</v>
      </c>
      <c r="AF51" s="42">
        <v>1</v>
      </c>
      <c r="AG51" s="42">
        <v>1</v>
      </c>
      <c r="AH51" s="42">
        <v>1</v>
      </c>
      <c r="AI51" s="155">
        <f>COUNTA(E51:AH51)</f>
        <v>30</v>
      </c>
      <c r="AJ51" s="56">
        <f>COUNTIF(E51:AH51,1)</f>
        <v>8</v>
      </c>
      <c r="AK51" s="56">
        <f>COUNTIF(E51:AH51,"тр")</f>
        <v>1</v>
      </c>
      <c r="AL51" s="57">
        <f>COUNTIF(E51:AH51,"бв")</f>
        <v>21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30</v>
      </c>
      <c r="AJ52" s="69">
        <f>SUM(AJ51:AJ51)</f>
        <v>8</v>
      </c>
      <c r="AK52" s="69">
        <f>SUM(AK51:AK51)</f>
        <v>1</v>
      </c>
      <c r="AL52" s="75">
        <f>SUM(AL51:AL51)</f>
        <v>21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>
        <v>1</v>
      </c>
      <c r="O53" s="92">
        <v>1</v>
      </c>
      <c r="P53" s="92">
        <v>1</v>
      </c>
      <c r="Q53" s="92">
        <v>1</v>
      </c>
      <c r="R53" s="92">
        <v>1</v>
      </c>
      <c r="S53" s="92">
        <v>1</v>
      </c>
      <c r="T53" s="92">
        <v>1</v>
      </c>
      <c r="U53" s="92">
        <v>1</v>
      </c>
      <c r="V53" s="92">
        <v>1</v>
      </c>
      <c r="W53" s="92">
        <v>1</v>
      </c>
      <c r="X53" s="92">
        <v>1</v>
      </c>
      <c r="Y53" s="92">
        <v>1</v>
      </c>
      <c r="Z53" s="92">
        <v>1</v>
      </c>
      <c r="AA53" s="92">
        <v>1</v>
      </c>
      <c r="AB53" s="92">
        <v>1</v>
      </c>
      <c r="AC53" s="92">
        <v>1</v>
      </c>
      <c r="AD53" s="92">
        <v>1</v>
      </c>
      <c r="AE53" s="92">
        <v>1</v>
      </c>
      <c r="AF53" s="92">
        <v>1</v>
      </c>
      <c r="AG53" s="92">
        <v>1</v>
      </c>
      <c r="AH53" s="92">
        <v>1</v>
      </c>
      <c r="AI53" s="152">
        <f>COUNTA(E53:AH53)</f>
        <v>30</v>
      </c>
      <c r="AJ53" s="80">
        <f>COUNTIF(E53:AH53,1)</f>
        <v>29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>
        <v>1</v>
      </c>
      <c r="W54" s="42">
        <v>1</v>
      </c>
      <c r="X54" s="42">
        <v>1</v>
      </c>
      <c r="Y54" s="42">
        <v>1</v>
      </c>
      <c r="Z54" s="42">
        <v>1</v>
      </c>
      <c r="AA54" s="42">
        <v>1</v>
      </c>
      <c r="AB54" s="42">
        <v>1</v>
      </c>
      <c r="AC54" s="42">
        <v>1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155">
        <f>COUNTA(E54:AH54)</f>
        <v>30</v>
      </c>
      <c r="AJ54" s="56">
        <f>COUNTIF(E54:AH54,1)</f>
        <v>30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  <c r="S55" s="97">
        <v>1</v>
      </c>
      <c r="T55" s="97">
        <v>1</v>
      </c>
      <c r="U55" s="97" t="s">
        <v>58</v>
      </c>
      <c r="V55" s="97" t="s">
        <v>58</v>
      </c>
      <c r="W55" s="97" t="s">
        <v>58</v>
      </c>
      <c r="X55" s="97">
        <v>1</v>
      </c>
      <c r="Y55" s="97">
        <v>1</v>
      </c>
      <c r="Z55" s="97">
        <v>1</v>
      </c>
      <c r="AA55" s="97">
        <v>1</v>
      </c>
      <c r="AB55" s="97">
        <v>1</v>
      </c>
      <c r="AC55" s="97" t="s">
        <v>57</v>
      </c>
      <c r="AD55" s="97" t="s">
        <v>57</v>
      </c>
      <c r="AE55" s="97">
        <v>1</v>
      </c>
      <c r="AF55" s="97">
        <v>1</v>
      </c>
      <c r="AG55" s="97">
        <v>1</v>
      </c>
      <c r="AH55" s="97">
        <v>1</v>
      </c>
      <c r="AI55" s="157">
        <f>COUNTA(E55:AH55)</f>
        <v>30</v>
      </c>
      <c r="AJ55" s="84">
        <f>COUNTIF(E55:AH55,1)</f>
        <v>25</v>
      </c>
      <c r="AK55" s="84">
        <f>COUNTIF(E55:AH55,"тр")</f>
        <v>3</v>
      </c>
      <c r="AL55" s="85">
        <f>COUNTIF(E55:AH55,"бв")</f>
        <v>2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90</v>
      </c>
      <c r="AJ56" s="69">
        <f>SUM(AJ53:AJ55)</f>
        <v>84</v>
      </c>
      <c r="AK56" s="69">
        <f>SUM(AK53:AK55)</f>
        <v>4</v>
      </c>
      <c r="AL56" s="75">
        <f>SUM(AL53:AL55)</f>
        <v>2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1298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59" s="169"/>
      <c r="C59" s="169"/>
      <c r="D59" s="169"/>
      <c r="E59" s="169"/>
      <c r="F59" s="169"/>
      <c r="G59" s="169"/>
      <c r="H59" s="169"/>
      <c r="I59" s="169"/>
      <c r="J59" s="169"/>
      <c r="K59" s="169"/>
      <c r="L59" s="169"/>
      <c r="M59" s="169"/>
      <c r="N59" s="169"/>
      <c r="O59" s="169"/>
      <c r="P59" s="169"/>
      <c r="Q59" s="169"/>
      <c r="R59" s="169"/>
      <c r="S59" s="169"/>
      <c r="T59" s="169"/>
      <c r="U59" s="169"/>
      <c r="V59" s="169"/>
      <c r="W59" s="169"/>
      <c r="X59" s="169"/>
      <c r="Y59" s="169"/>
      <c r="Z59" s="169"/>
      <c r="AA59" s="169"/>
      <c r="AB59" s="169"/>
      <c r="AC59" s="169"/>
      <c r="AD59" s="169"/>
      <c r="AE59" s="169"/>
      <c r="AF59" s="169"/>
      <c r="AG59" s="169"/>
      <c r="AH59" s="169"/>
      <c r="AI59" s="169"/>
      <c r="AJ59" s="169"/>
      <c r="AK59" s="169"/>
      <c r="AL59" s="169"/>
    </row>
    <row r="60" spans="1:38" s="33" customFormat="1" ht="16.3" thickBot="1" x14ac:dyDescent="0.3">
      <c r="A60" s="27" t="s">
        <v>56</v>
      </c>
      <c r="B60" s="28" t="s">
        <v>46</v>
      </c>
      <c r="C60" s="28" t="s">
        <v>48</v>
      </c>
      <c r="D60" s="29" t="s">
        <v>47</v>
      </c>
      <c r="E60" s="34">
        <v>1</v>
      </c>
      <c r="F60" s="30">
        <v>2</v>
      </c>
      <c r="G60" s="30">
        <v>3</v>
      </c>
      <c r="H60" s="30">
        <v>4</v>
      </c>
      <c r="I60" s="30">
        <v>5</v>
      </c>
      <c r="J60" s="30">
        <v>6</v>
      </c>
      <c r="K60" s="30">
        <v>7</v>
      </c>
      <c r="L60" s="30">
        <v>8</v>
      </c>
      <c r="M60" s="30">
        <v>9</v>
      </c>
      <c r="N60" s="30">
        <v>10</v>
      </c>
      <c r="O60" s="30">
        <v>11</v>
      </c>
      <c r="P60" s="30">
        <v>12</v>
      </c>
      <c r="Q60" s="30">
        <v>13</v>
      </c>
      <c r="R60" s="30">
        <v>14</v>
      </c>
      <c r="S60" s="30">
        <v>15</v>
      </c>
      <c r="T60" s="30">
        <v>16</v>
      </c>
      <c r="U60" s="30">
        <v>17</v>
      </c>
      <c r="V60" s="30">
        <v>18</v>
      </c>
      <c r="W60" s="30">
        <v>19</v>
      </c>
      <c r="X60" s="30">
        <v>20</v>
      </c>
      <c r="Y60" s="30">
        <v>21</v>
      </c>
      <c r="Z60" s="30">
        <v>22</v>
      </c>
      <c r="AA60" s="30">
        <v>23</v>
      </c>
      <c r="AB60" s="30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87">
        <v>30</v>
      </c>
      <c r="AI60" s="27" t="s">
        <v>62</v>
      </c>
      <c r="AJ60" s="31" t="s">
        <v>61</v>
      </c>
      <c r="AK60" s="31" t="s">
        <v>58</v>
      </c>
      <c r="AL60" s="32" t="s">
        <v>57</v>
      </c>
    </row>
    <row r="61" spans="1:38" x14ac:dyDescent="0.25">
      <c r="A61" s="8">
        <v>1</v>
      </c>
      <c r="B61" s="9" t="s">
        <v>54</v>
      </c>
      <c r="C61" s="166">
        <v>176</v>
      </c>
      <c r="D61" s="10">
        <v>6172</v>
      </c>
      <c r="E61" s="35">
        <v>1</v>
      </c>
      <c r="F61" s="35">
        <v>1</v>
      </c>
      <c r="G61" s="35">
        <v>1</v>
      </c>
      <c r="H61" s="35">
        <v>1</v>
      </c>
      <c r="I61" s="35">
        <v>1</v>
      </c>
      <c r="J61" s="35">
        <v>1</v>
      </c>
      <c r="K61" s="35">
        <v>1</v>
      </c>
      <c r="L61" s="35">
        <v>1</v>
      </c>
      <c r="M61" s="35">
        <v>1</v>
      </c>
      <c r="N61" s="35">
        <v>1</v>
      </c>
      <c r="O61" s="35">
        <v>1</v>
      </c>
      <c r="P61" s="35">
        <v>1</v>
      </c>
      <c r="Q61" s="35">
        <v>1</v>
      </c>
      <c r="R61" s="35">
        <v>1</v>
      </c>
      <c r="S61" s="35">
        <v>1</v>
      </c>
      <c r="T61" s="35">
        <v>1</v>
      </c>
      <c r="U61" s="35">
        <v>1</v>
      </c>
      <c r="V61" s="35">
        <v>1</v>
      </c>
      <c r="W61" s="35">
        <v>1</v>
      </c>
      <c r="X61" s="35">
        <v>1</v>
      </c>
      <c r="Y61" s="35">
        <v>1</v>
      </c>
      <c r="Z61" s="35">
        <v>1</v>
      </c>
      <c r="AA61" s="35">
        <v>1</v>
      </c>
      <c r="AB61" s="35">
        <v>1</v>
      </c>
      <c r="AC61" s="35">
        <v>1</v>
      </c>
      <c r="AD61" s="35">
        <v>1</v>
      </c>
      <c r="AE61" s="35">
        <v>1</v>
      </c>
      <c r="AF61" s="35">
        <v>1</v>
      </c>
      <c r="AG61" s="35">
        <v>1</v>
      </c>
      <c r="AH61" s="125">
        <v>1</v>
      </c>
      <c r="AI61" s="155">
        <f>COUNTA(E61:AH61)</f>
        <v>30</v>
      </c>
      <c r="AJ61" s="17">
        <f>COUNTIF(E61:AH61,1)</f>
        <v>30</v>
      </c>
      <c r="AK61" s="17">
        <f>COUNTIF(E61:AH61,"тр")</f>
        <v>0</v>
      </c>
      <c r="AL61" s="18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13">
        <v>6173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>
        <v>1</v>
      </c>
      <c r="O62" s="5">
        <v>1</v>
      </c>
      <c r="P62" s="5">
        <v>1</v>
      </c>
      <c r="Q62" s="5">
        <v>1</v>
      </c>
      <c r="R62" s="5">
        <v>1</v>
      </c>
      <c r="S62" s="5">
        <v>1</v>
      </c>
      <c r="T62" s="5">
        <v>1</v>
      </c>
      <c r="U62" s="5">
        <v>1</v>
      </c>
      <c r="V62" s="5">
        <v>1</v>
      </c>
      <c r="W62" s="5">
        <v>1</v>
      </c>
      <c r="X62" s="5">
        <v>1</v>
      </c>
      <c r="Y62" s="5">
        <v>1</v>
      </c>
      <c r="Z62" s="5">
        <v>1</v>
      </c>
      <c r="AA62" s="5">
        <v>1</v>
      </c>
      <c r="AB62" s="5">
        <v>1</v>
      </c>
      <c r="AC62" s="5">
        <v>1</v>
      </c>
      <c r="AD62" s="5">
        <v>1</v>
      </c>
      <c r="AE62" s="5">
        <v>1</v>
      </c>
      <c r="AF62" s="5">
        <v>1</v>
      </c>
      <c r="AG62" s="5">
        <v>1</v>
      </c>
      <c r="AH62" s="78">
        <v>1</v>
      </c>
      <c r="AI62" s="153">
        <f>COUNTA(E62:AH62)</f>
        <v>30</v>
      </c>
      <c r="AJ62" s="54">
        <f>COUNTIF(E62:AH62,1)</f>
        <v>30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13">
        <v>1250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 t="s">
        <v>57</v>
      </c>
      <c r="R63" s="5" t="s">
        <v>57</v>
      </c>
      <c r="S63" s="5">
        <v>1</v>
      </c>
      <c r="T63" s="5" t="s">
        <v>58</v>
      </c>
      <c r="U63" s="5">
        <v>1</v>
      </c>
      <c r="V63" s="5">
        <v>1</v>
      </c>
      <c r="W63" s="5">
        <v>1</v>
      </c>
      <c r="X63" s="5" t="s">
        <v>57</v>
      </c>
      <c r="Y63" s="5" t="s">
        <v>57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 t="s">
        <v>57</v>
      </c>
      <c r="AF63" s="5" t="s">
        <v>57</v>
      </c>
      <c r="AG63" s="5">
        <v>1</v>
      </c>
      <c r="AH63" s="78">
        <v>1</v>
      </c>
      <c r="AI63" s="153">
        <f>COUNTA(E63:AH63)</f>
        <v>30</v>
      </c>
      <c r="AJ63" s="54">
        <f>COUNTIF(E63:AH63,1)</f>
        <v>21</v>
      </c>
      <c r="AK63" s="54">
        <f>COUNTIF(E63:AH63,"тр")</f>
        <v>1</v>
      </c>
      <c r="AL63" s="55">
        <f>COUNTIF(E63:AH63,"бв")</f>
        <v>8</v>
      </c>
    </row>
    <row r="64" spans="1:38" x14ac:dyDescent="0.25">
      <c r="A64" s="11">
        <f t="shared" si="13"/>
        <v>4</v>
      </c>
      <c r="B64" s="12" t="s">
        <v>55</v>
      </c>
      <c r="C64" s="13" t="s">
        <v>28</v>
      </c>
      <c r="D64" s="13">
        <v>3810</v>
      </c>
      <c r="E64" s="5" t="s">
        <v>58</v>
      </c>
      <c r="F64" s="5" t="s">
        <v>58</v>
      </c>
      <c r="G64" s="5" t="s">
        <v>58</v>
      </c>
      <c r="H64" s="5" t="s">
        <v>58</v>
      </c>
      <c r="I64" s="5" t="s">
        <v>58</v>
      </c>
      <c r="J64" s="5" t="s">
        <v>58</v>
      </c>
      <c r="K64" s="5" t="s">
        <v>58</v>
      </c>
      <c r="L64" s="5" t="s">
        <v>58</v>
      </c>
      <c r="M64" s="5" t="s">
        <v>58</v>
      </c>
      <c r="N64" s="5" t="s">
        <v>58</v>
      </c>
      <c r="O64" s="5" t="s">
        <v>58</v>
      </c>
      <c r="P64" s="5" t="s">
        <v>58</v>
      </c>
      <c r="Q64" s="5" t="s">
        <v>58</v>
      </c>
      <c r="R64" s="5" t="s">
        <v>58</v>
      </c>
      <c r="S64" s="5" t="s">
        <v>58</v>
      </c>
      <c r="T64" s="5" t="s">
        <v>58</v>
      </c>
      <c r="U64" s="5" t="s">
        <v>58</v>
      </c>
      <c r="V64" s="5" t="s">
        <v>58</v>
      </c>
      <c r="W64" s="5" t="s">
        <v>58</v>
      </c>
      <c r="X64" s="5" t="s">
        <v>58</v>
      </c>
      <c r="Y64" s="5" t="s">
        <v>58</v>
      </c>
      <c r="Z64" s="5" t="s">
        <v>58</v>
      </c>
      <c r="AA64" s="5" t="s">
        <v>58</v>
      </c>
      <c r="AB64" s="5" t="s">
        <v>58</v>
      </c>
      <c r="AC64" s="5" t="s">
        <v>58</v>
      </c>
      <c r="AD64" s="5" t="s">
        <v>58</v>
      </c>
      <c r="AE64" s="5" t="s">
        <v>58</v>
      </c>
      <c r="AF64" s="5" t="s">
        <v>58</v>
      </c>
      <c r="AG64" s="5" t="s">
        <v>58</v>
      </c>
      <c r="AH64" s="78" t="s">
        <v>58</v>
      </c>
      <c r="AI64" s="153">
        <f>COUNTA(E64:AH64)</f>
        <v>30</v>
      </c>
      <c r="AJ64" s="54">
        <f>COUNTIF(E64:AH64,1)</f>
        <v>0</v>
      </c>
      <c r="AK64" s="54">
        <f>COUNTIF(E64:AH64,"тр")</f>
        <v>30</v>
      </c>
      <c r="AL64" s="55">
        <f>COUNTIF(E64:AH64,"бв")</f>
        <v>0</v>
      </c>
    </row>
    <row r="65" spans="1:38" ht="16.3" thickBot="1" x14ac:dyDescent="0.3">
      <c r="A65" s="44">
        <v>5</v>
      </c>
      <c r="B65" s="39" t="s">
        <v>0</v>
      </c>
      <c r="C65" s="40" t="s">
        <v>2</v>
      </c>
      <c r="D65" s="40">
        <v>1637</v>
      </c>
      <c r="E65" s="42"/>
      <c r="F65" s="42"/>
      <c r="G65" s="42"/>
      <c r="H65" s="42"/>
      <c r="I65" s="42"/>
      <c r="J65" s="42"/>
      <c r="K65" s="42"/>
      <c r="L65" s="42"/>
      <c r="M65" s="42" t="s">
        <v>58</v>
      </c>
      <c r="N65" s="42">
        <v>1</v>
      </c>
      <c r="O65" s="42">
        <v>1</v>
      </c>
      <c r="P65" s="42">
        <v>1</v>
      </c>
      <c r="Q65" s="42" t="s">
        <v>57</v>
      </c>
      <c r="R65" s="42" t="s">
        <v>57</v>
      </c>
      <c r="S65" s="42">
        <v>1</v>
      </c>
      <c r="T65" s="42">
        <v>1</v>
      </c>
      <c r="U65" s="42">
        <v>1</v>
      </c>
      <c r="V65" s="42">
        <v>1</v>
      </c>
      <c r="W65" s="42">
        <v>1</v>
      </c>
      <c r="X65" s="42" t="s">
        <v>57</v>
      </c>
      <c r="Y65" s="42" t="s">
        <v>57</v>
      </c>
      <c r="Z65" s="42">
        <v>1</v>
      </c>
      <c r="AA65" s="42" t="s">
        <v>58</v>
      </c>
      <c r="AB65" s="42">
        <v>1</v>
      </c>
      <c r="AC65" s="42" t="s">
        <v>58</v>
      </c>
      <c r="AD65" s="42" t="s">
        <v>58</v>
      </c>
      <c r="AE65" s="42" t="s">
        <v>57</v>
      </c>
      <c r="AF65" s="42" t="s">
        <v>57</v>
      </c>
      <c r="AG65" s="42">
        <v>1</v>
      </c>
      <c r="AH65" s="126">
        <v>1</v>
      </c>
      <c r="AI65" s="156">
        <f>COUNTA(E65:AH65)</f>
        <v>22</v>
      </c>
      <c r="AJ65" s="56">
        <f>COUNTIF(E65:AH65,1)</f>
        <v>12</v>
      </c>
      <c r="AK65" s="56">
        <f>COUNTIF(E65:AH65,"тр")</f>
        <v>4</v>
      </c>
      <c r="AL65" s="57">
        <f>COUNTIF(E65:AH65,"бв")</f>
        <v>6</v>
      </c>
    </row>
    <row r="66" spans="1:38" s="33" customFormat="1" ht="16.3" thickBot="1" x14ac:dyDescent="0.3">
      <c r="A66" s="63"/>
      <c r="B66" s="66" t="s">
        <v>63</v>
      </c>
      <c r="C66" s="64"/>
      <c r="D66" s="64"/>
      <c r="E66" s="65"/>
      <c r="F66" s="65"/>
      <c r="G66" s="65"/>
      <c r="H66" s="65"/>
      <c r="I66" s="65"/>
      <c r="J66" s="65"/>
      <c r="K66" s="65"/>
      <c r="L66" s="65"/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77">
        <f>SUM(AI61:AI65)</f>
        <v>142</v>
      </c>
      <c r="AJ66" s="69">
        <f t="shared" ref="AJ66:AL66" si="14">SUM(AJ61:AJ65)</f>
        <v>93</v>
      </c>
      <c r="AK66" s="69">
        <f t="shared" si="14"/>
        <v>35</v>
      </c>
      <c r="AL66" s="75">
        <f t="shared" si="14"/>
        <v>14</v>
      </c>
    </row>
    <row r="67" spans="1:38" s="33" customFormat="1" x14ac:dyDescent="0.25">
      <c r="A67" s="158"/>
      <c r="B67" s="49"/>
      <c r="C67" s="50"/>
      <c r="D67" s="50"/>
      <c r="Y67" s="51" t="s">
        <v>68</v>
      </c>
      <c r="AI67" s="76">
        <f>AI66</f>
        <v>142</v>
      </c>
    </row>
    <row r="69" spans="1:38" x14ac:dyDescent="0.25">
      <c r="B69" s="3" t="s">
        <v>75</v>
      </c>
      <c r="E69" s="88"/>
      <c r="F69" s="88"/>
      <c r="G69" s="88"/>
      <c r="H69" s="88"/>
      <c r="I69" s="88"/>
      <c r="J69" s="88"/>
      <c r="K69" s="88"/>
      <c r="L69" s="88"/>
      <c r="S69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6:AL66 E4:AH4 AI4:AI5 E25:AI31 E43:AI49 E51:AI51 E53:AI55 E33:AI35 E37:AI37 E39:AI41 E61:AI64 E6:AI23">
    <cfRule type="containsBlanks" dxfId="6" priority="2">
      <formula>LEN(TRIM(E4))=0</formula>
    </cfRule>
  </conditionalFormatting>
  <conditionalFormatting sqref="E65:AI65">
    <cfRule type="containsBlanks" dxfId="5" priority="1">
      <formula>LEN(TRIM(E65))=0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M70"/>
  <sheetViews>
    <sheetView zoomScale="90" zoomScaleNormal="90" workbookViewId="0">
      <pane xSplit="4" ySplit="3" topLeftCell="M4" activePane="bottomRight" state="frozen"/>
      <selection pane="topRight" activeCell="E1" sqref="E1"/>
      <selection pane="bottomLeft" activeCell="A4" sqref="A4"/>
      <selection pane="bottomRight" activeCell="AJ25" sqref="AJ25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Май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5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48">
        <v>30</v>
      </c>
      <c r="AI3" s="148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>
        <v>1</v>
      </c>
      <c r="K4" s="92">
        <v>1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>
        <v>1</v>
      </c>
      <c r="T4" s="92">
        <v>1</v>
      </c>
      <c r="U4" s="92">
        <v>1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>
        <v>1</v>
      </c>
      <c r="AD4" s="92">
        <v>1</v>
      </c>
      <c r="AE4" s="92" t="s">
        <v>57</v>
      </c>
      <c r="AF4" s="92">
        <v>1</v>
      </c>
      <c r="AG4" s="92">
        <v>1</v>
      </c>
      <c r="AH4" s="92">
        <v>1</v>
      </c>
      <c r="AI4" s="101">
        <v>1</v>
      </c>
      <c r="AJ4" s="152">
        <f t="shared" ref="AJ4:AJ21" si="0">COUNTA(E4:AI4)</f>
        <v>31</v>
      </c>
      <c r="AK4" s="80">
        <f t="shared" ref="AK4:AK21" si="1">COUNTIF(E4:AI4,1)</f>
        <v>29</v>
      </c>
      <c r="AL4" s="80">
        <f t="shared" ref="AL4:AL21" si="2">COUNTIF(E4:AI4,"тр")</f>
        <v>0</v>
      </c>
      <c r="AM4" s="81">
        <f t="shared" ref="AM4:AM21" si="3">COUNTIF(E4:AI4,"бв")</f>
        <v>2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>
        <v>1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57</v>
      </c>
      <c r="Q5" s="5" t="s">
        <v>57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 t="s">
        <v>58</v>
      </c>
      <c r="Y5" s="5" t="s">
        <v>58</v>
      </c>
      <c r="Z5" s="5" t="s">
        <v>58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5">
        <v>1</v>
      </c>
      <c r="AI5" s="78">
        <v>1</v>
      </c>
      <c r="AJ5" s="153">
        <f t="shared" si="0"/>
        <v>31</v>
      </c>
      <c r="AK5" s="54">
        <f t="shared" si="1"/>
        <v>26</v>
      </c>
      <c r="AL5" s="54">
        <f t="shared" si="2"/>
        <v>3</v>
      </c>
      <c r="AM5" s="55">
        <f t="shared" si="3"/>
        <v>2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 t="s">
        <v>58</v>
      </c>
      <c r="H6" s="5" t="s">
        <v>58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 t="s">
        <v>58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 t="s">
        <v>58</v>
      </c>
      <c r="AB6" s="5">
        <v>1</v>
      </c>
      <c r="AC6" s="5">
        <v>1</v>
      </c>
      <c r="AD6" s="5" t="s">
        <v>58</v>
      </c>
      <c r="AE6" s="5">
        <v>1</v>
      </c>
      <c r="AF6" s="5">
        <v>1</v>
      </c>
      <c r="AG6" s="5">
        <v>1</v>
      </c>
      <c r="AH6" s="5" t="s">
        <v>58</v>
      </c>
      <c r="AI6" s="78" t="s">
        <v>58</v>
      </c>
      <c r="AJ6" s="153">
        <f t="shared" si="0"/>
        <v>31</v>
      </c>
      <c r="AK6" s="54">
        <f t="shared" si="1"/>
        <v>24</v>
      </c>
      <c r="AL6" s="54">
        <f t="shared" si="2"/>
        <v>7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 t="s">
        <v>58</v>
      </c>
      <c r="G7" s="5" t="s">
        <v>58</v>
      </c>
      <c r="H7" s="5" t="s">
        <v>58</v>
      </c>
      <c r="I7" s="5">
        <v>1</v>
      </c>
      <c r="J7" s="5">
        <v>1</v>
      </c>
      <c r="K7" s="5">
        <v>1</v>
      </c>
      <c r="L7" s="5">
        <v>1</v>
      </c>
      <c r="M7" s="5">
        <v>1</v>
      </c>
      <c r="N7" s="5">
        <v>1</v>
      </c>
      <c r="O7" s="5">
        <v>1</v>
      </c>
      <c r="P7" s="5" t="s">
        <v>57</v>
      </c>
      <c r="Q7" s="5" t="s">
        <v>57</v>
      </c>
      <c r="R7" s="5">
        <v>1</v>
      </c>
      <c r="S7" s="5" t="s">
        <v>58</v>
      </c>
      <c r="T7" s="5" t="s">
        <v>58</v>
      </c>
      <c r="U7" s="5" t="s">
        <v>58</v>
      </c>
      <c r="V7" s="5">
        <v>1</v>
      </c>
      <c r="W7" s="5">
        <v>1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>
        <v>1</v>
      </c>
      <c r="AE7" s="5">
        <v>1</v>
      </c>
      <c r="AF7" s="5">
        <v>1</v>
      </c>
      <c r="AG7" s="5">
        <v>1</v>
      </c>
      <c r="AH7" s="5">
        <v>1</v>
      </c>
      <c r="AI7" s="78">
        <v>1</v>
      </c>
      <c r="AJ7" s="153">
        <f t="shared" si="0"/>
        <v>31</v>
      </c>
      <c r="AK7" s="54">
        <f t="shared" si="1"/>
        <v>23</v>
      </c>
      <c r="AL7" s="54">
        <f t="shared" si="2"/>
        <v>6</v>
      </c>
      <c r="AM7" s="55">
        <f t="shared" si="3"/>
        <v>2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>
        <v>1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>
        <v>1</v>
      </c>
      <c r="U8" s="5">
        <v>1</v>
      </c>
      <c r="V8" s="5" t="s">
        <v>57</v>
      </c>
      <c r="W8" s="5" t="s">
        <v>57</v>
      </c>
      <c r="X8" s="5">
        <v>1</v>
      </c>
      <c r="Y8" s="5" t="s">
        <v>57</v>
      </c>
      <c r="Z8" s="5">
        <v>1</v>
      </c>
      <c r="AA8" s="5">
        <v>1</v>
      </c>
      <c r="AB8" s="5">
        <v>1</v>
      </c>
      <c r="AC8" s="5" t="s">
        <v>57</v>
      </c>
      <c r="AD8" s="5" t="s">
        <v>57</v>
      </c>
      <c r="AE8" s="5">
        <v>1</v>
      </c>
      <c r="AF8" s="5">
        <v>1</v>
      </c>
      <c r="AG8" s="5">
        <v>1</v>
      </c>
      <c r="AH8" s="5">
        <v>1</v>
      </c>
      <c r="AI8" s="78">
        <v>1</v>
      </c>
      <c r="AJ8" s="153">
        <f t="shared" si="0"/>
        <v>31</v>
      </c>
      <c r="AK8" s="54">
        <f t="shared" si="1"/>
        <v>24</v>
      </c>
      <c r="AL8" s="54">
        <f t="shared" si="2"/>
        <v>0</v>
      </c>
      <c r="AM8" s="55">
        <f t="shared" si="3"/>
        <v>7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 t="s">
        <v>58</v>
      </c>
      <c r="F9" s="5" t="s">
        <v>58</v>
      </c>
      <c r="G9" s="5" t="s">
        <v>58</v>
      </c>
      <c r="H9" s="5" t="s">
        <v>58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 t="s">
        <v>58</v>
      </c>
      <c r="Y9" s="5">
        <v>1</v>
      </c>
      <c r="Z9" s="5">
        <v>1</v>
      </c>
      <c r="AA9" s="5">
        <v>1</v>
      </c>
      <c r="AB9" s="5" t="s">
        <v>57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 t="s">
        <v>57</v>
      </c>
      <c r="AJ9" s="153">
        <f t="shared" si="0"/>
        <v>31</v>
      </c>
      <c r="AK9" s="54">
        <f t="shared" si="1"/>
        <v>24</v>
      </c>
      <c r="AL9" s="54">
        <f t="shared" si="2"/>
        <v>5</v>
      </c>
      <c r="AM9" s="55">
        <f t="shared" si="3"/>
        <v>2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 t="s">
        <v>57</v>
      </c>
      <c r="AD10" s="5">
        <v>1</v>
      </c>
      <c r="AE10" s="5">
        <v>1</v>
      </c>
      <c r="AF10" s="5">
        <v>1</v>
      </c>
      <c r="AG10" s="5">
        <v>1</v>
      </c>
      <c r="AH10" s="5">
        <v>1</v>
      </c>
      <c r="AI10" s="78">
        <v>1</v>
      </c>
      <c r="AJ10" s="153">
        <f t="shared" si="0"/>
        <v>31</v>
      </c>
      <c r="AK10" s="54">
        <f t="shared" si="1"/>
        <v>21</v>
      </c>
      <c r="AL10" s="54">
        <f t="shared" si="2"/>
        <v>9</v>
      </c>
      <c r="AM10" s="55">
        <f t="shared" si="3"/>
        <v>1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 t="s">
        <v>58</v>
      </c>
      <c r="I11" s="5" t="s">
        <v>58</v>
      </c>
      <c r="J11" s="5" t="s">
        <v>58</v>
      </c>
      <c r="K11" s="5" t="s">
        <v>58</v>
      </c>
      <c r="L11" s="5" t="s">
        <v>58</v>
      </c>
      <c r="M11" s="5" t="s">
        <v>58</v>
      </c>
      <c r="N11" s="5" t="s">
        <v>58</v>
      </c>
      <c r="O11" s="5" t="s">
        <v>58</v>
      </c>
      <c r="P11" s="5">
        <v>1</v>
      </c>
      <c r="Q11" s="5" t="s">
        <v>58</v>
      </c>
      <c r="R11" s="5" t="s">
        <v>58</v>
      </c>
      <c r="S11" s="5" t="s">
        <v>58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0"/>
        <v>31</v>
      </c>
      <c r="AK11" s="54">
        <f t="shared" si="1"/>
        <v>20</v>
      </c>
      <c r="AL11" s="54">
        <f t="shared" si="2"/>
        <v>11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>
        <v>1</v>
      </c>
      <c r="H12" s="5">
        <v>1</v>
      </c>
      <c r="I12" s="5" t="s">
        <v>58</v>
      </c>
      <c r="J12" s="5" t="s">
        <v>58</v>
      </c>
      <c r="K12" s="5" t="s">
        <v>58</v>
      </c>
      <c r="L12" s="5" t="s">
        <v>58</v>
      </c>
      <c r="M12" s="5" t="s">
        <v>58</v>
      </c>
      <c r="N12" s="5" t="s">
        <v>58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>
        <v>1</v>
      </c>
      <c r="U12" s="5">
        <v>1</v>
      </c>
      <c r="V12" s="5" t="s">
        <v>58</v>
      </c>
      <c r="W12" s="5" t="s">
        <v>58</v>
      </c>
      <c r="X12" s="5" t="s">
        <v>58</v>
      </c>
      <c r="Y12" s="5" t="s">
        <v>58</v>
      </c>
      <c r="Z12" s="5" t="s">
        <v>58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>
        <v>1</v>
      </c>
      <c r="AI12" s="78">
        <v>1</v>
      </c>
      <c r="AJ12" s="153">
        <f t="shared" si="0"/>
        <v>31</v>
      </c>
      <c r="AK12" s="54">
        <f t="shared" si="1"/>
        <v>20</v>
      </c>
      <c r="AL12" s="54">
        <f t="shared" si="2"/>
        <v>11</v>
      </c>
      <c r="AM12" s="55">
        <f t="shared" si="3"/>
        <v>0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 t="s">
        <v>58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5">
        <v>1</v>
      </c>
      <c r="AI13" s="78">
        <v>1</v>
      </c>
      <c r="AJ13" s="153">
        <f t="shared" si="0"/>
        <v>31</v>
      </c>
      <c r="AK13" s="54">
        <f t="shared" si="1"/>
        <v>30</v>
      </c>
      <c r="AL13" s="54">
        <f t="shared" si="2"/>
        <v>1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0"/>
        <v>31</v>
      </c>
      <c r="AK14" s="54">
        <f t="shared" si="1"/>
        <v>31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 t="s">
        <v>57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 t="s">
        <v>57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0"/>
        <v>31</v>
      </c>
      <c r="AK15" s="54">
        <f t="shared" si="1"/>
        <v>29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 t="s">
        <v>58</v>
      </c>
      <c r="AD16" s="5">
        <v>1</v>
      </c>
      <c r="AE16" s="5" t="s">
        <v>58</v>
      </c>
      <c r="AF16" s="5" t="s">
        <v>58</v>
      </c>
      <c r="AG16" s="5">
        <v>1</v>
      </c>
      <c r="AH16" s="5">
        <v>1</v>
      </c>
      <c r="AI16" s="78">
        <v>1</v>
      </c>
      <c r="AJ16" s="153">
        <f t="shared" si="0"/>
        <v>31</v>
      </c>
      <c r="AK16" s="54">
        <f t="shared" si="1"/>
        <v>28</v>
      </c>
      <c r="AL16" s="54">
        <f t="shared" si="2"/>
        <v>3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 t="s">
        <v>58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0"/>
        <v>31</v>
      </c>
      <c r="AK17" s="54">
        <f t="shared" si="1"/>
        <v>30</v>
      </c>
      <c r="AL17" s="54">
        <f t="shared" si="2"/>
        <v>1</v>
      </c>
      <c r="AM17" s="55">
        <f t="shared" si="3"/>
        <v>0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 t="s">
        <v>57</v>
      </c>
      <c r="J18" s="5" t="s">
        <v>57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 t="s">
        <v>57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 t="s">
        <v>57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 t="s">
        <v>57</v>
      </c>
      <c r="AD18" s="5" t="s">
        <v>57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0"/>
        <v>31</v>
      </c>
      <c r="AK18" s="54">
        <f t="shared" si="1"/>
        <v>24</v>
      </c>
      <c r="AL18" s="54">
        <f t="shared" si="2"/>
        <v>0</v>
      </c>
      <c r="AM18" s="55">
        <f t="shared" si="3"/>
        <v>7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>
        <v>1</v>
      </c>
      <c r="S19" s="5">
        <v>1</v>
      </c>
      <c r="T19" s="5">
        <v>1</v>
      </c>
      <c r="U19" s="5">
        <v>1</v>
      </c>
      <c r="V19" s="5" t="s">
        <v>57</v>
      </c>
      <c r="W19" s="5">
        <v>1</v>
      </c>
      <c r="X19" s="5">
        <v>1</v>
      </c>
      <c r="Y19" s="5">
        <v>1</v>
      </c>
      <c r="Z19" s="5">
        <v>1</v>
      </c>
      <c r="AA19" s="5" t="s">
        <v>57</v>
      </c>
      <c r="AB19" s="5">
        <v>1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>
        <v>1</v>
      </c>
      <c r="AJ19" s="153">
        <f t="shared" si="0"/>
        <v>31</v>
      </c>
      <c r="AK19" s="54">
        <f t="shared" si="1"/>
        <v>16</v>
      </c>
      <c r="AL19" s="54">
        <f t="shared" si="2"/>
        <v>13</v>
      </c>
      <c r="AM19" s="55">
        <f t="shared" si="3"/>
        <v>2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 t="s">
        <v>58</v>
      </c>
      <c r="U20" s="5" t="s">
        <v>58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 t="s">
        <v>57</v>
      </c>
      <c r="AD20" s="5">
        <v>1</v>
      </c>
      <c r="AE20" s="5">
        <v>1</v>
      </c>
      <c r="AF20" s="5" t="s">
        <v>57</v>
      </c>
      <c r="AG20" s="5">
        <v>1</v>
      </c>
      <c r="AH20" s="5">
        <v>1</v>
      </c>
      <c r="AI20" s="78">
        <v>1</v>
      </c>
      <c r="AJ20" s="153">
        <f t="shared" si="0"/>
        <v>31</v>
      </c>
      <c r="AK20" s="54">
        <f t="shared" si="1"/>
        <v>27</v>
      </c>
      <c r="AL20" s="54">
        <f t="shared" si="2"/>
        <v>2</v>
      </c>
      <c r="AM20" s="55">
        <f t="shared" si="3"/>
        <v>2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>
        <v>1</v>
      </c>
      <c r="Y21" s="5" t="s">
        <v>58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0"/>
        <v>31</v>
      </c>
      <c r="AK21" s="54">
        <f t="shared" si="1"/>
        <v>24</v>
      </c>
      <c r="AL21" s="54">
        <f t="shared" si="2"/>
        <v>7</v>
      </c>
      <c r="AM21" s="55">
        <f t="shared" si="3"/>
        <v>0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 t="s">
        <v>57</v>
      </c>
      <c r="AF22" s="42" t="s">
        <v>57</v>
      </c>
      <c r="AG22" s="42" t="s">
        <v>57</v>
      </c>
      <c r="AH22" s="42">
        <v>1</v>
      </c>
      <c r="AI22" s="126">
        <v>1</v>
      </c>
      <c r="AJ22" s="153">
        <f t="shared" ref="AJ22:AJ23" si="5">COUNTA(E22:AI22)</f>
        <v>5</v>
      </c>
      <c r="AK22" s="54">
        <f t="shared" ref="AK22:AK23" si="6">COUNTIF(E22:AI22,1)</f>
        <v>2</v>
      </c>
      <c r="AL22" s="54">
        <f t="shared" ref="AL22:AL23" si="7">COUNTIF(E22:AI22,"тр")</f>
        <v>0</v>
      </c>
      <c r="AM22" s="55">
        <f t="shared" ref="AM22:AM23" si="8">COUNTIF(E22:AI22,"бв")</f>
        <v>3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 t="s">
        <v>57</v>
      </c>
      <c r="AF23" s="5" t="s">
        <v>57</v>
      </c>
      <c r="AG23" s="5" t="s">
        <v>57</v>
      </c>
      <c r="AH23" s="5" t="s">
        <v>57</v>
      </c>
      <c r="AI23" s="78" t="s">
        <v>57</v>
      </c>
      <c r="AJ23" s="153">
        <f t="shared" si="5"/>
        <v>5</v>
      </c>
      <c r="AK23" s="54">
        <f t="shared" si="6"/>
        <v>0</v>
      </c>
      <c r="AL23" s="54">
        <f t="shared" si="7"/>
        <v>0</v>
      </c>
      <c r="AM23" s="55">
        <f t="shared" si="8"/>
        <v>5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43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126" t="s">
        <v>57</v>
      </c>
      <c r="AJ24" s="154">
        <f t="shared" ref="AJ24" si="9">COUNTA(E24:AI24)</f>
        <v>1</v>
      </c>
      <c r="AK24" s="84">
        <f t="shared" ref="AK24" si="10">COUNTIF(E24:AI24,1)</f>
        <v>0</v>
      </c>
      <c r="AL24" s="84">
        <f t="shared" ref="AL24" si="11">COUNTIF(E24:AI24,"тр")</f>
        <v>0</v>
      </c>
      <c r="AM24" s="85">
        <f t="shared" ref="AM24" si="12">COUNTIF(E24:AI24,"бв")</f>
        <v>1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569</v>
      </c>
      <c r="AK25" s="69">
        <f t="shared" ref="AK25:AM25" si="13">SUM(AK4:AK24)</f>
        <v>452</v>
      </c>
      <c r="AL25" s="69">
        <f t="shared" si="13"/>
        <v>79</v>
      </c>
      <c r="AM25" s="75">
        <f t="shared" si="13"/>
        <v>38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 t="s">
        <v>58</v>
      </c>
      <c r="F26" s="35" t="s">
        <v>58</v>
      </c>
      <c r="G26" s="35" t="s">
        <v>58</v>
      </c>
      <c r="H26" s="35" t="s">
        <v>58</v>
      </c>
      <c r="I26" s="35" t="s">
        <v>58</v>
      </c>
      <c r="J26" s="35" t="s">
        <v>58</v>
      </c>
      <c r="K26" s="35" t="s">
        <v>58</v>
      </c>
      <c r="L26" s="35" t="s">
        <v>58</v>
      </c>
      <c r="M26" s="35" t="s">
        <v>58</v>
      </c>
      <c r="N26" s="35" t="s">
        <v>58</v>
      </c>
      <c r="O26" s="35" t="s">
        <v>58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>
        <v>1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>
        <v>1</v>
      </c>
      <c r="AF26" s="35" t="s">
        <v>57</v>
      </c>
      <c r="AG26" s="35" t="s">
        <v>57</v>
      </c>
      <c r="AH26" s="35" t="s">
        <v>58</v>
      </c>
      <c r="AI26" s="35">
        <v>1</v>
      </c>
      <c r="AJ26" s="152">
        <f t="shared" ref="AJ26:AJ32" si="14">COUNTA(E26:AI26)</f>
        <v>31</v>
      </c>
      <c r="AK26" s="80">
        <f t="shared" ref="AK26:AK32" si="15">COUNTIF(E26:AI26,1)</f>
        <v>17</v>
      </c>
      <c r="AL26" s="80">
        <f t="shared" ref="AL26:AL32" si="16">COUNTIF(E26:AI26,"тр")</f>
        <v>12</v>
      </c>
      <c r="AM26" s="81">
        <f t="shared" ref="AM26:AM32" si="17">COUNTIF(E26:AI26,"бв")</f>
        <v>2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>
        <v>1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 s="5">
        <v>1</v>
      </c>
      <c r="M27" s="5">
        <v>1</v>
      </c>
      <c r="N27" s="5" t="s">
        <v>58</v>
      </c>
      <c r="O27" s="5">
        <v>1</v>
      </c>
      <c r="P27" s="5" t="s">
        <v>57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57</v>
      </c>
      <c r="AE27" s="5" t="s">
        <v>58</v>
      </c>
      <c r="AF27" s="5">
        <v>1</v>
      </c>
      <c r="AG27" s="5">
        <v>1</v>
      </c>
      <c r="AH27" s="5" t="s">
        <v>58</v>
      </c>
      <c r="AI27" s="5" t="s">
        <v>58</v>
      </c>
      <c r="AJ27" s="153">
        <f t="shared" si="14"/>
        <v>31</v>
      </c>
      <c r="AK27" s="54">
        <f t="shared" si="15"/>
        <v>12</v>
      </c>
      <c r="AL27" s="54">
        <f t="shared" si="16"/>
        <v>17</v>
      </c>
      <c r="AM27" s="55">
        <f t="shared" si="17"/>
        <v>2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 t="s">
        <v>58</v>
      </c>
      <c r="I28" s="5" t="s">
        <v>57</v>
      </c>
      <c r="J28" s="5">
        <v>1</v>
      </c>
      <c r="K28" s="5">
        <v>1</v>
      </c>
      <c r="L28" s="5">
        <v>1</v>
      </c>
      <c r="M28" s="5">
        <v>1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>
        <v>1</v>
      </c>
      <c r="Y28" s="5">
        <v>1</v>
      </c>
      <c r="Z28" s="5" t="s">
        <v>58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5">
        <v>1</v>
      </c>
      <c r="AJ28" s="153">
        <f t="shared" si="14"/>
        <v>31</v>
      </c>
      <c r="AK28" s="54">
        <f t="shared" si="15"/>
        <v>28</v>
      </c>
      <c r="AL28" s="54">
        <f t="shared" si="16"/>
        <v>2</v>
      </c>
      <c r="AM28" s="55">
        <f t="shared" si="17"/>
        <v>1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5" t="s">
        <v>58</v>
      </c>
      <c r="AJ29" s="153">
        <f t="shared" si="14"/>
        <v>31</v>
      </c>
      <c r="AK29" s="54">
        <f t="shared" si="15"/>
        <v>0</v>
      </c>
      <c r="AL29" s="54">
        <f t="shared" si="16"/>
        <v>31</v>
      </c>
      <c r="AM29" s="55">
        <f t="shared" si="17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 t="s">
        <v>57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 t="s">
        <v>57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>
        <v>1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 t="s">
        <v>57</v>
      </c>
      <c r="AE30" s="5" t="s">
        <v>57</v>
      </c>
      <c r="AF30" s="5">
        <v>1</v>
      </c>
      <c r="AG30" s="5">
        <v>1</v>
      </c>
      <c r="AH30" s="5">
        <v>1</v>
      </c>
      <c r="AI30" s="5">
        <v>1</v>
      </c>
      <c r="AJ30" s="153">
        <f t="shared" si="14"/>
        <v>31</v>
      </c>
      <c r="AK30" s="54">
        <f t="shared" si="15"/>
        <v>24</v>
      </c>
      <c r="AL30" s="54">
        <f t="shared" si="16"/>
        <v>0</v>
      </c>
      <c r="AM30" s="55">
        <f t="shared" si="17"/>
        <v>7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 t="s">
        <v>58</v>
      </c>
      <c r="H31" s="5" t="s">
        <v>58</v>
      </c>
      <c r="I31" s="5" t="s">
        <v>58</v>
      </c>
      <c r="J31" s="5" t="s">
        <v>58</v>
      </c>
      <c r="K31" s="5" t="s">
        <v>58</v>
      </c>
      <c r="L31" s="5" t="s">
        <v>58</v>
      </c>
      <c r="M31" s="5" t="s">
        <v>58</v>
      </c>
      <c r="N31" s="5" t="s">
        <v>58</v>
      </c>
      <c r="O31" s="5" t="s">
        <v>58</v>
      </c>
      <c r="P31" s="5" t="s">
        <v>58</v>
      </c>
      <c r="Q31" s="5" t="s">
        <v>58</v>
      </c>
      <c r="R31" s="5" t="s">
        <v>58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 t="s">
        <v>58</v>
      </c>
      <c r="AI31" s="5">
        <v>1</v>
      </c>
      <c r="AJ31" s="153">
        <f t="shared" si="14"/>
        <v>31</v>
      </c>
      <c r="AK31" s="54">
        <f t="shared" si="15"/>
        <v>18</v>
      </c>
      <c r="AL31" s="54">
        <f t="shared" si="16"/>
        <v>13</v>
      </c>
      <c r="AM31" s="55">
        <f t="shared" si="17"/>
        <v>0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57</v>
      </c>
      <c r="F32" s="42" t="s">
        <v>57</v>
      </c>
      <c r="G32" s="42" t="s">
        <v>57</v>
      </c>
      <c r="H32" s="42" t="s">
        <v>57</v>
      </c>
      <c r="I32" s="42" t="s">
        <v>57</v>
      </c>
      <c r="J32" s="42" t="s">
        <v>57</v>
      </c>
      <c r="K32" s="42" t="s">
        <v>57</v>
      </c>
      <c r="L32" s="42" t="s">
        <v>57</v>
      </c>
      <c r="M32" s="42" t="s">
        <v>57</v>
      </c>
      <c r="N32" s="42" t="s">
        <v>57</v>
      </c>
      <c r="O32" s="42" t="s">
        <v>57</v>
      </c>
      <c r="P32" s="42" t="s">
        <v>57</v>
      </c>
      <c r="Q32" s="42" t="s">
        <v>57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 t="s">
        <v>58</v>
      </c>
      <c r="Y32" s="42" t="s">
        <v>58</v>
      </c>
      <c r="Z32" s="42" t="s">
        <v>58</v>
      </c>
      <c r="AA32" s="42" t="s">
        <v>58</v>
      </c>
      <c r="AB32" s="42" t="s">
        <v>58</v>
      </c>
      <c r="AC32" s="42" t="s">
        <v>58</v>
      </c>
      <c r="AD32" s="42" t="s">
        <v>58</v>
      </c>
      <c r="AE32" s="42">
        <v>1</v>
      </c>
      <c r="AF32" s="42" t="s">
        <v>58</v>
      </c>
      <c r="AG32" s="42" t="s">
        <v>58</v>
      </c>
      <c r="AH32" s="42" t="s">
        <v>58</v>
      </c>
      <c r="AI32" s="42" t="s">
        <v>58</v>
      </c>
      <c r="AJ32" s="154">
        <f t="shared" si="14"/>
        <v>31</v>
      </c>
      <c r="AK32" s="84">
        <f t="shared" si="15"/>
        <v>7</v>
      </c>
      <c r="AL32" s="84">
        <f t="shared" si="16"/>
        <v>11</v>
      </c>
      <c r="AM32" s="85">
        <f t="shared" si="17"/>
        <v>13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217</v>
      </c>
      <c r="AK33" s="135">
        <f>SUM(AK26:AK32)</f>
        <v>106</v>
      </c>
      <c r="AL33" s="135">
        <f>SUM(AL26:AL32)</f>
        <v>86</v>
      </c>
      <c r="AM33" s="136">
        <f>SUM(AM26:AM32)</f>
        <v>25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>
        <v>1</v>
      </c>
      <c r="F34" s="35">
        <v>1</v>
      </c>
      <c r="G34" s="35">
        <v>1</v>
      </c>
      <c r="H34" s="35">
        <v>1</v>
      </c>
      <c r="I34" s="35">
        <v>1</v>
      </c>
      <c r="J34" s="35">
        <v>1</v>
      </c>
      <c r="K34" s="35" t="s">
        <v>57</v>
      </c>
      <c r="L34" s="35" t="s">
        <v>57</v>
      </c>
      <c r="M34" s="35" t="s">
        <v>57</v>
      </c>
      <c r="N34" s="35">
        <v>1</v>
      </c>
      <c r="O34" s="35">
        <v>1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35" t="s">
        <v>57</v>
      </c>
      <c r="AJ34" s="155">
        <f>COUNTA(E34:AI34)</f>
        <v>31</v>
      </c>
      <c r="AK34" s="17">
        <f>COUNTIF(E34:AI34,1)</f>
        <v>8</v>
      </c>
      <c r="AL34" s="17">
        <f>COUNTIF(E34:AI34,"тр")</f>
        <v>0</v>
      </c>
      <c r="AM34" s="18">
        <f>COUNTIF(E34:AI34,"бв")</f>
        <v>23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>
        <v>1</v>
      </c>
      <c r="J35" s="5" t="s">
        <v>57</v>
      </c>
      <c r="K35" s="5">
        <v>1</v>
      </c>
      <c r="L35" s="5">
        <v>1</v>
      </c>
      <c r="M35" s="5">
        <v>1</v>
      </c>
      <c r="N35" s="5">
        <v>1</v>
      </c>
      <c r="O35" s="5">
        <v>1</v>
      </c>
      <c r="P35" s="5">
        <v>1</v>
      </c>
      <c r="Q35" s="5">
        <v>1</v>
      </c>
      <c r="R35" s="5" t="s">
        <v>57</v>
      </c>
      <c r="S35" s="5" t="s">
        <v>57</v>
      </c>
      <c r="T35" s="5">
        <v>1</v>
      </c>
      <c r="U35" s="5">
        <v>1</v>
      </c>
      <c r="V35" s="5">
        <v>1</v>
      </c>
      <c r="W35" s="5">
        <v>1</v>
      </c>
      <c r="X35" s="5">
        <v>1</v>
      </c>
      <c r="Y35" s="5">
        <v>1</v>
      </c>
      <c r="Z35" s="5" t="s">
        <v>57</v>
      </c>
      <c r="AA35" s="5" t="s">
        <v>57</v>
      </c>
      <c r="AB35" s="5">
        <v>1</v>
      </c>
      <c r="AC35" s="5">
        <v>1</v>
      </c>
      <c r="AD35" s="5">
        <v>1</v>
      </c>
      <c r="AE35" s="5">
        <v>1</v>
      </c>
      <c r="AF35" s="5" t="s">
        <v>57</v>
      </c>
      <c r="AG35" s="5" t="s">
        <v>57</v>
      </c>
      <c r="AH35" s="5" t="s">
        <v>57</v>
      </c>
      <c r="AI35" s="5" t="s">
        <v>57</v>
      </c>
      <c r="AJ35" s="155">
        <f>COUNTA(E35:AI35)</f>
        <v>31</v>
      </c>
      <c r="AK35" s="54">
        <f>COUNTIF(E35:AI35,1)</f>
        <v>22</v>
      </c>
      <c r="AL35" s="54">
        <f>COUNTIF(E35:AI35,"тр")</f>
        <v>0</v>
      </c>
      <c r="AM35" s="55">
        <f>COUNTIF(E35:AI35,"бв")</f>
        <v>9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42" t="s">
        <v>58</v>
      </c>
      <c r="AJ36" s="155">
        <f>COUNTA(E36:AI36)</f>
        <v>31</v>
      </c>
      <c r="AK36" s="56">
        <f>COUNTIF(E36:AI36,1)</f>
        <v>0</v>
      </c>
      <c r="AL36" s="56">
        <f>COUNTIF(E36:AI36,"тр")</f>
        <v>31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93</v>
      </c>
      <c r="AK37" s="69">
        <f>SUM(AK34:AK36)</f>
        <v>30</v>
      </c>
      <c r="AL37" s="69">
        <f>SUM(AL34:AL36)</f>
        <v>31</v>
      </c>
      <c r="AM37" s="75">
        <f>SUM(AM34:AM36)</f>
        <v>32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62" t="s">
        <v>58</v>
      </c>
      <c r="AJ38" s="155">
        <f>COUNTA(E38:AI38)</f>
        <v>31</v>
      </c>
      <c r="AK38" s="19">
        <f>COUNTIF(E38:AI38,1)</f>
        <v>0</v>
      </c>
      <c r="AL38" s="19">
        <f>COUNTIF(E38:AI38,"тр")</f>
        <v>31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31</v>
      </c>
      <c r="AK39" s="69">
        <f>SUM(AK38)</f>
        <v>0</v>
      </c>
      <c r="AL39" s="69">
        <f>SUM(AL38)</f>
        <v>31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 t="s">
        <v>57</v>
      </c>
      <c r="K40" s="35" t="s">
        <v>57</v>
      </c>
      <c r="L40" s="35">
        <v>1</v>
      </c>
      <c r="M40" s="35">
        <v>1</v>
      </c>
      <c r="N40" s="35">
        <v>1</v>
      </c>
      <c r="O40" s="35">
        <v>1</v>
      </c>
      <c r="P40" s="35">
        <v>1</v>
      </c>
      <c r="Q40" s="35">
        <v>1</v>
      </c>
      <c r="R40" s="35">
        <v>1</v>
      </c>
      <c r="S40" s="35" t="s">
        <v>57</v>
      </c>
      <c r="T40" s="35" t="s">
        <v>57</v>
      </c>
      <c r="U40" s="35">
        <v>1</v>
      </c>
      <c r="V40" s="35">
        <v>1</v>
      </c>
      <c r="W40" s="35">
        <v>1</v>
      </c>
      <c r="X40" s="35">
        <v>1</v>
      </c>
      <c r="Y40" s="35">
        <v>1</v>
      </c>
      <c r="Z40" s="35">
        <v>1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35">
        <v>1</v>
      </c>
      <c r="AJ40" s="155">
        <f>COUNTA(E40:AI40)</f>
        <v>31</v>
      </c>
      <c r="AK40" s="17">
        <f>COUNTIF(E40:AI40,1)</f>
        <v>18</v>
      </c>
      <c r="AL40" s="17">
        <f>COUNTIF(E40:AI40,"тр")</f>
        <v>8</v>
      </c>
      <c r="AM40" s="18">
        <f>COUNTIF(E40:AI40,"бв")</f>
        <v>5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 t="s">
        <v>58</v>
      </c>
      <c r="F41" s="7" t="s">
        <v>58</v>
      </c>
      <c r="G41" s="7" t="s">
        <v>58</v>
      </c>
      <c r="H41" s="5" t="s">
        <v>58</v>
      </c>
      <c r="I41" s="5">
        <v>1</v>
      </c>
      <c r="J41" s="5">
        <v>1</v>
      </c>
      <c r="K41" s="5">
        <v>1</v>
      </c>
      <c r="L41" s="5" t="s">
        <v>58</v>
      </c>
      <c r="M41" s="5" t="s">
        <v>58</v>
      </c>
      <c r="N41" s="5" t="s">
        <v>58</v>
      </c>
      <c r="O41" s="5" t="s">
        <v>58</v>
      </c>
      <c r="P41" s="5" t="s">
        <v>58</v>
      </c>
      <c r="Q41" s="5" t="s">
        <v>58</v>
      </c>
      <c r="R41" s="5" t="s">
        <v>58</v>
      </c>
      <c r="S41" s="5" t="s">
        <v>58</v>
      </c>
      <c r="T41" s="5" t="s">
        <v>58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 t="s">
        <v>57</v>
      </c>
      <c r="AC41" s="5" t="s">
        <v>57</v>
      </c>
      <c r="AD41" s="5" t="s">
        <v>57</v>
      </c>
      <c r="AE41" s="5">
        <v>1</v>
      </c>
      <c r="AF41" s="5">
        <v>1</v>
      </c>
      <c r="AG41" s="5">
        <v>1</v>
      </c>
      <c r="AH41" s="5">
        <v>1</v>
      </c>
      <c r="AI41" s="5">
        <v>1</v>
      </c>
      <c r="AJ41" s="155">
        <f>COUNTA(E41:AI41)</f>
        <v>31</v>
      </c>
      <c r="AK41" s="54">
        <f>COUNTIF(E41:AI41,1)</f>
        <v>15</v>
      </c>
      <c r="AL41" s="54">
        <f>COUNTIF(E41:AI41,"тр")</f>
        <v>13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57</v>
      </c>
      <c r="F42" s="43">
        <v>1</v>
      </c>
      <c r="G42" s="43">
        <v>1</v>
      </c>
      <c r="H42" s="42">
        <v>1</v>
      </c>
      <c r="I42" s="42">
        <v>1</v>
      </c>
      <c r="J42" s="42" t="s">
        <v>57</v>
      </c>
      <c r="K42" s="42">
        <v>1</v>
      </c>
      <c r="L42" s="42">
        <v>1</v>
      </c>
      <c r="M42" s="42">
        <v>1</v>
      </c>
      <c r="N42" s="42">
        <v>1</v>
      </c>
      <c r="O42" s="42">
        <v>1</v>
      </c>
      <c r="P42" s="42" t="s">
        <v>57</v>
      </c>
      <c r="Q42" s="42">
        <v>1</v>
      </c>
      <c r="R42" s="42">
        <v>1</v>
      </c>
      <c r="S42" s="42">
        <v>1</v>
      </c>
      <c r="T42" s="42">
        <v>1</v>
      </c>
      <c r="U42" s="42">
        <v>1</v>
      </c>
      <c r="V42" s="42" t="s">
        <v>57</v>
      </c>
      <c r="W42" s="42" t="s">
        <v>57</v>
      </c>
      <c r="X42" s="42">
        <v>1</v>
      </c>
      <c r="Y42" s="42" t="s">
        <v>57</v>
      </c>
      <c r="Z42" s="42">
        <v>1</v>
      </c>
      <c r="AA42" s="42">
        <v>1</v>
      </c>
      <c r="AB42" s="42">
        <v>1</v>
      </c>
      <c r="AC42" s="42">
        <v>1</v>
      </c>
      <c r="AD42" s="42">
        <v>1</v>
      </c>
      <c r="AE42" s="42">
        <v>1</v>
      </c>
      <c r="AF42" s="42" t="s">
        <v>57</v>
      </c>
      <c r="AG42" s="42" t="s">
        <v>57</v>
      </c>
      <c r="AH42" s="42">
        <v>1</v>
      </c>
      <c r="AI42" s="42">
        <v>1</v>
      </c>
      <c r="AJ42" s="155">
        <f>COUNTA(E42:AI42)</f>
        <v>31</v>
      </c>
      <c r="AK42" s="56">
        <f>COUNTIF(E42:AI42,1)</f>
        <v>23</v>
      </c>
      <c r="AL42" s="56">
        <f>COUNTIF(E42:AI42,"тр")</f>
        <v>0</v>
      </c>
      <c r="AM42" s="57">
        <f>COUNTIF(E42:AI42,"бв")</f>
        <v>8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93</v>
      </c>
      <c r="AK43" s="69">
        <f>SUM(AK40:AK42)</f>
        <v>56</v>
      </c>
      <c r="AL43" s="69">
        <f>SUM(AL40:AL42)</f>
        <v>21</v>
      </c>
      <c r="AM43" s="75">
        <f>SUM(AM40:AM42)</f>
        <v>16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35">
        <v>1</v>
      </c>
      <c r="AJ44" s="155">
        <f t="shared" ref="AJ44:AJ50" si="18">COUNTA(E44:AI44)</f>
        <v>31</v>
      </c>
      <c r="AK44" s="17">
        <f t="shared" ref="AK44:AK50" si="19">COUNTIF(E44:AI44,1)</f>
        <v>30</v>
      </c>
      <c r="AL44" s="17">
        <f t="shared" ref="AL44:AL50" si="20">COUNTIF(E44:AI44,"тр")</f>
        <v>1</v>
      </c>
      <c r="AM44" s="18">
        <f t="shared" ref="AM44:AM50" si="21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 t="s">
        <v>57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 t="s">
        <v>57</v>
      </c>
      <c r="AE45" s="5">
        <v>1</v>
      </c>
      <c r="AF45" s="5">
        <v>1</v>
      </c>
      <c r="AG45" s="5">
        <v>1</v>
      </c>
      <c r="AH45" s="5" t="s">
        <v>57</v>
      </c>
      <c r="AI45" s="5">
        <v>1</v>
      </c>
      <c r="AJ45" s="155">
        <f t="shared" si="18"/>
        <v>31</v>
      </c>
      <c r="AK45" s="54">
        <f t="shared" si="19"/>
        <v>27</v>
      </c>
      <c r="AL45" s="54">
        <f t="shared" si="20"/>
        <v>0</v>
      </c>
      <c r="AM45" s="55">
        <f t="shared" si="21"/>
        <v>4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 t="s">
        <v>58</v>
      </c>
      <c r="AH46" s="5">
        <v>1</v>
      </c>
      <c r="AI46" s="5">
        <v>1</v>
      </c>
      <c r="AJ46" s="155">
        <f t="shared" si="18"/>
        <v>31</v>
      </c>
      <c r="AK46" s="54">
        <f t="shared" si="19"/>
        <v>29</v>
      </c>
      <c r="AL46" s="54">
        <f t="shared" si="20"/>
        <v>1</v>
      </c>
      <c r="AM46" s="55">
        <f t="shared" si="21"/>
        <v>1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 t="s">
        <v>57</v>
      </c>
      <c r="J47" s="5">
        <v>1</v>
      </c>
      <c r="K47" s="5">
        <v>1</v>
      </c>
      <c r="L47" s="5" t="s">
        <v>57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 t="s">
        <v>57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 t="s">
        <v>57</v>
      </c>
      <c r="AD47" s="5">
        <v>1</v>
      </c>
      <c r="AE47" s="5">
        <v>1</v>
      </c>
      <c r="AF47" s="5">
        <v>1</v>
      </c>
      <c r="AG47" s="5">
        <v>1</v>
      </c>
      <c r="AH47" s="5">
        <v>1</v>
      </c>
      <c r="AI47" s="5">
        <v>1</v>
      </c>
      <c r="AJ47" s="155">
        <f t="shared" si="18"/>
        <v>31</v>
      </c>
      <c r="AK47" s="54">
        <f t="shared" si="19"/>
        <v>27</v>
      </c>
      <c r="AL47" s="54">
        <f t="shared" si="20"/>
        <v>0</v>
      </c>
      <c r="AM47" s="55">
        <f t="shared" si="21"/>
        <v>4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 t="s">
        <v>57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>
        <v>1</v>
      </c>
      <c r="AG48" s="5">
        <v>1</v>
      </c>
      <c r="AH48" s="5">
        <v>1</v>
      </c>
      <c r="AI48" s="5">
        <v>1</v>
      </c>
      <c r="AJ48" s="155">
        <f t="shared" si="18"/>
        <v>31</v>
      </c>
      <c r="AK48" s="54">
        <f t="shared" si="19"/>
        <v>29</v>
      </c>
      <c r="AL48" s="54">
        <f t="shared" si="20"/>
        <v>0</v>
      </c>
      <c r="AM48" s="55">
        <f t="shared" si="21"/>
        <v>2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 t="s">
        <v>58</v>
      </c>
      <c r="H49" s="5" t="s">
        <v>58</v>
      </c>
      <c r="I49" s="5" t="s">
        <v>58</v>
      </c>
      <c r="J49" s="5" t="s">
        <v>58</v>
      </c>
      <c r="K49" s="5" t="s">
        <v>58</v>
      </c>
      <c r="L49" s="5" t="s">
        <v>58</v>
      </c>
      <c r="M49" s="5" t="s">
        <v>58</v>
      </c>
      <c r="N49" s="5" t="s">
        <v>58</v>
      </c>
      <c r="O49" s="5" t="s">
        <v>58</v>
      </c>
      <c r="P49" s="5" t="s">
        <v>58</v>
      </c>
      <c r="Q49" s="5" t="s">
        <v>58</v>
      </c>
      <c r="R49" s="5" t="s">
        <v>58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 t="s">
        <v>58</v>
      </c>
      <c r="Y49" s="5" t="s">
        <v>58</v>
      </c>
      <c r="Z49" s="5" t="s">
        <v>58</v>
      </c>
      <c r="AA49" s="5">
        <v>1</v>
      </c>
      <c r="AB49" s="5">
        <v>1</v>
      </c>
      <c r="AC49" s="5">
        <v>1</v>
      </c>
      <c r="AD49" s="5" t="s">
        <v>57</v>
      </c>
      <c r="AE49" s="5" t="s">
        <v>57</v>
      </c>
      <c r="AF49" s="5" t="s">
        <v>57</v>
      </c>
      <c r="AG49" s="5">
        <v>1</v>
      </c>
      <c r="AH49" s="5">
        <v>1</v>
      </c>
      <c r="AI49" s="5" t="s">
        <v>58</v>
      </c>
      <c r="AJ49" s="155">
        <f t="shared" si="18"/>
        <v>31</v>
      </c>
      <c r="AK49" s="54">
        <f t="shared" si="19"/>
        <v>5</v>
      </c>
      <c r="AL49" s="54">
        <f t="shared" si="20"/>
        <v>23</v>
      </c>
      <c r="AM49" s="55">
        <f t="shared" si="21"/>
        <v>3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>
        <v>1</v>
      </c>
      <c r="H50" s="42">
        <v>1</v>
      </c>
      <c r="I50" s="42">
        <v>1</v>
      </c>
      <c r="J50" s="42">
        <v>1</v>
      </c>
      <c r="K50" s="42" t="s">
        <v>57</v>
      </c>
      <c r="L50" s="42">
        <v>1</v>
      </c>
      <c r="M50" s="42">
        <v>1</v>
      </c>
      <c r="N50" s="42">
        <v>1</v>
      </c>
      <c r="O50" s="42">
        <v>1</v>
      </c>
      <c r="P50" s="42">
        <v>1</v>
      </c>
      <c r="Q50" s="42">
        <v>1</v>
      </c>
      <c r="R50" s="42">
        <v>1</v>
      </c>
      <c r="S50" s="42">
        <v>1</v>
      </c>
      <c r="T50" s="42">
        <v>1</v>
      </c>
      <c r="U50" s="42">
        <v>1</v>
      </c>
      <c r="V50" s="42">
        <v>1</v>
      </c>
      <c r="W50" s="42" t="s">
        <v>58</v>
      </c>
      <c r="X50" s="42" t="s">
        <v>58</v>
      </c>
      <c r="Y50" s="42" t="s">
        <v>58</v>
      </c>
      <c r="Z50" s="42">
        <v>1</v>
      </c>
      <c r="AA50" s="42" t="s">
        <v>57</v>
      </c>
      <c r="AB50" s="42">
        <v>1</v>
      </c>
      <c r="AC50" s="42">
        <v>1</v>
      </c>
      <c r="AD50" s="42" t="s">
        <v>57</v>
      </c>
      <c r="AE50" s="42" t="s">
        <v>57</v>
      </c>
      <c r="AF50" s="42" t="s">
        <v>57</v>
      </c>
      <c r="AG50" s="42">
        <v>1</v>
      </c>
      <c r="AH50" s="42" t="s">
        <v>58</v>
      </c>
      <c r="AI50" s="42">
        <v>1</v>
      </c>
      <c r="AJ50" s="155">
        <f t="shared" si="18"/>
        <v>31</v>
      </c>
      <c r="AK50" s="56">
        <f t="shared" si="19"/>
        <v>22</v>
      </c>
      <c r="AL50" s="56">
        <f t="shared" si="20"/>
        <v>4</v>
      </c>
      <c r="AM50" s="57">
        <f t="shared" si="21"/>
        <v>5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217</v>
      </c>
      <c r="AK51" s="69">
        <f>SUM(AK44:AK50)</f>
        <v>169</v>
      </c>
      <c r="AL51" s="69">
        <f>SUM(AL44:AL50)</f>
        <v>29</v>
      </c>
      <c r="AM51" s="75">
        <f>SUM(AM44:AM50)</f>
        <v>19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 t="s">
        <v>57</v>
      </c>
      <c r="F52" s="42">
        <v>1</v>
      </c>
      <c r="G52" s="42">
        <v>1</v>
      </c>
      <c r="H52" s="42">
        <v>1</v>
      </c>
      <c r="I52" s="42" t="s">
        <v>57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>
        <v>1</v>
      </c>
      <c r="U52" s="42">
        <v>1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 t="s">
        <v>58</v>
      </c>
      <c r="AB52" s="42" t="s">
        <v>58</v>
      </c>
      <c r="AC52" s="42">
        <v>1</v>
      </c>
      <c r="AD52" s="42">
        <v>1</v>
      </c>
      <c r="AE52" s="42" t="s">
        <v>57</v>
      </c>
      <c r="AF52" s="42">
        <v>1</v>
      </c>
      <c r="AG52" s="42">
        <v>1</v>
      </c>
      <c r="AH52" s="42" t="s">
        <v>57</v>
      </c>
      <c r="AI52" s="42" t="s">
        <v>57</v>
      </c>
      <c r="AJ52" s="155">
        <f>COUNTA(E52:AI52)</f>
        <v>31</v>
      </c>
      <c r="AK52" s="56">
        <f>COUNTIF(E52:AI52,1)</f>
        <v>24</v>
      </c>
      <c r="AL52" s="56">
        <f>COUNTIF(E52:AI52,"тр")</f>
        <v>2</v>
      </c>
      <c r="AM52" s="57">
        <f>COUNTIF(E52:AI52,"бв")</f>
        <v>5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31</v>
      </c>
      <c r="AK53" s="69">
        <f>SUM(AK52:AK52)</f>
        <v>24</v>
      </c>
      <c r="AL53" s="69">
        <f>SUM(AL52:AL52)</f>
        <v>2</v>
      </c>
      <c r="AM53" s="75">
        <f>SUM(AM52:AM52)</f>
        <v>5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 t="s">
        <v>57</v>
      </c>
      <c r="I54" s="92" t="s">
        <v>57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 t="s">
        <v>58</v>
      </c>
      <c r="P54" s="92">
        <v>1</v>
      </c>
      <c r="Q54" s="92">
        <v>1</v>
      </c>
      <c r="R54" s="92">
        <v>1</v>
      </c>
      <c r="S54" s="5" t="s">
        <v>58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 t="s">
        <v>57</v>
      </c>
      <c r="AB54" s="92" t="s">
        <v>57</v>
      </c>
      <c r="AC54" s="92">
        <v>1</v>
      </c>
      <c r="AD54" s="92">
        <v>1</v>
      </c>
      <c r="AE54" s="92">
        <v>1</v>
      </c>
      <c r="AF54" s="92">
        <v>1</v>
      </c>
      <c r="AG54" s="92">
        <v>1</v>
      </c>
      <c r="AH54" s="92">
        <v>1</v>
      </c>
      <c r="AI54" s="92">
        <v>1</v>
      </c>
      <c r="AJ54" s="152">
        <f>COUNTA(E54:AI54)</f>
        <v>31</v>
      </c>
      <c r="AK54" s="80">
        <f>COUNTIF(E54:AI54,1)</f>
        <v>25</v>
      </c>
      <c r="AL54" s="80">
        <f>COUNTIF(E54:AI54,"тр")</f>
        <v>2</v>
      </c>
      <c r="AM54" s="81">
        <f>COUNTIF(E54:AI54,"бв")</f>
        <v>4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 t="s">
        <v>57</v>
      </c>
      <c r="M55" s="42" t="s">
        <v>57</v>
      </c>
      <c r="N55" s="42">
        <v>1</v>
      </c>
      <c r="O55" s="42">
        <v>1</v>
      </c>
      <c r="P55" s="42" t="s">
        <v>57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 t="s">
        <v>57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42">
        <v>1</v>
      </c>
      <c r="AJ55" s="155">
        <f>COUNTA(E55:AI55)</f>
        <v>31</v>
      </c>
      <c r="AK55" s="56">
        <f>COUNTIF(E55:AI55,1)</f>
        <v>27</v>
      </c>
      <c r="AL55" s="56">
        <f>COUNTIF(E55:AI55,"тр")</f>
        <v>0</v>
      </c>
      <c r="AM55" s="57">
        <f>COUNTIF(E55:AI55,"бв")</f>
        <v>4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 t="s">
        <v>57</v>
      </c>
      <c r="G56" s="97" t="s">
        <v>57</v>
      </c>
      <c r="H56" s="97">
        <v>1</v>
      </c>
      <c r="I56" s="97">
        <v>1</v>
      </c>
      <c r="J56" s="97">
        <v>1</v>
      </c>
      <c r="K56" s="97">
        <v>1</v>
      </c>
      <c r="L56" s="97">
        <v>1</v>
      </c>
      <c r="M56" s="97">
        <v>1</v>
      </c>
      <c r="N56" s="97">
        <v>1</v>
      </c>
      <c r="O56" s="97">
        <v>1</v>
      </c>
      <c r="P56" s="97">
        <v>1</v>
      </c>
      <c r="Q56" s="97" t="s">
        <v>58</v>
      </c>
      <c r="R56" s="97">
        <v>1</v>
      </c>
      <c r="S56" s="97">
        <v>1</v>
      </c>
      <c r="T56" s="97">
        <v>1</v>
      </c>
      <c r="U56" s="97">
        <v>1</v>
      </c>
      <c r="V56" s="97" t="s">
        <v>57</v>
      </c>
      <c r="W56" s="97">
        <v>1</v>
      </c>
      <c r="X56" s="97">
        <v>1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>
        <v>1</v>
      </c>
      <c r="AF56" s="97">
        <v>1</v>
      </c>
      <c r="AG56" s="97">
        <v>1</v>
      </c>
      <c r="AH56" s="97">
        <v>1</v>
      </c>
      <c r="AI56" s="97">
        <v>1</v>
      </c>
      <c r="AJ56" s="157">
        <f>COUNTA(E56:AI56)</f>
        <v>31</v>
      </c>
      <c r="AK56" s="84">
        <f>COUNTIF(E56:AI56,1)</f>
        <v>27</v>
      </c>
      <c r="AL56" s="84">
        <f>COUNTIF(E56:AI56,"тр")</f>
        <v>1</v>
      </c>
      <c r="AM56" s="85">
        <f>COUNTIF(E56:AI56,"бв")</f>
        <v>3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93</v>
      </c>
      <c r="AK57" s="69">
        <f>SUM(AK54:AK56)</f>
        <v>79</v>
      </c>
      <c r="AL57" s="69">
        <f>SUM(AL54:AL56)</f>
        <v>3</v>
      </c>
      <c r="AM57" s="75">
        <f>SUM(AM54:AM56)</f>
        <v>11</v>
      </c>
    </row>
    <row r="58" spans="1:39" s="33" customFormat="1" x14ac:dyDescent="0.25">
      <c r="A58" s="165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1344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87">
        <v>31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25">
        <v>1</v>
      </c>
      <c r="AJ62" s="155">
        <f>COUNTA(E62:AI62)</f>
        <v>31</v>
      </c>
      <c r="AK62" s="17">
        <f>COUNTIF(E62:AI62,1)</f>
        <v>31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78">
        <v>1</v>
      </c>
      <c r="AJ63" s="153">
        <f>COUNTA(E63:AI63)</f>
        <v>31</v>
      </c>
      <c r="AK63" s="54">
        <f>COUNTIF(E63:AI63,1)</f>
        <v>31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22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>
        <v>1</v>
      </c>
      <c r="G64" s="5">
        <v>1</v>
      </c>
      <c r="H64" s="5">
        <v>1</v>
      </c>
      <c r="I64" s="5" t="s">
        <v>57</v>
      </c>
      <c r="J64" s="5" t="s">
        <v>57</v>
      </c>
      <c r="K64" s="5" t="s">
        <v>57</v>
      </c>
      <c r="L64" s="5" t="s">
        <v>57</v>
      </c>
      <c r="M64" s="5" t="s">
        <v>57</v>
      </c>
      <c r="N64" s="5">
        <v>1</v>
      </c>
      <c r="O64" s="5">
        <v>1</v>
      </c>
      <c r="P64" s="5" t="s">
        <v>57</v>
      </c>
      <c r="Q64" s="5">
        <v>1</v>
      </c>
      <c r="R64" s="5">
        <v>1</v>
      </c>
      <c r="S64" s="5">
        <v>1</v>
      </c>
      <c r="T64" s="5">
        <v>1</v>
      </c>
      <c r="U64" s="5">
        <v>1</v>
      </c>
      <c r="V64" s="5" t="s">
        <v>58</v>
      </c>
      <c r="W64" s="5" t="s">
        <v>58</v>
      </c>
      <c r="X64" s="5">
        <v>1</v>
      </c>
      <c r="Y64" s="5">
        <v>1</v>
      </c>
      <c r="Z64" s="5">
        <v>1</v>
      </c>
      <c r="AA64" s="5">
        <v>1</v>
      </c>
      <c r="AB64" s="5">
        <v>1</v>
      </c>
      <c r="AC64" s="5" t="s">
        <v>57</v>
      </c>
      <c r="AD64" s="5" t="s">
        <v>57</v>
      </c>
      <c r="AE64" s="5">
        <v>1</v>
      </c>
      <c r="AF64" s="5">
        <v>1</v>
      </c>
      <c r="AG64" s="5">
        <v>1</v>
      </c>
      <c r="AH64" s="5">
        <v>1</v>
      </c>
      <c r="AI64" s="78">
        <v>1</v>
      </c>
      <c r="AJ64" s="153">
        <f>COUNTA(E64:AI64)</f>
        <v>31</v>
      </c>
      <c r="AK64" s="54">
        <f>COUNTIF(E64:AI64,1)</f>
        <v>20</v>
      </c>
      <c r="AL64" s="54">
        <f>COUNTIF(E64:AI64,"тр")</f>
        <v>2</v>
      </c>
      <c r="AM64" s="55">
        <f>COUNTIF(E64:AI64,"бв")</f>
        <v>9</v>
      </c>
    </row>
    <row r="65" spans="1:39" x14ac:dyDescent="0.25">
      <c r="A65" s="11">
        <f t="shared" si="22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78" t="s">
        <v>58</v>
      </c>
      <c r="AJ65" s="153">
        <f>COUNTA(E65:AI65)</f>
        <v>31</v>
      </c>
      <c r="AK65" s="54">
        <f>COUNTIF(E65:AI65,1)</f>
        <v>0</v>
      </c>
      <c r="AL65" s="54">
        <f>COUNTIF(E65:AI65,"тр")</f>
        <v>31</v>
      </c>
      <c r="AM65" s="55">
        <f>COUNTIF(E65:AI65,"бв")</f>
        <v>0</v>
      </c>
    </row>
    <row r="66" spans="1:39" ht="16.3" thickBot="1" x14ac:dyDescent="0.3">
      <c r="A66" s="44">
        <f t="shared" si="22"/>
        <v>5</v>
      </c>
      <c r="B66" s="39" t="s">
        <v>0</v>
      </c>
      <c r="C66" s="40" t="s">
        <v>2</v>
      </c>
      <c r="D66" s="40">
        <v>1637</v>
      </c>
      <c r="E66" s="42" t="s">
        <v>57</v>
      </c>
      <c r="F66" s="42">
        <v>1</v>
      </c>
      <c r="G66" s="42">
        <v>1</v>
      </c>
      <c r="H66" s="42">
        <v>1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>
        <v>1</v>
      </c>
      <c r="O66" s="42">
        <v>1</v>
      </c>
      <c r="P66" s="42" t="s">
        <v>57</v>
      </c>
      <c r="Q66" s="42">
        <v>1</v>
      </c>
      <c r="R66" s="42" t="s">
        <v>58</v>
      </c>
      <c r="S66" s="42" t="s">
        <v>58</v>
      </c>
      <c r="T66" s="42" t="s">
        <v>57</v>
      </c>
      <c r="U66" s="42">
        <v>1</v>
      </c>
      <c r="V66" s="42" t="s">
        <v>58</v>
      </c>
      <c r="W66" s="42" t="s">
        <v>58</v>
      </c>
      <c r="X66" s="42">
        <v>1</v>
      </c>
      <c r="Y66" s="42">
        <v>1</v>
      </c>
      <c r="Z66" s="42">
        <v>1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>
        <v>1</v>
      </c>
      <c r="AF66" s="42" t="s">
        <v>58</v>
      </c>
      <c r="AG66" s="42" t="s">
        <v>58</v>
      </c>
      <c r="AH66" s="42" t="s">
        <v>58</v>
      </c>
      <c r="AI66" s="126" t="s">
        <v>58</v>
      </c>
      <c r="AJ66" s="156">
        <f>COUNTA(E66:AI66)</f>
        <v>31</v>
      </c>
      <c r="AK66" s="56">
        <f>COUNTIF(E66:AI66,1)</f>
        <v>11</v>
      </c>
      <c r="AL66" s="56">
        <f>COUNTIF(E66:AI66,"тр")</f>
        <v>17</v>
      </c>
      <c r="AM66" s="57">
        <f>COUNTIF(E66:AI66,"бв")</f>
        <v>3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155</v>
      </c>
      <c r="AK67" s="69">
        <f t="shared" ref="AK67:AM67" si="23">SUM(AK62:AK66)</f>
        <v>93</v>
      </c>
      <c r="AL67" s="69">
        <f t="shared" si="23"/>
        <v>50</v>
      </c>
      <c r="AM67" s="75">
        <f t="shared" si="23"/>
        <v>12</v>
      </c>
    </row>
    <row r="68" spans="1:39" s="33" customFormat="1" x14ac:dyDescent="0.25">
      <c r="A68" s="165"/>
      <c r="B68" s="49"/>
      <c r="C68" s="50"/>
      <c r="D68" s="50"/>
      <c r="Y68" s="51" t="s">
        <v>68</v>
      </c>
      <c r="AJ68" s="76">
        <f>AJ67</f>
        <v>155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4">
    <cfRule type="containsBlanks" dxfId="4" priority="1">
      <formula>LEN(TRIM(E4))=0</formula>
    </cfRule>
  </conditionalFormatting>
  <pageMargins left="0.23622047244094491" right="0.23622047244094491" top="0.74803149606299213" bottom="0.67" header="0.31496062992125984" footer="0.31496062992125984"/>
  <pageSetup paperSize="9" scale="78" fitToHeight="0" orientation="landscape" verticalDpi="0" r:id="rId1"/>
  <ignoredErrors>
    <ignoredError sqref="AJ53:AM53 AJ51:AN51 AJ43:AM43 AJ39:AM39 AJ37:AM37 AJ33:AM33 AJ25:AM25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L70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H4" sqref="AH4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Июнь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67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31" t="s">
        <v>62</v>
      </c>
      <c r="AJ3" s="132" t="s">
        <v>61</v>
      </c>
      <c r="AK3" s="132" t="s">
        <v>58</v>
      </c>
      <c r="AL3" s="133" t="s">
        <v>57</v>
      </c>
    </row>
    <row r="4" spans="1:38" x14ac:dyDescent="0.25">
      <c r="A4" s="103">
        <v>1</v>
      </c>
      <c r="B4" s="104" t="s">
        <v>53</v>
      </c>
      <c r="C4" s="105" t="s">
        <v>4</v>
      </c>
      <c r="D4" s="106">
        <v>6982</v>
      </c>
      <c r="E4" s="143" t="s">
        <v>57</v>
      </c>
      <c r="F4" s="92" t="s">
        <v>57</v>
      </c>
      <c r="G4" s="92" t="s">
        <v>57</v>
      </c>
      <c r="H4" s="92" t="s">
        <v>57</v>
      </c>
      <c r="I4" s="92" t="s">
        <v>57</v>
      </c>
      <c r="J4" s="92" t="s">
        <v>57</v>
      </c>
      <c r="K4" s="92" t="s">
        <v>57</v>
      </c>
      <c r="L4" s="92" t="s">
        <v>57</v>
      </c>
      <c r="M4" s="92" t="s">
        <v>57</v>
      </c>
      <c r="N4" s="92">
        <v>1</v>
      </c>
      <c r="O4" s="92">
        <v>1</v>
      </c>
      <c r="P4" s="92" t="s">
        <v>57</v>
      </c>
      <c r="Q4" s="92" t="s">
        <v>57</v>
      </c>
      <c r="R4" s="92">
        <v>1</v>
      </c>
      <c r="S4" s="92" t="s">
        <v>57</v>
      </c>
      <c r="T4" s="92" t="s">
        <v>57</v>
      </c>
      <c r="U4" s="92" t="s">
        <v>57</v>
      </c>
      <c r="V4" s="92">
        <v>1</v>
      </c>
      <c r="W4" s="92">
        <v>1</v>
      </c>
      <c r="X4" s="92">
        <v>1</v>
      </c>
      <c r="Y4" s="92">
        <v>1</v>
      </c>
      <c r="Z4" s="92">
        <v>1</v>
      </c>
      <c r="AA4" s="92">
        <v>1</v>
      </c>
      <c r="AB4" s="92" t="s">
        <v>57</v>
      </c>
      <c r="AC4" s="92" t="s">
        <v>57</v>
      </c>
      <c r="AD4" s="92">
        <v>1</v>
      </c>
      <c r="AE4" s="92">
        <v>1</v>
      </c>
      <c r="AF4" s="92">
        <v>1</v>
      </c>
      <c r="AG4" s="92">
        <v>1</v>
      </c>
      <c r="AH4" s="101">
        <v>1</v>
      </c>
      <c r="AI4" s="152">
        <f t="shared" ref="AI4:AI24" si="0">COUNTA(E4:AH4)</f>
        <v>30</v>
      </c>
      <c r="AJ4" s="80">
        <f t="shared" ref="AJ4:AJ24" si="1">COUNTIF(E4:AH4,1)</f>
        <v>14</v>
      </c>
      <c r="AK4" s="80">
        <f t="shared" ref="AK4:AK24" si="2">COUNTIF(E4:AH4,"тр")</f>
        <v>0</v>
      </c>
      <c r="AL4" s="81">
        <f t="shared" ref="AL4:AL24" si="3">COUNTIF(E4:AH4,"бв")</f>
        <v>16</v>
      </c>
    </row>
    <row r="5" spans="1:38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57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>
        <v>1</v>
      </c>
      <c r="Q5" s="5">
        <v>1</v>
      </c>
      <c r="R5" s="5">
        <v>1</v>
      </c>
      <c r="S5" s="5">
        <v>1</v>
      </c>
      <c r="T5" s="5">
        <v>1</v>
      </c>
      <c r="U5" s="5">
        <v>1</v>
      </c>
      <c r="V5" s="5">
        <v>1</v>
      </c>
      <c r="W5" s="5">
        <v>1</v>
      </c>
      <c r="X5" s="5">
        <v>1</v>
      </c>
      <c r="Y5" s="5">
        <v>1</v>
      </c>
      <c r="Z5" s="5" t="s">
        <v>57</v>
      </c>
      <c r="AA5" s="5">
        <v>1</v>
      </c>
      <c r="AB5" s="5">
        <v>1</v>
      </c>
      <c r="AC5" s="5">
        <v>1</v>
      </c>
      <c r="AD5" s="5">
        <v>1</v>
      </c>
      <c r="AE5" s="5">
        <v>1</v>
      </c>
      <c r="AF5" s="5">
        <v>1</v>
      </c>
      <c r="AG5" s="5">
        <v>1</v>
      </c>
      <c r="AH5" s="78">
        <v>1</v>
      </c>
      <c r="AI5" s="153">
        <f t="shared" si="0"/>
        <v>30</v>
      </c>
      <c r="AJ5" s="54">
        <f t="shared" si="1"/>
        <v>28</v>
      </c>
      <c r="AK5" s="54">
        <f t="shared" si="2"/>
        <v>0</v>
      </c>
      <c r="AL5" s="55">
        <f t="shared" si="3"/>
        <v>2</v>
      </c>
    </row>
    <row r="6" spans="1:38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 t="s">
        <v>58</v>
      </c>
      <c r="F6" s="5" t="s">
        <v>58</v>
      </c>
      <c r="G6" s="5" t="s">
        <v>58</v>
      </c>
      <c r="H6" s="5" t="s">
        <v>58</v>
      </c>
      <c r="I6" s="5" t="s">
        <v>58</v>
      </c>
      <c r="J6" s="5" t="s">
        <v>58</v>
      </c>
      <c r="K6" s="5" t="s">
        <v>58</v>
      </c>
      <c r="L6" s="5" t="s">
        <v>58</v>
      </c>
      <c r="M6" s="5" t="s">
        <v>58</v>
      </c>
      <c r="N6" s="5" t="s">
        <v>58</v>
      </c>
      <c r="O6" s="5" t="s">
        <v>58</v>
      </c>
      <c r="P6" s="5" t="s">
        <v>58</v>
      </c>
      <c r="Q6" s="5" t="s">
        <v>58</v>
      </c>
      <c r="R6" s="5" t="s">
        <v>58</v>
      </c>
      <c r="S6" s="5" t="s">
        <v>58</v>
      </c>
      <c r="T6" s="5" t="s">
        <v>58</v>
      </c>
      <c r="U6" s="5" t="s">
        <v>58</v>
      </c>
      <c r="V6" s="5">
        <v>1</v>
      </c>
      <c r="W6" s="5">
        <v>1</v>
      </c>
      <c r="X6" s="5">
        <v>1</v>
      </c>
      <c r="Y6" s="5">
        <v>1</v>
      </c>
      <c r="Z6" s="5">
        <v>1</v>
      </c>
      <c r="AA6" s="5">
        <v>1</v>
      </c>
      <c r="AB6" s="5">
        <v>1</v>
      </c>
      <c r="AC6" s="5">
        <v>1</v>
      </c>
      <c r="AD6" s="5">
        <v>1</v>
      </c>
      <c r="AE6" s="5">
        <v>1</v>
      </c>
      <c r="AF6" s="5">
        <v>1</v>
      </c>
      <c r="AG6" s="5">
        <v>1</v>
      </c>
      <c r="AH6" s="78">
        <v>1</v>
      </c>
      <c r="AI6" s="153">
        <f t="shared" si="0"/>
        <v>30</v>
      </c>
      <c r="AJ6" s="54">
        <f t="shared" si="1"/>
        <v>13</v>
      </c>
      <c r="AK6" s="54">
        <f t="shared" si="2"/>
        <v>17</v>
      </c>
      <c r="AL6" s="55">
        <f t="shared" si="3"/>
        <v>0</v>
      </c>
    </row>
    <row r="7" spans="1:38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 t="s">
        <v>57</v>
      </c>
      <c r="F7" s="5">
        <v>1</v>
      </c>
      <c r="G7" s="5">
        <v>1</v>
      </c>
      <c r="H7" s="5" t="s">
        <v>57</v>
      </c>
      <c r="I7" s="5" t="s">
        <v>57</v>
      </c>
      <c r="J7" s="5" t="s">
        <v>57</v>
      </c>
      <c r="K7" s="5">
        <v>1</v>
      </c>
      <c r="L7" s="5" t="s">
        <v>57</v>
      </c>
      <c r="M7" s="5" t="s">
        <v>57</v>
      </c>
      <c r="N7" s="5">
        <v>1</v>
      </c>
      <c r="O7" s="5" t="s">
        <v>57</v>
      </c>
      <c r="P7" s="5" t="s">
        <v>57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>
        <v>1</v>
      </c>
      <c r="Y7" s="5">
        <v>1</v>
      </c>
      <c r="Z7" s="5">
        <v>1</v>
      </c>
      <c r="AA7" s="5">
        <v>1</v>
      </c>
      <c r="AB7" s="5">
        <v>1</v>
      </c>
      <c r="AC7" s="5">
        <v>1</v>
      </c>
      <c r="AD7" s="5" t="s">
        <v>57</v>
      </c>
      <c r="AE7" s="5" t="s">
        <v>57</v>
      </c>
      <c r="AF7" s="5">
        <v>1</v>
      </c>
      <c r="AG7" s="5">
        <v>1</v>
      </c>
      <c r="AH7" s="78">
        <v>1</v>
      </c>
      <c r="AI7" s="153">
        <f t="shared" si="0"/>
        <v>30</v>
      </c>
      <c r="AJ7" s="54">
        <f t="shared" si="1"/>
        <v>19</v>
      </c>
      <c r="AK7" s="54">
        <f t="shared" si="2"/>
        <v>0</v>
      </c>
      <c r="AL7" s="55">
        <f t="shared" si="3"/>
        <v>11</v>
      </c>
    </row>
    <row r="8" spans="1:38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 t="s">
        <v>57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 t="s">
        <v>57</v>
      </c>
      <c r="M8" s="5" t="s">
        <v>57</v>
      </c>
      <c r="N8" s="5">
        <v>1</v>
      </c>
      <c r="O8" s="5">
        <v>1</v>
      </c>
      <c r="P8" s="5">
        <v>1</v>
      </c>
      <c r="Q8" s="5">
        <v>1</v>
      </c>
      <c r="R8" s="5">
        <v>1</v>
      </c>
      <c r="S8" s="5" t="s">
        <v>57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 t="s">
        <v>57</v>
      </c>
      <c r="AA8" s="5" t="s">
        <v>57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 t="s">
        <v>57</v>
      </c>
      <c r="AH8" s="78" t="s">
        <v>57</v>
      </c>
      <c r="AI8" s="153">
        <f t="shared" si="0"/>
        <v>30</v>
      </c>
      <c r="AJ8" s="54">
        <f t="shared" si="1"/>
        <v>20</v>
      </c>
      <c r="AK8" s="54">
        <f t="shared" si="2"/>
        <v>0</v>
      </c>
      <c r="AL8" s="55">
        <f t="shared" si="3"/>
        <v>10</v>
      </c>
    </row>
    <row r="9" spans="1:38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 t="s">
        <v>57</v>
      </c>
      <c r="L9" s="5" t="s">
        <v>57</v>
      </c>
      <c r="M9" s="5" t="s">
        <v>57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>
        <v>1</v>
      </c>
      <c r="Z9" s="5" t="s">
        <v>57</v>
      </c>
      <c r="AA9" s="5" t="s">
        <v>57</v>
      </c>
      <c r="AB9" s="5">
        <v>1</v>
      </c>
      <c r="AC9" s="5">
        <v>1</v>
      </c>
      <c r="AD9" s="5">
        <v>1</v>
      </c>
      <c r="AE9" s="5">
        <v>1</v>
      </c>
      <c r="AF9" s="5">
        <v>1</v>
      </c>
      <c r="AG9" s="5">
        <v>1</v>
      </c>
      <c r="AH9" s="78">
        <v>1</v>
      </c>
      <c r="AI9" s="153">
        <f t="shared" si="0"/>
        <v>30</v>
      </c>
      <c r="AJ9" s="54">
        <f t="shared" si="1"/>
        <v>25</v>
      </c>
      <c r="AK9" s="54">
        <f t="shared" si="2"/>
        <v>0</v>
      </c>
      <c r="AL9" s="55">
        <f t="shared" si="3"/>
        <v>5</v>
      </c>
    </row>
    <row r="10" spans="1:38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>
        <v>1</v>
      </c>
      <c r="F10" s="5">
        <v>1</v>
      </c>
      <c r="G10" s="5">
        <v>1</v>
      </c>
      <c r="H10" s="5">
        <v>1</v>
      </c>
      <c r="I10" s="5" t="s">
        <v>57</v>
      </c>
      <c r="J10" s="5" t="s">
        <v>57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 t="s">
        <v>57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 t="s">
        <v>57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78">
        <v>1</v>
      </c>
      <c r="AI10" s="153">
        <f t="shared" si="0"/>
        <v>30</v>
      </c>
      <c r="AJ10" s="54">
        <f t="shared" si="1"/>
        <v>26</v>
      </c>
      <c r="AK10" s="54">
        <f t="shared" si="2"/>
        <v>0</v>
      </c>
      <c r="AL10" s="55">
        <f t="shared" si="3"/>
        <v>4</v>
      </c>
    </row>
    <row r="11" spans="1:38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78">
        <v>1</v>
      </c>
      <c r="AI11" s="153">
        <f t="shared" si="0"/>
        <v>30</v>
      </c>
      <c r="AJ11" s="54">
        <f t="shared" si="1"/>
        <v>30</v>
      </c>
      <c r="AK11" s="54">
        <f t="shared" si="2"/>
        <v>0</v>
      </c>
      <c r="AL11" s="55">
        <f t="shared" si="3"/>
        <v>0</v>
      </c>
    </row>
    <row r="12" spans="1:38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>
        <v>1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58</v>
      </c>
      <c r="R12" s="5" t="s">
        <v>58</v>
      </c>
      <c r="S12" s="5">
        <v>1</v>
      </c>
      <c r="T12" s="5">
        <v>1</v>
      </c>
      <c r="U12" s="5">
        <v>1</v>
      </c>
      <c r="V12" s="5">
        <v>1</v>
      </c>
      <c r="W12" s="5">
        <v>1</v>
      </c>
      <c r="X12" s="5">
        <v>1</v>
      </c>
      <c r="Y12" s="5">
        <v>1</v>
      </c>
      <c r="Z12" s="5" t="s">
        <v>57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78">
        <v>1</v>
      </c>
      <c r="AI12" s="153">
        <f t="shared" si="0"/>
        <v>30</v>
      </c>
      <c r="AJ12" s="54">
        <f t="shared" si="1"/>
        <v>26</v>
      </c>
      <c r="AK12" s="54">
        <f t="shared" si="2"/>
        <v>2</v>
      </c>
      <c r="AL12" s="55">
        <f t="shared" si="3"/>
        <v>2</v>
      </c>
    </row>
    <row r="13" spans="1:38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153">
        <f t="shared" si="0"/>
        <v>30</v>
      </c>
      <c r="AJ13" s="54">
        <f t="shared" si="1"/>
        <v>30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153">
        <f t="shared" si="0"/>
        <v>30</v>
      </c>
      <c r="AJ14" s="54">
        <f t="shared" si="1"/>
        <v>30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 t="s">
        <v>57</v>
      </c>
      <c r="G15" s="5" t="s">
        <v>57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 t="s">
        <v>57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 t="s">
        <v>57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 t="s">
        <v>57</v>
      </c>
      <c r="AH15" s="78" t="s">
        <v>57</v>
      </c>
      <c r="AI15" s="153">
        <f t="shared" si="0"/>
        <v>30</v>
      </c>
      <c r="AJ15" s="54">
        <f t="shared" si="1"/>
        <v>23</v>
      </c>
      <c r="AK15" s="54">
        <f t="shared" si="2"/>
        <v>0</v>
      </c>
      <c r="AL15" s="55">
        <f t="shared" si="3"/>
        <v>7</v>
      </c>
    </row>
    <row r="16" spans="1:38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 t="s">
        <v>57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 t="s">
        <v>57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78">
        <v>1</v>
      </c>
      <c r="AI16" s="153">
        <f t="shared" si="0"/>
        <v>30</v>
      </c>
      <c r="AJ16" s="54">
        <f t="shared" si="1"/>
        <v>27</v>
      </c>
      <c r="AK16" s="54">
        <f t="shared" si="2"/>
        <v>0</v>
      </c>
      <c r="AL16" s="55">
        <f t="shared" si="3"/>
        <v>3</v>
      </c>
    </row>
    <row r="17" spans="1:38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153">
        <f t="shared" si="0"/>
        <v>30</v>
      </c>
      <c r="AJ17" s="54">
        <f t="shared" si="1"/>
        <v>30</v>
      </c>
      <c r="AK17" s="54">
        <f t="shared" si="2"/>
        <v>0</v>
      </c>
      <c r="AL17" s="55">
        <f t="shared" si="3"/>
        <v>0</v>
      </c>
    </row>
    <row r="18" spans="1:38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 t="s">
        <v>57</v>
      </c>
      <c r="L18" s="5" t="s">
        <v>57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 t="s">
        <v>57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 t="s">
        <v>57</v>
      </c>
      <c r="AH18" s="78" t="s">
        <v>57</v>
      </c>
      <c r="AI18" s="153">
        <f t="shared" si="0"/>
        <v>30</v>
      </c>
      <c r="AJ18" s="54">
        <f t="shared" si="1"/>
        <v>23</v>
      </c>
      <c r="AK18" s="54">
        <f t="shared" si="2"/>
        <v>0</v>
      </c>
      <c r="AL18" s="55">
        <f t="shared" si="3"/>
        <v>7</v>
      </c>
    </row>
    <row r="19" spans="1:38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57</v>
      </c>
      <c r="F19" s="5" t="s">
        <v>57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>
        <v>1</v>
      </c>
      <c r="O19" s="5" t="s">
        <v>58</v>
      </c>
      <c r="P19" s="5" t="s">
        <v>58</v>
      </c>
      <c r="Q19" s="5">
        <v>1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 t="s">
        <v>58</v>
      </c>
      <c r="AC19" s="5" t="s">
        <v>58</v>
      </c>
      <c r="AD19" s="5" t="s">
        <v>58</v>
      </c>
      <c r="AE19" s="5" t="s">
        <v>58</v>
      </c>
      <c r="AF19" s="5" t="s">
        <v>58</v>
      </c>
      <c r="AG19" s="5" t="s">
        <v>58</v>
      </c>
      <c r="AH19" s="78" t="s">
        <v>58</v>
      </c>
      <c r="AI19" s="153">
        <f t="shared" si="0"/>
        <v>30</v>
      </c>
      <c r="AJ19" s="54">
        <f t="shared" si="1"/>
        <v>9</v>
      </c>
      <c r="AK19" s="54">
        <f t="shared" si="2"/>
        <v>19</v>
      </c>
      <c r="AL19" s="55">
        <f t="shared" si="3"/>
        <v>2</v>
      </c>
    </row>
    <row r="20" spans="1:38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 t="s">
        <v>57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 t="s">
        <v>58</v>
      </c>
      <c r="W20" s="5" t="s">
        <v>58</v>
      </c>
      <c r="X20" s="5" t="s">
        <v>58</v>
      </c>
      <c r="Y20" s="5" t="s">
        <v>58</v>
      </c>
      <c r="Z20" s="5" t="s">
        <v>58</v>
      </c>
      <c r="AA20" s="5" t="s">
        <v>58</v>
      </c>
      <c r="AB20" s="5" t="s">
        <v>58</v>
      </c>
      <c r="AC20" s="5" t="s">
        <v>58</v>
      </c>
      <c r="AD20" s="5" t="s">
        <v>58</v>
      </c>
      <c r="AE20" s="5" t="s">
        <v>58</v>
      </c>
      <c r="AF20" s="5" t="s">
        <v>58</v>
      </c>
      <c r="AG20" s="5" t="s">
        <v>58</v>
      </c>
      <c r="AH20" s="78" t="s">
        <v>58</v>
      </c>
      <c r="AI20" s="153">
        <f t="shared" si="0"/>
        <v>30</v>
      </c>
      <c r="AJ20" s="54">
        <f t="shared" si="1"/>
        <v>16</v>
      </c>
      <c r="AK20" s="54">
        <f t="shared" si="2"/>
        <v>13</v>
      </c>
      <c r="AL20" s="55">
        <f t="shared" si="3"/>
        <v>1</v>
      </c>
    </row>
    <row r="21" spans="1:38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 t="s">
        <v>57</v>
      </c>
      <c r="T21" s="5">
        <v>1</v>
      </c>
      <c r="U21" s="5">
        <v>1</v>
      </c>
      <c r="V21" s="5" t="s">
        <v>58</v>
      </c>
      <c r="W21" s="5" t="s">
        <v>58</v>
      </c>
      <c r="X21" s="5" t="s">
        <v>58</v>
      </c>
      <c r="Y21" s="5">
        <v>1</v>
      </c>
      <c r="Z21" s="5">
        <v>1</v>
      </c>
      <c r="AA21" s="5">
        <v>1</v>
      </c>
      <c r="AB21" s="5">
        <v>1</v>
      </c>
      <c r="AC21" s="5" t="s">
        <v>58</v>
      </c>
      <c r="AD21" s="5">
        <v>1</v>
      </c>
      <c r="AE21" s="5">
        <v>1</v>
      </c>
      <c r="AF21" s="5">
        <v>1</v>
      </c>
      <c r="AG21" s="5" t="s">
        <v>57</v>
      </c>
      <c r="AH21" s="78">
        <v>1</v>
      </c>
      <c r="AI21" s="153">
        <f t="shared" si="0"/>
        <v>30</v>
      </c>
      <c r="AJ21" s="54">
        <f t="shared" si="1"/>
        <v>24</v>
      </c>
      <c r="AK21" s="54">
        <f t="shared" si="2"/>
        <v>4</v>
      </c>
      <c r="AL21" s="55">
        <f t="shared" si="3"/>
        <v>2</v>
      </c>
    </row>
    <row r="22" spans="1:38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 t="s">
        <v>57</v>
      </c>
      <c r="M22" s="42" t="s">
        <v>57</v>
      </c>
      <c r="N22" s="42">
        <v>1</v>
      </c>
      <c r="O22" s="42">
        <v>1</v>
      </c>
      <c r="P22" s="42">
        <v>1</v>
      </c>
      <c r="Q22" s="42">
        <v>1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>
        <v>1</v>
      </c>
      <c r="Y22" s="42">
        <v>1</v>
      </c>
      <c r="Z22" s="42">
        <v>1</v>
      </c>
      <c r="AA22" s="42">
        <v>1</v>
      </c>
      <c r="AB22" s="42">
        <v>1</v>
      </c>
      <c r="AC22" s="42">
        <v>1</v>
      </c>
      <c r="AD22" s="42">
        <v>1</v>
      </c>
      <c r="AE22" s="42">
        <v>1</v>
      </c>
      <c r="AF22" s="42">
        <v>1</v>
      </c>
      <c r="AG22" s="42" t="s">
        <v>57</v>
      </c>
      <c r="AH22" s="126" t="s">
        <v>57</v>
      </c>
      <c r="AI22" s="153">
        <f t="shared" si="0"/>
        <v>30</v>
      </c>
      <c r="AJ22" s="54">
        <f t="shared" si="1"/>
        <v>26</v>
      </c>
      <c r="AK22" s="54">
        <f t="shared" si="2"/>
        <v>0</v>
      </c>
      <c r="AL22" s="55">
        <f t="shared" si="3"/>
        <v>4</v>
      </c>
    </row>
    <row r="23" spans="1:38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 t="s">
        <v>57</v>
      </c>
      <c r="G23" s="5" t="s">
        <v>57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>
        <v>1</v>
      </c>
      <c r="Y23" s="5">
        <v>1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>
        <v>1</v>
      </c>
      <c r="AF23" s="5">
        <v>1</v>
      </c>
      <c r="AG23" s="5">
        <v>1</v>
      </c>
      <c r="AH23" s="78">
        <v>1</v>
      </c>
      <c r="AI23" s="153">
        <f t="shared" si="0"/>
        <v>30</v>
      </c>
      <c r="AJ23" s="54">
        <f t="shared" si="1"/>
        <v>28</v>
      </c>
      <c r="AK23" s="54">
        <f t="shared" si="2"/>
        <v>0</v>
      </c>
      <c r="AL23" s="55">
        <f t="shared" si="3"/>
        <v>2</v>
      </c>
    </row>
    <row r="24" spans="1:38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 t="s">
        <v>57</v>
      </c>
      <c r="F24" s="5" t="s">
        <v>57</v>
      </c>
      <c r="G24" s="5" t="s">
        <v>57</v>
      </c>
      <c r="H24" s="5" t="s">
        <v>57</v>
      </c>
      <c r="I24" s="5" t="s">
        <v>57</v>
      </c>
      <c r="J24" s="5" t="s">
        <v>57</v>
      </c>
      <c r="K24" s="5">
        <v>1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>
        <v>1</v>
      </c>
      <c r="AI24" s="156">
        <f t="shared" si="0"/>
        <v>30</v>
      </c>
      <c r="AJ24" s="56">
        <f t="shared" si="1"/>
        <v>22</v>
      </c>
      <c r="AK24" s="56">
        <f t="shared" si="2"/>
        <v>0</v>
      </c>
      <c r="AL24" s="57">
        <f t="shared" si="3"/>
        <v>8</v>
      </c>
    </row>
    <row r="25" spans="1:38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77">
        <f>SUM(AI4:AI24)</f>
        <v>630</v>
      </c>
      <c r="AJ25" s="69">
        <f>SUM(AJ4:AJ24)</f>
        <v>489</v>
      </c>
      <c r="AK25" s="69">
        <f>SUM(AK4:AK24)</f>
        <v>55</v>
      </c>
      <c r="AL25" s="75">
        <f>SUM(AL4:AL24)</f>
        <v>86</v>
      </c>
    </row>
    <row r="26" spans="1:38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>
        <v>1</v>
      </c>
      <c r="I26" s="35">
        <v>1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>
        <v>1</v>
      </c>
      <c r="Q26" s="35">
        <v>1</v>
      </c>
      <c r="R26" s="35">
        <v>1</v>
      </c>
      <c r="S26" s="35">
        <v>1</v>
      </c>
      <c r="T26" s="35">
        <v>1</v>
      </c>
      <c r="U26" s="35">
        <v>1</v>
      </c>
      <c r="V26" s="35" t="s">
        <v>57</v>
      </c>
      <c r="W26" s="35">
        <v>1</v>
      </c>
      <c r="X26" s="35" t="s">
        <v>57</v>
      </c>
      <c r="Y26" s="35">
        <v>1</v>
      </c>
      <c r="Z26" s="35">
        <v>1</v>
      </c>
      <c r="AA26" s="35">
        <v>1</v>
      </c>
      <c r="AB26" s="35">
        <v>1</v>
      </c>
      <c r="AC26" s="35">
        <v>1</v>
      </c>
      <c r="AD26" s="35">
        <v>1</v>
      </c>
      <c r="AE26" s="35" t="s">
        <v>58</v>
      </c>
      <c r="AF26" s="35" t="s">
        <v>58</v>
      </c>
      <c r="AG26" s="35">
        <v>1</v>
      </c>
      <c r="AH26" s="35">
        <v>1</v>
      </c>
      <c r="AI26" s="152">
        <f t="shared" ref="AI26:AI32" si="5">COUNTA(E26:AH26)</f>
        <v>30</v>
      </c>
      <c r="AJ26" s="80">
        <f t="shared" ref="AJ26:AJ32" si="6">COUNTIF(E26:AH26,1)</f>
        <v>26</v>
      </c>
      <c r="AK26" s="80">
        <f t="shared" ref="AK26:AK32" si="7">COUNTIF(E26:AH26,"тр")</f>
        <v>2</v>
      </c>
      <c r="AL26" s="81">
        <f t="shared" ref="AL26:AL32" si="8">COUNTIF(E26:AH26,"бв")</f>
        <v>2</v>
      </c>
    </row>
    <row r="27" spans="1:38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 t="s">
        <v>58</v>
      </c>
      <c r="Y27" s="5" t="s">
        <v>58</v>
      </c>
      <c r="Z27" s="5" t="s">
        <v>58</v>
      </c>
      <c r="AA27" s="5" t="s">
        <v>58</v>
      </c>
      <c r="AB27" s="5" t="s">
        <v>58</v>
      </c>
      <c r="AC27" s="5" t="s">
        <v>58</v>
      </c>
      <c r="AD27" s="5" t="s">
        <v>58</v>
      </c>
      <c r="AE27" s="5" t="s">
        <v>58</v>
      </c>
      <c r="AF27" s="5" t="s">
        <v>58</v>
      </c>
      <c r="AG27" s="5" t="s">
        <v>58</v>
      </c>
      <c r="AH27" s="5" t="s">
        <v>58</v>
      </c>
      <c r="AI27" s="153">
        <f t="shared" si="5"/>
        <v>30</v>
      </c>
      <c r="AJ27" s="54">
        <f t="shared" si="6"/>
        <v>0</v>
      </c>
      <c r="AK27" s="54">
        <f t="shared" si="7"/>
        <v>30</v>
      </c>
      <c r="AL27" s="55">
        <f t="shared" si="8"/>
        <v>0</v>
      </c>
    </row>
    <row r="28" spans="1:38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 s="5">
        <v>1</v>
      </c>
      <c r="M28" s="5" t="s">
        <v>57</v>
      </c>
      <c r="N28" s="5">
        <v>1</v>
      </c>
      <c r="O28" s="5">
        <v>1</v>
      </c>
      <c r="P28" s="5">
        <v>1</v>
      </c>
      <c r="Q28" s="5">
        <v>1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>
        <v>1</v>
      </c>
      <c r="X28" s="5" t="s">
        <v>57</v>
      </c>
      <c r="Y28" s="5">
        <v>1</v>
      </c>
      <c r="Z28" s="5">
        <v>1</v>
      </c>
      <c r="AA28" s="5" t="s">
        <v>57</v>
      </c>
      <c r="AB28" s="5">
        <v>1</v>
      </c>
      <c r="AC28" s="5" t="s">
        <v>57</v>
      </c>
      <c r="AD28" s="5" t="s">
        <v>57</v>
      </c>
      <c r="AE28" s="5">
        <v>1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22</v>
      </c>
      <c r="AK28" s="54">
        <f t="shared" si="7"/>
        <v>3</v>
      </c>
      <c r="AL28" s="55">
        <f t="shared" si="8"/>
        <v>5</v>
      </c>
    </row>
    <row r="29" spans="1:38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 t="s">
        <v>58</v>
      </c>
      <c r="Y29" s="5" t="s">
        <v>58</v>
      </c>
      <c r="Z29" s="5" t="s">
        <v>58</v>
      </c>
      <c r="AA29" s="5" t="s">
        <v>58</v>
      </c>
      <c r="AB29" s="5" t="s">
        <v>58</v>
      </c>
      <c r="AC29" s="5" t="s">
        <v>58</v>
      </c>
      <c r="AD29" s="5" t="s">
        <v>58</v>
      </c>
      <c r="AE29" s="5" t="s">
        <v>58</v>
      </c>
      <c r="AF29" s="5" t="s">
        <v>58</v>
      </c>
      <c r="AG29" s="5" t="s">
        <v>58</v>
      </c>
      <c r="AH29" s="5" t="s">
        <v>58</v>
      </c>
      <c r="AI29" s="153">
        <f t="shared" si="5"/>
        <v>30</v>
      </c>
      <c r="AJ29" s="54">
        <f t="shared" si="6"/>
        <v>0</v>
      </c>
      <c r="AK29" s="54">
        <f t="shared" si="7"/>
        <v>30</v>
      </c>
      <c r="AL29" s="55">
        <f t="shared" si="8"/>
        <v>0</v>
      </c>
    </row>
    <row r="30" spans="1:38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 t="s">
        <v>57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 t="s">
        <v>57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 t="s">
        <v>57</v>
      </c>
      <c r="W30" s="5" t="s">
        <v>57</v>
      </c>
      <c r="X30" s="5" t="s">
        <v>57</v>
      </c>
      <c r="Y30" s="5">
        <v>1</v>
      </c>
      <c r="Z30" s="5" t="s">
        <v>57</v>
      </c>
      <c r="AA30" s="5" t="s">
        <v>57</v>
      </c>
      <c r="AB30" s="5">
        <v>1</v>
      </c>
      <c r="AC30" s="5" t="s">
        <v>58</v>
      </c>
      <c r="AD30" s="5" t="s">
        <v>58</v>
      </c>
      <c r="AE30" s="5" t="s">
        <v>57</v>
      </c>
      <c r="AF30" s="5" t="s">
        <v>57</v>
      </c>
      <c r="AG30" s="5">
        <v>1</v>
      </c>
      <c r="AH30" s="5">
        <v>1</v>
      </c>
      <c r="AI30" s="153">
        <f t="shared" si="5"/>
        <v>30</v>
      </c>
      <c r="AJ30" s="54">
        <f t="shared" si="6"/>
        <v>19</v>
      </c>
      <c r="AK30" s="54">
        <f t="shared" si="7"/>
        <v>2</v>
      </c>
      <c r="AL30" s="55">
        <f t="shared" si="8"/>
        <v>9</v>
      </c>
    </row>
    <row r="31" spans="1:38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 t="s">
        <v>57</v>
      </c>
      <c r="F31" s="5" t="s">
        <v>57</v>
      </c>
      <c r="G31" s="5" t="s">
        <v>57</v>
      </c>
      <c r="H31" s="5" t="s">
        <v>58</v>
      </c>
      <c r="I31" s="5" t="s">
        <v>58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153">
        <f t="shared" si="5"/>
        <v>30</v>
      </c>
      <c r="AJ31" s="54">
        <f t="shared" si="6"/>
        <v>22</v>
      </c>
      <c r="AK31" s="54">
        <f t="shared" si="7"/>
        <v>5</v>
      </c>
      <c r="AL31" s="55">
        <f t="shared" si="8"/>
        <v>3</v>
      </c>
    </row>
    <row r="32" spans="1:38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 t="s">
        <v>58</v>
      </c>
      <c r="G32" s="42" t="s">
        <v>58</v>
      </c>
      <c r="H32" s="42" t="s">
        <v>58</v>
      </c>
      <c r="I32" s="42" t="s">
        <v>58</v>
      </c>
      <c r="J32" s="42" t="s">
        <v>58</v>
      </c>
      <c r="K32" s="42" t="s">
        <v>58</v>
      </c>
      <c r="L32" s="42" t="s">
        <v>58</v>
      </c>
      <c r="M32" s="42" t="s">
        <v>58</v>
      </c>
      <c r="N32" s="42" t="s">
        <v>58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>
        <v>1</v>
      </c>
      <c r="Y32" s="42">
        <v>1</v>
      </c>
      <c r="Z32" s="42">
        <v>1</v>
      </c>
      <c r="AA32" s="42">
        <v>1</v>
      </c>
      <c r="AB32" s="42" t="s">
        <v>57</v>
      </c>
      <c r="AC32" s="42">
        <v>1</v>
      </c>
      <c r="AD32" s="42">
        <v>1</v>
      </c>
      <c r="AE32" s="42">
        <v>1</v>
      </c>
      <c r="AF32" s="42">
        <v>1</v>
      </c>
      <c r="AG32" s="42">
        <v>1</v>
      </c>
      <c r="AH32" s="42" t="s">
        <v>57</v>
      </c>
      <c r="AI32" s="154">
        <f t="shared" si="5"/>
        <v>30</v>
      </c>
      <c r="AJ32" s="84">
        <f t="shared" si="6"/>
        <v>18</v>
      </c>
      <c r="AK32" s="84">
        <f t="shared" si="7"/>
        <v>10</v>
      </c>
      <c r="AL32" s="85">
        <f t="shared" si="8"/>
        <v>2</v>
      </c>
    </row>
    <row r="33" spans="1:38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34">
        <f>SUM(AI26:AI32)</f>
        <v>210</v>
      </c>
      <c r="AJ33" s="135">
        <f>SUM(AJ26:AJ32)</f>
        <v>107</v>
      </c>
      <c r="AK33" s="135">
        <f>SUM(AK26:AK32)</f>
        <v>82</v>
      </c>
      <c r="AL33" s="136">
        <f>SUM(AL26:AL32)</f>
        <v>21</v>
      </c>
    </row>
    <row r="34" spans="1:38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 t="s">
        <v>57</v>
      </c>
      <c r="Y34" s="35" t="s">
        <v>57</v>
      </c>
      <c r="Z34" s="35" t="s">
        <v>57</v>
      </c>
      <c r="AA34" s="35" t="s">
        <v>57</v>
      </c>
      <c r="AB34" s="35" t="s">
        <v>57</v>
      </c>
      <c r="AC34" s="35" t="s">
        <v>57</v>
      </c>
      <c r="AD34" s="35" t="s">
        <v>57</v>
      </c>
      <c r="AE34" s="35" t="s">
        <v>57</v>
      </c>
      <c r="AF34" s="35" t="s">
        <v>57</v>
      </c>
      <c r="AG34" s="35" t="s">
        <v>57</v>
      </c>
      <c r="AH34" s="35" t="s">
        <v>57</v>
      </c>
      <c r="AI34" s="155">
        <f>COUNTA(E34:AH34)</f>
        <v>30</v>
      </c>
      <c r="AJ34" s="17">
        <f>COUNTIF(E34:AH34,1)</f>
        <v>0</v>
      </c>
      <c r="AK34" s="17">
        <f>COUNTIF(E34:AH34,"тр")</f>
        <v>0</v>
      </c>
      <c r="AL34" s="18">
        <f>COUNTIF(E34:AH34,"бв")</f>
        <v>30</v>
      </c>
    </row>
    <row r="35" spans="1:38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>
        <v>1</v>
      </c>
      <c r="F35" s="5">
        <v>1</v>
      </c>
      <c r="G35" s="5">
        <v>1</v>
      </c>
      <c r="H35" s="5">
        <v>1</v>
      </c>
      <c r="I35" s="5" t="s">
        <v>58</v>
      </c>
      <c r="J35" s="5" t="s">
        <v>58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>
        <v>1</v>
      </c>
      <c r="S35" s="5" t="s">
        <v>57</v>
      </c>
      <c r="T35" s="5" t="s">
        <v>57</v>
      </c>
      <c r="U35" s="5" t="s">
        <v>57</v>
      </c>
      <c r="V35" s="5" t="s">
        <v>57</v>
      </c>
      <c r="W35" s="5" t="s">
        <v>57</v>
      </c>
      <c r="X35" s="5" t="s">
        <v>57</v>
      </c>
      <c r="Y35" s="5">
        <v>1</v>
      </c>
      <c r="Z35" s="5" t="s">
        <v>57</v>
      </c>
      <c r="AA35" s="5" t="s">
        <v>57</v>
      </c>
      <c r="AB35" s="5" t="s">
        <v>57</v>
      </c>
      <c r="AC35" s="5" t="s">
        <v>57</v>
      </c>
      <c r="AD35" s="5" t="s">
        <v>57</v>
      </c>
      <c r="AE35" s="5" t="s">
        <v>57</v>
      </c>
      <c r="AF35" s="5" t="s">
        <v>57</v>
      </c>
      <c r="AG35" s="5" t="s">
        <v>57</v>
      </c>
      <c r="AH35" s="5" t="s">
        <v>57</v>
      </c>
      <c r="AI35" s="155">
        <f>COUNTA(E35:AH35)</f>
        <v>30</v>
      </c>
      <c r="AJ35" s="54">
        <f>COUNTIF(E35:AH35,1)</f>
        <v>6</v>
      </c>
      <c r="AK35" s="54">
        <f>COUNTIF(E35:AH35,"тр")</f>
        <v>2</v>
      </c>
      <c r="AL35" s="55">
        <f>COUNTIF(E35:AH35,"бв")</f>
        <v>22</v>
      </c>
    </row>
    <row r="36" spans="1:38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 t="s">
        <v>58</v>
      </c>
      <c r="Y36" s="42" t="s">
        <v>58</v>
      </c>
      <c r="Z36" s="42" t="s">
        <v>58</v>
      </c>
      <c r="AA36" s="42" t="s">
        <v>58</v>
      </c>
      <c r="AB36" s="42" t="s">
        <v>58</v>
      </c>
      <c r="AC36" s="42" t="s">
        <v>58</v>
      </c>
      <c r="AD36" s="42" t="s">
        <v>58</v>
      </c>
      <c r="AE36" s="42" t="s">
        <v>58</v>
      </c>
      <c r="AF36" s="42" t="s">
        <v>58</v>
      </c>
      <c r="AG36" s="42" t="s">
        <v>58</v>
      </c>
      <c r="AH36" s="42" t="s">
        <v>58</v>
      </c>
      <c r="AI36" s="155">
        <f>COUNTA(E36:AH36)</f>
        <v>30</v>
      </c>
      <c r="AJ36" s="56">
        <f>COUNTIF(E36:AH36,1)</f>
        <v>0</v>
      </c>
      <c r="AK36" s="56">
        <f>COUNTIF(E36:AH36,"тр")</f>
        <v>30</v>
      </c>
      <c r="AL36" s="57">
        <f>COUNTIF(E36:AH36,"бв")</f>
        <v>0</v>
      </c>
    </row>
    <row r="37" spans="1:38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77">
        <f>SUM(AI34:AI36)</f>
        <v>90</v>
      </c>
      <c r="AJ37" s="69">
        <f>SUM(AJ34:AJ36)</f>
        <v>6</v>
      </c>
      <c r="AK37" s="69">
        <f>SUM(AK34:AK36)</f>
        <v>32</v>
      </c>
      <c r="AL37" s="75">
        <f>SUM(AL34:AL36)</f>
        <v>52</v>
      </c>
    </row>
    <row r="38" spans="1:38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 t="s">
        <v>58</v>
      </c>
      <c r="Y38" s="62" t="s">
        <v>58</v>
      </c>
      <c r="Z38" s="62" t="s">
        <v>58</v>
      </c>
      <c r="AA38" s="62" t="s">
        <v>58</v>
      </c>
      <c r="AB38" s="62" t="s">
        <v>58</v>
      </c>
      <c r="AC38" s="62" t="s">
        <v>58</v>
      </c>
      <c r="AD38" s="62" t="s">
        <v>58</v>
      </c>
      <c r="AE38" s="62" t="s">
        <v>58</v>
      </c>
      <c r="AF38" s="62" t="s">
        <v>58</v>
      </c>
      <c r="AG38" s="62" t="s">
        <v>58</v>
      </c>
      <c r="AH38" s="62" t="s">
        <v>58</v>
      </c>
      <c r="AI38" s="155">
        <f>COUNTA(E38:AH38)</f>
        <v>30</v>
      </c>
      <c r="AJ38" s="19">
        <f>COUNTIF(E38:AH38,1)</f>
        <v>0</v>
      </c>
      <c r="AK38" s="19">
        <f>COUNTIF(E38:AH38,"тр")</f>
        <v>30</v>
      </c>
      <c r="AL38" s="20">
        <f>COUNTIF(E38:AH38,"бв")</f>
        <v>0</v>
      </c>
    </row>
    <row r="39" spans="1:38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77">
        <f>SUM(AI38)</f>
        <v>30</v>
      </c>
      <c r="AJ39" s="69">
        <f>SUM(AJ38)</f>
        <v>0</v>
      </c>
      <c r="AK39" s="69">
        <f>SUM(AK38)</f>
        <v>30</v>
      </c>
      <c r="AL39" s="75">
        <f>SUM(AL38)</f>
        <v>0</v>
      </c>
    </row>
    <row r="40" spans="1:38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>
        <v>1</v>
      </c>
      <c r="F40" s="35">
        <v>1</v>
      </c>
      <c r="G40" s="35">
        <v>1</v>
      </c>
      <c r="H40" s="35">
        <v>1</v>
      </c>
      <c r="I40" s="35" t="s">
        <v>57</v>
      </c>
      <c r="J40" s="35">
        <v>1</v>
      </c>
      <c r="K40" s="35">
        <v>1</v>
      </c>
      <c r="L40" s="35">
        <v>1</v>
      </c>
      <c r="M40" s="35">
        <v>1</v>
      </c>
      <c r="N40" s="35">
        <v>1</v>
      </c>
      <c r="O40" s="35" t="s">
        <v>57</v>
      </c>
      <c r="P40" s="35" t="s">
        <v>57</v>
      </c>
      <c r="Q40" s="35">
        <v>1</v>
      </c>
      <c r="R40" s="35">
        <v>1</v>
      </c>
      <c r="S40" s="35">
        <v>1</v>
      </c>
      <c r="T40" s="35">
        <v>1</v>
      </c>
      <c r="U40" s="35">
        <v>1</v>
      </c>
      <c r="V40" s="35" t="s">
        <v>58</v>
      </c>
      <c r="W40" s="35" t="s">
        <v>58</v>
      </c>
      <c r="X40" s="35" t="s">
        <v>58</v>
      </c>
      <c r="Y40" s="35" t="s">
        <v>58</v>
      </c>
      <c r="Z40" s="35" t="s">
        <v>58</v>
      </c>
      <c r="AA40" s="35" t="s">
        <v>58</v>
      </c>
      <c r="AB40" s="35" t="s">
        <v>58</v>
      </c>
      <c r="AC40" s="35" t="s">
        <v>58</v>
      </c>
      <c r="AD40" s="35" t="s">
        <v>58</v>
      </c>
      <c r="AE40" s="35" t="s">
        <v>58</v>
      </c>
      <c r="AF40" s="35" t="s">
        <v>58</v>
      </c>
      <c r="AG40" s="35" t="s">
        <v>58</v>
      </c>
      <c r="AH40" s="35" t="s">
        <v>58</v>
      </c>
      <c r="AI40" s="155">
        <f>COUNTA(E40:AH40)</f>
        <v>30</v>
      </c>
      <c r="AJ40" s="17">
        <f>COUNTIF(E40:AH40,1)</f>
        <v>14</v>
      </c>
      <c r="AK40" s="17">
        <f>COUNTIF(E40:AH40,"тр")</f>
        <v>13</v>
      </c>
      <c r="AL40" s="18">
        <f>COUNTIF(E40:AH40,"бв")</f>
        <v>3</v>
      </c>
    </row>
    <row r="41" spans="1:38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 t="s">
        <v>57</v>
      </c>
      <c r="G41" s="7">
        <v>1</v>
      </c>
      <c r="H41" s="5">
        <v>1</v>
      </c>
      <c r="I41" s="5">
        <v>1</v>
      </c>
      <c r="J41" s="5">
        <v>1</v>
      </c>
      <c r="K41" s="5">
        <v>1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>
        <v>1</v>
      </c>
      <c r="R41" s="5">
        <v>1</v>
      </c>
      <c r="S41" s="5">
        <v>1</v>
      </c>
      <c r="T41" s="5" t="s">
        <v>57</v>
      </c>
      <c r="U41" s="5">
        <v>1</v>
      </c>
      <c r="V41" s="5">
        <v>1</v>
      </c>
      <c r="W41" s="5">
        <v>1</v>
      </c>
      <c r="X41" s="5">
        <v>1</v>
      </c>
      <c r="Y41" s="5">
        <v>1</v>
      </c>
      <c r="Z41" s="5">
        <v>1</v>
      </c>
      <c r="AA41" s="5">
        <v>1</v>
      </c>
      <c r="AB41" s="5">
        <v>1</v>
      </c>
      <c r="AC41" s="5">
        <v>1</v>
      </c>
      <c r="AD41" s="5">
        <v>1</v>
      </c>
      <c r="AE41" s="5">
        <v>1</v>
      </c>
      <c r="AF41" s="5">
        <v>1</v>
      </c>
      <c r="AG41" s="5" t="s">
        <v>57</v>
      </c>
      <c r="AH41" s="5" t="s">
        <v>57</v>
      </c>
      <c r="AI41" s="155">
        <f>COUNTA(E41:AH41)</f>
        <v>30</v>
      </c>
      <c r="AJ41" s="54">
        <f>COUNTIF(E41:AH41,1)</f>
        <v>26</v>
      </c>
      <c r="AK41" s="54">
        <f>COUNTIF(E41:AH41,"тр")</f>
        <v>0</v>
      </c>
      <c r="AL41" s="55">
        <f>COUNTIF(E41:AH41,"бв")</f>
        <v>4</v>
      </c>
    </row>
    <row r="42" spans="1:38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>
        <v>1</v>
      </c>
      <c r="F42" s="43">
        <v>1</v>
      </c>
      <c r="G42" s="43" t="s">
        <v>58</v>
      </c>
      <c r="H42" s="42" t="s">
        <v>58</v>
      </c>
      <c r="I42" s="42" t="s">
        <v>58</v>
      </c>
      <c r="J42" s="42" t="s">
        <v>58</v>
      </c>
      <c r="K42" s="42" t="s">
        <v>58</v>
      </c>
      <c r="L42" s="42" t="s">
        <v>58</v>
      </c>
      <c r="M42" s="42" t="s">
        <v>58</v>
      </c>
      <c r="N42" s="42" t="s">
        <v>58</v>
      </c>
      <c r="O42" s="42" t="s">
        <v>58</v>
      </c>
      <c r="P42" s="42" t="s">
        <v>58</v>
      </c>
      <c r="Q42" s="42" t="s">
        <v>58</v>
      </c>
      <c r="R42" s="42" t="s">
        <v>58</v>
      </c>
      <c r="S42" s="42" t="s">
        <v>58</v>
      </c>
      <c r="T42" s="42" t="s">
        <v>58</v>
      </c>
      <c r="U42" s="42" t="s">
        <v>58</v>
      </c>
      <c r="V42" s="42" t="s">
        <v>58</v>
      </c>
      <c r="W42" s="42" t="s">
        <v>58</v>
      </c>
      <c r="X42" s="42" t="s">
        <v>58</v>
      </c>
      <c r="Y42" s="42" t="s">
        <v>58</v>
      </c>
      <c r="Z42" s="42" t="s">
        <v>58</v>
      </c>
      <c r="AA42" s="42" t="s">
        <v>58</v>
      </c>
      <c r="AB42" s="42">
        <v>1</v>
      </c>
      <c r="AC42" s="42">
        <v>1</v>
      </c>
      <c r="AD42" s="42" t="s">
        <v>58</v>
      </c>
      <c r="AE42" s="42" t="s">
        <v>58</v>
      </c>
      <c r="AF42" s="42" t="s">
        <v>58</v>
      </c>
      <c r="AG42" s="42" t="s">
        <v>58</v>
      </c>
      <c r="AH42" s="42" t="s">
        <v>58</v>
      </c>
      <c r="AI42" s="155">
        <f>COUNTA(E42:AH42)</f>
        <v>30</v>
      </c>
      <c r="AJ42" s="56">
        <f>COUNTIF(E42:AH42,1)</f>
        <v>4</v>
      </c>
      <c r="AK42" s="56">
        <f>COUNTIF(E42:AH42,"тр")</f>
        <v>26</v>
      </c>
      <c r="AL42" s="57">
        <f>COUNTIF(E42:AH42,"бв")</f>
        <v>0</v>
      </c>
    </row>
    <row r="43" spans="1:38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77">
        <f>SUM(AI40:AI42)</f>
        <v>90</v>
      </c>
      <c r="AJ43" s="69">
        <f>SUM(AJ40:AJ42)</f>
        <v>44</v>
      </c>
      <c r="AK43" s="69">
        <f>SUM(AK40:AK42)</f>
        <v>39</v>
      </c>
      <c r="AL43" s="75">
        <f>SUM(AL40:AL42)</f>
        <v>7</v>
      </c>
    </row>
    <row r="44" spans="1:38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 t="s">
        <v>58</v>
      </c>
      <c r="G44" s="6">
        <v>1</v>
      </c>
      <c r="H44" s="35">
        <v>1</v>
      </c>
      <c r="I44" s="35">
        <v>1</v>
      </c>
      <c r="J44" s="35" t="s">
        <v>58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>
        <v>1</v>
      </c>
      <c r="Q44" s="35">
        <v>1</v>
      </c>
      <c r="R44" s="35">
        <v>1</v>
      </c>
      <c r="S44" s="35">
        <v>1</v>
      </c>
      <c r="T44" s="35">
        <v>1</v>
      </c>
      <c r="U44" s="35">
        <v>1</v>
      </c>
      <c r="V44" s="35">
        <v>1</v>
      </c>
      <c r="W44" s="35">
        <v>1</v>
      </c>
      <c r="X44" s="35">
        <v>1</v>
      </c>
      <c r="Y44" s="35">
        <v>1</v>
      </c>
      <c r="Z44" s="35">
        <v>1</v>
      </c>
      <c r="AA44" s="35">
        <v>1</v>
      </c>
      <c r="AB44" s="35">
        <v>1</v>
      </c>
      <c r="AC44" s="35">
        <v>1</v>
      </c>
      <c r="AD44" s="35">
        <v>1</v>
      </c>
      <c r="AE44" s="35">
        <v>1</v>
      </c>
      <c r="AF44" s="35">
        <v>1</v>
      </c>
      <c r="AG44" s="35">
        <v>1</v>
      </c>
      <c r="AH44" s="35">
        <v>1</v>
      </c>
      <c r="AI44" s="155">
        <f t="shared" ref="AI44:AI50" si="9">COUNTA(E44:AH44)</f>
        <v>30</v>
      </c>
      <c r="AJ44" s="17">
        <f t="shared" ref="AJ44:AJ50" si="10">COUNTIF(E44:AH44,1)</f>
        <v>28</v>
      </c>
      <c r="AK44" s="17">
        <f t="shared" ref="AK44:AK50" si="11">COUNTIF(E44:AH44,"тр")</f>
        <v>2</v>
      </c>
      <c r="AL44" s="18">
        <f t="shared" ref="AL44:AL50" si="12">COUNTIF(E44:AH44,"бв")</f>
        <v>0</v>
      </c>
    </row>
    <row r="45" spans="1:38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 t="s">
        <v>57</v>
      </c>
      <c r="U45" s="5" t="s">
        <v>58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>
        <v>1</v>
      </c>
      <c r="AF45" s="5">
        <v>1</v>
      </c>
      <c r="AG45" s="5">
        <v>1</v>
      </c>
      <c r="AH45" s="5">
        <v>1</v>
      </c>
      <c r="AI45" s="155">
        <f t="shared" si="9"/>
        <v>30</v>
      </c>
      <c r="AJ45" s="54">
        <f t="shared" si="10"/>
        <v>28</v>
      </c>
      <c r="AK45" s="54">
        <f t="shared" si="11"/>
        <v>1</v>
      </c>
      <c r="AL45" s="55">
        <f t="shared" si="12"/>
        <v>1</v>
      </c>
    </row>
    <row r="46" spans="1:38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 t="s">
        <v>57</v>
      </c>
      <c r="G46" s="5" t="s">
        <v>57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>
        <v>1</v>
      </c>
      <c r="O46" s="5">
        <v>1</v>
      </c>
      <c r="P46" s="5">
        <v>1</v>
      </c>
      <c r="Q46" s="5">
        <v>1</v>
      </c>
      <c r="R46" s="5">
        <v>1</v>
      </c>
      <c r="S46" s="5">
        <v>1</v>
      </c>
      <c r="T46" s="5">
        <v>1</v>
      </c>
      <c r="U46" s="5">
        <v>1</v>
      </c>
      <c r="V46" s="5">
        <v>1</v>
      </c>
      <c r="W46" s="5">
        <v>1</v>
      </c>
      <c r="X46" s="5">
        <v>1</v>
      </c>
      <c r="Y46" s="5">
        <v>1</v>
      </c>
      <c r="Z46" s="5">
        <v>1</v>
      </c>
      <c r="AA46" s="5">
        <v>1</v>
      </c>
      <c r="AB46" s="5">
        <v>1</v>
      </c>
      <c r="AC46" s="5">
        <v>1</v>
      </c>
      <c r="AD46" s="5">
        <v>1</v>
      </c>
      <c r="AE46" s="5">
        <v>1</v>
      </c>
      <c r="AF46" s="5">
        <v>1</v>
      </c>
      <c r="AG46" s="5">
        <v>1</v>
      </c>
      <c r="AH46" s="5">
        <v>1</v>
      </c>
      <c r="AI46" s="155">
        <f t="shared" si="9"/>
        <v>30</v>
      </c>
      <c r="AJ46" s="54">
        <f t="shared" si="10"/>
        <v>28</v>
      </c>
      <c r="AK46" s="54">
        <f t="shared" si="11"/>
        <v>0</v>
      </c>
      <c r="AL46" s="55">
        <f t="shared" si="12"/>
        <v>2</v>
      </c>
    </row>
    <row r="47" spans="1:38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 t="s">
        <v>57</v>
      </c>
      <c r="F47" s="5" t="s">
        <v>57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 t="s">
        <v>57</v>
      </c>
      <c r="P47" s="5">
        <v>1</v>
      </c>
      <c r="Q47" s="5">
        <v>1</v>
      </c>
      <c r="R47" s="5" t="s">
        <v>58</v>
      </c>
      <c r="S47" s="5">
        <v>1</v>
      </c>
      <c r="T47" s="5" t="s">
        <v>57</v>
      </c>
      <c r="U47" s="5">
        <v>1</v>
      </c>
      <c r="V47" s="5">
        <v>1</v>
      </c>
      <c r="W47" s="5">
        <v>1</v>
      </c>
      <c r="X47" s="5">
        <v>1</v>
      </c>
      <c r="Y47" s="5">
        <v>1</v>
      </c>
      <c r="Z47" s="5">
        <v>1</v>
      </c>
      <c r="AA47" s="5">
        <v>1</v>
      </c>
      <c r="AB47" s="5">
        <v>1</v>
      </c>
      <c r="AC47" s="5">
        <v>1</v>
      </c>
      <c r="AD47" s="5">
        <v>1</v>
      </c>
      <c r="AE47" s="5">
        <v>1</v>
      </c>
      <c r="AF47" s="5">
        <v>1</v>
      </c>
      <c r="AG47" s="5" t="s">
        <v>57</v>
      </c>
      <c r="AH47" s="5" t="s">
        <v>57</v>
      </c>
      <c r="AI47" s="155">
        <f t="shared" si="9"/>
        <v>30</v>
      </c>
      <c r="AJ47" s="54">
        <f t="shared" si="10"/>
        <v>23</v>
      </c>
      <c r="AK47" s="54">
        <f t="shared" si="11"/>
        <v>1</v>
      </c>
      <c r="AL47" s="55">
        <f t="shared" si="12"/>
        <v>6</v>
      </c>
    </row>
    <row r="48" spans="1:38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 t="s">
        <v>58</v>
      </c>
      <c r="L48" s="5" t="s">
        <v>58</v>
      </c>
      <c r="M48" s="5" t="s">
        <v>58</v>
      </c>
      <c r="N48" s="5" t="s">
        <v>58</v>
      </c>
      <c r="O48" s="5" t="s">
        <v>58</v>
      </c>
      <c r="P48" s="5" t="s">
        <v>58</v>
      </c>
      <c r="Q48" s="5">
        <v>1</v>
      </c>
      <c r="R48" s="5" t="s">
        <v>58</v>
      </c>
      <c r="S48" s="5">
        <v>1</v>
      </c>
      <c r="T48" s="5">
        <v>1</v>
      </c>
      <c r="U48" s="5">
        <v>1</v>
      </c>
      <c r="V48" s="5" t="s">
        <v>57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 t="s">
        <v>57</v>
      </c>
      <c r="AD48" s="5" t="s">
        <v>57</v>
      </c>
      <c r="AE48" s="5">
        <v>1</v>
      </c>
      <c r="AF48" s="5">
        <v>1</v>
      </c>
      <c r="AG48" s="5">
        <v>1</v>
      </c>
      <c r="AH48" s="5">
        <v>1</v>
      </c>
      <c r="AI48" s="155">
        <f t="shared" si="9"/>
        <v>30</v>
      </c>
      <c r="AJ48" s="54">
        <f t="shared" si="10"/>
        <v>20</v>
      </c>
      <c r="AK48" s="54">
        <f t="shared" si="11"/>
        <v>7</v>
      </c>
      <c r="AL48" s="55">
        <f t="shared" si="12"/>
        <v>3</v>
      </c>
    </row>
    <row r="49" spans="1:38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 t="s">
        <v>58</v>
      </c>
      <c r="F49" s="5" t="s">
        <v>58</v>
      </c>
      <c r="G49" s="5">
        <v>1</v>
      </c>
      <c r="H49" s="5" t="s">
        <v>57</v>
      </c>
      <c r="I49" s="5">
        <v>1</v>
      </c>
      <c r="J49" s="5">
        <v>1</v>
      </c>
      <c r="K49" s="5" t="s">
        <v>58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 t="s">
        <v>58</v>
      </c>
      <c r="T49" s="5" t="s">
        <v>58</v>
      </c>
      <c r="U49" s="5" t="s">
        <v>58</v>
      </c>
      <c r="V49" s="5" t="s">
        <v>58</v>
      </c>
      <c r="W49" s="5" t="s">
        <v>58</v>
      </c>
      <c r="X49" s="5">
        <v>1</v>
      </c>
      <c r="Y49" s="5">
        <v>1</v>
      </c>
      <c r="Z49" s="5">
        <v>1</v>
      </c>
      <c r="AA49" s="5">
        <v>1</v>
      </c>
      <c r="AB49" s="5" t="s">
        <v>57</v>
      </c>
      <c r="AC49" s="5" t="s">
        <v>58</v>
      </c>
      <c r="AD49" s="5">
        <v>1</v>
      </c>
      <c r="AE49" s="5">
        <v>1</v>
      </c>
      <c r="AF49" s="5">
        <v>1</v>
      </c>
      <c r="AG49" s="5">
        <v>1</v>
      </c>
      <c r="AH49" s="5" t="s">
        <v>57</v>
      </c>
      <c r="AI49" s="155">
        <f t="shared" si="9"/>
        <v>30</v>
      </c>
      <c r="AJ49" s="54">
        <f t="shared" si="10"/>
        <v>18</v>
      </c>
      <c r="AK49" s="54">
        <f t="shared" si="11"/>
        <v>9</v>
      </c>
      <c r="AL49" s="55">
        <f t="shared" si="12"/>
        <v>3</v>
      </c>
    </row>
    <row r="50" spans="1:38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 t="s">
        <v>58</v>
      </c>
      <c r="G50" s="42" t="s">
        <v>58</v>
      </c>
      <c r="H50" s="42" t="s">
        <v>58</v>
      </c>
      <c r="I50" s="42" t="s">
        <v>58</v>
      </c>
      <c r="J50" s="42" t="s">
        <v>58</v>
      </c>
      <c r="K50" s="42">
        <v>1</v>
      </c>
      <c r="L50" s="42">
        <v>1</v>
      </c>
      <c r="M50" s="42">
        <v>1</v>
      </c>
      <c r="N50" s="42">
        <v>1</v>
      </c>
      <c r="O50" s="42" t="s">
        <v>58</v>
      </c>
      <c r="P50" s="42">
        <v>1</v>
      </c>
      <c r="Q50" s="42" t="s">
        <v>58</v>
      </c>
      <c r="R50" s="42">
        <v>1</v>
      </c>
      <c r="S50" s="42">
        <v>1</v>
      </c>
      <c r="T50" s="42">
        <v>1</v>
      </c>
      <c r="U50" s="42" t="s">
        <v>58</v>
      </c>
      <c r="V50" s="42">
        <v>1</v>
      </c>
      <c r="W50" s="42">
        <v>1</v>
      </c>
      <c r="X50" s="42">
        <v>1</v>
      </c>
      <c r="Y50" s="42">
        <v>1</v>
      </c>
      <c r="Z50" s="42">
        <v>1</v>
      </c>
      <c r="AA50" s="42">
        <v>1</v>
      </c>
      <c r="AB50" s="42">
        <v>1</v>
      </c>
      <c r="AC50" s="42" t="s">
        <v>57</v>
      </c>
      <c r="AD50" s="42">
        <v>1</v>
      </c>
      <c r="AE50" s="42">
        <v>1</v>
      </c>
      <c r="AF50" s="42">
        <v>1</v>
      </c>
      <c r="AG50" s="42">
        <v>1</v>
      </c>
      <c r="AH50" s="42" t="s">
        <v>57</v>
      </c>
      <c r="AI50" s="155">
        <f t="shared" si="9"/>
        <v>30</v>
      </c>
      <c r="AJ50" s="56">
        <f t="shared" si="10"/>
        <v>20</v>
      </c>
      <c r="AK50" s="56">
        <f t="shared" si="11"/>
        <v>8</v>
      </c>
      <c r="AL50" s="57">
        <f t="shared" si="12"/>
        <v>2</v>
      </c>
    </row>
    <row r="51" spans="1:38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77">
        <f>SUM(AI44:AI50)</f>
        <v>210</v>
      </c>
      <c r="AJ51" s="69">
        <f>SUM(AJ44:AJ50)</f>
        <v>165</v>
      </c>
      <c r="AK51" s="69">
        <f>SUM(AK44:AK50)</f>
        <v>28</v>
      </c>
      <c r="AL51" s="75">
        <f>SUM(AL44:AL50)</f>
        <v>17</v>
      </c>
    </row>
    <row r="52" spans="1:38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>
        <v>1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 t="s">
        <v>57</v>
      </c>
      <c r="N52" s="42" t="s">
        <v>57</v>
      </c>
      <c r="O52" s="42">
        <v>1</v>
      </c>
      <c r="P52" s="42">
        <v>1</v>
      </c>
      <c r="Q52" s="42">
        <v>1</v>
      </c>
      <c r="R52" s="42">
        <v>1</v>
      </c>
      <c r="S52" s="42">
        <v>1</v>
      </c>
      <c r="T52" s="42" t="s">
        <v>57</v>
      </c>
      <c r="U52" s="42" t="s">
        <v>57</v>
      </c>
      <c r="V52" s="42">
        <v>1</v>
      </c>
      <c r="W52" s="42">
        <v>1</v>
      </c>
      <c r="X52" s="42">
        <v>1</v>
      </c>
      <c r="Y52" s="42">
        <v>1</v>
      </c>
      <c r="Z52" s="42">
        <v>1</v>
      </c>
      <c r="AA52" s="42">
        <v>1</v>
      </c>
      <c r="AB52" s="42">
        <v>1</v>
      </c>
      <c r="AC52" s="42">
        <v>1</v>
      </c>
      <c r="AD52" s="42">
        <v>1</v>
      </c>
      <c r="AE52" s="42">
        <v>1</v>
      </c>
      <c r="AF52" s="42">
        <v>1</v>
      </c>
      <c r="AG52" s="42">
        <v>1</v>
      </c>
      <c r="AH52" s="42">
        <v>1</v>
      </c>
      <c r="AI52" s="155">
        <f>COUNTA(E52:AH52)</f>
        <v>30</v>
      </c>
      <c r="AJ52" s="56">
        <f>COUNTIF(E52:AH52,1)</f>
        <v>26</v>
      </c>
      <c r="AK52" s="56">
        <f>COUNTIF(E52:AH52,"тр")</f>
        <v>0</v>
      </c>
      <c r="AL52" s="57">
        <f>COUNTIF(E52:AH52,"бв")</f>
        <v>4</v>
      </c>
    </row>
    <row r="53" spans="1:38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77">
        <f>SUM(AI52:AI52)</f>
        <v>30</v>
      </c>
      <c r="AJ53" s="69">
        <f>SUM(AJ52:AJ52)</f>
        <v>26</v>
      </c>
      <c r="AK53" s="69">
        <f>SUM(AK52:AK52)</f>
        <v>0</v>
      </c>
      <c r="AL53" s="75">
        <f>SUM(AL52:AL52)</f>
        <v>4</v>
      </c>
    </row>
    <row r="54" spans="1:38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>
        <v>1</v>
      </c>
      <c r="L54" s="92">
        <v>1</v>
      </c>
      <c r="M54" s="92">
        <v>1</v>
      </c>
      <c r="N54" s="92">
        <v>1</v>
      </c>
      <c r="O54" s="92">
        <v>1</v>
      </c>
      <c r="P54" s="92">
        <v>1</v>
      </c>
      <c r="Q54" s="92" t="s">
        <v>57</v>
      </c>
      <c r="R54" s="92" t="s">
        <v>58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>
        <v>1</v>
      </c>
      <c r="Y54" s="92">
        <v>1</v>
      </c>
      <c r="Z54" s="92">
        <v>1</v>
      </c>
      <c r="AA54" s="92">
        <v>1</v>
      </c>
      <c r="AB54" s="92">
        <v>1</v>
      </c>
      <c r="AC54" s="92" t="s">
        <v>58</v>
      </c>
      <c r="AD54" s="92" t="s">
        <v>58</v>
      </c>
      <c r="AE54" s="92" t="s">
        <v>58</v>
      </c>
      <c r="AF54" s="92">
        <v>1</v>
      </c>
      <c r="AG54" s="92">
        <v>1</v>
      </c>
      <c r="AH54" s="92">
        <v>1</v>
      </c>
      <c r="AI54" s="152">
        <f>COUNTA(E54:AH54)</f>
        <v>30</v>
      </c>
      <c r="AJ54" s="80">
        <f>COUNTIF(E54:AH54,1)</f>
        <v>25</v>
      </c>
      <c r="AK54" s="80">
        <f>COUNTIF(E54:AH54,"тр")</f>
        <v>4</v>
      </c>
      <c r="AL54" s="81">
        <f>COUNTIF(E54:AH54,"бв")</f>
        <v>1</v>
      </c>
    </row>
    <row r="55" spans="1:38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>
        <v>1</v>
      </c>
      <c r="G55" s="42">
        <v>1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 t="s">
        <v>57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>
        <v>1</v>
      </c>
      <c r="AF55" s="42">
        <v>1</v>
      </c>
      <c r="AG55" s="42">
        <v>1</v>
      </c>
      <c r="AH55" s="42">
        <v>1</v>
      </c>
      <c r="AI55" s="155">
        <f>COUNTA(E55:AH55)</f>
        <v>30</v>
      </c>
      <c r="AJ55" s="56">
        <f>COUNTIF(E55:AH55,1)</f>
        <v>29</v>
      </c>
      <c r="AK55" s="56">
        <f>COUNTIF(E55:AH55,"тр")</f>
        <v>0</v>
      </c>
      <c r="AL55" s="57">
        <f>COUNTIF(E55:AH55,"бв")</f>
        <v>1</v>
      </c>
    </row>
    <row r="56" spans="1:38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 t="s">
        <v>57</v>
      </c>
      <c r="H56" s="97" t="s">
        <v>58</v>
      </c>
      <c r="I56" s="97" t="s">
        <v>58</v>
      </c>
      <c r="J56" s="97" t="s">
        <v>58</v>
      </c>
      <c r="K56" s="97" t="s">
        <v>58</v>
      </c>
      <c r="L56" s="97" t="s">
        <v>58</v>
      </c>
      <c r="M56" s="97" t="s">
        <v>58</v>
      </c>
      <c r="N56" s="97" t="s">
        <v>58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>
        <v>1</v>
      </c>
      <c r="V56" s="97">
        <v>1</v>
      </c>
      <c r="W56" s="97">
        <v>1</v>
      </c>
      <c r="X56" s="97" t="s">
        <v>57</v>
      </c>
      <c r="Y56" s="97">
        <v>1</v>
      </c>
      <c r="Z56" s="97">
        <v>1</v>
      </c>
      <c r="AA56" s="97">
        <v>1</v>
      </c>
      <c r="AB56" s="97">
        <v>1</v>
      </c>
      <c r="AC56" s="97">
        <v>1</v>
      </c>
      <c r="AD56" s="97">
        <v>1</v>
      </c>
      <c r="AE56" s="97" t="s">
        <v>58</v>
      </c>
      <c r="AF56" s="97">
        <v>1</v>
      </c>
      <c r="AG56" s="97" t="s">
        <v>57</v>
      </c>
      <c r="AH56" s="97" t="s">
        <v>57</v>
      </c>
      <c r="AI56" s="157">
        <f>COUNTA(E56:AH56)</f>
        <v>30</v>
      </c>
      <c r="AJ56" s="84">
        <f>COUNTIF(E56:AH56,1)</f>
        <v>17</v>
      </c>
      <c r="AK56" s="84">
        <f>COUNTIF(E56:AH56,"тр")</f>
        <v>8</v>
      </c>
      <c r="AL56" s="85">
        <f>COUNTIF(E56:AH56,"бв")</f>
        <v>5</v>
      </c>
    </row>
    <row r="57" spans="1:38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77">
        <f>SUM(AI54:AI56)</f>
        <v>90</v>
      </c>
      <c r="AJ57" s="69">
        <f>SUM(AJ54:AJ56)</f>
        <v>71</v>
      </c>
      <c r="AK57" s="69">
        <f>SUM(AK54:AK56)</f>
        <v>12</v>
      </c>
      <c r="AL57" s="75">
        <f>SUM(AL54:AL56)</f>
        <v>7</v>
      </c>
    </row>
    <row r="58" spans="1:38" s="33" customFormat="1" x14ac:dyDescent="0.25">
      <c r="A58" s="167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3">
        <f>AI25+AI33+AI37+AI39+AI43+AI51+AI53+AI57</f>
        <v>1380</v>
      </c>
      <c r="AJ58" s="53"/>
      <c r="AK58" s="53"/>
      <c r="AL58" s="53"/>
    </row>
    <row r="59" spans="1:38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8"/>
      <c r="AK59" s="48"/>
      <c r="AL59" s="48"/>
    </row>
    <row r="60" spans="1:38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</row>
    <row r="61" spans="1:38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>
        <v>30</v>
      </c>
      <c r="AI61" s="27" t="s">
        <v>62</v>
      </c>
      <c r="AJ61" s="31" t="s">
        <v>61</v>
      </c>
      <c r="AK61" s="31" t="s">
        <v>58</v>
      </c>
      <c r="AL61" s="32" t="s">
        <v>57</v>
      </c>
    </row>
    <row r="62" spans="1:38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>
        <v>1</v>
      </c>
      <c r="Y62" s="35">
        <v>1</v>
      </c>
      <c r="Z62" s="35">
        <v>1</v>
      </c>
      <c r="AA62" s="35">
        <v>1</v>
      </c>
      <c r="AB62" s="35">
        <v>1</v>
      </c>
      <c r="AC62" s="35">
        <v>1</v>
      </c>
      <c r="AD62" s="35">
        <v>1</v>
      </c>
      <c r="AE62" s="35">
        <v>1</v>
      </c>
      <c r="AF62" s="35">
        <v>1</v>
      </c>
      <c r="AG62" s="35">
        <v>1</v>
      </c>
      <c r="AH62" s="35">
        <v>1</v>
      </c>
      <c r="AI62" s="155">
        <f>COUNTA(E62:AH62)</f>
        <v>30</v>
      </c>
      <c r="AJ62" s="17">
        <f>COUNTIF(E62:AH62,1)</f>
        <v>30</v>
      </c>
      <c r="AK62" s="17">
        <f>COUNTIF(E62:AH62,"тр")</f>
        <v>0</v>
      </c>
      <c r="AL62" s="18">
        <f>COUNTIF(E62:AH62,"бв")</f>
        <v>0</v>
      </c>
    </row>
    <row r="63" spans="1:38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>
        <v>1</v>
      </c>
      <c r="Y63" s="5">
        <v>1</v>
      </c>
      <c r="Z63" s="5">
        <v>1</v>
      </c>
      <c r="AA63" s="5">
        <v>1</v>
      </c>
      <c r="AB63" s="5">
        <v>1</v>
      </c>
      <c r="AC63" s="5">
        <v>1</v>
      </c>
      <c r="AD63" s="5">
        <v>1</v>
      </c>
      <c r="AE63" s="5">
        <v>1</v>
      </c>
      <c r="AF63" s="5">
        <v>1</v>
      </c>
      <c r="AG63" s="5">
        <v>1</v>
      </c>
      <c r="AH63" s="5">
        <v>1</v>
      </c>
      <c r="AI63" s="153">
        <f>COUNTA(E63:AH63)</f>
        <v>30</v>
      </c>
      <c r="AJ63" s="54">
        <f>COUNTIF(E63:AH63,1)</f>
        <v>30</v>
      </c>
      <c r="AK63" s="54">
        <f>COUNTIF(E63:AH63,"тр")</f>
        <v>0</v>
      </c>
      <c r="AL63" s="55">
        <f>COUNTIF(E63:AH63,"бв")</f>
        <v>0</v>
      </c>
    </row>
    <row r="64" spans="1:38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 t="s">
        <v>57</v>
      </c>
      <c r="F64" s="5" t="s">
        <v>57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 s="5" t="s">
        <v>57</v>
      </c>
      <c r="M64" s="5" t="s">
        <v>57</v>
      </c>
      <c r="N64" s="5">
        <v>1</v>
      </c>
      <c r="O64" s="5" t="s">
        <v>57</v>
      </c>
      <c r="P64" s="5" t="s">
        <v>58</v>
      </c>
      <c r="Q64" s="5" t="s">
        <v>58</v>
      </c>
      <c r="R64" s="5">
        <v>1</v>
      </c>
      <c r="S64" s="5" t="s">
        <v>57</v>
      </c>
      <c r="T64" s="5" t="s">
        <v>57</v>
      </c>
      <c r="U64" s="5" t="s">
        <v>57</v>
      </c>
      <c r="V64" s="5" t="s">
        <v>57</v>
      </c>
      <c r="W64" s="5" t="s">
        <v>57</v>
      </c>
      <c r="X64" s="5" t="s">
        <v>57</v>
      </c>
      <c r="Y64" s="5" t="s">
        <v>57</v>
      </c>
      <c r="Z64" s="5" t="s">
        <v>57</v>
      </c>
      <c r="AA64" s="5" t="s">
        <v>57</v>
      </c>
      <c r="AB64" s="5" t="s">
        <v>57</v>
      </c>
      <c r="AC64" s="5" t="s">
        <v>57</v>
      </c>
      <c r="AD64" s="5" t="s">
        <v>57</v>
      </c>
      <c r="AE64" s="5">
        <v>1</v>
      </c>
      <c r="AF64" s="5" t="s">
        <v>57</v>
      </c>
      <c r="AG64" s="5">
        <v>1</v>
      </c>
      <c r="AH64" s="5">
        <v>1</v>
      </c>
      <c r="AI64" s="153">
        <f>COUNTA(E64:AH64)</f>
        <v>30</v>
      </c>
      <c r="AJ64" s="54">
        <f>COUNTIF(E64:AH64,1)</f>
        <v>10</v>
      </c>
      <c r="AK64" s="54">
        <f>COUNTIF(E64:AH64,"тр")</f>
        <v>2</v>
      </c>
      <c r="AL64" s="55">
        <f>COUNTIF(E64:AH64,"бв")</f>
        <v>18</v>
      </c>
    </row>
    <row r="65" spans="1:38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 t="s">
        <v>58</v>
      </c>
      <c r="Y65" s="5" t="s">
        <v>58</v>
      </c>
      <c r="Z65" s="5" t="s">
        <v>58</v>
      </c>
      <c r="AA65" s="5" t="s">
        <v>58</v>
      </c>
      <c r="AB65" s="5" t="s">
        <v>58</v>
      </c>
      <c r="AC65" s="5" t="s">
        <v>58</v>
      </c>
      <c r="AD65" s="5" t="s">
        <v>58</v>
      </c>
      <c r="AE65" s="5" t="s">
        <v>58</v>
      </c>
      <c r="AF65" s="5" t="s">
        <v>58</v>
      </c>
      <c r="AG65" s="5" t="s">
        <v>58</v>
      </c>
      <c r="AH65" s="5" t="s">
        <v>58</v>
      </c>
      <c r="AI65" s="153">
        <f>COUNTA(E65:AH65)</f>
        <v>30</v>
      </c>
      <c r="AJ65" s="54">
        <f>COUNTIF(E65:AH65,1)</f>
        <v>0</v>
      </c>
      <c r="AK65" s="54">
        <f>COUNTIF(E65:AH65,"тр")</f>
        <v>30</v>
      </c>
      <c r="AL65" s="55">
        <f>COUNTIF(E65:AH65,"бв")</f>
        <v>0</v>
      </c>
    </row>
    <row r="66" spans="1:38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 t="s">
        <v>58</v>
      </c>
      <c r="Y66" s="42" t="s">
        <v>58</v>
      </c>
      <c r="Z66" s="42" t="s">
        <v>58</v>
      </c>
      <c r="AA66" s="42" t="s">
        <v>58</v>
      </c>
      <c r="AB66" s="42" t="s">
        <v>58</v>
      </c>
      <c r="AC66" s="42" t="s">
        <v>58</v>
      </c>
      <c r="AD66" s="42" t="s">
        <v>58</v>
      </c>
      <c r="AE66" s="42" t="s">
        <v>58</v>
      </c>
      <c r="AF66" s="42" t="s">
        <v>58</v>
      </c>
      <c r="AG66" s="42" t="s">
        <v>58</v>
      </c>
      <c r="AH66" s="42" t="s">
        <v>58</v>
      </c>
      <c r="AI66" s="156">
        <f>COUNTA(E66:AH66)</f>
        <v>30</v>
      </c>
      <c r="AJ66" s="56">
        <f>COUNTIF(E66:AH66,1)</f>
        <v>0</v>
      </c>
      <c r="AK66" s="56">
        <f>COUNTIF(E66:AH66,"тр")</f>
        <v>30</v>
      </c>
      <c r="AL66" s="57">
        <f>COUNTIF(E66:AH66,"бв")</f>
        <v>0</v>
      </c>
    </row>
    <row r="67" spans="1:38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77">
        <f>SUM(AI62:AI66)</f>
        <v>150</v>
      </c>
      <c r="AJ67" s="69">
        <f t="shared" ref="AJ67:AL67" si="14">SUM(AJ62:AJ66)</f>
        <v>70</v>
      </c>
      <c r="AK67" s="69">
        <f t="shared" si="14"/>
        <v>62</v>
      </c>
      <c r="AL67" s="75">
        <f t="shared" si="14"/>
        <v>18</v>
      </c>
    </row>
    <row r="68" spans="1:38" s="33" customFormat="1" x14ac:dyDescent="0.25">
      <c r="A68" s="167"/>
      <c r="B68" s="49"/>
      <c r="C68" s="50"/>
      <c r="D68" s="50"/>
      <c r="Y68" s="51" t="s">
        <v>68</v>
      </c>
      <c r="AI68" s="76">
        <f>AI67</f>
        <v>150</v>
      </c>
    </row>
    <row r="70" spans="1:38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L58"/>
  <mergeCells count="2">
    <mergeCell ref="A1:AL1"/>
    <mergeCell ref="A60:AL60"/>
  </mergeCells>
  <conditionalFormatting sqref="AI25:AL25 AI33:AL33 AI37:AL37 AI39:AL39 AI43:AL43 AI51:AL51 AI53:AL53 AI57:AL57 AI67:AL67 E52:AI52 E34:AI36 E38:AI38 E62:AI66 E26:AI32 E40:AI42 E44:AI50 E54:AI56 E4:AI23 AI24">
    <cfRule type="containsBlanks" dxfId="3" priority="3">
      <formula>LEN(TRIM(E4))=0</formula>
    </cfRule>
  </conditionalFormatting>
  <conditionalFormatting sqref="E24:AH24">
    <cfRule type="containsBlanks" dxfId="2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M70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W8" sqref="W8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9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Июль 2019 автоколонны № 1 г. Жодино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  <c r="AJ1" s="169"/>
      <c r="AK1" s="169"/>
      <c r="AL1" s="169"/>
      <c r="AM1" s="169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68" customFormat="1" ht="16.3" thickBot="1" x14ac:dyDescent="0.3">
      <c r="A3" s="131" t="s">
        <v>56</v>
      </c>
      <c r="B3" s="146" t="s">
        <v>46</v>
      </c>
      <c r="C3" s="146" t="s">
        <v>48</v>
      </c>
      <c r="D3" s="147" t="s">
        <v>49</v>
      </c>
      <c r="E3" s="151">
        <v>1</v>
      </c>
      <c r="F3" s="148">
        <v>2</v>
      </c>
      <c r="G3" s="148">
        <v>3</v>
      </c>
      <c r="H3" s="148">
        <v>4</v>
      </c>
      <c r="I3" s="148">
        <v>5</v>
      </c>
      <c r="J3" s="148">
        <v>6</v>
      </c>
      <c r="K3" s="148">
        <v>7</v>
      </c>
      <c r="L3" s="148">
        <v>8</v>
      </c>
      <c r="M3" s="148">
        <v>9</v>
      </c>
      <c r="N3" s="148">
        <v>10</v>
      </c>
      <c r="O3" s="148">
        <v>11</v>
      </c>
      <c r="P3" s="148">
        <v>12</v>
      </c>
      <c r="Q3" s="148">
        <v>13</v>
      </c>
      <c r="R3" s="148">
        <v>14</v>
      </c>
      <c r="S3" s="148">
        <v>15</v>
      </c>
      <c r="T3" s="148">
        <v>16</v>
      </c>
      <c r="U3" s="148">
        <v>17</v>
      </c>
      <c r="V3" s="148">
        <v>18</v>
      </c>
      <c r="W3" s="148">
        <v>19</v>
      </c>
      <c r="X3" s="148">
        <v>20</v>
      </c>
      <c r="Y3" s="148">
        <v>21</v>
      </c>
      <c r="Z3" s="148">
        <v>22</v>
      </c>
      <c r="AA3" s="148">
        <v>23</v>
      </c>
      <c r="AB3" s="148">
        <v>24</v>
      </c>
      <c r="AC3" s="148">
        <v>25</v>
      </c>
      <c r="AD3" s="148">
        <v>26</v>
      </c>
      <c r="AE3" s="148">
        <v>27</v>
      </c>
      <c r="AF3" s="148">
        <v>28</v>
      </c>
      <c r="AG3" s="148">
        <v>29</v>
      </c>
      <c r="AH3" s="150">
        <v>30</v>
      </c>
      <c r="AI3" s="150">
        <v>31</v>
      </c>
      <c r="AJ3" s="131" t="s">
        <v>62</v>
      </c>
      <c r="AK3" s="132" t="s">
        <v>61</v>
      </c>
      <c r="AL3" s="132" t="s">
        <v>58</v>
      </c>
      <c r="AM3" s="133" t="s">
        <v>57</v>
      </c>
    </row>
    <row r="4" spans="1:39" x14ac:dyDescent="0.25">
      <c r="A4" s="103">
        <v>1</v>
      </c>
      <c r="B4" s="104" t="s">
        <v>53</v>
      </c>
      <c r="C4" s="105" t="s">
        <v>4</v>
      </c>
      <c r="D4" s="106">
        <v>6982</v>
      </c>
      <c r="E4" s="143">
        <v>1</v>
      </c>
      <c r="F4" s="92">
        <v>1</v>
      </c>
      <c r="G4" s="92">
        <v>1</v>
      </c>
      <c r="H4" s="92">
        <v>1</v>
      </c>
      <c r="I4" s="92">
        <v>1</v>
      </c>
      <c r="J4" s="92" t="s">
        <v>57</v>
      </c>
      <c r="K4" s="92" t="s">
        <v>57</v>
      </c>
      <c r="L4" s="92">
        <v>1</v>
      </c>
      <c r="M4" s="92">
        <v>1</v>
      </c>
      <c r="N4" s="92">
        <v>1</v>
      </c>
      <c r="O4" s="92">
        <v>1</v>
      </c>
      <c r="P4" s="92">
        <v>1</v>
      </c>
      <c r="Q4" s="92">
        <v>1</v>
      </c>
      <c r="R4" s="92">
        <v>1</v>
      </c>
      <c r="S4" s="92" t="s">
        <v>57</v>
      </c>
      <c r="T4" s="92">
        <v>1</v>
      </c>
      <c r="U4" s="92">
        <v>1</v>
      </c>
      <c r="V4" s="92">
        <v>1</v>
      </c>
      <c r="W4" s="92">
        <v>1</v>
      </c>
      <c r="X4" s="92"/>
      <c r="Y4" s="92"/>
      <c r="Z4" s="92"/>
      <c r="AA4" s="92"/>
      <c r="AB4" s="92"/>
      <c r="AC4" s="92"/>
      <c r="AD4" s="92"/>
      <c r="AE4" s="92"/>
      <c r="AF4" s="92"/>
      <c r="AG4" s="92"/>
      <c r="AH4" s="101"/>
      <c r="AI4" s="101"/>
      <c r="AJ4" s="152">
        <f t="shared" ref="AJ4:AJ24" si="0">COUNTA(E4:AI4)</f>
        <v>19</v>
      </c>
      <c r="AK4" s="80">
        <f t="shared" ref="AK4:AK24" si="1">COUNTIF(E4:AI4,1)</f>
        <v>16</v>
      </c>
      <c r="AL4" s="80">
        <f t="shared" ref="AL4:AL24" si="2">COUNTIF(E4:AI4,"тр")</f>
        <v>0</v>
      </c>
      <c r="AM4" s="81">
        <f t="shared" ref="AM4:AM24" si="3">COUNTIF(E4:AI4,"бв")</f>
        <v>3</v>
      </c>
    </row>
    <row r="5" spans="1:39" x14ac:dyDescent="0.25">
      <c r="A5" s="11">
        <f t="shared" ref="A5:A56" si="4">A4+1</f>
        <v>2</v>
      </c>
      <c r="B5" s="12" t="s">
        <v>53</v>
      </c>
      <c r="C5" s="13" t="s">
        <v>5</v>
      </c>
      <c r="D5" s="22">
        <v>5721</v>
      </c>
      <c r="E5" s="7">
        <v>1</v>
      </c>
      <c r="F5" s="5" t="s">
        <v>58</v>
      </c>
      <c r="G5" s="5" t="s">
        <v>58</v>
      </c>
      <c r="H5" s="5" t="s">
        <v>58</v>
      </c>
      <c r="I5" s="5">
        <v>1</v>
      </c>
      <c r="J5" s="5">
        <v>1</v>
      </c>
      <c r="K5" s="5">
        <v>1</v>
      </c>
      <c r="L5" s="5">
        <v>1</v>
      </c>
      <c r="M5" s="5">
        <v>1</v>
      </c>
      <c r="N5" s="5">
        <v>1</v>
      </c>
      <c r="O5" s="5">
        <v>1</v>
      </c>
      <c r="P5" s="5" t="s">
        <v>58</v>
      </c>
      <c r="Q5" s="5" t="s">
        <v>58</v>
      </c>
      <c r="R5" s="5" t="s">
        <v>58</v>
      </c>
      <c r="S5" s="5" t="s">
        <v>58</v>
      </c>
      <c r="T5" s="5" t="s">
        <v>58</v>
      </c>
      <c r="U5" s="5" t="s">
        <v>58</v>
      </c>
      <c r="V5" s="5" t="s">
        <v>58</v>
      </c>
      <c r="W5" s="5" t="s">
        <v>58</v>
      </c>
      <c r="X5" s="5"/>
      <c r="Y5" s="5"/>
      <c r="Z5" s="5"/>
      <c r="AA5" s="5"/>
      <c r="AB5" s="5"/>
      <c r="AC5" s="5"/>
      <c r="AD5" s="5"/>
      <c r="AE5" s="5"/>
      <c r="AF5" s="5"/>
      <c r="AG5" s="5"/>
      <c r="AH5" s="78"/>
      <c r="AI5" s="78"/>
      <c r="AJ5" s="153">
        <f t="shared" si="0"/>
        <v>19</v>
      </c>
      <c r="AK5" s="54">
        <f t="shared" si="1"/>
        <v>8</v>
      </c>
      <c r="AL5" s="54">
        <f t="shared" si="2"/>
        <v>11</v>
      </c>
      <c r="AM5" s="55">
        <f t="shared" si="3"/>
        <v>0</v>
      </c>
    </row>
    <row r="6" spans="1:39" x14ac:dyDescent="0.25">
      <c r="A6" s="11">
        <f t="shared" si="4"/>
        <v>3</v>
      </c>
      <c r="B6" s="12" t="s">
        <v>53</v>
      </c>
      <c r="C6" s="13" t="s">
        <v>6</v>
      </c>
      <c r="D6" s="24" t="s">
        <v>50</v>
      </c>
      <c r="E6" s="7">
        <v>1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 s="5">
        <v>1</v>
      </c>
      <c r="M6" s="5">
        <v>1</v>
      </c>
      <c r="N6" s="5">
        <v>1</v>
      </c>
      <c r="O6" s="5">
        <v>1</v>
      </c>
      <c r="P6" s="5">
        <v>1</v>
      </c>
      <c r="Q6" s="5">
        <v>1</v>
      </c>
      <c r="R6" s="5">
        <v>1</v>
      </c>
      <c r="S6" s="5">
        <v>1</v>
      </c>
      <c r="T6" s="5">
        <v>1</v>
      </c>
      <c r="U6" s="5">
        <v>1</v>
      </c>
      <c r="V6" s="5">
        <v>1</v>
      </c>
      <c r="W6" s="5">
        <v>1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78"/>
      <c r="AI6" s="78"/>
      <c r="AJ6" s="153">
        <f t="shared" si="0"/>
        <v>19</v>
      </c>
      <c r="AK6" s="54">
        <f t="shared" si="1"/>
        <v>19</v>
      </c>
      <c r="AL6" s="54">
        <f t="shared" si="2"/>
        <v>0</v>
      </c>
      <c r="AM6" s="55">
        <f t="shared" si="3"/>
        <v>0</v>
      </c>
    </row>
    <row r="7" spans="1:39" x14ac:dyDescent="0.25">
      <c r="A7" s="11">
        <f t="shared" si="4"/>
        <v>4</v>
      </c>
      <c r="B7" s="12" t="s">
        <v>53</v>
      </c>
      <c r="C7" s="13" t="s">
        <v>7</v>
      </c>
      <c r="D7" s="22">
        <v>1291</v>
      </c>
      <c r="E7" s="7">
        <v>1</v>
      </c>
      <c r="F7" s="5">
        <v>1</v>
      </c>
      <c r="G7" s="5" t="s">
        <v>57</v>
      </c>
      <c r="H7" s="5" t="s">
        <v>57</v>
      </c>
      <c r="I7" s="5" t="s">
        <v>57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>
        <v>1</v>
      </c>
      <c r="Q7" s="5">
        <v>1</v>
      </c>
      <c r="R7" s="5">
        <v>1</v>
      </c>
      <c r="S7" s="5">
        <v>1</v>
      </c>
      <c r="T7" s="5">
        <v>1</v>
      </c>
      <c r="U7" s="5">
        <v>1</v>
      </c>
      <c r="V7" s="5">
        <v>1</v>
      </c>
      <c r="W7" s="5" t="s">
        <v>57</v>
      </c>
      <c r="X7" s="5"/>
      <c r="Y7" s="5"/>
      <c r="Z7" s="5"/>
      <c r="AA7" s="5"/>
      <c r="AB7" s="5"/>
      <c r="AC7" s="5"/>
      <c r="AD7" s="5"/>
      <c r="AE7" s="5"/>
      <c r="AF7" s="5"/>
      <c r="AG7" s="5"/>
      <c r="AH7" s="78"/>
      <c r="AI7" s="78"/>
      <c r="AJ7" s="153">
        <f t="shared" si="0"/>
        <v>19</v>
      </c>
      <c r="AK7" s="54">
        <f t="shared" si="1"/>
        <v>9</v>
      </c>
      <c r="AL7" s="54">
        <f t="shared" si="2"/>
        <v>6</v>
      </c>
      <c r="AM7" s="55">
        <f t="shared" si="3"/>
        <v>4</v>
      </c>
    </row>
    <row r="8" spans="1:39" x14ac:dyDescent="0.25">
      <c r="A8" s="11">
        <f t="shared" si="4"/>
        <v>5</v>
      </c>
      <c r="B8" s="12" t="s">
        <v>53</v>
      </c>
      <c r="C8" s="13" t="s">
        <v>8</v>
      </c>
      <c r="D8" s="22">
        <v>6850</v>
      </c>
      <c r="E8" s="7">
        <v>1</v>
      </c>
      <c r="F8" s="5">
        <v>1</v>
      </c>
      <c r="G8" s="5" t="s">
        <v>57</v>
      </c>
      <c r="H8" s="5">
        <v>1</v>
      </c>
      <c r="I8" s="5">
        <v>1</v>
      </c>
      <c r="J8" s="5" t="s">
        <v>57</v>
      </c>
      <c r="K8" s="5" t="s">
        <v>57</v>
      </c>
      <c r="L8" s="5">
        <v>1</v>
      </c>
      <c r="M8" s="5">
        <v>1</v>
      </c>
      <c r="N8" s="5">
        <v>1</v>
      </c>
      <c r="O8" s="5">
        <v>1</v>
      </c>
      <c r="P8" s="5">
        <v>1</v>
      </c>
      <c r="Q8" s="5" t="s">
        <v>57</v>
      </c>
      <c r="R8" s="5" t="s">
        <v>57</v>
      </c>
      <c r="S8" s="5">
        <v>1</v>
      </c>
      <c r="T8" s="5">
        <v>1</v>
      </c>
      <c r="U8" s="5">
        <v>1</v>
      </c>
      <c r="V8" s="5">
        <v>1</v>
      </c>
      <c r="W8" s="5">
        <v>1</v>
      </c>
      <c r="X8" s="5"/>
      <c r="Y8" s="5"/>
      <c r="Z8" s="5"/>
      <c r="AA8" s="5"/>
      <c r="AB8" s="5"/>
      <c r="AC8" s="5"/>
      <c r="AD8" s="5"/>
      <c r="AE8" s="5"/>
      <c r="AF8" s="5"/>
      <c r="AG8" s="5"/>
      <c r="AH8" s="78"/>
      <c r="AI8" s="78"/>
      <c r="AJ8" s="153">
        <f t="shared" si="0"/>
        <v>19</v>
      </c>
      <c r="AK8" s="54">
        <f t="shared" si="1"/>
        <v>14</v>
      </c>
      <c r="AL8" s="54">
        <f t="shared" si="2"/>
        <v>0</v>
      </c>
      <c r="AM8" s="55">
        <f t="shared" si="3"/>
        <v>5</v>
      </c>
    </row>
    <row r="9" spans="1:39" x14ac:dyDescent="0.25">
      <c r="A9" s="11">
        <f t="shared" si="4"/>
        <v>6</v>
      </c>
      <c r="B9" s="12" t="s">
        <v>53</v>
      </c>
      <c r="C9" s="13" t="s">
        <v>9</v>
      </c>
      <c r="D9" s="22">
        <v>7540</v>
      </c>
      <c r="E9" s="7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>
        <v>1</v>
      </c>
      <c r="N9" s="5">
        <v>1</v>
      </c>
      <c r="O9" s="5">
        <v>1</v>
      </c>
      <c r="P9" s="5">
        <v>1</v>
      </c>
      <c r="Q9" s="5">
        <v>1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/>
      <c r="Y9" s="5"/>
      <c r="Z9" s="5"/>
      <c r="AA9" s="5"/>
      <c r="AB9" s="5"/>
      <c r="AC9" s="5"/>
      <c r="AD9" s="5"/>
      <c r="AE9" s="5"/>
      <c r="AF9" s="5"/>
      <c r="AG9" s="5"/>
      <c r="AH9" s="78"/>
      <c r="AI9" s="78"/>
      <c r="AJ9" s="153">
        <f t="shared" si="0"/>
        <v>19</v>
      </c>
      <c r="AK9" s="54">
        <f t="shared" si="1"/>
        <v>19</v>
      </c>
      <c r="AL9" s="54">
        <f t="shared" si="2"/>
        <v>0</v>
      </c>
      <c r="AM9" s="55">
        <f t="shared" si="3"/>
        <v>0</v>
      </c>
    </row>
    <row r="10" spans="1:39" x14ac:dyDescent="0.25">
      <c r="A10" s="11">
        <f t="shared" si="4"/>
        <v>7</v>
      </c>
      <c r="B10" s="12" t="s">
        <v>53</v>
      </c>
      <c r="C10" s="13" t="s">
        <v>10</v>
      </c>
      <c r="D10" s="22">
        <v>4729</v>
      </c>
      <c r="E10" s="7" t="s">
        <v>58</v>
      </c>
      <c r="F10" s="5" t="s">
        <v>58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>
        <v>1</v>
      </c>
      <c r="U10" s="5">
        <v>1</v>
      </c>
      <c r="V10" s="5" t="s">
        <v>58</v>
      </c>
      <c r="W10" s="5">
        <v>1</v>
      </c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78"/>
      <c r="AI10" s="78"/>
      <c r="AJ10" s="153">
        <f t="shared" si="0"/>
        <v>19</v>
      </c>
      <c r="AK10" s="54">
        <f t="shared" si="1"/>
        <v>16</v>
      </c>
      <c r="AL10" s="54">
        <f t="shared" si="2"/>
        <v>3</v>
      </c>
      <c r="AM10" s="55">
        <f t="shared" si="3"/>
        <v>0</v>
      </c>
    </row>
    <row r="11" spans="1:39" x14ac:dyDescent="0.25">
      <c r="A11" s="11">
        <f t="shared" si="4"/>
        <v>8</v>
      </c>
      <c r="B11" s="12" t="s">
        <v>53</v>
      </c>
      <c r="C11" s="13" t="s">
        <v>11</v>
      </c>
      <c r="D11" s="22">
        <v>4769</v>
      </c>
      <c r="E11" s="7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78"/>
      <c r="AI11" s="78"/>
      <c r="AJ11" s="153">
        <f t="shared" si="0"/>
        <v>19</v>
      </c>
      <c r="AK11" s="54">
        <f t="shared" si="1"/>
        <v>19</v>
      </c>
      <c r="AL11" s="54">
        <f t="shared" si="2"/>
        <v>0</v>
      </c>
      <c r="AM11" s="55">
        <f t="shared" si="3"/>
        <v>0</v>
      </c>
    </row>
    <row r="12" spans="1:39" x14ac:dyDescent="0.25">
      <c r="A12" s="11">
        <f t="shared" si="4"/>
        <v>9</v>
      </c>
      <c r="B12" s="12" t="s">
        <v>53</v>
      </c>
      <c r="C12" s="13" t="s">
        <v>12</v>
      </c>
      <c r="D12" s="22">
        <v>4730</v>
      </c>
      <c r="E12" s="7">
        <v>1</v>
      </c>
      <c r="F12" s="5" t="s">
        <v>58</v>
      </c>
      <c r="G12" s="5" t="s">
        <v>58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>
        <v>1</v>
      </c>
      <c r="N12" s="5">
        <v>1</v>
      </c>
      <c r="O12" s="5">
        <v>1</v>
      </c>
      <c r="P12" s="5">
        <v>1</v>
      </c>
      <c r="Q12" s="5" t="s">
        <v>57</v>
      </c>
      <c r="R12" s="5" t="s">
        <v>57</v>
      </c>
      <c r="S12" s="5">
        <v>1</v>
      </c>
      <c r="T12" s="5">
        <v>1</v>
      </c>
      <c r="U12" s="5">
        <v>1</v>
      </c>
      <c r="V12" s="5">
        <v>1</v>
      </c>
      <c r="W12" s="5" t="s">
        <v>58</v>
      </c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78"/>
      <c r="AI12" s="78"/>
      <c r="AJ12" s="153">
        <f t="shared" si="0"/>
        <v>19</v>
      </c>
      <c r="AK12" s="54">
        <f t="shared" si="1"/>
        <v>14</v>
      </c>
      <c r="AL12" s="54">
        <f t="shared" si="2"/>
        <v>3</v>
      </c>
      <c r="AM12" s="55">
        <f t="shared" si="3"/>
        <v>2</v>
      </c>
    </row>
    <row r="13" spans="1:39" x14ac:dyDescent="0.25">
      <c r="A13" s="11">
        <f t="shared" si="4"/>
        <v>10</v>
      </c>
      <c r="B13" s="12" t="s">
        <v>53</v>
      </c>
      <c r="C13" s="13" t="s">
        <v>13</v>
      </c>
      <c r="D13" s="22">
        <v>1213</v>
      </c>
      <c r="E13" s="7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78"/>
      <c r="AI13" s="78"/>
      <c r="AJ13" s="153">
        <f t="shared" si="0"/>
        <v>19</v>
      </c>
      <c r="AK13" s="54">
        <f t="shared" si="1"/>
        <v>19</v>
      </c>
      <c r="AL13" s="54">
        <f t="shared" si="2"/>
        <v>0</v>
      </c>
      <c r="AM13" s="55">
        <f t="shared" si="3"/>
        <v>0</v>
      </c>
    </row>
    <row r="14" spans="1:39" x14ac:dyDescent="0.25">
      <c r="A14" s="11">
        <f t="shared" si="4"/>
        <v>11</v>
      </c>
      <c r="B14" s="12" t="s">
        <v>53</v>
      </c>
      <c r="C14" s="13" t="s">
        <v>14</v>
      </c>
      <c r="D14" s="22">
        <v>4189</v>
      </c>
      <c r="E14" s="7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78"/>
      <c r="AI14" s="78"/>
      <c r="AJ14" s="153">
        <f t="shared" si="0"/>
        <v>19</v>
      </c>
      <c r="AK14" s="54">
        <f t="shared" si="1"/>
        <v>19</v>
      </c>
      <c r="AL14" s="54">
        <f t="shared" si="2"/>
        <v>0</v>
      </c>
      <c r="AM14" s="55">
        <f t="shared" si="3"/>
        <v>0</v>
      </c>
    </row>
    <row r="15" spans="1:39" x14ac:dyDescent="0.25">
      <c r="A15" s="11">
        <f t="shared" si="4"/>
        <v>12</v>
      </c>
      <c r="B15" s="12" t="s">
        <v>53</v>
      </c>
      <c r="C15" s="13" t="s">
        <v>15</v>
      </c>
      <c r="D15" s="22">
        <v>3584</v>
      </c>
      <c r="E15" s="7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 t="s">
        <v>57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 t="s">
        <v>57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78"/>
      <c r="AI15" s="78"/>
      <c r="AJ15" s="153">
        <f t="shared" si="0"/>
        <v>19</v>
      </c>
      <c r="AK15" s="54">
        <f t="shared" si="1"/>
        <v>17</v>
      </c>
      <c r="AL15" s="54">
        <f t="shared" si="2"/>
        <v>0</v>
      </c>
      <c r="AM15" s="55">
        <f t="shared" si="3"/>
        <v>2</v>
      </c>
    </row>
    <row r="16" spans="1:39" x14ac:dyDescent="0.25">
      <c r="A16" s="11">
        <f t="shared" si="4"/>
        <v>13</v>
      </c>
      <c r="B16" s="12" t="s">
        <v>53</v>
      </c>
      <c r="C16" s="13" t="s">
        <v>16</v>
      </c>
      <c r="D16" s="22">
        <v>1661</v>
      </c>
      <c r="E16" s="7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78"/>
      <c r="AI16" s="78"/>
      <c r="AJ16" s="153">
        <f t="shared" si="0"/>
        <v>19</v>
      </c>
      <c r="AK16" s="54">
        <f t="shared" si="1"/>
        <v>19</v>
      </c>
      <c r="AL16" s="54">
        <f t="shared" si="2"/>
        <v>0</v>
      </c>
      <c r="AM16" s="55">
        <f t="shared" si="3"/>
        <v>0</v>
      </c>
    </row>
    <row r="17" spans="1:39" x14ac:dyDescent="0.25">
      <c r="A17" s="11">
        <f t="shared" si="4"/>
        <v>14</v>
      </c>
      <c r="B17" s="12" t="s">
        <v>53</v>
      </c>
      <c r="C17" s="13" t="s">
        <v>17</v>
      </c>
      <c r="D17" s="22">
        <v>1662</v>
      </c>
      <c r="E17" s="7">
        <v>1</v>
      </c>
      <c r="F17" s="5">
        <v>1</v>
      </c>
      <c r="G17" s="5">
        <v>1</v>
      </c>
      <c r="H17" s="5">
        <v>1</v>
      </c>
      <c r="I17" s="5">
        <v>1</v>
      </c>
      <c r="J17" s="5" t="s">
        <v>57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78"/>
      <c r="AI17" s="78"/>
      <c r="AJ17" s="153">
        <f t="shared" si="0"/>
        <v>19</v>
      </c>
      <c r="AK17" s="54">
        <f t="shared" si="1"/>
        <v>18</v>
      </c>
      <c r="AL17" s="54">
        <f t="shared" si="2"/>
        <v>0</v>
      </c>
      <c r="AM17" s="55">
        <f t="shared" si="3"/>
        <v>1</v>
      </c>
    </row>
    <row r="18" spans="1:39" x14ac:dyDescent="0.25">
      <c r="A18" s="11">
        <f t="shared" si="4"/>
        <v>15</v>
      </c>
      <c r="B18" s="12" t="s">
        <v>53</v>
      </c>
      <c r="C18" s="13" t="s">
        <v>18</v>
      </c>
      <c r="D18" s="22">
        <v>4302</v>
      </c>
      <c r="E18" s="7" t="s">
        <v>57</v>
      </c>
      <c r="F18" s="5" t="s">
        <v>57</v>
      </c>
      <c r="G18" s="5" t="s">
        <v>57</v>
      </c>
      <c r="H18" s="5" t="s">
        <v>57</v>
      </c>
      <c r="I18" s="5" t="s">
        <v>57</v>
      </c>
      <c r="J18" s="5" t="s">
        <v>57</v>
      </c>
      <c r="K18" s="5" t="s">
        <v>57</v>
      </c>
      <c r="L18" s="5" t="s">
        <v>57</v>
      </c>
      <c r="M18" s="5" t="s">
        <v>57</v>
      </c>
      <c r="N18" s="5">
        <v>1</v>
      </c>
      <c r="O18" s="5" t="s">
        <v>58</v>
      </c>
      <c r="P18" s="5" t="s">
        <v>58</v>
      </c>
      <c r="Q18" s="5" t="s">
        <v>58</v>
      </c>
      <c r="R18" s="5" t="s">
        <v>58</v>
      </c>
      <c r="S18" s="5" t="s">
        <v>58</v>
      </c>
      <c r="T18" s="5" t="s">
        <v>58</v>
      </c>
      <c r="U18" s="5" t="s">
        <v>58</v>
      </c>
      <c r="V18" s="5" t="s">
        <v>58</v>
      </c>
      <c r="W18" s="5" t="s">
        <v>58</v>
      </c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78"/>
      <c r="AI18" s="78"/>
      <c r="AJ18" s="153">
        <f t="shared" si="0"/>
        <v>19</v>
      </c>
      <c r="AK18" s="54">
        <f t="shared" si="1"/>
        <v>1</v>
      </c>
      <c r="AL18" s="54">
        <f t="shared" si="2"/>
        <v>9</v>
      </c>
      <c r="AM18" s="55">
        <f t="shared" si="3"/>
        <v>9</v>
      </c>
    </row>
    <row r="19" spans="1:39" x14ac:dyDescent="0.25">
      <c r="A19" s="11">
        <f t="shared" si="4"/>
        <v>16</v>
      </c>
      <c r="B19" s="12" t="s">
        <v>53</v>
      </c>
      <c r="C19" s="13" t="s">
        <v>72</v>
      </c>
      <c r="D19" s="22" t="s">
        <v>69</v>
      </c>
      <c r="E19" s="7" t="s">
        <v>58</v>
      </c>
      <c r="F19" s="5" t="s">
        <v>58</v>
      </c>
      <c r="G19" s="5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78"/>
      <c r="AI19" s="78"/>
      <c r="AJ19" s="153">
        <f t="shared" si="0"/>
        <v>19</v>
      </c>
      <c r="AK19" s="54">
        <f t="shared" si="1"/>
        <v>0</v>
      </c>
      <c r="AL19" s="54">
        <f t="shared" si="2"/>
        <v>19</v>
      </c>
      <c r="AM19" s="55">
        <f t="shared" si="3"/>
        <v>0</v>
      </c>
    </row>
    <row r="20" spans="1:39" x14ac:dyDescent="0.25">
      <c r="A20" s="11">
        <f t="shared" si="4"/>
        <v>17</v>
      </c>
      <c r="B20" s="12" t="s">
        <v>53</v>
      </c>
      <c r="C20" s="13" t="s">
        <v>73</v>
      </c>
      <c r="D20" s="22" t="s">
        <v>70</v>
      </c>
      <c r="E20" s="7" t="s">
        <v>58</v>
      </c>
      <c r="F20" s="5" t="s">
        <v>58</v>
      </c>
      <c r="G20" s="5" t="s">
        <v>58</v>
      </c>
      <c r="H20" s="5" t="s">
        <v>58</v>
      </c>
      <c r="I20" s="5" t="s">
        <v>58</v>
      </c>
      <c r="J20" s="5">
        <v>1</v>
      </c>
      <c r="K20" s="5">
        <v>1</v>
      </c>
      <c r="L20" s="5" t="s">
        <v>58</v>
      </c>
      <c r="M20" s="5" t="s">
        <v>58</v>
      </c>
      <c r="N20" s="5" t="s">
        <v>58</v>
      </c>
      <c r="O20" s="5" t="s">
        <v>58</v>
      </c>
      <c r="P20" s="5" t="s">
        <v>58</v>
      </c>
      <c r="Q20" s="5" t="s">
        <v>58</v>
      </c>
      <c r="R20" s="5" t="s">
        <v>58</v>
      </c>
      <c r="S20" s="5" t="s">
        <v>58</v>
      </c>
      <c r="T20" s="5" t="s">
        <v>58</v>
      </c>
      <c r="U20" s="5" t="s">
        <v>58</v>
      </c>
      <c r="V20" s="5" t="s">
        <v>58</v>
      </c>
      <c r="W20" s="5" t="s">
        <v>58</v>
      </c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78"/>
      <c r="AI20" s="78"/>
      <c r="AJ20" s="153">
        <f t="shared" si="0"/>
        <v>19</v>
      </c>
      <c r="AK20" s="54">
        <f t="shared" si="1"/>
        <v>2</v>
      </c>
      <c r="AL20" s="54">
        <f t="shared" si="2"/>
        <v>17</v>
      </c>
      <c r="AM20" s="55">
        <f t="shared" si="3"/>
        <v>0</v>
      </c>
    </row>
    <row r="21" spans="1:39" x14ac:dyDescent="0.25">
      <c r="A21" s="11">
        <f t="shared" si="4"/>
        <v>18</v>
      </c>
      <c r="B21" s="12" t="s">
        <v>53</v>
      </c>
      <c r="C21" s="13" t="s">
        <v>74</v>
      </c>
      <c r="D21" s="22" t="s">
        <v>71</v>
      </c>
      <c r="E21" s="7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 t="s">
        <v>57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58</v>
      </c>
      <c r="V21" s="5" t="s">
        <v>58</v>
      </c>
      <c r="W21" s="5" t="s">
        <v>58</v>
      </c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78"/>
      <c r="AI21" s="78"/>
      <c r="AJ21" s="153">
        <f t="shared" si="0"/>
        <v>19</v>
      </c>
      <c r="AK21" s="54">
        <f t="shared" si="1"/>
        <v>15</v>
      </c>
      <c r="AL21" s="54">
        <f t="shared" si="2"/>
        <v>3</v>
      </c>
      <c r="AM21" s="55">
        <f t="shared" si="3"/>
        <v>1</v>
      </c>
    </row>
    <row r="22" spans="1:39" x14ac:dyDescent="0.25">
      <c r="A22" s="44">
        <f t="shared" si="4"/>
        <v>19</v>
      </c>
      <c r="B22" s="12" t="s">
        <v>80</v>
      </c>
      <c r="C22" s="40" t="s">
        <v>84</v>
      </c>
      <c r="D22" s="41" t="s">
        <v>81</v>
      </c>
      <c r="E22" s="43">
        <v>1</v>
      </c>
      <c r="F22" s="42">
        <v>1</v>
      </c>
      <c r="G22" s="42">
        <v>1</v>
      </c>
      <c r="H22" s="42">
        <v>1</v>
      </c>
      <c r="I22" s="42">
        <v>1</v>
      </c>
      <c r="J22" s="42">
        <v>1</v>
      </c>
      <c r="K22" s="42">
        <v>1</v>
      </c>
      <c r="L22" s="42">
        <v>1</v>
      </c>
      <c r="M22" s="42">
        <v>1</v>
      </c>
      <c r="N22" s="42">
        <v>1</v>
      </c>
      <c r="O22" s="42">
        <v>1</v>
      </c>
      <c r="P22" s="42">
        <v>1</v>
      </c>
      <c r="Q22" s="42" t="s">
        <v>57</v>
      </c>
      <c r="R22" s="42">
        <v>1</v>
      </c>
      <c r="S22" s="42">
        <v>1</v>
      </c>
      <c r="T22" s="42">
        <v>1</v>
      </c>
      <c r="U22" s="42">
        <v>1</v>
      </c>
      <c r="V22" s="42">
        <v>1</v>
      </c>
      <c r="W22" s="42">
        <v>1</v>
      </c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126"/>
      <c r="AI22" s="126"/>
      <c r="AJ22" s="153">
        <f t="shared" si="0"/>
        <v>19</v>
      </c>
      <c r="AK22" s="54">
        <f t="shared" si="1"/>
        <v>18</v>
      </c>
      <c r="AL22" s="54">
        <f t="shared" si="2"/>
        <v>0</v>
      </c>
      <c r="AM22" s="55">
        <f t="shared" si="3"/>
        <v>1</v>
      </c>
    </row>
    <row r="23" spans="1:39" x14ac:dyDescent="0.25">
      <c r="A23" s="11">
        <f t="shared" si="4"/>
        <v>20</v>
      </c>
      <c r="B23" s="12" t="s">
        <v>80</v>
      </c>
      <c r="C23" s="13" t="s">
        <v>83</v>
      </c>
      <c r="D23" s="22" t="s">
        <v>82</v>
      </c>
      <c r="E23" s="7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 t="s">
        <v>57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78"/>
      <c r="AI23" s="78"/>
      <c r="AJ23" s="153">
        <f t="shared" si="0"/>
        <v>19</v>
      </c>
      <c r="AK23" s="54">
        <f t="shared" si="1"/>
        <v>18</v>
      </c>
      <c r="AL23" s="54">
        <f t="shared" si="2"/>
        <v>0</v>
      </c>
      <c r="AM23" s="55">
        <f t="shared" si="3"/>
        <v>1</v>
      </c>
    </row>
    <row r="24" spans="1:39" ht="16.3" thickBot="1" x14ac:dyDescent="0.3">
      <c r="A24" s="107">
        <f t="shared" si="4"/>
        <v>21</v>
      </c>
      <c r="B24" s="108" t="s">
        <v>80</v>
      </c>
      <c r="C24" s="109" t="s">
        <v>85</v>
      </c>
      <c r="D24" s="110" t="s">
        <v>86</v>
      </c>
      <c r="E24" s="7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>
        <v>1</v>
      </c>
      <c r="M24" s="5">
        <v>1</v>
      </c>
      <c r="N24" s="5">
        <v>1</v>
      </c>
      <c r="O24" s="5" t="s">
        <v>57</v>
      </c>
      <c r="P24" s="5" t="s">
        <v>57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156">
        <f t="shared" si="0"/>
        <v>19</v>
      </c>
      <c r="AK24" s="56">
        <f t="shared" si="1"/>
        <v>17</v>
      </c>
      <c r="AL24" s="56">
        <f t="shared" si="2"/>
        <v>0</v>
      </c>
      <c r="AM24" s="57">
        <f t="shared" si="3"/>
        <v>2</v>
      </c>
    </row>
    <row r="25" spans="1:39" s="33" customFormat="1" ht="16.3" thickBot="1" x14ac:dyDescent="0.3">
      <c r="A25" s="63"/>
      <c r="B25" s="66" t="s">
        <v>63</v>
      </c>
      <c r="C25" s="64"/>
      <c r="D25" s="64"/>
      <c r="E25" s="65"/>
      <c r="F25" s="65"/>
      <c r="G25" s="65"/>
      <c r="H25" s="65"/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/>
      <c r="AA25" s="65"/>
      <c r="AB25" s="65"/>
      <c r="AC25" s="65"/>
      <c r="AD25" s="65"/>
      <c r="AE25" s="65"/>
      <c r="AF25" s="65"/>
      <c r="AG25" s="65"/>
      <c r="AH25" s="65"/>
      <c r="AI25" s="65"/>
      <c r="AJ25" s="77">
        <f>SUM(AJ4:AJ24)</f>
        <v>399</v>
      </c>
      <c r="AK25" s="69">
        <f>SUM(AK4:AK24)</f>
        <v>297</v>
      </c>
      <c r="AL25" s="69">
        <f>SUM(AL4:AL24)</f>
        <v>71</v>
      </c>
      <c r="AM25" s="75">
        <f>SUM(AM4:AM24)</f>
        <v>31</v>
      </c>
    </row>
    <row r="26" spans="1:39" x14ac:dyDescent="0.25">
      <c r="A26" s="8">
        <f>A24+1</f>
        <v>22</v>
      </c>
      <c r="B26" s="45" t="s">
        <v>19</v>
      </c>
      <c r="C26" s="10" t="s">
        <v>20</v>
      </c>
      <c r="D26" s="21">
        <v>2961</v>
      </c>
      <c r="E26" s="6">
        <v>1</v>
      </c>
      <c r="F26" s="35">
        <v>1</v>
      </c>
      <c r="G26" s="35">
        <v>1</v>
      </c>
      <c r="H26" s="35" t="s">
        <v>57</v>
      </c>
      <c r="I26" s="35" t="s">
        <v>57</v>
      </c>
      <c r="J26" s="35">
        <v>1</v>
      </c>
      <c r="K26" s="35">
        <v>1</v>
      </c>
      <c r="L26" s="35">
        <v>1</v>
      </c>
      <c r="M26" s="35">
        <v>1</v>
      </c>
      <c r="N26" s="35">
        <v>1</v>
      </c>
      <c r="O26" s="35">
        <v>1</v>
      </c>
      <c r="P26" s="35" t="s">
        <v>57</v>
      </c>
      <c r="Q26" s="35" t="s">
        <v>57</v>
      </c>
      <c r="R26" s="35">
        <v>1</v>
      </c>
      <c r="S26" s="35">
        <v>1</v>
      </c>
      <c r="T26" s="35">
        <v>1</v>
      </c>
      <c r="U26" s="35">
        <v>1</v>
      </c>
      <c r="V26" s="35">
        <v>1</v>
      </c>
      <c r="W26" s="35">
        <v>1</v>
      </c>
      <c r="X26" s="35"/>
      <c r="Y26" s="35"/>
      <c r="Z26" s="35"/>
      <c r="AA26" s="35"/>
      <c r="AB26" s="35"/>
      <c r="AC26" s="35"/>
      <c r="AD26" s="35"/>
      <c r="AE26" s="35"/>
      <c r="AF26" s="35"/>
      <c r="AG26" s="35"/>
      <c r="AH26" s="35"/>
      <c r="AI26" s="35"/>
      <c r="AJ26" s="152">
        <f t="shared" ref="AJ26:AJ32" si="5">COUNTA(E26:AI26)</f>
        <v>19</v>
      </c>
      <c r="AK26" s="80">
        <f t="shared" ref="AK26:AK32" si="6">COUNTIF(E26:AI26,1)</f>
        <v>15</v>
      </c>
      <c r="AL26" s="80">
        <f t="shared" ref="AL26:AL32" si="7">COUNTIF(E26:AI26,"тр")</f>
        <v>0</v>
      </c>
      <c r="AM26" s="81">
        <f t="shared" ref="AM26:AM32" si="8">COUNTIF(E26:AI26,"бв")</f>
        <v>4</v>
      </c>
    </row>
    <row r="27" spans="1:39" x14ac:dyDescent="0.25">
      <c r="A27" s="11">
        <f t="shared" si="4"/>
        <v>23</v>
      </c>
      <c r="B27" s="14" t="s">
        <v>19</v>
      </c>
      <c r="C27" s="13" t="s">
        <v>21</v>
      </c>
      <c r="D27" s="22">
        <v>2962</v>
      </c>
      <c r="E27" s="7" t="s">
        <v>58</v>
      </c>
      <c r="F27" s="5" t="s">
        <v>58</v>
      </c>
      <c r="G27" s="5" t="s">
        <v>58</v>
      </c>
      <c r="H27" s="5" t="s">
        <v>58</v>
      </c>
      <c r="I27" s="5" t="s">
        <v>58</v>
      </c>
      <c r="J27" s="5" t="s">
        <v>58</v>
      </c>
      <c r="K27" s="5" t="s">
        <v>58</v>
      </c>
      <c r="L27" s="5" t="s">
        <v>58</v>
      </c>
      <c r="M27" s="5" t="s">
        <v>58</v>
      </c>
      <c r="N27" s="5" t="s">
        <v>58</v>
      </c>
      <c r="O27" s="5" t="s">
        <v>58</v>
      </c>
      <c r="P27" s="5" t="s">
        <v>58</v>
      </c>
      <c r="Q27" s="5" t="s">
        <v>58</v>
      </c>
      <c r="R27" s="5" t="s">
        <v>58</v>
      </c>
      <c r="S27" s="5" t="s">
        <v>58</v>
      </c>
      <c r="T27" s="5" t="s">
        <v>58</v>
      </c>
      <c r="U27" s="5" t="s">
        <v>58</v>
      </c>
      <c r="V27" s="5" t="s">
        <v>58</v>
      </c>
      <c r="W27" s="5" t="s">
        <v>58</v>
      </c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153">
        <f t="shared" si="5"/>
        <v>19</v>
      </c>
      <c r="AK27" s="54">
        <f t="shared" si="6"/>
        <v>0</v>
      </c>
      <c r="AL27" s="54">
        <f t="shared" si="7"/>
        <v>19</v>
      </c>
      <c r="AM27" s="55">
        <f t="shared" si="8"/>
        <v>0</v>
      </c>
    </row>
    <row r="28" spans="1:39" x14ac:dyDescent="0.25">
      <c r="A28" s="11">
        <f t="shared" si="4"/>
        <v>24</v>
      </c>
      <c r="B28" s="14" t="s">
        <v>19</v>
      </c>
      <c r="C28" s="13" t="s">
        <v>22</v>
      </c>
      <c r="D28" s="22">
        <v>2963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153">
        <f t="shared" si="5"/>
        <v>19</v>
      </c>
      <c r="AK28" s="54">
        <f t="shared" si="6"/>
        <v>0</v>
      </c>
      <c r="AL28" s="54">
        <f t="shared" si="7"/>
        <v>19</v>
      </c>
      <c r="AM28" s="55">
        <f t="shared" si="8"/>
        <v>0</v>
      </c>
    </row>
    <row r="29" spans="1:39" x14ac:dyDescent="0.25">
      <c r="A29" s="11">
        <f t="shared" si="4"/>
        <v>25</v>
      </c>
      <c r="B29" s="14" t="s">
        <v>19</v>
      </c>
      <c r="C29" s="13" t="s">
        <v>23</v>
      </c>
      <c r="D29" s="22">
        <v>4309</v>
      </c>
      <c r="E29" s="7" t="s">
        <v>58</v>
      </c>
      <c r="F29" s="5" t="s">
        <v>58</v>
      </c>
      <c r="G29" s="5" t="s">
        <v>58</v>
      </c>
      <c r="H29" s="5" t="s">
        <v>58</v>
      </c>
      <c r="I29" s="5" t="s">
        <v>58</v>
      </c>
      <c r="J29" s="5" t="s">
        <v>58</v>
      </c>
      <c r="K29" s="5" t="s">
        <v>58</v>
      </c>
      <c r="L29" s="5" t="s">
        <v>58</v>
      </c>
      <c r="M29" s="5" t="s">
        <v>58</v>
      </c>
      <c r="N29" s="5" t="s">
        <v>58</v>
      </c>
      <c r="O29" s="5" t="s">
        <v>58</v>
      </c>
      <c r="P29" s="5" t="s">
        <v>58</v>
      </c>
      <c r="Q29" s="5" t="s">
        <v>58</v>
      </c>
      <c r="R29" s="5" t="s">
        <v>58</v>
      </c>
      <c r="S29" s="5" t="s">
        <v>58</v>
      </c>
      <c r="T29" s="5" t="s">
        <v>58</v>
      </c>
      <c r="U29" s="5" t="s">
        <v>58</v>
      </c>
      <c r="V29" s="5" t="s">
        <v>58</v>
      </c>
      <c r="W29" s="5" t="s">
        <v>58</v>
      </c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153">
        <f t="shared" si="5"/>
        <v>19</v>
      </c>
      <c r="AK29" s="54">
        <f t="shared" si="6"/>
        <v>0</v>
      </c>
      <c r="AL29" s="54">
        <f t="shared" si="7"/>
        <v>19</v>
      </c>
      <c r="AM29" s="55">
        <f t="shared" si="8"/>
        <v>0</v>
      </c>
    </row>
    <row r="30" spans="1:39" x14ac:dyDescent="0.25">
      <c r="A30" s="11">
        <f t="shared" si="4"/>
        <v>26</v>
      </c>
      <c r="B30" s="14" t="s">
        <v>19</v>
      </c>
      <c r="C30" s="15">
        <v>162</v>
      </c>
      <c r="D30" s="22" t="s">
        <v>51</v>
      </c>
      <c r="E30" s="7">
        <v>1</v>
      </c>
      <c r="F30" s="7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 s="5">
        <v>1</v>
      </c>
      <c r="M30" s="5">
        <v>1</v>
      </c>
      <c r="N30" s="5">
        <v>1</v>
      </c>
      <c r="O30" s="5">
        <v>1</v>
      </c>
      <c r="P30" s="5">
        <v>1</v>
      </c>
      <c r="Q30" s="5" t="s">
        <v>57</v>
      </c>
      <c r="R30" s="5" t="s">
        <v>57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153">
        <f t="shared" si="5"/>
        <v>19</v>
      </c>
      <c r="AK30" s="54">
        <f t="shared" si="6"/>
        <v>17</v>
      </c>
      <c r="AL30" s="54">
        <f t="shared" si="7"/>
        <v>0</v>
      </c>
      <c r="AM30" s="55">
        <f t="shared" si="8"/>
        <v>2</v>
      </c>
    </row>
    <row r="31" spans="1:39" x14ac:dyDescent="0.25">
      <c r="A31" s="11">
        <f t="shared" si="4"/>
        <v>27</v>
      </c>
      <c r="B31" s="14" t="s">
        <v>19</v>
      </c>
      <c r="C31" s="15">
        <v>163</v>
      </c>
      <c r="D31" s="22" t="s">
        <v>52</v>
      </c>
      <c r="E31" s="7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 t="s">
        <v>57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153">
        <f t="shared" si="5"/>
        <v>19</v>
      </c>
      <c r="AK31" s="54">
        <f t="shared" si="6"/>
        <v>18</v>
      </c>
      <c r="AL31" s="54">
        <f t="shared" si="7"/>
        <v>0</v>
      </c>
      <c r="AM31" s="55">
        <f t="shared" si="8"/>
        <v>1</v>
      </c>
    </row>
    <row r="32" spans="1:39" ht="16.3" thickBot="1" x14ac:dyDescent="0.3">
      <c r="A32" s="44">
        <f t="shared" si="4"/>
        <v>28</v>
      </c>
      <c r="B32" s="67" t="s">
        <v>19</v>
      </c>
      <c r="C32" s="40" t="s">
        <v>24</v>
      </c>
      <c r="D32" s="41">
        <v>1276</v>
      </c>
      <c r="E32" s="43" t="s">
        <v>58</v>
      </c>
      <c r="F32" s="42">
        <v>1</v>
      </c>
      <c r="G32" s="42">
        <v>1</v>
      </c>
      <c r="H32" s="42">
        <v>1</v>
      </c>
      <c r="I32" s="42">
        <v>1</v>
      </c>
      <c r="J32" s="42">
        <v>1</v>
      </c>
      <c r="K32" s="42" t="s">
        <v>57</v>
      </c>
      <c r="L32" s="42">
        <v>1</v>
      </c>
      <c r="M32" s="42">
        <v>1</v>
      </c>
      <c r="N32" s="42">
        <v>1</v>
      </c>
      <c r="O32" s="42">
        <v>1</v>
      </c>
      <c r="P32" s="42">
        <v>1</v>
      </c>
      <c r="Q32" s="42">
        <v>1</v>
      </c>
      <c r="R32" s="42">
        <v>1</v>
      </c>
      <c r="S32" s="42">
        <v>1</v>
      </c>
      <c r="T32" s="42">
        <v>1</v>
      </c>
      <c r="U32" s="42">
        <v>1</v>
      </c>
      <c r="V32" s="42">
        <v>1</v>
      </c>
      <c r="W32" s="42">
        <v>1</v>
      </c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154">
        <f t="shared" si="5"/>
        <v>19</v>
      </c>
      <c r="AK32" s="84">
        <f t="shared" si="6"/>
        <v>17</v>
      </c>
      <c r="AL32" s="84">
        <f t="shared" si="7"/>
        <v>1</v>
      </c>
      <c r="AM32" s="85">
        <f t="shared" si="8"/>
        <v>1</v>
      </c>
    </row>
    <row r="33" spans="1:39" s="33" customFormat="1" ht="16.3" thickBot="1" x14ac:dyDescent="0.3">
      <c r="A33" s="63"/>
      <c r="B33" s="66" t="s">
        <v>63</v>
      </c>
      <c r="C33" s="64"/>
      <c r="D33" s="64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65"/>
      <c r="AJ33" s="134">
        <f>SUM(AJ26:AJ32)</f>
        <v>133</v>
      </c>
      <c r="AK33" s="135">
        <f>SUM(AK26:AK32)</f>
        <v>67</v>
      </c>
      <c r="AL33" s="135">
        <f>SUM(AL26:AL32)</f>
        <v>58</v>
      </c>
      <c r="AM33" s="136">
        <f>SUM(AM26:AM32)</f>
        <v>8</v>
      </c>
    </row>
    <row r="34" spans="1:39" x14ac:dyDescent="0.25">
      <c r="A34" s="8">
        <f>A32+1</f>
        <v>29</v>
      </c>
      <c r="B34" s="9" t="s">
        <v>25</v>
      </c>
      <c r="C34" s="10" t="s">
        <v>26</v>
      </c>
      <c r="D34" s="21">
        <v>3111</v>
      </c>
      <c r="E34" s="6" t="s">
        <v>57</v>
      </c>
      <c r="F34" s="35" t="s">
        <v>57</v>
      </c>
      <c r="G34" s="35" t="s">
        <v>57</v>
      </c>
      <c r="H34" s="35" t="s">
        <v>57</v>
      </c>
      <c r="I34" s="35" t="s">
        <v>57</v>
      </c>
      <c r="J34" s="35" t="s">
        <v>57</v>
      </c>
      <c r="K34" s="35" t="s">
        <v>57</v>
      </c>
      <c r="L34" s="35" t="s">
        <v>57</v>
      </c>
      <c r="M34" s="35" t="s">
        <v>57</v>
      </c>
      <c r="N34" s="35" t="s">
        <v>57</v>
      </c>
      <c r="O34" s="35" t="s">
        <v>57</v>
      </c>
      <c r="P34" s="35" t="s">
        <v>57</v>
      </c>
      <c r="Q34" s="35" t="s">
        <v>57</v>
      </c>
      <c r="R34" s="35" t="s">
        <v>57</v>
      </c>
      <c r="S34" s="35" t="s">
        <v>57</v>
      </c>
      <c r="T34" s="35" t="s">
        <v>57</v>
      </c>
      <c r="U34" s="35" t="s">
        <v>57</v>
      </c>
      <c r="V34" s="35" t="s">
        <v>57</v>
      </c>
      <c r="W34" s="35" t="s">
        <v>57</v>
      </c>
      <c r="X34" s="35"/>
      <c r="Y34" s="35"/>
      <c r="Z34" s="35"/>
      <c r="AA34" s="35"/>
      <c r="AB34" s="35"/>
      <c r="AC34" s="35"/>
      <c r="AD34" s="35"/>
      <c r="AE34" s="35"/>
      <c r="AF34" s="35"/>
      <c r="AG34" s="35"/>
      <c r="AH34" s="35"/>
      <c r="AI34" s="35"/>
      <c r="AJ34" s="155">
        <f>COUNTA(E34:AI34)</f>
        <v>19</v>
      </c>
      <c r="AK34" s="17">
        <f>COUNTIF(E34:AI34,1)</f>
        <v>0</v>
      </c>
      <c r="AL34" s="17">
        <f>COUNTIF(E34:AI34,"тр")</f>
        <v>0</v>
      </c>
      <c r="AM34" s="18">
        <f>COUNTIF(E34:AI34,"бв")</f>
        <v>19</v>
      </c>
    </row>
    <row r="35" spans="1:39" x14ac:dyDescent="0.25">
      <c r="A35" s="11">
        <f t="shared" si="4"/>
        <v>30</v>
      </c>
      <c r="B35" s="16" t="s">
        <v>25</v>
      </c>
      <c r="C35" s="13" t="s">
        <v>27</v>
      </c>
      <c r="D35" s="22">
        <v>1290</v>
      </c>
      <c r="E35" s="7" t="s">
        <v>57</v>
      </c>
      <c r="F35" s="5" t="s">
        <v>57</v>
      </c>
      <c r="G35" s="5" t="s">
        <v>57</v>
      </c>
      <c r="H35" s="5" t="s">
        <v>57</v>
      </c>
      <c r="I35" s="5" t="s">
        <v>57</v>
      </c>
      <c r="J35" s="5" t="s">
        <v>57</v>
      </c>
      <c r="K35" s="5" t="s">
        <v>57</v>
      </c>
      <c r="L35" s="5" t="s">
        <v>57</v>
      </c>
      <c r="M35" s="5" t="s">
        <v>57</v>
      </c>
      <c r="N35" s="5" t="s">
        <v>57</v>
      </c>
      <c r="O35" s="5" t="s">
        <v>57</v>
      </c>
      <c r="P35" s="5" t="s">
        <v>57</v>
      </c>
      <c r="Q35" s="5" t="s">
        <v>57</v>
      </c>
      <c r="R35" s="5" t="s">
        <v>57</v>
      </c>
      <c r="S35" s="5" t="s">
        <v>57</v>
      </c>
      <c r="T35" s="5" t="s">
        <v>57</v>
      </c>
      <c r="U35" s="5" t="s">
        <v>57</v>
      </c>
      <c r="V35" s="5" t="s">
        <v>57</v>
      </c>
      <c r="W35" s="5">
        <v>1</v>
      </c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155">
        <f>COUNTA(E35:AI35)</f>
        <v>19</v>
      </c>
      <c r="AK35" s="54">
        <f>COUNTIF(E35:AI35,1)</f>
        <v>1</v>
      </c>
      <c r="AL35" s="54">
        <f>COUNTIF(E35:AI35,"тр")</f>
        <v>0</v>
      </c>
      <c r="AM35" s="55">
        <f>COUNTIF(E35:AI35,"бв")</f>
        <v>18</v>
      </c>
    </row>
    <row r="36" spans="1:39" ht="16.3" thickBot="1" x14ac:dyDescent="0.3">
      <c r="A36" s="44">
        <f t="shared" si="4"/>
        <v>31</v>
      </c>
      <c r="B36" s="39" t="s">
        <v>25</v>
      </c>
      <c r="C36" s="68">
        <v>147</v>
      </c>
      <c r="D36" s="41">
        <v>4711</v>
      </c>
      <c r="E36" s="43" t="s">
        <v>58</v>
      </c>
      <c r="F36" s="42" t="s">
        <v>58</v>
      </c>
      <c r="G36" s="42" t="s">
        <v>58</v>
      </c>
      <c r="H36" s="42" t="s">
        <v>58</v>
      </c>
      <c r="I36" s="42" t="s">
        <v>58</v>
      </c>
      <c r="J36" s="42" t="s">
        <v>58</v>
      </c>
      <c r="K36" s="42" t="s">
        <v>58</v>
      </c>
      <c r="L36" s="42" t="s">
        <v>58</v>
      </c>
      <c r="M36" s="42" t="s">
        <v>58</v>
      </c>
      <c r="N36" s="42" t="s">
        <v>58</v>
      </c>
      <c r="O36" s="42" t="s">
        <v>58</v>
      </c>
      <c r="P36" s="42" t="s">
        <v>58</v>
      </c>
      <c r="Q36" s="42" t="s">
        <v>58</v>
      </c>
      <c r="R36" s="42" t="s">
        <v>58</v>
      </c>
      <c r="S36" s="42" t="s">
        <v>58</v>
      </c>
      <c r="T36" s="42" t="s">
        <v>58</v>
      </c>
      <c r="U36" s="42" t="s">
        <v>58</v>
      </c>
      <c r="V36" s="42" t="s">
        <v>58</v>
      </c>
      <c r="W36" s="42" t="s">
        <v>58</v>
      </c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155">
        <f>COUNTA(E36:AI36)</f>
        <v>19</v>
      </c>
      <c r="AK36" s="56">
        <f>COUNTIF(E36:AI36,1)</f>
        <v>0</v>
      </c>
      <c r="AL36" s="56">
        <f>COUNTIF(E36:AI36,"тр")</f>
        <v>19</v>
      </c>
      <c r="AM36" s="57">
        <f>COUNTIF(E36:AI36,"бв")</f>
        <v>0</v>
      </c>
    </row>
    <row r="37" spans="1:39" s="33" customFormat="1" ht="16.3" thickBot="1" x14ac:dyDescent="0.3">
      <c r="A37" s="63"/>
      <c r="B37" s="66" t="s">
        <v>63</v>
      </c>
      <c r="C37" s="64"/>
      <c r="D37" s="64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77">
        <f>SUM(AJ34:AJ36)</f>
        <v>57</v>
      </c>
      <c r="AK37" s="69">
        <f>SUM(AK34:AK36)</f>
        <v>1</v>
      </c>
      <c r="AL37" s="69">
        <f>SUM(AL34:AL36)</f>
        <v>19</v>
      </c>
      <c r="AM37" s="75">
        <f>SUM(AM34:AM36)</f>
        <v>37</v>
      </c>
    </row>
    <row r="38" spans="1:39" ht="16.3" thickBot="1" x14ac:dyDescent="0.3">
      <c r="A38" s="58">
        <f>A36+1</f>
        <v>32</v>
      </c>
      <c r="B38" s="59" t="s">
        <v>30</v>
      </c>
      <c r="C38" s="60" t="s">
        <v>31</v>
      </c>
      <c r="D38" s="61">
        <v>4253</v>
      </c>
      <c r="E38" s="38" t="s">
        <v>58</v>
      </c>
      <c r="F38" s="62" t="s">
        <v>58</v>
      </c>
      <c r="G38" s="62" t="s">
        <v>58</v>
      </c>
      <c r="H38" s="62" t="s">
        <v>58</v>
      </c>
      <c r="I38" s="62" t="s">
        <v>58</v>
      </c>
      <c r="J38" s="62" t="s">
        <v>58</v>
      </c>
      <c r="K38" s="62" t="s">
        <v>58</v>
      </c>
      <c r="L38" s="62" t="s">
        <v>58</v>
      </c>
      <c r="M38" s="62" t="s">
        <v>58</v>
      </c>
      <c r="N38" s="62" t="s">
        <v>58</v>
      </c>
      <c r="O38" s="62" t="s">
        <v>58</v>
      </c>
      <c r="P38" s="62" t="s">
        <v>58</v>
      </c>
      <c r="Q38" s="62" t="s">
        <v>58</v>
      </c>
      <c r="R38" s="62" t="s">
        <v>58</v>
      </c>
      <c r="S38" s="62" t="s">
        <v>58</v>
      </c>
      <c r="T38" s="62" t="s">
        <v>58</v>
      </c>
      <c r="U38" s="62" t="s">
        <v>58</v>
      </c>
      <c r="V38" s="62" t="s">
        <v>58</v>
      </c>
      <c r="W38" s="62" t="s">
        <v>58</v>
      </c>
      <c r="X38" s="62"/>
      <c r="Y38" s="62"/>
      <c r="Z38" s="62"/>
      <c r="AA38" s="62"/>
      <c r="AB38" s="62"/>
      <c r="AC38" s="62"/>
      <c r="AD38" s="62"/>
      <c r="AE38" s="62"/>
      <c r="AF38" s="62"/>
      <c r="AG38" s="62"/>
      <c r="AH38" s="62"/>
      <c r="AI38" s="62"/>
      <c r="AJ38" s="155">
        <f>COUNTA(E38:AI38)</f>
        <v>19</v>
      </c>
      <c r="AK38" s="19">
        <f>COUNTIF(E38:AI38,1)</f>
        <v>0</v>
      </c>
      <c r="AL38" s="19">
        <f>COUNTIF(E38:AI38,"тр")</f>
        <v>19</v>
      </c>
      <c r="AM38" s="20">
        <f>COUNTIF(E38:AI38,"бв")</f>
        <v>0</v>
      </c>
    </row>
    <row r="39" spans="1:39" ht="16.3" thickBot="1" x14ac:dyDescent="0.3">
      <c r="A39" s="63"/>
      <c r="B39" s="66" t="s">
        <v>63</v>
      </c>
      <c r="C39" s="64"/>
      <c r="D39" s="64"/>
      <c r="E39" s="65"/>
      <c r="F39" s="65"/>
      <c r="G39" s="65"/>
      <c r="H39" s="65"/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/>
      <c r="AC39" s="65"/>
      <c r="AD39" s="65"/>
      <c r="AE39" s="65"/>
      <c r="AF39" s="65"/>
      <c r="AG39" s="65"/>
      <c r="AH39" s="65"/>
      <c r="AI39" s="65"/>
      <c r="AJ39" s="77">
        <f>SUM(AJ38)</f>
        <v>19</v>
      </c>
      <c r="AK39" s="69">
        <f>SUM(AK38)</f>
        <v>0</v>
      </c>
      <c r="AL39" s="69">
        <f>SUM(AL38)</f>
        <v>19</v>
      </c>
      <c r="AM39" s="75">
        <f>SUM(AM38)</f>
        <v>0</v>
      </c>
    </row>
    <row r="40" spans="1:39" x14ac:dyDescent="0.25">
      <c r="A40" s="8">
        <f>A38+1</f>
        <v>33</v>
      </c>
      <c r="B40" s="9" t="s">
        <v>33</v>
      </c>
      <c r="C40" s="10" t="s">
        <v>32</v>
      </c>
      <c r="D40" s="21">
        <v>2831</v>
      </c>
      <c r="E40" s="35" t="s">
        <v>58</v>
      </c>
      <c r="F40" s="35" t="s">
        <v>58</v>
      </c>
      <c r="G40" s="35" t="s">
        <v>58</v>
      </c>
      <c r="H40" s="35" t="s">
        <v>58</v>
      </c>
      <c r="I40" s="35" t="s">
        <v>58</v>
      </c>
      <c r="J40" s="35" t="s">
        <v>58</v>
      </c>
      <c r="K40" s="35" t="s">
        <v>58</v>
      </c>
      <c r="L40" s="35" t="s">
        <v>58</v>
      </c>
      <c r="M40" s="35" t="s">
        <v>58</v>
      </c>
      <c r="N40" s="35" t="s">
        <v>58</v>
      </c>
      <c r="O40" s="35" t="s">
        <v>58</v>
      </c>
      <c r="P40" s="35" t="s">
        <v>58</v>
      </c>
      <c r="Q40" s="35" t="s">
        <v>58</v>
      </c>
      <c r="R40" s="35" t="s">
        <v>58</v>
      </c>
      <c r="S40" s="35" t="s">
        <v>58</v>
      </c>
      <c r="T40" s="35" t="s">
        <v>58</v>
      </c>
      <c r="U40" s="35" t="s">
        <v>58</v>
      </c>
      <c r="V40" s="35" t="s">
        <v>58</v>
      </c>
      <c r="W40" s="35" t="s">
        <v>58</v>
      </c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155">
        <f>COUNTA(E40:AI40)</f>
        <v>19</v>
      </c>
      <c r="AK40" s="17">
        <f>COUNTIF(E40:AI40,1)</f>
        <v>0</v>
      </c>
      <c r="AL40" s="17">
        <f>COUNTIF(E40:AI40,"тр")</f>
        <v>19</v>
      </c>
      <c r="AM40" s="18">
        <f>COUNTIF(E40:AI40,"бв")</f>
        <v>0</v>
      </c>
    </row>
    <row r="41" spans="1:39" x14ac:dyDescent="0.25">
      <c r="A41" s="11">
        <f t="shared" si="4"/>
        <v>34</v>
      </c>
      <c r="B41" s="12" t="s">
        <v>33</v>
      </c>
      <c r="C41" s="13" t="s">
        <v>34</v>
      </c>
      <c r="D41" s="22">
        <v>7945</v>
      </c>
      <c r="E41" s="7">
        <v>1</v>
      </c>
      <c r="F41" s="7">
        <v>1</v>
      </c>
      <c r="G41" s="7">
        <v>1</v>
      </c>
      <c r="H41" s="5">
        <v>1</v>
      </c>
      <c r="I41" s="5">
        <v>1</v>
      </c>
      <c r="J41" s="5">
        <v>1</v>
      </c>
      <c r="K41" s="5" t="s">
        <v>57</v>
      </c>
      <c r="L41" s="5">
        <v>1</v>
      </c>
      <c r="M41" s="5">
        <v>1</v>
      </c>
      <c r="N41" s="5">
        <v>1</v>
      </c>
      <c r="O41" s="5">
        <v>1</v>
      </c>
      <c r="P41" s="5">
        <v>1</v>
      </c>
      <c r="Q41" s="5" t="s">
        <v>57</v>
      </c>
      <c r="R41" s="5" t="s">
        <v>57</v>
      </c>
      <c r="S41" s="5">
        <v>1</v>
      </c>
      <c r="T41" s="5">
        <v>1</v>
      </c>
      <c r="U41" s="5">
        <v>1</v>
      </c>
      <c r="V41" s="5">
        <v>1</v>
      </c>
      <c r="W41" s="5">
        <v>1</v>
      </c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155">
        <f>COUNTA(E41:AI41)</f>
        <v>19</v>
      </c>
      <c r="AK41" s="54">
        <f>COUNTIF(E41:AI41,1)</f>
        <v>16</v>
      </c>
      <c r="AL41" s="54">
        <f>COUNTIF(E41:AI41,"тр")</f>
        <v>0</v>
      </c>
      <c r="AM41" s="55">
        <f>COUNTIF(E41:AI41,"бв")</f>
        <v>3</v>
      </c>
    </row>
    <row r="42" spans="1:39" ht="16.3" thickBot="1" x14ac:dyDescent="0.3">
      <c r="A42" s="44">
        <f t="shared" si="4"/>
        <v>35</v>
      </c>
      <c r="B42" s="39" t="s">
        <v>35</v>
      </c>
      <c r="C42" s="68">
        <v>135</v>
      </c>
      <c r="D42" s="41">
        <v>8933</v>
      </c>
      <c r="E42" s="43" t="s">
        <v>58</v>
      </c>
      <c r="F42" s="43" t="s">
        <v>58</v>
      </c>
      <c r="G42" s="43">
        <v>1</v>
      </c>
      <c r="H42" s="42" t="s">
        <v>58</v>
      </c>
      <c r="I42" s="42" t="s">
        <v>58</v>
      </c>
      <c r="J42" s="42">
        <v>1</v>
      </c>
      <c r="K42" s="42">
        <v>1</v>
      </c>
      <c r="L42" s="42">
        <v>1</v>
      </c>
      <c r="M42" s="42">
        <v>1</v>
      </c>
      <c r="N42" s="42" t="s">
        <v>57</v>
      </c>
      <c r="O42" s="42" t="s">
        <v>57</v>
      </c>
      <c r="P42" s="42">
        <v>1</v>
      </c>
      <c r="Q42" s="42">
        <v>1</v>
      </c>
      <c r="R42" s="42">
        <v>1</v>
      </c>
      <c r="S42" s="42" t="s">
        <v>58</v>
      </c>
      <c r="T42" s="42">
        <v>1</v>
      </c>
      <c r="U42" s="42" t="s">
        <v>57</v>
      </c>
      <c r="V42" s="42" t="s">
        <v>57</v>
      </c>
      <c r="W42" s="42">
        <v>1</v>
      </c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155">
        <f>COUNTA(E42:AI42)</f>
        <v>19</v>
      </c>
      <c r="AK42" s="56">
        <f>COUNTIF(E42:AI42,1)</f>
        <v>10</v>
      </c>
      <c r="AL42" s="56">
        <f>COUNTIF(E42:AI42,"тр")</f>
        <v>5</v>
      </c>
      <c r="AM42" s="57">
        <f>COUNTIF(E42:AI42,"бв")</f>
        <v>4</v>
      </c>
    </row>
    <row r="43" spans="1:39" s="33" customFormat="1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SUM(AJ40:AJ42)</f>
        <v>57</v>
      </c>
      <c r="AK43" s="69">
        <f>SUM(AK40:AK42)</f>
        <v>26</v>
      </c>
      <c r="AL43" s="69">
        <f>SUM(AL40:AL42)</f>
        <v>24</v>
      </c>
      <c r="AM43" s="75">
        <f>SUM(AM40:AM42)</f>
        <v>7</v>
      </c>
    </row>
    <row r="44" spans="1:39" x14ac:dyDescent="0.25">
      <c r="A44" s="8">
        <f>A42+1</f>
        <v>36</v>
      </c>
      <c r="B44" s="9" t="s">
        <v>54</v>
      </c>
      <c r="C44" s="10" t="s">
        <v>36</v>
      </c>
      <c r="D44" s="21">
        <v>4994</v>
      </c>
      <c r="E44" s="6">
        <v>1</v>
      </c>
      <c r="F44" s="6">
        <v>1</v>
      </c>
      <c r="G44" s="6">
        <v>1</v>
      </c>
      <c r="H44" s="35">
        <v>1</v>
      </c>
      <c r="I44" s="35">
        <v>1</v>
      </c>
      <c r="J44" s="35">
        <v>1</v>
      </c>
      <c r="K44" s="35">
        <v>1</v>
      </c>
      <c r="L44" s="35">
        <v>1</v>
      </c>
      <c r="M44" s="35">
        <v>1</v>
      </c>
      <c r="N44" s="35">
        <v>1</v>
      </c>
      <c r="O44" s="35">
        <v>1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>
        <v>1</v>
      </c>
      <c r="V44" s="35">
        <v>1</v>
      </c>
      <c r="W44" s="35">
        <v>1</v>
      </c>
      <c r="X44" s="35"/>
      <c r="Y44" s="35"/>
      <c r="Z44" s="35"/>
      <c r="AA44" s="35"/>
      <c r="AB44" s="35"/>
      <c r="AC44" s="35"/>
      <c r="AD44" s="35"/>
      <c r="AE44" s="35"/>
      <c r="AF44" s="35"/>
      <c r="AG44" s="35"/>
      <c r="AH44" s="35"/>
      <c r="AI44" s="35"/>
      <c r="AJ44" s="155">
        <f t="shared" ref="AJ44:AJ50" si="9">COUNTA(E44:AI44)</f>
        <v>19</v>
      </c>
      <c r="AK44" s="17">
        <f t="shared" ref="AK44:AK50" si="10">COUNTIF(E44:AI44,1)</f>
        <v>14</v>
      </c>
      <c r="AL44" s="17">
        <f t="shared" ref="AL44:AL50" si="11">COUNTIF(E44:AI44,"тр")</f>
        <v>5</v>
      </c>
      <c r="AM44" s="18">
        <f t="shared" ref="AM44:AM50" si="12">COUNTIF(E44:AI44,"бв")</f>
        <v>0</v>
      </c>
    </row>
    <row r="45" spans="1:39" x14ac:dyDescent="0.25">
      <c r="A45" s="11">
        <f t="shared" si="4"/>
        <v>37</v>
      </c>
      <c r="B45" s="12" t="s">
        <v>54</v>
      </c>
      <c r="C45" s="13" t="s">
        <v>37</v>
      </c>
      <c r="D45" s="22">
        <v>4995</v>
      </c>
      <c r="E45" s="7">
        <v>1</v>
      </c>
      <c r="F45" s="5">
        <v>1</v>
      </c>
      <c r="G45" s="5" t="s">
        <v>57</v>
      </c>
      <c r="H45" s="5" t="s">
        <v>57</v>
      </c>
      <c r="I45" s="5" t="s">
        <v>57</v>
      </c>
      <c r="J45" s="5" t="s">
        <v>57</v>
      </c>
      <c r="K45" s="5" t="s">
        <v>57</v>
      </c>
      <c r="L45" s="5" t="s">
        <v>57</v>
      </c>
      <c r="M45" s="5">
        <v>1</v>
      </c>
      <c r="N45" s="5">
        <v>1</v>
      </c>
      <c r="O45" s="5">
        <v>1</v>
      </c>
      <c r="P45" s="5">
        <v>1</v>
      </c>
      <c r="Q45" s="5">
        <v>1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155">
        <f t="shared" si="9"/>
        <v>19</v>
      </c>
      <c r="AK45" s="54">
        <f t="shared" si="10"/>
        <v>13</v>
      </c>
      <c r="AL45" s="54">
        <f t="shared" si="11"/>
        <v>0</v>
      </c>
      <c r="AM45" s="55">
        <f t="shared" si="12"/>
        <v>6</v>
      </c>
    </row>
    <row r="46" spans="1:39" x14ac:dyDescent="0.25">
      <c r="A46" s="11">
        <f t="shared" si="4"/>
        <v>38</v>
      </c>
      <c r="B46" s="12" t="s">
        <v>54</v>
      </c>
      <c r="C46" s="13" t="s">
        <v>38</v>
      </c>
      <c r="D46" s="22">
        <v>6129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 t="s">
        <v>57</v>
      </c>
      <c r="K46" s="5" t="s">
        <v>57</v>
      </c>
      <c r="L46" s="5">
        <v>1</v>
      </c>
      <c r="M46" s="5">
        <v>1</v>
      </c>
      <c r="N46" s="5" t="s">
        <v>58</v>
      </c>
      <c r="O46" s="5" t="s">
        <v>58</v>
      </c>
      <c r="P46" s="5">
        <v>1</v>
      </c>
      <c r="Q46" s="5">
        <v>1</v>
      </c>
      <c r="R46" s="5" t="s">
        <v>57</v>
      </c>
      <c r="S46" s="5" t="s">
        <v>57</v>
      </c>
      <c r="T46" s="5">
        <v>1</v>
      </c>
      <c r="U46" s="5">
        <v>1</v>
      </c>
      <c r="V46" s="5">
        <v>1</v>
      </c>
      <c r="W46" s="5">
        <v>1</v>
      </c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155">
        <f t="shared" si="9"/>
        <v>19</v>
      </c>
      <c r="AK46" s="54">
        <f t="shared" si="10"/>
        <v>13</v>
      </c>
      <c r="AL46" s="54">
        <f t="shared" si="11"/>
        <v>2</v>
      </c>
      <c r="AM46" s="55">
        <f t="shared" si="12"/>
        <v>4</v>
      </c>
    </row>
    <row r="47" spans="1:39" x14ac:dyDescent="0.25">
      <c r="A47" s="11">
        <f t="shared" si="4"/>
        <v>39</v>
      </c>
      <c r="B47" s="12" t="s">
        <v>54</v>
      </c>
      <c r="C47" s="13" t="s">
        <v>39</v>
      </c>
      <c r="D47" s="22">
        <v>6130</v>
      </c>
      <c r="E47" s="7">
        <v>1</v>
      </c>
      <c r="F47" s="5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 s="5">
        <v>1</v>
      </c>
      <c r="M47" s="5">
        <v>1</v>
      </c>
      <c r="N47" s="5">
        <v>1</v>
      </c>
      <c r="O47" s="5">
        <v>1</v>
      </c>
      <c r="P47" s="5">
        <v>1</v>
      </c>
      <c r="Q47" s="5">
        <v>1</v>
      </c>
      <c r="R47" s="5">
        <v>1</v>
      </c>
      <c r="S47" s="5">
        <v>1</v>
      </c>
      <c r="T47" s="5">
        <v>1</v>
      </c>
      <c r="U47" s="5">
        <v>1</v>
      </c>
      <c r="V47" s="5">
        <v>1</v>
      </c>
      <c r="W47" s="5">
        <v>1</v>
      </c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155">
        <f t="shared" si="9"/>
        <v>19</v>
      </c>
      <c r="AK47" s="54">
        <f t="shared" si="10"/>
        <v>19</v>
      </c>
      <c r="AL47" s="54">
        <f t="shared" si="11"/>
        <v>0</v>
      </c>
      <c r="AM47" s="55">
        <f t="shared" si="12"/>
        <v>0</v>
      </c>
    </row>
    <row r="48" spans="1:39" x14ac:dyDescent="0.25">
      <c r="A48" s="11">
        <f t="shared" si="4"/>
        <v>40</v>
      </c>
      <c r="B48" s="12" t="s">
        <v>54</v>
      </c>
      <c r="C48" s="13" t="s">
        <v>40</v>
      </c>
      <c r="D48" s="22">
        <v>1297</v>
      </c>
      <c r="E48" s="7">
        <v>1</v>
      </c>
      <c r="F48" s="5" t="s">
        <v>57</v>
      </c>
      <c r="G48" s="5" t="s">
        <v>57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 t="s">
        <v>57</v>
      </c>
      <c r="N48" s="5" t="s">
        <v>57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 t="s">
        <v>57</v>
      </c>
      <c r="U48" s="5" t="s">
        <v>57</v>
      </c>
      <c r="V48" s="5">
        <v>1</v>
      </c>
      <c r="W48" s="5">
        <v>1</v>
      </c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155">
        <f t="shared" si="9"/>
        <v>19</v>
      </c>
      <c r="AK48" s="54">
        <f t="shared" si="10"/>
        <v>13</v>
      </c>
      <c r="AL48" s="54">
        <f t="shared" si="11"/>
        <v>0</v>
      </c>
      <c r="AM48" s="55">
        <f t="shared" si="12"/>
        <v>6</v>
      </c>
    </row>
    <row r="49" spans="1:39" x14ac:dyDescent="0.25">
      <c r="A49" s="11">
        <f t="shared" si="4"/>
        <v>41</v>
      </c>
      <c r="B49" s="12" t="s">
        <v>54</v>
      </c>
      <c r="C49" s="13" t="s">
        <v>41</v>
      </c>
      <c r="D49" s="22">
        <v>1296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155">
        <f t="shared" si="9"/>
        <v>19</v>
      </c>
      <c r="AK49" s="54">
        <f t="shared" si="10"/>
        <v>19</v>
      </c>
      <c r="AL49" s="54">
        <f t="shared" si="11"/>
        <v>0</v>
      </c>
      <c r="AM49" s="55">
        <f t="shared" si="12"/>
        <v>0</v>
      </c>
    </row>
    <row r="50" spans="1:39" ht="16.3" thickBot="1" x14ac:dyDescent="0.3">
      <c r="A50" s="44">
        <f t="shared" si="4"/>
        <v>42</v>
      </c>
      <c r="B50" s="39" t="s">
        <v>54</v>
      </c>
      <c r="C50" s="40" t="s">
        <v>42</v>
      </c>
      <c r="D50" s="41">
        <v>1344</v>
      </c>
      <c r="E50" s="43">
        <v>1</v>
      </c>
      <c r="F50" s="42">
        <v>1</v>
      </c>
      <c r="G50" s="42" t="s">
        <v>57</v>
      </c>
      <c r="H50" s="42" t="s">
        <v>57</v>
      </c>
      <c r="I50" s="42">
        <v>1</v>
      </c>
      <c r="J50" s="42">
        <v>1</v>
      </c>
      <c r="K50" s="42" t="s">
        <v>57</v>
      </c>
      <c r="L50" s="42" t="s">
        <v>57</v>
      </c>
      <c r="M50" s="42">
        <v>1</v>
      </c>
      <c r="N50" s="42">
        <v>1</v>
      </c>
      <c r="O50" s="42">
        <v>1</v>
      </c>
      <c r="P50" s="42">
        <v>1</v>
      </c>
      <c r="Q50" s="42" t="s">
        <v>57</v>
      </c>
      <c r="R50" s="42" t="s">
        <v>57</v>
      </c>
      <c r="S50" s="42">
        <v>1</v>
      </c>
      <c r="T50" s="42">
        <v>1</v>
      </c>
      <c r="U50" s="42">
        <v>1</v>
      </c>
      <c r="V50" s="42">
        <v>1</v>
      </c>
      <c r="W50" s="42">
        <v>1</v>
      </c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155">
        <f t="shared" si="9"/>
        <v>19</v>
      </c>
      <c r="AK50" s="56">
        <f t="shared" si="10"/>
        <v>13</v>
      </c>
      <c r="AL50" s="56">
        <f t="shared" si="11"/>
        <v>0</v>
      </c>
      <c r="AM50" s="57">
        <f t="shared" si="12"/>
        <v>6</v>
      </c>
    </row>
    <row r="51" spans="1:39" s="33" customFormat="1" ht="16.3" thickBot="1" x14ac:dyDescent="0.3">
      <c r="A51" s="63"/>
      <c r="B51" s="66" t="s">
        <v>63</v>
      </c>
      <c r="C51" s="64"/>
      <c r="D51" s="64"/>
      <c r="E51" s="65"/>
      <c r="F51" s="65"/>
      <c r="G51" s="65"/>
      <c r="H51" s="65"/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77">
        <f>SUM(AJ44:AJ50)</f>
        <v>133</v>
      </c>
      <c r="AK51" s="69">
        <f>SUM(AK44:AK50)</f>
        <v>104</v>
      </c>
      <c r="AL51" s="69">
        <f>SUM(AL44:AL50)</f>
        <v>7</v>
      </c>
      <c r="AM51" s="75">
        <f>SUM(AM44:AM50)</f>
        <v>22</v>
      </c>
    </row>
    <row r="52" spans="1:39" ht="16.3" thickBot="1" x14ac:dyDescent="0.3">
      <c r="A52" s="44">
        <f>A50+1</f>
        <v>43</v>
      </c>
      <c r="B52" s="39" t="s">
        <v>43</v>
      </c>
      <c r="C52" s="40" t="s">
        <v>45</v>
      </c>
      <c r="D52" s="41">
        <v>1252</v>
      </c>
      <c r="E52" s="43">
        <v>1</v>
      </c>
      <c r="F52" s="42" t="s">
        <v>57</v>
      </c>
      <c r="G52" s="42">
        <v>1</v>
      </c>
      <c r="H52" s="42">
        <v>1</v>
      </c>
      <c r="I52" s="42">
        <v>1</v>
      </c>
      <c r="J52" s="42">
        <v>1</v>
      </c>
      <c r="K52" s="42">
        <v>1</v>
      </c>
      <c r="L52" s="42">
        <v>1</v>
      </c>
      <c r="M52" s="42">
        <v>1</v>
      </c>
      <c r="N52" s="42">
        <v>1</v>
      </c>
      <c r="O52" s="42">
        <v>1</v>
      </c>
      <c r="P52" s="42">
        <v>1</v>
      </c>
      <c r="Q52" s="42">
        <v>1</v>
      </c>
      <c r="R52" s="42" t="s">
        <v>57</v>
      </c>
      <c r="S52" s="42" t="s">
        <v>57</v>
      </c>
      <c r="T52" s="42">
        <v>1</v>
      </c>
      <c r="U52" s="42">
        <v>1</v>
      </c>
      <c r="V52" s="42">
        <v>1</v>
      </c>
      <c r="W52" s="42" t="s">
        <v>57</v>
      </c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155">
        <f>COUNTA(E52:AI52)</f>
        <v>19</v>
      </c>
      <c r="AK52" s="56">
        <f>COUNTIF(E52:AI52,1)</f>
        <v>15</v>
      </c>
      <c r="AL52" s="56">
        <f>COUNTIF(E52:AI52,"тр")</f>
        <v>0</v>
      </c>
      <c r="AM52" s="57">
        <f>COUNTIF(E52:AI52,"бв")</f>
        <v>4</v>
      </c>
    </row>
    <row r="53" spans="1:39" s="33" customFormat="1" ht="16.3" thickBot="1" x14ac:dyDescent="0.3">
      <c r="A53" s="129"/>
      <c r="B53" s="130" t="s">
        <v>63</v>
      </c>
      <c r="C53" s="128"/>
      <c r="D53" s="128"/>
      <c r="E53" s="65"/>
      <c r="F53" s="65"/>
      <c r="G53" s="65"/>
      <c r="H53" s="65"/>
      <c r="I53" s="65"/>
      <c r="J53" s="65"/>
      <c r="K53" s="65"/>
      <c r="L53" s="65"/>
      <c r="M53" s="65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77">
        <f>SUM(AJ52:AJ52)</f>
        <v>19</v>
      </c>
      <c r="AK53" s="69">
        <f>SUM(AK52:AK52)</f>
        <v>15</v>
      </c>
      <c r="AL53" s="69">
        <f>SUM(AL52:AL52)</f>
        <v>0</v>
      </c>
      <c r="AM53" s="75">
        <f>SUM(AM52:AM52)</f>
        <v>4</v>
      </c>
    </row>
    <row r="54" spans="1:39" x14ac:dyDescent="0.25">
      <c r="A54" s="103">
        <f>A52+1</f>
        <v>44</v>
      </c>
      <c r="B54" s="104" t="s">
        <v>64</v>
      </c>
      <c r="C54" s="105" t="s">
        <v>65</v>
      </c>
      <c r="D54" s="106" t="s">
        <v>59</v>
      </c>
      <c r="E54" s="143">
        <v>1</v>
      </c>
      <c r="F54" s="92">
        <v>1</v>
      </c>
      <c r="G54" s="92">
        <v>1</v>
      </c>
      <c r="H54" s="92">
        <v>1</v>
      </c>
      <c r="I54" s="92">
        <v>1</v>
      </c>
      <c r="J54" s="92">
        <v>1</v>
      </c>
      <c r="K54" s="92" t="s">
        <v>57</v>
      </c>
      <c r="L54" s="92" t="s">
        <v>57</v>
      </c>
      <c r="M54" s="92" t="s">
        <v>57</v>
      </c>
      <c r="N54" s="92">
        <v>1</v>
      </c>
      <c r="O54" s="92">
        <v>1</v>
      </c>
      <c r="P54" s="92">
        <v>1</v>
      </c>
      <c r="Q54" s="92">
        <v>1</v>
      </c>
      <c r="R54" s="92">
        <v>1</v>
      </c>
      <c r="S54" s="5">
        <v>1</v>
      </c>
      <c r="T54" s="92">
        <v>1</v>
      </c>
      <c r="U54" s="92">
        <v>1</v>
      </c>
      <c r="V54" s="92">
        <v>1</v>
      </c>
      <c r="W54" s="92">
        <v>1</v>
      </c>
      <c r="X54" s="92"/>
      <c r="Y54" s="92"/>
      <c r="Z54" s="92"/>
      <c r="AA54" s="92"/>
      <c r="AB54" s="92"/>
      <c r="AC54" s="92"/>
      <c r="AD54" s="92"/>
      <c r="AE54" s="92"/>
      <c r="AF54" s="92"/>
      <c r="AG54" s="92"/>
      <c r="AH54" s="92"/>
      <c r="AI54" s="92"/>
      <c r="AJ54" s="152">
        <f>COUNTA(E54:AI54)</f>
        <v>19</v>
      </c>
      <c r="AK54" s="80">
        <f>COUNTIF(E54:AI54,1)</f>
        <v>16</v>
      </c>
      <c r="AL54" s="80">
        <f>COUNTIF(E54:AI54,"тр")</f>
        <v>0</v>
      </c>
      <c r="AM54" s="81">
        <f>COUNTIF(E54:AI54,"бв")</f>
        <v>3</v>
      </c>
    </row>
    <row r="55" spans="1:39" x14ac:dyDescent="0.25">
      <c r="A55" s="58">
        <f t="shared" si="4"/>
        <v>45</v>
      </c>
      <c r="B55" s="39" t="s">
        <v>64</v>
      </c>
      <c r="C55" s="40" t="s">
        <v>66</v>
      </c>
      <c r="D55" s="22" t="s">
        <v>60</v>
      </c>
      <c r="E55" s="43">
        <v>1</v>
      </c>
      <c r="F55" s="42" t="s">
        <v>57</v>
      </c>
      <c r="G55" s="42" t="s">
        <v>57</v>
      </c>
      <c r="H55" s="42">
        <v>1</v>
      </c>
      <c r="I55" s="42">
        <v>1</v>
      </c>
      <c r="J55" s="42">
        <v>1</v>
      </c>
      <c r="K55" s="42">
        <v>1</v>
      </c>
      <c r="L55" s="42">
        <v>1</v>
      </c>
      <c r="M55" s="42">
        <v>1</v>
      </c>
      <c r="N55" s="42">
        <v>1</v>
      </c>
      <c r="O55" s="42">
        <v>1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155">
        <f>COUNTA(E55:AI55)</f>
        <v>19</v>
      </c>
      <c r="AK55" s="56">
        <f>COUNTIF(E55:AI55,1)</f>
        <v>17</v>
      </c>
      <c r="AL55" s="56">
        <f>COUNTIF(E55:AI55,"тр")</f>
        <v>0</v>
      </c>
      <c r="AM55" s="57">
        <f>COUNTIF(E55:AI55,"бв")</f>
        <v>2</v>
      </c>
    </row>
    <row r="56" spans="1:39" ht="16.3" thickBot="1" x14ac:dyDescent="0.3">
      <c r="A56" s="107">
        <f t="shared" si="4"/>
        <v>46</v>
      </c>
      <c r="B56" s="108" t="s">
        <v>79</v>
      </c>
      <c r="C56" s="109" t="s">
        <v>77</v>
      </c>
      <c r="D56" s="110" t="s">
        <v>78</v>
      </c>
      <c r="E56" s="144">
        <v>1</v>
      </c>
      <c r="F56" s="97">
        <v>1</v>
      </c>
      <c r="G56" s="97">
        <v>1</v>
      </c>
      <c r="H56" s="97">
        <v>1</v>
      </c>
      <c r="I56" s="97">
        <v>1</v>
      </c>
      <c r="J56" s="97">
        <v>1</v>
      </c>
      <c r="K56" s="97">
        <v>1</v>
      </c>
      <c r="L56" s="97" t="s">
        <v>57</v>
      </c>
      <c r="M56" s="97" t="s">
        <v>57</v>
      </c>
      <c r="N56" s="97">
        <v>1</v>
      </c>
      <c r="O56" s="97">
        <v>1</v>
      </c>
      <c r="P56" s="97">
        <v>1</v>
      </c>
      <c r="Q56" s="97">
        <v>1</v>
      </c>
      <c r="R56" s="97">
        <v>1</v>
      </c>
      <c r="S56" s="97">
        <v>1</v>
      </c>
      <c r="T56" s="97" t="s">
        <v>57</v>
      </c>
      <c r="U56" s="97" t="s">
        <v>57</v>
      </c>
      <c r="V56" s="97">
        <v>1</v>
      </c>
      <c r="W56" s="97">
        <v>1</v>
      </c>
      <c r="X56" s="97"/>
      <c r="Y56" s="97"/>
      <c r="Z56" s="97"/>
      <c r="AA56" s="97"/>
      <c r="AB56" s="97"/>
      <c r="AC56" s="97"/>
      <c r="AD56" s="97"/>
      <c r="AE56" s="97"/>
      <c r="AF56" s="97"/>
      <c r="AG56" s="97"/>
      <c r="AH56" s="97"/>
      <c r="AI56" s="97"/>
      <c r="AJ56" s="157">
        <f>COUNTA(E56:AI56)</f>
        <v>19</v>
      </c>
      <c r="AK56" s="84">
        <f>COUNTIF(E56:AI56,1)</f>
        <v>15</v>
      </c>
      <c r="AL56" s="84">
        <f>COUNTIF(E56:AI56,"тр")</f>
        <v>0</v>
      </c>
      <c r="AM56" s="85">
        <f>COUNTIF(E56:AI56,"бв")</f>
        <v>4</v>
      </c>
    </row>
    <row r="57" spans="1:39" s="33" customFormat="1" ht="16.3" thickBot="1" x14ac:dyDescent="0.3">
      <c r="A57" s="121"/>
      <c r="B57" s="122" t="s">
        <v>63</v>
      </c>
      <c r="C57" s="123"/>
      <c r="D57" s="123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SUM(AJ54:AJ56)</f>
        <v>57</v>
      </c>
      <c r="AK57" s="69">
        <f>SUM(AK54:AK56)</f>
        <v>48</v>
      </c>
      <c r="AL57" s="69">
        <f>SUM(AL54:AL56)</f>
        <v>0</v>
      </c>
      <c r="AM57" s="75">
        <f>SUM(AM54:AM56)</f>
        <v>9</v>
      </c>
    </row>
    <row r="58" spans="1:39" s="33" customFormat="1" x14ac:dyDescent="0.25">
      <c r="A58" s="168"/>
      <c r="B58" s="49"/>
      <c r="C58" s="50"/>
      <c r="D58" s="50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1" t="s">
        <v>67</v>
      </c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3">
        <f>AJ25+AJ33+AJ37+AJ39+AJ43+AJ51+AJ53+AJ57</f>
        <v>874</v>
      </c>
      <c r="AK58" s="53"/>
      <c r="AL58" s="53"/>
      <c r="AM58" s="53"/>
    </row>
    <row r="59" spans="1:39" x14ac:dyDescent="0.25">
      <c r="B59" s="1"/>
      <c r="C59" s="2"/>
      <c r="D59" s="2"/>
      <c r="E59" s="47"/>
      <c r="F59" s="47"/>
      <c r="G59" s="47"/>
      <c r="H59" s="47"/>
      <c r="I59" s="47"/>
      <c r="J59" s="47"/>
      <c r="K59" s="47"/>
      <c r="L59" s="47"/>
      <c r="M59" s="47"/>
      <c r="N59" s="47"/>
      <c r="O59" s="47"/>
      <c r="P59" s="47"/>
      <c r="Q59" s="47"/>
      <c r="R59" s="47"/>
      <c r="S59" s="47"/>
      <c r="T59" s="47"/>
      <c r="U59" s="47"/>
      <c r="V59" s="47"/>
      <c r="W59" s="47"/>
      <c r="X59" s="47"/>
      <c r="Y59" s="47"/>
      <c r="Z59" s="47"/>
      <c r="AA59" s="47"/>
      <c r="AB59" s="47"/>
      <c r="AC59" s="47"/>
      <c r="AD59" s="47"/>
      <c r="AE59" s="47"/>
      <c r="AF59" s="47"/>
      <c r="AG59" s="47"/>
      <c r="AH59" s="47"/>
      <c r="AI59" s="47"/>
      <c r="AJ59" s="47"/>
      <c r="AK59" s="48"/>
      <c r="AL59" s="48"/>
      <c r="AM59" s="48"/>
    </row>
    <row r="60" spans="1:39" ht="16.3" thickBot="1" x14ac:dyDescent="0.3">
      <c r="A60" s="169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Июль 2019 автоколонны № 2 г. Смолевичи</v>
      </c>
      <c r="B60" s="169"/>
      <c r="C60" s="169"/>
      <c r="D60" s="169"/>
      <c r="E60" s="169"/>
      <c r="F60" s="169"/>
      <c r="G60" s="169"/>
      <c r="H60" s="169"/>
      <c r="I60" s="169"/>
      <c r="J60" s="169"/>
      <c r="K60" s="169"/>
      <c r="L60" s="169"/>
      <c r="M60" s="169"/>
      <c r="N60" s="169"/>
      <c r="O60" s="169"/>
      <c r="P60" s="169"/>
      <c r="Q60" s="169"/>
      <c r="R60" s="169"/>
      <c r="S60" s="169"/>
      <c r="T60" s="169"/>
      <c r="U60" s="169"/>
      <c r="V60" s="169"/>
      <c r="W60" s="169"/>
      <c r="X60" s="169"/>
      <c r="Y60" s="169"/>
      <c r="Z60" s="169"/>
      <c r="AA60" s="169"/>
      <c r="AB60" s="169"/>
      <c r="AC60" s="169"/>
      <c r="AD60" s="169"/>
      <c r="AE60" s="169"/>
      <c r="AF60" s="169"/>
      <c r="AG60" s="169"/>
      <c r="AH60" s="169"/>
      <c r="AI60" s="169"/>
      <c r="AJ60" s="169"/>
      <c r="AK60" s="169"/>
      <c r="AL60" s="169"/>
      <c r="AM60" s="169"/>
    </row>
    <row r="61" spans="1:39" s="33" customFormat="1" ht="16.3" thickBot="1" x14ac:dyDescent="0.3">
      <c r="A61" s="27" t="s">
        <v>56</v>
      </c>
      <c r="B61" s="28" t="s">
        <v>46</v>
      </c>
      <c r="C61" s="28" t="s">
        <v>48</v>
      </c>
      <c r="D61" s="29" t="s">
        <v>47</v>
      </c>
      <c r="E61" s="34">
        <v>1</v>
      </c>
      <c r="F61" s="30">
        <v>2</v>
      </c>
      <c r="G61" s="30">
        <v>3</v>
      </c>
      <c r="H61" s="30">
        <v>4</v>
      </c>
      <c r="I61" s="30">
        <v>5</v>
      </c>
      <c r="J61" s="30">
        <v>6</v>
      </c>
      <c r="K61" s="30">
        <v>7</v>
      </c>
      <c r="L61" s="30">
        <v>8</v>
      </c>
      <c r="M61" s="30">
        <v>9</v>
      </c>
      <c r="N61" s="30">
        <v>10</v>
      </c>
      <c r="O61" s="30">
        <v>11</v>
      </c>
      <c r="P61" s="30">
        <v>12</v>
      </c>
      <c r="Q61" s="30">
        <v>13</v>
      </c>
      <c r="R61" s="30">
        <v>14</v>
      </c>
      <c r="S61" s="30">
        <v>15</v>
      </c>
      <c r="T61" s="30">
        <v>16</v>
      </c>
      <c r="U61" s="30">
        <v>17</v>
      </c>
      <c r="V61" s="30">
        <v>18</v>
      </c>
      <c r="W61" s="30">
        <v>19</v>
      </c>
      <c r="X61" s="30">
        <v>20</v>
      </c>
      <c r="Y61" s="30">
        <v>21</v>
      </c>
      <c r="Z61" s="30">
        <v>22</v>
      </c>
      <c r="AA61" s="30">
        <v>23</v>
      </c>
      <c r="AB61" s="30">
        <v>24</v>
      </c>
      <c r="AC61" s="30">
        <v>25</v>
      </c>
      <c r="AD61" s="30">
        <v>26</v>
      </c>
      <c r="AE61" s="30">
        <v>27</v>
      </c>
      <c r="AF61" s="30">
        <v>28</v>
      </c>
      <c r="AG61" s="30">
        <v>29</v>
      </c>
      <c r="AH61" s="30"/>
      <c r="AI61" s="30">
        <v>30</v>
      </c>
      <c r="AJ61" s="27" t="s">
        <v>62</v>
      </c>
      <c r="AK61" s="31" t="s">
        <v>61</v>
      </c>
      <c r="AL61" s="31" t="s">
        <v>58</v>
      </c>
      <c r="AM61" s="32" t="s">
        <v>57</v>
      </c>
    </row>
    <row r="62" spans="1:39" x14ac:dyDescent="0.25">
      <c r="A62" s="8">
        <v>1</v>
      </c>
      <c r="B62" s="9" t="s">
        <v>54</v>
      </c>
      <c r="C62" s="166">
        <v>176</v>
      </c>
      <c r="D62" s="10">
        <v>6172</v>
      </c>
      <c r="E62" s="35">
        <v>1</v>
      </c>
      <c r="F62" s="35">
        <v>1</v>
      </c>
      <c r="G62" s="35">
        <v>1</v>
      </c>
      <c r="H62" s="35">
        <v>1</v>
      </c>
      <c r="I62" s="35">
        <v>1</v>
      </c>
      <c r="J62" s="35">
        <v>1</v>
      </c>
      <c r="K62" s="35">
        <v>1</v>
      </c>
      <c r="L62" s="35">
        <v>1</v>
      </c>
      <c r="M62" s="35">
        <v>1</v>
      </c>
      <c r="N62" s="35">
        <v>1</v>
      </c>
      <c r="O62" s="35">
        <v>1</v>
      </c>
      <c r="P62" s="35">
        <v>1</v>
      </c>
      <c r="Q62" s="35">
        <v>1</v>
      </c>
      <c r="R62" s="35">
        <v>1</v>
      </c>
      <c r="S62" s="35">
        <v>1</v>
      </c>
      <c r="T62" s="35">
        <v>1</v>
      </c>
      <c r="U62" s="35">
        <v>1</v>
      </c>
      <c r="V62" s="35">
        <v>1</v>
      </c>
      <c r="W62" s="35">
        <v>1</v>
      </c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155">
        <f>COUNTA(E62:AI62)</f>
        <v>19</v>
      </c>
      <c r="AK62" s="17">
        <f>COUNTIF(E62:AI62,1)</f>
        <v>19</v>
      </c>
      <c r="AL62" s="17">
        <f>COUNTIF(E62:AI62,"тр")</f>
        <v>0</v>
      </c>
      <c r="AM62" s="18">
        <f>COUNTIF(E62:AI62,"бв")</f>
        <v>0</v>
      </c>
    </row>
    <row r="63" spans="1:39" x14ac:dyDescent="0.25">
      <c r="A63" s="11">
        <f>A62+1</f>
        <v>2</v>
      </c>
      <c r="B63" s="12" t="s">
        <v>54</v>
      </c>
      <c r="C63" s="15">
        <v>177</v>
      </c>
      <c r="D63" s="13">
        <v>6173</v>
      </c>
      <c r="E63" s="5">
        <v>1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 s="5">
        <v>1</v>
      </c>
      <c r="M63" s="5">
        <v>1</v>
      </c>
      <c r="N63" s="5">
        <v>1</v>
      </c>
      <c r="O63" s="5">
        <v>1</v>
      </c>
      <c r="P63" s="5">
        <v>1</v>
      </c>
      <c r="Q63" s="5">
        <v>1</v>
      </c>
      <c r="R63" s="5">
        <v>1</v>
      </c>
      <c r="S63" s="5">
        <v>1</v>
      </c>
      <c r="T63" s="5">
        <v>1</v>
      </c>
      <c r="U63" s="5">
        <v>1</v>
      </c>
      <c r="V63" s="5">
        <v>1</v>
      </c>
      <c r="W63" s="5">
        <v>1</v>
      </c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153">
        <f>COUNTA(E63:AI63)</f>
        <v>19</v>
      </c>
      <c r="AK63" s="54">
        <f>COUNTIF(E63:AI63,1)</f>
        <v>19</v>
      </c>
      <c r="AL63" s="54">
        <f>COUNTIF(E63:AI63,"тр")</f>
        <v>0</v>
      </c>
      <c r="AM63" s="55">
        <f>COUNTIF(E63:AI63,"бв")</f>
        <v>0</v>
      </c>
    </row>
    <row r="64" spans="1:39" x14ac:dyDescent="0.25">
      <c r="A64" s="11">
        <f t="shared" ref="A64:A66" si="13">A63+1</f>
        <v>3</v>
      </c>
      <c r="B64" s="12" t="s">
        <v>43</v>
      </c>
      <c r="C64" s="13" t="s">
        <v>44</v>
      </c>
      <c r="D64" s="13">
        <v>1250</v>
      </c>
      <c r="E64" s="5">
        <v>1</v>
      </c>
      <c r="F64" s="5" t="s">
        <v>57</v>
      </c>
      <c r="G64" s="5">
        <v>1</v>
      </c>
      <c r="H64" s="5">
        <v>1</v>
      </c>
      <c r="I64" s="5">
        <v>1</v>
      </c>
      <c r="J64" s="5" t="s">
        <v>57</v>
      </c>
      <c r="K64" s="5" t="s">
        <v>57</v>
      </c>
      <c r="L64" s="5">
        <v>1</v>
      </c>
      <c r="M64" s="5">
        <v>1</v>
      </c>
      <c r="N64" s="5">
        <v>1</v>
      </c>
      <c r="O64" s="5">
        <v>1</v>
      </c>
      <c r="P64" s="5">
        <v>1</v>
      </c>
      <c r="Q64" s="5" t="s">
        <v>57</v>
      </c>
      <c r="R64" s="5">
        <v>1</v>
      </c>
      <c r="S64" s="5">
        <v>1</v>
      </c>
      <c r="T64" s="5">
        <v>1</v>
      </c>
      <c r="U64" s="5">
        <v>1</v>
      </c>
      <c r="V64" s="5">
        <v>1</v>
      </c>
      <c r="W64" s="5">
        <v>1</v>
      </c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153">
        <f>COUNTA(E64:AI64)</f>
        <v>19</v>
      </c>
      <c r="AK64" s="54">
        <f>COUNTIF(E64:AI64,1)</f>
        <v>15</v>
      </c>
      <c r="AL64" s="54">
        <f>COUNTIF(E64:AI64,"тр")</f>
        <v>0</v>
      </c>
      <c r="AM64" s="55">
        <f>COUNTIF(E64:AI64,"бв")</f>
        <v>4</v>
      </c>
    </row>
    <row r="65" spans="1:39" x14ac:dyDescent="0.25">
      <c r="A65" s="11">
        <f t="shared" si="13"/>
        <v>4</v>
      </c>
      <c r="B65" s="12" t="s">
        <v>55</v>
      </c>
      <c r="C65" s="13" t="s">
        <v>28</v>
      </c>
      <c r="D65" s="13">
        <v>3810</v>
      </c>
      <c r="E65" s="5" t="s">
        <v>58</v>
      </c>
      <c r="F65" s="5" t="s">
        <v>58</v>
      </c>
      <c r="G65" s="5" t="s">
        <v>58</v>
      </c>
      <c r="H65" s="5" t="s">
        <v>58</v>
      </c>
      <c r="I65" s="5" t="s">
        <v>58</v>
      </c>
      <c r="J65" s="5" t="s">
        <v>58</v>
      </c>
      <c r="K65" s="5" t="s">
        <v>58</v>
      </c>
      <c r="L65" s="5" t="s">
        <v>58</v>
      </c>
      <c r="M65" s="5" t="s">
        <v>58</v>
      </c>
      <c r="N65" s="5" t="s">
        <v>58</v>
      </c>
      <c r="O65" s="5" t="s">
        <v>58</v>
      </c>
      <c r="P65" s="5" t="s">
        <v>58</v>
      </c>
      <c r="Q65" s="5" t="s">
        <v>58</v>
      </c>
      <c r="R65" s="5" t="s">
        <v>58</v>
      </c>
      <c r="S65" s="5" t="s">
        <v>58</v>
      </c>
      <c r="T65" s="5" t="s">
        <v>58</v>
      </c>
      <c r="U65" s="5" t="s">
        <v>58</v>
      </c>
      <c r="V65" s="5" t="s">
        <v>58</v>
      </c>
      <c r="W65" s="5" t="s">
        <v>58</v>
      </c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153">
        <f>COUNTA(E65:AI65)</f>
        <v>19</v>
      </c>
      <c r="AK65" s="54">
        <f>COUNTIF(E65:AI65,1)</f>
        <v>0</v>
      </c>
      <c r="AL65" s="54">
        <f>COUNTIF(E65:AI65,"тр")</f>
        <v>19</v>
      </c>
      <c r="AM65" s="55">
        <f>COUNTIF(E65:AI65,"бв")</f>
        <v>0</v>
      </c>
    </row>
    <row r="66" spans="1:39" ht="16.3" thickBot="1" x14ac:dyDescent="0.3">
      <c r="A66" s="44">
        <f t="shared" si="13"/>
        <v>5</v>
      </c>
      <c r="B66" s="39" t="s">
        <v>0</v>
      </c>
      <c r="C66" s="40" t="s">
        <v>2</v>
      </c>
      <c r="D66" s="40">
        <v>1637</v>
      </c>
      <c r="E66" s="42" t="s">
        <v>58</v>
      </c>
      <c r="F66" s="42" t="s">
        <v>58</v>
      </c>
      <c r="G66" s="42" t="s">
        <v>58</v>
      </c>
      <c r="H66" s="42" t="s">
        <v>58</v>
      </c>
      <c r="I66" s="42" t="s">
        <v>58</v>
      </c>
      <c r="J66" s="42" t="s">
        <v>58</v>
      </c>
      <c r="K66" s="42" t="s">
        <v>58</v>
      </c>
      <c r="L66" s="42" t="s">
        <v>58</v>
      </c>
      <c r="M66" s="42" t="s">
        <v>58</v>
      </c>
      <c r="N66" s="42" t="s">
        <v>58</v>
      </c>
      <c r="O66" s="42" t="s">
        <v>58</v>
      </c>
      <c r="P66" s="42" t="s">
        <v>58</v>
      </c>
      <c r="Q66" s="42" t="s">
        <v>58</v>
      </c>
      <c r="R66" s="42" t="s">
        <v>58</v>
      </c>
      <c r="S66" s="42" t="s">
        <v>58</v>
      </c>
      <c r="T66" s="42" t="s">
        <v>58</v>
      </c>
      <c r="U66" s="42" t="s">
        <v>58</v>
      </c>
      <c r="V66" s="42" t="s">
        <v>58</v>
      </c>
      <c r="W66" s="42" t="s">
        <v>58</v>
      </c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156">
        <f>COUNTA(E66:AI66)</f>
        <v>19</v>
      </c>
      <c r="AK66" s="56">
        <f>COUNTIF(E66:AI66,1)</f>
        <v>0</v>
      </c>
      <c r="AL66" s="56">
        <f>COUNTIF(E66:AI66,"тр")</f>
        <v>19</v>
      </c>
      <c r="AM66" s="57">
        <f>COUNTIF(E66:AI66,"бв")</f>
        <v>0</v>
      </c>
    </row>
    <row r="67" spans="1:39" s="33" customFormat="1" ht="16.3" thickBot="1" x14ac:dyDescent="0.3">
      <c r="A67" s="63"/>
      <c r="B67" s="66" t="s">
        <v>63</v>
      </c>
      <c r="C67" s="64"/>
      <c r="D67" s="64"/>
      <c r="E67" s="65"/>
      <c r="F67" s="65"/>
      <c r="G67" s="65"/>
      <c r="H67" s="65"/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77">
        <f>SUM(AJ62:AJ66)</f>
        <v>95</v>
      </c>
      <c r="AK67" s="69">
        <f t="shared" ref="AK67:AM67" si="14">SUM(AK62:AK66)</f>
        <v>53</v>
      </c>
      <c r="AL67" s="69">
        <f t="shared" si="14"/>
        <v>38</v>
      </c>
      <c r="AM67" s="75">
        <f t="shared" si="14"/>
        <v>4</v>
      </c>
    </row>
    <row r="68" spans="1:39" s="33" customFormat="1" x14ac:dyDescent="0.25">
      <c r="A68" s="168"/>
      <c r="B68" s="49"/>
      <c r="C68" s="50"/>
      <c r="D68" s="50"/>
      <c r="Y68" s="51" t="s">
        <v>68</v>
      </c>
      <c r="AJ68" s="76">
        <f>AJ67</f>
        <v>95</v>
      </c>
    </row>
    <row r="70" spans="1:39" x14ac:dyDescent="0.25">
      <c r="B70" s="3" t="s">
        <v>75</v>
      </c>
      <c r="E70" s="88"/>
      <c r="F70" s="88"/>
      <c r="G70" s="88"/>
      <c r="H70" s="88"/>
      <c r="I70" s="88"/>
      <c r="J70" s="88"/>
      <c r="K70" s="88"/>
      <c r="L70" s="88"/>
      <c r="S70" s="3" t="s">
        <v>76</v>
      </c>
    </row>
  </sheetData>
  <autoFilter ref="E2:AM58"/>
  <mergeCells count="2">
    <mergeCell ref="A1:AM1"/>
    <mergeCell ref="A60:AM60"/>
  </mergeCells>
  <conditionalFormatting sqref="AJ25:AM25 AJ33:AM33 AJ37:AM37 AJ39:AM39 AJ43:AM43 AJ51:AM51 AJ53:AM53 AJ57:AM57 AJ67:AM67 E52:AJ52 E34:AJ36 E38:AJ38 E62:AJ66 E26:AJ32 E40:AJ42 E44:AJ50 E54:AJ56 E4:AJ23 AJ24">
    <cfRule type="containsBlanks" dxfId="1" priority="2">
      <formula>LEN(TRIM(E4))=0</formula>
    </cfRule>
  </conditionalFormatting>
  <conditionalFormatting sqref="E24:AI24">
    <cfRule type="containsBlanks" dxfId="0" priority="1">
      <formula>LEN(TRIM(E24))=0</formula>
    </cfRule>
  </conditionalFormatting>
  <printOptions horizontalCentered="1" verticalCentered="1"/>
  <pageMargins left="0.23622047244094491" right="0.23622047244094491" top="0.59055118110236227" bottom="0.78740157480314965" header="0.31496062992125984" footer="0.31496062992125984"/>
  <pageSetup paperSize="9" scale="79" fitToHeight="0" orientation="landscape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7</vt:i4>
      </vt:variant>
    </vt:vector>
  </HeadingPairs>
  <TitlesOfParts>
    <vt:vector size="15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  <vt:lpstr>АХД</vt:lpstr>
      <vt:lpstr>'Апрель 2019'!Заголовки_для_печати</vt:lpstr>
      <vt:lpstr>'Июль 2019'!Заголовки_для_печати</vt:lpstr>
      <vt:lpstr>'Июнь 2019'!Заголовки_для_печати</vt:lpstr>
      <vt:lpstr>'Май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2019-07-01T08:59:36Z</cp:lastPrinted>
  <dcterms:created xsi:type="dcterms:W3CDTF">2018-09-27T18:15:43Z</dcterms:created>
  <dcterms:modified xsi:type="dcterms:W3CDTF">2019-07-19T06:05:53Z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