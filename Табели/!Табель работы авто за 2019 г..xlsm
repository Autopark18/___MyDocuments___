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30" i="10" l="1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<sst xmlns="http://schemas.openxmlformats.org/spreadsheetml/2006/main" count="3193" uniqueCount="80">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</sst>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B4" sqref="AB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>
        <v>1</v>
      </c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23</v>
      </c>
      <c r="AK4" s="17">
        <f t="shared" ref="AK4:AK21" si="1">COUNTIF(E4:AI4,1)</f>
        <v>23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/>
      <c r="AC5" s="5"/>
      <c r="AD5" s="5"/>
      <c r="AE5" s="5"/>
      <c r="AF5" s="5"/>
      <c r="AG5" s="5"/>
      <c r="AH5" s="5"/>
      <c r="AI5" s="5"/>
      <c r="AJ5" s="153">
        <f t="shared" si="0"/>
        <v>23</v>
      </c>
      <c r="AK5" s="54">
        <f t="shared" si="1"/>
        <v>18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/>
      <c r="AC6" s="5"/>
      <c r="AD6" s="5"/>
      <c r="AE6" s="5"/>
      <c r="AF6" s="5"/>
      <c r="AG6" s="5"/>
      <c r="AH6" s="5"/>
      <c r="AI6" s="5"/>
      <c r="AJ6" s="153">
        <f t="shared" si="0"/>
        <v>23</v>
      </c>
      <c r="AK6" s="54">
        <f t="shared" si="1"/>
        <v>19</v>
      </c>
      <c r="AL6" s="54">
        <f t="shared" si="2"/>
        <v>4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/>
      <c r="AC7" s="5"/>
      <c r="AD7" s="5"/>
      <c r="AE7" s="5"/>
      <c r="AF7" s="5"/>
      <c r="AG7" s="5"/>
      <c r="AH7" s="5"/>
      <c r="AI7" s="5"/>
      <c r="AJ7" s="153">
        <f t="shared" si="0"/>
        <v>23</v>
      </c>
      <c r="AK7" s="54">
        <f t="shared" si="1"/>
        <v>15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/>
      <c r="AC8" s="5"/>
      <c r="AD8" s="5"/>
      <c r="AE8" s="5"/>
      <c r="AF8" s="5"/>
      <c r="AG8" s="5"/>
      <c r="AH8" s="5"/>
      <c r="AI8" s="5"/>
      <c r="AJ8" s="153">
        <f t="shared" si="0"/>
        <v>23</v>
      </c>
      <c r="AK8" s="54">
        <f t="shared" si="1"/>
        <v>18</v>
      </c>
      <c r="AL8" s="54">
        <f t="shared" si="2"/>
        <v>0</v>
      </c>
      <c r="AM8" s="55">
        <f t="shared" si="3"/>
        <v>5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/>
      <c r="AC9" s="5"/>
      <c r="AD9" s="5"/>
      <c r="AE9" s="5"/>
      <c r="AF9" s="5"/>
      <c r="AG9" s="5"/>
      <c r="AH9" s="5"/>
      <c r="AI9" s="5"/>
      <c r="AJ9" s="153">
        <f t="shared" si="0"/>
        <v>23</v>
      </c>
      <c r="AK9" s="54">
        <f t="shared" si="1"/>
        <v>18</v>
      </c>
      <c r="AL9" s="54">
        <f t="shared" si="2"/>
        <v>5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/>
      <c r="AC10" s="5"/>
      <c r="AD10" s="5"/>
      <c r="AE10" s="5"/>
      <c r="AF10" s="5"/>
      <c r="AG10" s="5"/>
      <c r="AH10" s="5"/>
      <c r="AI10" s="5"/>
      <c r="AJ10" s="153">
        <f t="shared" si="0"/>
        <v>23</v>
      </c>
      <c r="AK10" s="54">
        <f t="shared" si="1"/>
        <v>14</v>
      </c>
      <c r="AL10" s="54">
        <f t="shared" si="2"/>
        <v>9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/>
      <c r="AC11" s="5"/>
      <c r="AD11" s="5"/>
      <c r="AE11" s="5"/>
      <c r="AF11" s="5"/>
      <c r="AG11" s="5"/>
      <c r="AH11" s="5"/>
      <c r="AI11" s="5"/>
      <c r="AJ11" s="153">
        <f t="shared" si="0"/>
        <v>23</v>
      </c>
      <c r="AK11" s="54">
        <f t="shared" si="1"/>
        <v>12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/>
      <c r="AC12" s="5"/>
      <c r="AD12" s="5"/>
      <c r="AE12" s="5"/>
      <c r="AF12" s="5"/>
      <c r="AG12" s="5"/>
      <c r="AH12" s="5"/>
      <c r="AI12" s="5"/>
      <c r="AJ12" s="153">
        <f t="shared" si="0"/>
        <v>23</v>
      </c>
      <c r="AK12" s="54">
        <f t="shared" si="1"/>
        <v>12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/>
      <c r="AC13" s="5"/>
      <c r="AD13" s="5"/>
      <c r="AE13" s="5"/>
      <c r="AF13" s="5"/>
      <c r="AG13" s="5"/>
      <c r="AH13" s="5"/>
      <c r="AI13" s="5"/>
      <c r="AJ13" s="153">
        <f t="shared" si="0"/>
        <v>23</v>
      </c>
      <c r="AK13" s="54">
        <f t="shared" si="1"/>
        <v>22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/>
      <c r="AC14" s="5"/>
      <c r="AD14" s="5"/>
      <c r="AE14" s="5"/>
      <c r="AF14" s="5"/>
      <c r="AG14" s="5"/>
      <c r="AH14" s="5"/>
      <c r="AI14" s="5"/>
      <c r="AJ14" s="153">
        <f t="shared" si="0"/>
        <v>23</v>
      </c>
      <c r="AK14" s="54">
        <f t="shared" si="1"/>
        <v>23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/>
      <c r="AC15" s="5"/>
      <c r="AD15" s="5"/>
      <c r="AE15" s="5"/>
      <c r="AF15" s="5"/>
      <c r="AG15" s="5"/>
      <c r="AH15" s="5"/>
      <c r="AI15" s="5"/>
      <c r="AJ15" s="153">
        <f t="shared" si="0"/>
        <v>23</v>
      </c>
      <c r="AK15" s="54">
        <f t="shared" si="1"/>
        <v>22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/>
      <c r="AC16" s="5"/>
      <c r="AD16" s="5"/>
      <c r="AE16" s="5"/>
      <c r="AF16" s="5"/>
      <c r="AG16" s="5"/>
      <c r="AH16" s="5"/>
      <c r="AI16" s="5"/>
      <c r="AJ16" s="153">
        <f t="shared" si="0"/>
        <v>23</v>
      </c>
      <c r="AK16" s="54">
        <f t="shared" si="1"/>
        <v>23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/>
      <c r="AC17" s="5"/>
      <c r="AD17" s="5"/>
      <c r="AE17" s="5"/>
      <c r="AF17" s="5"/>
      <c r="AG17" s="5"/>
      <c r="AH17" s="5"/>
      <c r="AI17" s="5"/>
      <c r="AJ17" s="153">
        <f t="shared" si="0"/>
        <v>23</v>
      </c>
      <c r="AK17" s="54">
        <f t="shared" si="1"/>
        <v>22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/>
      <c r="AC18" s="5"/>
      <c r="AD18" s="5"/>
      <c r="AE18" s="5"/>
      <c r="AF18" s="5"/>
      <c r="AG18" s="5"/>
      <c r="AH18" s="5"/>
      <c r="AI18" s="5"/>
      <c r="AJ18" s="153">
        <f t="shared" si="0"/>
        <v>23</v>
      </c>
      <c r="AK18" s="54">
        <f t="shared" si="1"/>
        <v>18</v>
      </c>
      <c r="AL18" s="54">
        <f t="shared" si="2"/>
        <v>0</v>
      </c>
      <c r="AM18" s="55">
        <f t="shared" si="3"/>
        <v>5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/>
      <c r="AC19" s="5"/>
      <c r="AD19" s="5"/>
      <c r="AE19" s="5"/>
      <c r="AF19" s="5"/>
      <c r="AG19" s="5"/>
      <c r="AH19" s="5"/>
      <c r="AI19" s="5"/>
      <c r="AJ19" s="153">
        <f t="shared" si="0"/>
        <v>23</v>
      </c>
      <c r="AK19" s="54">
        <f t="shared" si="1"/>
        <v>8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/>
      <c r="AC20" s="5"/>
      <c r="AD20" s="5"/>
      <c r="AE20" s="5"/>
      <c r="AF20" s="5"/>
      <c r="AG20" s="5"/>
      <c r="AH20" s="5"/>
      <c r="AI20" s="5"/>
      <c r="AJ20" s="153">
        <f t="shared" si="0"/>
        <v>23</v>
      </c>
      <c r="AK20" s="54">
        <f t="shared" si="1"/>
        <v>21</v>
      </c>
      <c r="AL20" s="54">
        <f t="shared" si="2"/>
        <v>2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 t="s">
        <v>58</v>
      </c>
      <c r="U21" s="97" t="s">
        <v>58</v>
      </c>
      <c r="V21" s="97" t="s">
        <v>58</v>
      </c>
      <c r="W21" s="97" t="s">
        <v>58</v>
      </c>
      <c r="X21" s="97">
        <v>1</v>
      </c>
      <c r="Y21" s="97" t="s">
        <v>58</v>
      </c>
      <c r="Z21" s="97">
        <v>1</v>
      </c>
      <c r="AA21" s="97">
        <v>1</v>
      </c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23</v>
      </c>
      <c r="AK21" s="84">
        <f t="shared" si="1"/>
        <v>16</v>
      </c>
      <c r="AL21" s="84">
        <f t="shared" si="2"/>
        <v>7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414</v>
      </c>
      <c r="AK22" s="141">
        <f>SUM(AK4:AK21)</f>
        <v>324</v>
      </c>
      <c r="AL22" s="141">
        <f>SUM(AL4:AL21)</f>
        <v>73</v>
      </c>
      <c r="AM22" s="142">
        <f>SUM(AM4:AM21)</f>
        <v>17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>
        <v>1</v>
      </c>
      <c r="U23" s="35">
        <v>1</v>
      </c>
      <c r="V23" s="35">
        <v>1</v>
      </c>
      <c r="W23" s="35">
        <v>1</v>
      </c>
      <c r="X23" s="35">
        <v>1</v>
      </c>
      <c r="Y23" s="35">
        <v>1</v>
      </c>
      <c r="Z23" s="35">
        <v>1</v>
      </c>
      <c r="AA23" s="35">
        <v>1</v>
      </c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23</v>
      </c>
      <c r="AK23" s="80">
        <f t="shared" ref="AK23:AK29" si="6">COUNTIF(E23:AI23,1)</f>
        <v>12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 t="s">
        <v>58</v>
      </c>
      <c r="U24" s="5" t="s">
        <v>58</v>
      </c>
      <c r="V24" s="5" t="s">
        <v>58</v>
      </c>
      <c r="W24" s="5" t="s">
        <v>58</v>
      </c>
      <c r="X24" s="5" t="s">
        <v>58</v>
      </c>
      <c r="Y24" s="5" t="s">
        <v>58</v>
      </c>
      <c r="Z24" s="5" t="s">
        <v>58</v>
      </c>
      <c r="AA24" s="5" t="s">
        <v>58</v>
      </c>
      <c r="AB24" s="5"/>
      <c r="AC24" s="5"/>
      <c r="AD24" s="5"/>
      <c r="AE24" s="5"/>
      <c r="AF24" s="5"/>
      <c r="AG24" s="5"/>
      <c r="AH24" s="5"/>
      <c r="AI24" s="5"/>
      <c r="AJ24" s="153">
        <f t="shared" si="5"/>
        <v>23</v>
      </c>
      <c r="AK24" s="54">
        <f t="shared" si="6"/>
        <v>10</v>
      </c>
      <c r="AL24" s="54">
        <f t="shared" si="7"/>
        <v>12</v>
      </c>
      <c r="AM24" s="55">
        <f t="shared" si="8"/>
        <v>1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1</v>
      </c>
      <c r="W25" s="5">
        <v>1</v>
      </c>
      <c r="X25" s="5">
        <v>1</v>
      </c>
      <c r="Y25" s="5">
        <v>1</v>
      </c>
      <c r="Z25" s="5" t="s">
        <v>58</v>
      </c>
      <c r="AA25" s="5">
        <v>1</v>
      </c>
      <c r="AB25" s="5"/>
      <c r="AC25" s="5"/>
      <c r="AD25" s="5"/>
      <c r="AE25" s="5"/>
      <c r="AF25" s="5"/>
      <c r="AG25" s="5"/>
      <c r="AH25" s="5"/>
      <c r="AI25" s="5"/>
      <c r="AJ25" s="153">
        <f t="shared" si="5"/>
        <v>23</v>
      </c>
      <c r="AK25" s="54">
        <f t="shared" si="6"/>
        <v>20</v>
      </c>
      <c r="AL25" s="54">
        <f t="shared" si="7"/>
        <v>2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 t="s">
        <v>57</v>
      </c>
      <c r="W27" s="5" t="s">
        <v>57</v>
      </c>
      <c r="X27" s="5">
        <v>1</v>
      </c>
      <c r="Y27" s="5">
        <v>1</v>
      </c>
      <c r="Z27" s="5">
        <v>1</v>
      </c>
      <c r="AA27" s="5">
        <v>1</v>
      </c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23</v>
      </c>
      <c r="AK27" s="54">
        <f t="shared" si="6"/>
        <v>18</v>
      </c>
      <c r="AL27" s="54">
        <f t="shared" si="7"/>
        <v>0</v>
      </c>
      <c r="AM27" s="55">
        <f t="shared" si="8"/>
        <v>5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23</v>
      </c>
      <c r="AK28" s="54">
        <f t="shared" si="6"/>
        <v>11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>
        <v>1</v>
      </c>
      <c r="U29" s="42">
        <v>1</v>
      </c>
      <c r="V29" s="42">
        <v>1</v>
      </c>
      <c r="W29" s="42">
        <v>1</v>
      </c>
      <c r="X29" s="42" t="s">
        <v>58</v>
      </c>
      <c r="Y29" s="42" t="s">
        <v>58</v>
      </c>
      <c r="Z29" s="42" t="s">
        <v>58</v>
      </c>
      <c r="AA29" s="42" t="s">
        <v>58</v>
      </c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23</v>
      </c>
      <c r="AK29" s="84">
        <f t="shared" si="6"/>
        <v>6</v>
      </c>
      <c r="AL29" s="84">
        <f t="shared" si="7"/>
        <v>4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169</v>
      </c>
      <c r="AK30" s="135">
        <f>SUM(AK23:AK29)</f>
        <v>77</v>
      </c>
      <c r="AL30" s="135">
        <f>SUM(AL23:AL29)</f>
        <v>72</v>
      </c>
      <c r="AM30" s="136">
        <f>SUM(AM23:AM29)</f>
        <v>20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 t="s">
        <v>57</v>
      </c>
      <c r="U31" s="35" t="s">
        <v>57</v>
      </c>
      <c r="V31" s="35" t="s">
        <v>57</v>
      </c>
      <c r="W31" s="35" t="s">
        <v>57</v>
      </c>
      <c r="X31" s="35" t="s">
        <v>57</v>
      </c>
      <c r="Y31" s="35" t="s">
        <v>57</v>
      </c>
      <c r="Z31" s="35" t="s">
        <v>57</v>
      </c>
      <c r="AA31" s="35" t="s">
        <v>57</v>
      </c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23</v>
      </c>
      <c r="AK31" s="17">
        <f>COUNTIF(E31:AI31,1)</f>
        <v>8</v>
      </c>
      <c r="AL31" s="17">
        <f>COUNTIF(E31:AI31,"тр")</f>
        <v>0</v>
      </c>
      <c r="AM31" s="18">
        <f>COUNTIF(E31:AI31,"бв")</f>
        <v>15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 t="s">
        <v>57</v>
      </c>
      <c r="AA32" s="5" t="s">
        <v>57</v>
      </c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23</v>
      </c>
      <c r="AK32" s="54">
        <f>COUNTIF(E32:AI32,1)</f>
        <v>18</v>
      </c>
      <c r="AL32" s="54">
        <f>COUNTIF(E32:AI32,"тр")</f>
        <v>0</v>
      </c>
      <c r="AM32" s="55">
        <f>COUNTIF(E32:AI32,"бв")</f>
        <v>5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77</v>
      </c>
      <c r="AK34" s="69">
        <f>SUM(AK31:AK33)</f>
        <v>26</v>
      </c>
      <c r="AL34" s="69">
        <f>SUM(AL31:AL33)</f>
        <v>31</v>
      </c>
      <c r="AM34" s="75">
        <f>SUM(AM31:AM33)</f>
        <v>20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 t="s">
        <v>57</v>
      </c>
      <c r="U37" s="35">
        <v>1</v>
      </c>
      <c r="V37" s="35">
        <v>1</v>
      </c>
      <c r="W37" s="35">
        <v>1</v>
      </c>
      <c r="X37" s="35">
        <v>1</v>
      </c>
      <c r="Y37" s="35">
        <v>1</v>
      </c>
      <c r="Z37" s="35">
        <v>1</v>
      </c>
      <c r="AA37" s="35" t="s">
        <v>58</v>
      </c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23</v>
      </c>
      <c r="AK37" s="17">
        <f>COUNTIF(E37:AI37,1)</f>
        <v>17</v>
      </c>
      <c r="AL37" s="17">
        <f>COUNTIF(E37:AI37,"тр")</f>
        <v>1</v>
      </c>
      <c r="AM37" s="18">
        <f>COUNTIF(E37:AI37,"бв")</f>
        <v>5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 t="s">
        <v>58</v>
      </c>
      <c r="U38" s="5">
        <v>1</v>
      </c>
      <c r="V38" s="5">
        <v>1</v>
      </c>
      <c r="W38" s="5">
        <v>1</v>
      </c>
      <c r="X38" s="5">
        <v>1</v>
      </c>
      <c r="Y38" s="5">
        <v>1</v>
      </c>
      <c r="Z38" s="5">
        <v>1</v>
      </c>
      <c r="AA38" s="5">
        <v>1</v>
      </c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23</v>
      </c>
      <c r="AK38" s="54">
        <f>COUNTIF(E38:AI38,1)</f>
        <v>10</v>
      </c>
      <c r="AL38" s="54">
        <f>COUNTIF(E38:AI38,"тр")</f>
        <v>13</v>
      </c>
      <c r="AM38" s="55">
        <f>COUNTIF(E38:AI38,"бв")</f>
        <v>0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>
        <v>1</v>
      </c>
      <c r="U39" s="42">
        <v>1</v>
      </c>
      <c r="V39" s="42" t="s">
        <v>57</v>
      </c>
      <c r="W39" s="42" t="s">
        <v>57</v>
      </c>
      <c r="X39" s="42">
        <v>1</v>
      </c>
      <c r="Y39" s="42" t="s">
        <v>57</v>
      </c>
      <c r="Z39" s="42">
        <v>1</v>
      </c>
      <c r="AA39" s="42">
        <v>1</v>
      </c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23</v>
      </c>
      <c r="AK39" s="56">
        <f>COUNTIF(E39:AI39,1)</f>
        <v>17</v>
      </c>
      <c r="AL39" s="56">
        <f>COUNTIF(E39:AI39,"тр")</f>
        <v>0</v>
      </c>
      <c r="AM39" s="57">
        <f>COUNTIF(E39:AI39,"бв")</f>
        <v>6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69</v>
      </c>
      <c r="AK40" s="69">
        <f>SUM(AK37:AK39)</f>
        <v>44</v>
      </c>
      <c r="AL40" s="69">
        <f>SUM(AL37:AL39)</f>
        <v>14</v>
      </c>
      <c r="AM40" s="75">
        <f>SUM(AM37:AM39)</f>
        <v>11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>
        <v>1</v>
      </c>
      <c r="U41" s="35">
        <v>1</v>
      </c>
      <c r="V41" s="35">
        <v>1</v>
      </c>
      <c r="W41" s="35">
        <v>1</v>
      </c>
      <c r="X41" s="35">
        <v>1</v>
      </c>
      <c r="Y41" s="35">
        <v>1</v>
      </c>
      <c r="Z41" s="35">
        <v>1</v>
      </c>
      <c r="AA41" s="35">
        <v>1</v>
      </c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23</v>
      </c>
      <c r="AK41" s="17">
        <f t="shared" ref="AK41:AK47" si="10">COUNTIF(E41:AI41,1)</f>
        <v>22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>
        <v>1</v>
      </c>
      <c r="U42" s="5">
        <v>1</v>
      </c>
      <c r="V42" s="5">
        <v>1</v>
      </c>
      <c r="W42" s="5">
        <v>1</v>
      </c>
      <c r="X42" s="5">
        <v>1</v>
      </c>
      <c r="Y42" s="5">
        <v>1</v>
      </c>
      <c r="Z42" s="5">
        <v>1</v>
      </c>
      <c r="AA42" s="5">
        <v>1</v>
      </c>
      <c r="AB42" s="5"/>
      <c r="AC42" s="5"/>
      <c r="AD42" s="5"/>
      <c r="AE42" s="5"/>
      <c r="AF42" s="5"/>
      <c r="AG42" s="5"/>
      <c r="AH42" s="5"/>
      <c r="AI42" s="5"/>
      <c r="AJ42" s="155">
        <f t="shared" si="9"/>
        <v>23</v>
      </c>
      <c r="AK42" s="54">
        <f t="shared" si="10"/>
        <v>21</v>
      </c>
      <c r="AL42" s="54">
        <f t="shared" si="11"/>
        <v>0</v>
      </c>
      <c r="AM42" s="55">
        <f t="shared" si="12"/>
        <v>2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>
        <v>1</v>
      </c>
      <c r="W43" s="5">
        <v>1</v>
      </c>
      <c r="X43" s="5">
        <v>1</v>
      </c>
      <c r="Y43" s="5">
        <v>1</v>
      </c>
      <c r="Z43" s="5">
        <v>1</v>
      </c>
      <c r="AA43" s="5">
        <v>1</v>
      </c>
      <c r="AB43" s="5"/>
      <c r="AC43" s="5"/>
      <c r="AD43" s="5"/>
      <c r="AE43" s="5"/>
      <c r="AF43" s="5"/>
      <c r="AG43" s="5"/>
      <c r="AH43" s="5"/>
      <c r="AI43" s="5"/>
      <c r="AJ43" s="155">
        <f t="shared" si="9"/>
        <v>23</v>
      </c>
      <c r="AK43" s="54">
        <f t="shared" si="10"/>
        <v>22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 t="s">
        <v>57</v>
      </c>
      <c r="X44" s="5">
        <v>1</v>
      </c>
      <c r="Y44" s="5">
        <v>1</v>
      </c>
      <c r="Z44" s="5">
        <v>1</v>
      </c>
      <c r="AA44" s="5">
        <v>1</v>
      </c>
      <c r="AB44" s="5"/>
      <c r="AC44" s="5"/>
      <c r="AD44" s="5"/>
      <c r="AE44" s="5"/>
      <c r="AF44" s="5"/>
      <c r="AG44" s="5"/>
      <c r="AH44" s="5"/>
      <c r="AI44" s="5"/>
      <c r="AJ44" s="155">
        <f t="shared" si="9"/>
        <v>23</v>
      </c>
      <c r="AK44" s="54">
        <f t="shared" si="10"/>
        <v>20</v>
      </c>
      <c r="AL44" s="54">
        <f t="shared" si="11"/>
        <v>0</v>
      </c>
      <c r="AM44" s="55">
        <f t="shared" si="12"/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23</v>
      </c>
      <c r="AK45" s="54">
        <f t="shared" si="10"/>
        <v>21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 t="s">
        <v>58</v>
      </c>
      <c r="U46" s="5" t="s">
        <v>58</v>
      </c>
      <c r="V46" s="5" t="s">
        <v>58</v>
      </c>
      <c r="W46" s="5" t="s">
        <v>58</v>
      </c>
      <c r="X46" s="5" t="s">
        <v>58</v>
      </c>
      <c r="Y46" s="5" t="s">
        <v>58</v>
      </c>
      <c r="Z46" s="5" t="s">
        <v>58</v>
      </c>
      <c r="AA46" s="5">
        <v>1</v>
      </c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23</v>
      </c>
      <c r="AK46" s="54">
        <f t="shared" si="10"/>
        <v>1</v>
      </c>
      <c r="AL46" s="54">
        <f t="shared" si="11"/>
        <v>22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>
        <v>1</v>
      </c>
      <c r="U47" s="42">
        <v>1</v>
      </c>
      <c r="V47" s="42">
        <v>1</v>
      </c>
      <c r="W47" s="42" t="s">
        <v>58</v>
      </c>
      <c r="X47" s="42" t="s">
        <v>58</v>
      </c>
      <c r="Y47" s="42" t="s">
        <v>58</v>
      </c>
      <c r="Z47" s="42">
        <v>1</v>
      </c>
      <c r="AA47" s="42" t="s">
        <v>57</v>
      </c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23</v>
      </c>
      <c r="AK47" s="56">
        <f t="shared" si="10"/>
        <v>18</v>
      </c>
      <c r="AL47" s="56">
        <f t="shared" si="11"/>
        <v>3</v>
      </c>
      <c r="AM47" s="57">
        <f t="shared" si="12"/>
        <v>2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161</v>
      </c>
      <c r="AK48" s="69">
        <f>SUM(AK41:AK47)</f>
        <v>125</v>
      </c>
      <c r="AL48" s="69">
        <f>SUM(AL41:AL47)</f>
        <v>26</v>
      </c>
      <c r="AM48" s="75">
        <f>SUM(AM41:AM47)</f>
        <v>10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>
        <v>1</v>
      </c>
      <c r="X49" s="42">
        <v>1</v>
      </c>
      <c r="Y49" s="42">
        <v>1</v>
      </c>
      <c r="Z49" s="42">
        <v>1</v>
      </c>
      <c r="AA49" s="42" t="s">
        <v>58</v>
      </c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23</v>
      </c>
      <c r="AK49" s="56">
        <f>COUNTIF(E49:AI49,1)</f>
        <v>20</v>
      </c>
      <c r="AL49" s="56">
        <f>COUNTIF(E49:AI49,"тр")</f>
        <v>1</v>
      </c>
      <c r="AM49" s="57">
        <f>COUNTIF(E49:AI49,"бв")</f>
        <v>2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23</v>
      </c>
      <c r="AK50" s="69">
        <f>SUM(AK49:AK49)</f>
        <v>20</v>
      </c>
      <c r="AL50" s="69">
        <f>SUM(AL49:AL49)</f>
        <v>1</v>
      </c>
      <c r="AM50" s="75">
        <f>SUM(AM49:AM49)</f>
        <v>2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>
        <v>1</v>
      </c>
      <c r="U51" s="92">
        <v>1</v>
      </c>
      <c r="V51" s="92">
        <v>1</v>
      </c>
      <c r="W51" s="92">
        <v>1</v>
      </c>
      <c r="X51" s="92">
        <v>1</v>
      </c>
      <c r="Y51" s="92">
        <v>1</v>
      </c>
      <c r="Z51" s="92">
        <v>1</v>
      </c>
      <c r="AA51" s="92" t="s">
        <v>57</v>
      </c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23</v>
      </c>
      <c r="AK51" s="80">
        <f>COUNTIF(E51:AI51,1)</f>
        <v>18</v>
      </c>
      <c r="AL51" s="80">
        <f>COUNTIF(E51:AI51,"тр")</f>
        <v>2</v>
      </c>
      <c r="AM51" s="81">
        <f>COUNTIF(E51:AI51,"бв")</f>
        <v>3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 t="s">
        <v>57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23</v>
      </c>
      <c r="AK52" s="56">
        <f>COUNTIF(E52:AI52,1)</f>
        <v>19</v>
      </c>
      <c r="AL52" s="56">
        <f>COUNTIF(E52:AI52,"тр")</f>
        <v>0</v>
      </c>
      <c r="AM52" s="57">
        <f>COUNTIF(E52:AI52,"бв")</f>
        <v>4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>
        <v>1</v>
      </c>
      <c r="U53" s="97">
        <v>1</v>
      </c>
      <c r="V53" s="97" t="s">
        <v>57</v>
      </c>
      <c r="W53" s="97">
        <v>1</v>
      </c>
      <c r="X53" s="97">
        <v>1</v>
      </c>
      <c r="Y53" s="97">
        <v>1</v>
      </c>
      <c r="Z53" s="97">
        <v>1</v>
      </c>
      <c r="AA53" s="97">
        <v>1</v>
      </c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23</v>
      </c>
      <c r="AK53" s="84">
        <f>COUNTIF(E53:AI53,1)</f>
        <v>19</v>
      </c>
      <c r="AL53" s="84">
        <f>COUNTIF(E53:AI53,"тр")</f>
        <v>1</v>
      </c>
      <c r="AM53" s="85">
        <f>COUNTIF(E53:AI53,"бв")</f>
        <v>3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69</v>
      </c>
      <c r="AK54" s="69">
        <f>SUM(AK51:AK53)</f>
        <v>56</v>
      </c>
      <c r="AL54" s="69">
        <f>SUM(AL51:AL53)</f>
        <v>3</v>
      </c>
      <c r="AM54" s="75">
        <f>SUM(AM51:AM53)</f>
        <v>10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1013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23</v>
      </c>
      <c r="AK59" s="17">
        <f>COUNTIF(E59:AI59,1)</f>
        <v>23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>
        <v>1</v>
      </c>
      <c r="V60" s="5">
        <v>1</v>
      </c>
      <c r="W60" s="5">
        <v>1</v>
      </c>
      <c r="X60" s="5">
        <v>1</v>
      </c>
      <c r="Y60" s="5">
        <v>1</v>
      </c>
      <c r="Z60" s="5">
        <v>1</v>
      </c>
      <c r="AA60" s="5">
        <v>1</v>
      </c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23</v>
      </c>
      <c r="AK60" s="54">
        <f>COUNTIF(E60:AI60,1)</f>
        <v>23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>
        <v>1</v>
      </c>
      <c r="U61" s="5">
        <v>1</v>
      </c>
      <c r="V61" s="5" t="s">
        <v>58</v>
      </c>
      <c r="W61" s="5" t="s">
        <v>58</v>
      </c>
      <c r="X61" s="5">
        <v>1</v>
      </c>
      <c r="Y61" s="5">
        <v>1</v>
      </c>
      <c r="Z61" s="5">
        <v>1</v>
      </c>
      <c r="AA61" s="5">
        <v>1</v>
      </c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23</v>
      </c>
      <c r="AK61" s="54">
        <f>COUNTIF(E61:AI61,1)</f>
        <v>14</v>
      </c>
      <c r="AL61" s="54">
        <f>COUNTIF(E61:AI61,"тр")</f>
        <v>2</v>
      </c>
      <c r="AM61" s="55">
        <f>COUNTIF(E61:AI61,"бв")</f>
        <v>7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 t="s">
        <v>57</v>
      </c>
      <c r="U63" s="42">
        <v>1</v>
      </c>
      <c r="V63" s="42" t="s">
        <v>58</v>
      </c>
      <c r="W63" s="42" t="s">
        <v>58</v>
      </c>
      <c r="X63" s="42">
        <v>1</v>
      </c>
      <c r="Y63" s="42">
        <v>1</v>
      </c>
      <c r="Z63" s="42">
        <v>1</v>
      </c>
      <c r="AA63" s="42" t="s">
        <v>58</v>
      </c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23</v>
      </c>
      <c r="AK63" s="56">
        <f>COUNTIF(E63:AI63,1)</f>
        <v>10</v>
      </c>
      <c r="AL63" s="56">
        <f>COUNTIF(E63:AI63,"тр")</f>
        <v>10</v>
      </c>
      <c r="AM63" s="57">
        <f>COUNTIF(E63:AI63,"бв")</f>
        <v>3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123</v>
      </c>
      <c r="AK64" s="69">
        <f t="shared" ref="AK64:AM64" si="14">SUM(AK59:AK63)</f>
        <v>70</v>
      </c>
      <c r="AL64" s="69">
        <f t="shared" si="14"/>
        <v>43</v>
      </c>
      <c r="AM64" s="75">
        <f t="shared" si="14"/>
        <v>10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123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2019-05-23T08:41:59Z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