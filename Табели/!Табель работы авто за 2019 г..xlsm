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4" activeTab="8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Июль 2019" sheetId="12" r:id="rId7"/>
    <sheet name="Август 2019" sheetId="13" r:id="rId8"/>
    <sheet name="Сентябрь 2019" sheetId="14" r:id="rId9"/>
    <sheet name="Данные" sheetId="5" state="hidden" r:id="rId10"/>
  </sheets>
  <functionGroups builtInGroupCount="18"/>
  <definedNames>
    <definedName name="_xlnm._FilterDatabase" localSheetId="7" hidden="1">'Август 2019'!$E$2:$AM$58</definedName>
    <definedName name="_xlnm._FilterDatabase" localSheetId="3" hidden="1">'Апрель 2019'!$E$2:$AL$57</definedName>
    <definedName name="_xlnm._FilterDatabase" localSheetId="6" hidden="1">'Июль 2019'!$E$2:$AM$58</definedName>
    <definedName name="_xlnm._FilterDatabase" localSheetId="5" hidden="1">'Июнь 2019'!$E$2:$AL$58</definedName>
    <definedName name="_xlnm._FilterDatabase" localSheetId="4" hidden="1">'Май 2019'!$E$2:$AM$58</definedName>
    <definedName name="_xlnm._FilterDatabase" localSheetId="2" hidden="1">'Март 2019'!$E$2:$AM$61</definedName>
    <definedName name="_xlnm._FilterDatabase" localSheetId="8" hidden="1">'Сентябрь 2019'!$E$2:$AL$58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7">'Август 2019'!$3:$3</definedName>
    <definedName name="_xlnm.Print_Titles" localSheetId="3">'Апрель 2019'!$3:$3</definedName>
    <definedName name="_xlnm.Print_Titles" localSheetId="6">'Июль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8">'Сентябрь 2019'!$3:$3</definedName>
    <definedName name="_xlnm.Print_Titles" localSheetId="1">'Февраль 2019'!$3:$3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4" i="14" l="1"/>
  <c r="AL66" i="14"/>
  <c r="AK66" i="14"/>
  <c r="AJ66" i="14"/>
  <c r="AI66" i="14"/>
  <c r="AL65" i="14"/>
  <c r="AK65" i="14"/>
  <c r="AJ65" i="14"/>
  <c r="AI65" i="14"/>
  <c r="AL64" i="14"/>
  <c r="AK64" i="14"/>
  <c r="AJ64" i="14"/>
  <c r="AI64" i="14"/>
  <c r="AL63" i="14"/>
  <c r="AK63" i="14"/>
  <c r="AJ63" i="14"/>
  <c r="AI63" i="14"/>
  <c r="A63" i="14"/>
  <c r="A64" i="14" s="1"/>
  <c r="A65" i="14" s="1"/>
  <c r="A66" i="14" s="1"/>
  <c r="AL62" i="14"/>
  <c r="AK62" i="14"/>
  <c r="AJ62" i="14"/>
  <c r="AI62" i="14"/>
  <c r="A60" i="14"/>
  <c r="AL56" i="14"/>
  <c r="AK56" i="14"/>
  <c r="AJ56" i="14"/>
  <c r="AI56" i="14"/>
  <c r="AL55" i="14"/>
  <c r="AK55" i="14"/>
  <c r="AJ55" i="14"/>
  <c r="AI55" i="14"/>
  <c r="AL54" i="14"/>
  <c r="AL57" i="14" s="1"/>
  <c r="AK54" i="14"/>
  <c r="AJ54" i="14"/>
  <c r="AJ57" i="14" s="1"/>
  <c r="AI54" i="14"/>
  <c r="AL52" i="14"/>
  <c r="AL53" i="14" s="1"/>
  <c r="AK52" i="14"/>
  <c r="AK53" i="14" s="1"/>
  <c r="AJ52" i="14"/>
  <c r="AJ53" i="14" s="1"/>
  <c r="AI52" i="14"/>
  <c r="AI53" i="14" s="1"/>
  <c r="AL50" i="14"/>
  <c r="AK50" i="14"/>
  <c r="AJ50" i="14"/>
  <c r="AI50" i="14"/>
  <c r="AL49" i="14"/>
  <c r="AK49" i="14"/>
  <c r="AJ49" i="14"/>
  <c r="AI49" i="14"/>
  <c r="AL48" i="14"/>
  <c r="AK48" i="14"/>
  <c r="AJ48" i="14"/>
  <c r="AI48" i="14"/>
  <c r="AL47" i="14"/>
  <c r="AK47" i="14"/>
  <c r="AJ47" i="14"/>
  <c r="AI47" i="14"/>
  <c r="AL46" i="14"/>
  <c r="AK46" i="14"/>
  <c r="AJ46" i="14"/>
  <c r="AI46" i="14"/>
  <c r="AL45" i="14"/>
  <c r="AK45" i="14"/>
  <c r="AJ45" i="14"/>
  <c r="AI45" i="14"/>
  <c r="AL44" i="14"/>
  <c r="AK44" i="14"/>
  <c r="AJ44" i="14"/>
  <c r="AI44" i="14"/>
  <c r="AL42" i="14"/>
  <c r="AK42" i="14"/>
  <c r="AJ42" i="14"/>
  <c r="AI42" i="14"/>
  <c r="AL41" i="14"/>
  <c r="AK41" i="14"/>
  <c r="AJ41" i="14"/>
  <c r="AI41" i="14"/>
  <c r="AL40" i="14"/>
  <c r="AL43" i="14" s="1"/>
  <c r="AK40" i="14"/>
  <c r="AJ40" i="14"/>
  <c r="AJ43" i="14" s="1"/>
  <c r="AI40" i="14"/>
  <c r="AL38" i="14"/>
  <c r="AL39" i="14" s="1"/>
  <c r="AK38" i="14"/>
  <c r="AK39" i="14" s="1"/>
  <c r="AJ38" i="14"/>
  <c r="AJ39" i="14" s="1"/>
  <c r="AI38" i="14"/>
  <c r="AI39" i="14" s="1"/>
  <c r="AL36" i="14"/>
  <c r="AK36" i="14"/>
  <c r="AJ36" i="14"/>
  <c r="AI36" i="14"/>
  <c r="AL35" i="14"/>
  <c r="AK35" i="14"/>
  <c r="AJ35" i="14"/>
  <c r="AI35" i="14"/>
  <c r="AL34" i="14"/>
  <c r="AK34" i="14"/>
  <c r="AJ34" i="14"/>
  <c r="AI34" i="14"/>
  <c r="AL32" i="14"/>
  <c r="AK32" i="14"/>
  <c r="AJ32" i="14"/>
  <c r="AI32" i="14"/>
  <c r="AL31" i="14"/>
  <c r="AK31" i="14"/>
  <c r="AJ31" i="14"/>
  <c r="AI31" i="14"/>
  <c r="AL30" i="14"/>
  <c r="AK30" i="14"/>
  <c r="AJ30" i="14"/>
  <c r="AI30" i="14"/>
  <c r="AL29" i="14"/>
  <c r="AK29" i="14"/>
  <c r="AJ29" i="14"/>
  <c r="AI29" i="14"/>
  <c r="AL28" i="14"/>
  <c r="AK28" i="14"/>
  <c r="AJ28" i="14"/>
  <c r="AI28" i="14"/>
  <c r="AL27" i="14"/>
  <c r="AK27" i="14"/>
  <c r="AJ27" i="14"/>
  <c r="AI27" i="14"/>
  <c r="AL26" i="14"/>
  <c r="AK26" i="14"/>
  <c r="AJ26" i="14"/>
  <c r="AI26" i="14"/>
  <c r="AL24" i="14"/>
  <c r="AK24" i="14"/>
  <c r="AJ24" i="14"/>
  <c r="AI24" i="14"/>
  <c r="AL23" i="14"/>
  <c r="AK23" i="14"/>
  <c r="AJ23" i="14"/>
  <c r="AI23" i="14"/>
  <c r="AL22" i="14"/>
  <c r="AK22" i="14"/>
  <c r="AJ22" i="14"/>
  <c r="AI22" i="14"/>
  <c r="AL21" i="14"/>
  <c r="AK21" i="14"/>
  <c r="AJ21" i="14"/>
  <c r="AI21" i="14"/>
  <c r="AL20" i="14"/>
  <c r="AK20" i="14"/>
  <c r="AJ20" i="14"/>
  <c r="AI20" i="14"/>
  <c r="AL19" i="14"/>
  <c r="AK19" i="14"/>
  <c r="AJ19" i="14"/>
  <c r="AI19" i="14"/>
  <c r="AL18" i="14"/>
  <c r="AK18" i="14"/>
  <c r="AJ18" i="14"/>
  <c r="AI18" i="14"/>
  <c r="AL17" i="14"/>
  <c r="AK17" i="14"/>
  <c r="AJ17" i="14"/>
  <c r="AI17" i="14"/>
  <c r="AL16" i="14"/>
  <c r="AK16" i="14"/>
  <c r="AJ16" i="14"/>
  <c r="AI16" i="14"/>
  <c r="AL15" i="14"/>
  <c r="AK15" i="14"/>
  <c r="AJ15" i="14"/>
  <c r="AI15" i="14"/>
  <c r="AL14" i="14"/>
  <c r="AK14" i="14"/>
  <c r="AJ14" i="14"/>
  <c r="AI14" i="14"/>
  <c r="AL13" i="14"/>
  <c r="AK13" i="14"/>
  <c r="AJ13" i="14"/>
  <c r="AI13" i="14"/>
  <c r="AL12" i="14"/>
  <c r="AK12" i="14"/>
  <c r="AJ12" i="14"/>
  <c r="AI12" i="14"/>
  <c r="AL11" i="14"/>
  <c r="AK11" i="14"/>
  <c r="AJ11" i="14"/>
  <c r="AI11" i="14"/>
  <c r="AL10" i="14"/>
  <c r="AK10" i="14"/>
  <c r="AJ10" i="14"/>
  <c r="AI10" i="14"/>
  <c r="AL9" i="14"/>
  <c r="AK9" i="14"/>
  <c r="AJ9" i="14"/>
  <c r="AI9" i="14"/>
  <c r="AL8" i="14"/>
  <c r="AK8" i="14"/>
  <c r="AJ8" i="14"/>
  <c r="AI8" i="14"/>
  <c r="AL7" i="14"/>
  <c r="AK7" i="14"/>
  <c r="AJ7" i="14"/>
  <c r="AI7" i="14"/>
  <c r="AL6" i="14"/>
  <c r="AK6" i="14"/>
  <c r="AJ6" i="14"/>
  <c r="AI6" i="14"/>
  <c r="AL5" i="14"/>
  <c r="AK5" i="14"/>
  <c r="AJ5" i="14"/>
  <c r="AI5" i="14"/>
  <c r="A5" i="14"/>
  <c r="A6" i="14" s="1"/>
  <c r="A7" i="14" s="1"/>
  <c r="A8" i="14" s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6" i="14" s="1"/>
  <c r="A27" i="14" s="1"/>
  <c r="A28" i="14" s="1"/>
  <c r="A29" i="14" s="1"/>
  <c r="A30" i="14" s="1"/>
  <c r="A31" i="14" s="1"/>
  <c r="A32" i="14" s="1"/>
  <c r="A34" i="14" s="1"/>
  <c r="A35" i="14" s="1"/>
  <c r="A36" i="14" s="1"/>
  <c r="A38" i="14" s="1"/>
  <c r="A40" i="14" s="1"/>
  <c r="A41" i="14" s="1"/>
  <c r="A42" i="14" s="1"/>
  <c r="A44" i="14" s="1"/>
  <c r="A45" i="14" s="1"/>
  <c r="A46" i="14" s="1"/>
  <c r="A47" i="14" s="1"/>
  <c r="A48" i="14" s="1"/>
  <c r="A49" i="14" s="1"/>
  <c r="A50" i="14" s="1"/>
  <c r="A52" i="14" s="1"/>
  <c r="A54" i="14" s="1"/>
  <c r="A55" i="14" s="1"/>
  <c r="A56" i="14" s="1"/>
  <c r="AL4" i="14"/>
  <c r="AK4" i="14"/>
  <c r="AJ4" i="14"/>
  <c r="A1" i="14"/>
  <c r="AJ33" i="14" l="1"/>
  <c r="AL37" i="14"/>
  <c r="AJ37" i="14"/>
  <c r="AI37" i="14"/>
  <c r="AI57" i="14"/>
  <c r="AJ51" i="14"/>
  <c r="AI43" i="14"/>
  <c r="AK37" i="14"/>
  <c r="AI51" i="14"/>
  <c r="AK57" i="14"/>
  <c r="AI33" i="14"/>
  <c r="AL33" i="14"/>
  <c r="AK43" i="14"/>
  <c r="AL51" i="14"/>
  <c r="AK51" i="14"/>
  <c r="AK33" i="14"/>
  <c r="AI25" i="14"/>
  <c r="AK25" i="14"/>
  <c r="AI67" i="14"/>
  <c r="AI68" i="14" s="1"/>
  <c r="AK67" i="14"/>
  <c r="AJ67" i="14"/>
  <c r="AL67" i="14"/>
  <c r="AJ25" i="14"/>
  <c r="AL25" i="14"/>
  <c r="AM66" i="13"/>
  <c r="AL66" i="13"/>
  <c r="AK66" i="13"/>
  <c r="AJ66" i="13"/>
  <c r="AM65" i="13"/>
  <c r="AL65" i="13"/>
  <c r="AK65" i="13"/>
  <c r="AJ65" i="13"/>
  <c r="AM64" i="13"/>
  <c r="AL64" i="13"/>
  <c r="AK64" i="13"/>
  <c r="AJ64" i="13"/>
  <c r="AM63" i="13"/>
  <c r="AL63" i="13"/>
  <c r="AK63" i="13"/>
  <c r="AJ63" i="13"/>
  <c r="A63" i="13"/>
  <c r="A64" i="13" s="1"/>
  <c r="A65" i="13" s="1"/>
  <c r="A66" i="13" s="1"/>
  <c r="AM62" i="13"/>
  <c r="AL62" i="13"/>
  <c r="AK62" i="13"/>
  <c r="AJ62" i="13"/>
  <c r="A60" i="13"/>
  <c r="AM56" i="13"/>
  <c r="AL56" i="13"/>
  <c r="AK56" i="13"/>
  <c r="AJ56" i="13"/>
  <c r="AM55" i="13"/>
  <c r="AL55" i="13"/>
  <c r="AK55" i="13"/>
  <c r="AJ55" i="13"/>
  <c r="AM54" i="13"/>
  <c r="AL54" i="13"/>
  <c r="AK54" i="13"/>
  <c r="AJ54" i="13"/>
  <c r="AJ57" i="13" s="1"/>
  <c r="AM52" i="13"/>
  <c r="AL52" i="13"/>
  <c r="AK52" i="13"/>
  <c r="AJ52" i="13"/>
  <c r="AM50" i="13"/>
  <c r="AL50" i="13"/>
  <c r="AK50" i="13"/>
  <c r="AJ50" i="13"/>
  <c r="AM49" i="13"/>
  <c r="AL49" i="13"/>
  <c r="AK49" i="13"/>
  <c r="AJ49" i="13"/>
  <c r="AM48" i="13"/>
  <c r="AL48" i="13"/>
  <c r="AK48" i="13"/>
  <c r="AJ48" i="13"/>
  <c r="AM47" i="13"/>
  <c r="AL47" i="13"/>
  <c r="AK47" i="13"/>
  <c r="AJ47" i="13"/>
  <c r="AM46" i="13"/>
  <c r="AL46" i="13"/>
  <c r="AK46" i="13"/>
  <c r="AJ46" i="13"/>
  <c r="AM45" i="13"/>
  <c r="AL45" i="13"/>
  <c r="AK45" i="13"/>
  <c r="AJ45" i="13"/>
  <c r="AM44" i="13"/>
  <c r="AL44" i="13"/>
  <c r="AK44" i="13"/>
  <c r="AJ44" i="13"/>
  <c r="AM42" i="13"/>
  <c r="AL42" i="13"/>
  <c r="AK42" i="13"/>
  <c r="AJ42" i="13"/>
  <c r="AM41" i="13"/>
  <c r="AL41" i="13"/>
  <c r="AK41" i="13"/>
  <c r="AJ41" i="13"/>
  <c r="AM40" i="13"/>
  <c r="AL40" i="13"/>
  <c r="AK40" i="13"/>
  <c r="AJ40" i="13"/>
  <c r="AM38" i="13"/>
  <c r="AL38" i="13"/>
  <c r="AK38" i="13"/>
  <c r="AJ38" i="13"/>
  <c r="AM36" i="13"/>
  <c r="AL36" i="13"/>
  <c r="AK36" i="13"/>
  <c r="AJ36" i="13"/>
  <c r="AM35" i="13"/>
  <c r="AL35" i="13"/>
  <c r="AK35" i="13"/>
  <c r="AJ35" i="13"/>
  <c r="AM34" i="13"/>
  <c r="AL34" i="13"/>
  <c r="AK34" i="13"/>
  <c r="AJ34" i="13"/>
  <c r="AM32" i="13"/>
  <c r="AL32" i="13"/>
  <c r="AK32" i="13"/>
  <c r="AJ32" i="13"/>
  <c r="AM31" i="13"/>
  <c r="AL31" i="13"/>
  <c r="AK31" i="13"/>
  <c r="AJ31" i="13"/>
  <c r="AM30" i="13"/>
  <c r="AL30" i="13"/>
  <c r="AK30" i="13"/>
  <c r="AJ30" i="13"/>
  <c r="AM29" i="13"/>
  <c r="AL29" i="13"/>
  <c r="AK29" i="13"/>
  <c r="AJ29" i="13"/>
  <c r="AM28" i="13"/>
  <c r="AL28" i="13"/>
  <c r="AK28" i="13"/>
  <c r="AJ28" i="13"/>
  <c r="AM27" i="13"/>
  <c r="AL27" i="13"/>
  <c r="AK27" i="13"/>
  <c r="AJ27" i="13"/>
  <c r="AM26" i="13"/>
  <c r="AL26" i="13"/>
  <c r="AK26" i="13"/>
  <c r="AJ26" i="13"/>
  <c r="AM24" i="13"/>
  <c r="AL24" i="13"/>
  <c r="AK24" i="13"/>
  <c r="AJ24" i="13"/>
  <c r="AM23" i="13"/>
  <c r="AL23" i="13"/>
  <c r="AK23" i="13"/>
  <c r="AJ23" i="13"/>
  <c r="AM22" i="13"/>
  <c r="AL22" i="13"/>
  <c r="AK22" i="13"/>
  <c r="AJ22" i="13"/>
  <c r="AM21" i="13"/>
  <c r="AL21" i="13"/>
  <c r="AK21" i="13"/>
  <c r="AJ21" i="13"/>
  <c r="AM20" i="13"/>
  <c r="AL20" i="13"/>
  <c r="AK20" i="13"/>
  <c r="AJ20" i="13"/>
  <c r="AM19" i="13"/>
  <c r="AL19" i="13"/>
  <c r="AK19" i="13"/>
  <c r="AJ19" i="13"/>
  <c r="AM18" i="13"/>
  <c r="AL18" i="13"/>
  <c r="AK18" i="13"/>
  <c r="AJ18" i="13"/>
  <c r="AM17" i="13"/>
  <c r="AL17" i="13"/>
  <c r="AK17" i="13"/>
  <c r="AJ17" i="13"/>
  <c r="AM16" i="13"/>
  <c r="AL16" i="13"/>
  <c r="AK16" i="13"/>
  <c r="AJ16" i="13"/>
  <c r="AM15" i="13"/>
  <c r="AL15" i="13"/>
  <c r="AK15" i="13"/>
  <c r="AJ15" i="13"/>
  <c r="AM14" i="13"/>
  <c r="AL14" i="13"/>
  <c r="AK14" i="13"/>
  <c r="AJ14" i="13"/>
  <c r="AM13" i="13"/>
  <c r="AL13" i="13"/>
  <c r="AK13" i="13"/>
  <c r="AJ13" i="13"/>
  <c r="AM12" i="13"/>
  <c r="AL12" i="13"/>
  <c r="AK12" i="13"/>
  <c r="AJ12" i="13"/>
  <c r="AM11" i="13"/>
  <c r="AL11" i="13"/>
  <c r="AK11" i="13"/>
  <c r="AJ11" i="13"/>
  <c r="AM10" i="13"/>
  <c r="AL10" i="13"/>
  <c r="AK10" i="13"/>
  <c r="AJ10" i="13"/>
  <c r="AM9" i="13"/>
  <c r="AL9" i="13"/>
  <c r="AK9" i="13"/>
  <c r="AJ9" i="13"/>
  <c r="AM8" i="13"/>
  <c r="AL8" i="13"/>
  <c r="AK8" i="13"/>
  <c r="AJ8" i="13"/>
  <c r="AM7" i="13"/>
  <c r="AL7" i="13"/>
  <c r="AK7" i="13"/>
  <c r="AJ7" i="13"/>
  <c r="AM6" i="13"/>
  <c r="AL6" i="13"/>
  <c r="AK6" i="13"/>
  <c r="AJ6" i="13"/>
  <c r="AM5" i="13"/>
  <c r="AL5" i="13"/>
  <c r="AK5" i="13"/>
  <c r="AJ5" i="13"/>
  <c r="A5" i="13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6" i="13" s="1"/>
  <c r="A27" i="13" s="1"/>
  <c r="A28" i="13" s="1"/>
  <c r="A29" i="13" s="1"/>
  <c r="A30" i="13" s="1"/>
  <c r="A31" i="13" s="1"/>
  <c r="A32" i="13" s="1"/>
  <c r="A34" i="13" s="1"/>
  <c r="A35" i="13" s="1"/>
  <c r="A36" i="13" s="1"/>
  <c r="A38" i="13" s="1"/>
  <c r="A40" i="13" s="1"/>
  <c r="A41" i="13" s="1"/>
  <c r="A42" i="13" s="1"/>
  <c r="A44" i="13" s="1"/>
  <c r="A45" i="13" s="1"/>
  <c r="A46" i="13" s="1"/>
  <c r="A47" i="13" s="1"/>
  <c r="A48" i="13" s="1"/>
  <c r="A49" i="13" s="1"/>
  <c r="A50" i="13" s="1"/>
  <c r="A52" i="13" s="1"/>
  <c r="A54" i="13" s="1"/>
  <c r="A55" i="13" s="1"/>
  <c r="A56" i="13" s="1"/>
  <c r="AM4" i="13"/>
  <c r="AL4" i="13"/>
  <c r="AK4" i="13"/>
  <c r="AJ4" i="13"/>
  <c r="A1" i="13"/>
  <c r="AI58" i="14" l="1"/>
  <c r="AM57" i="13"/>
  <c r="AK57" i="13"/>
  <c r="AL57" i="13"/>
  <c r="AM33" i="13"/>
  <c r="AJ67" i="13"/>
  <c r="AJ68" i="13" s="1"/>
  <c r="AL67" i="13"/>
  <c r="AJ25" i="13"/>
  <c r="AL25" i="13"/>
  <c r="AL33" i="13" s="1"/>
  <c r="AK67" i="13"/>
  <c r="AM67" i="13"/>
  <c r="AK25" i="13"/>
  <c r="AK33" i="13" s="1"/>
  <c r="AM25" i="13"/>
  <c r="AM37" i="13" s="1"/>
  <c r="AM39" i="13" s="1"/>
  <c r="AM66" i="12"/>
  <c r="AL66" i="12"/>
  <c r="AK66" i="12"/>
  <c r="AJ66" i="12"/>
  <c r="AM65" i="12"/>
  <c r="AL65" i="12"/>
  <c r="AK65" i="12"/>
  <c r="AJ65" i="12"/>
  <c r="AM64" i="12"/>
  <c r="AL64" i="12"/>
  <c r="AK64" i="12"/>
  <c r="AJ64" i="12"/>
  <c r="A64" i="12"/>
  <c r="A65" i="12" s="1"/>
  <c r="A66" i="12" s="1"/>
  <c r="AM63" i="12"/>
  <c r="AL63" i="12"/>
  <c r="AK63" i="12"/>
  <c r="AJ63" i="12"/>
  <c r="A63" i="12"/>
  <c r="AM62" i="12"/>
  <c r="AL62" i="12"/>
  <c r="AK62" i="12"/>
  <c r="AJ62" i="12"/>
  <c r="A60" i="12"/>
  <c r="AM56" i="12"/>
  <c r="AL56" i="12"/>
  <c r="AK56" i="12"/>
  <c r="AJ56" i="12"/>
  <c r="AM55" i="12"/>
  <c r="AL55" i="12"/>
  <c r="AK55" i="12"/>
  <c r="AJ55" i="12"/>
  <c r="AM54" i="12"/>
  <c r="AM57" i="12" s="1"/>
  <c r="AL54" i="12"/>
  <c r="AK54" i="12"/>
  <c r="AJ54" i="12"/>
  <c r="AM52" i="12"/>
  <c r="AM53" i="12" s="1"/>
  <c r="AL52" i="12"/>
  <c r="AL53" i="12" s="1"/>
  <c r="AK52" i="12"/>
  <c r="AK53" i="12" s="1"/>
  <c r="AJ52" i="12"/>
  <c r="AJ53" i="12" s="1"/>
  <c r="AM50" i="12"/>
  <c r="AL50" i="12"/>
  <c r="AK50" i="12"/>
  <c r="AJ50" i="12"/>
  <c r="AM49" i="12"/>
  <c r="AL49" i="12"/>
  <c r="AK49" i="12"/>
  <c r="AJ49" i="12"/>
  <c r="AM48" i="12"/>
  <c r="AL48" i="12"/>
  <c r="AK48" i="12"/>
  <c r="AJ48" i="12"/>
  <c r="AM47" i="12"/>
  <c r="AL47" i="12"/>
  <c r="AK47" i="12"/>
  <c r="AJ47" i="12"/>
  <c r="AM46" i="12"/>
  <c r="AL46" i="12"/>
  <c r="AK46" i="12"/>
  <c r="AJ46" i="12"/>
  <c r="AM45" i="12"/>
  <c r="AL45" i="12"/>
  <c r="AK45" i="12"/>
  <c r="AJ45" i="12"/>
  <c r="AM44" i="12"/>
  <c r="AL44" i="12"/>
  <c r="AK44" i="12"/>
  <c r="AJ44" i="12"/>
  <c r="AM42" i="12"/>
  <c r="AL42" i="12"/>
  <c r="AK42" i="12"/>
  <c r="AJ42" i="12"/>
  <c r="AM41" i="12"/>
  <c r="AL41" i="12"/>
  <c r="AK41" i="12"/>
  <c r="AJ41" i="12"/>
  <c r="AM40" i="12"/>
  <c r="AM43" i="12" s="1"/>
  <c r="AL40" i="12"/>
  <c r="AK40" i="12"/>
  <c r="AJ40" i="12"/>
  <c r="AM38" i="12"/>
  <c r="AM39" i="12" s="1"/>
  <c r="AL38" i="12"/>
  <c r="AL39" i="12" s="1"/>
  <c r="AK38" i="12"/>
  <c r="AK39" i="12" s="1"/>
  <c r="AJ38" i="12"/>
  <c r="AJ39" i="12" s="1"/>
  <c r="AM36" i="12"/>
  <c r="AL36" i="12"/>
  <c r="AK36" i="12"/>
  <c r="AJ36" i="12"/>
  <c r="AM35" i="12"/>
  <c r="AL35" i="12"/>
  <c r="AK35" i="12"/>
  <c r="AJ35" i="12"/>
  <c r="AM34" i="12"/>
  <c r="AL34" i="12"/>
  <c r="AK34" i="12"/>
  <c r="AJ34" i="12"/>
  <c r="AM32" i="12"/>
  <c r="AL32" i="12"/>
  <c r="AK32" i="12"/>
  <c r="AJ32" i="12"/>
  <c r="AM31" i="12"/>
  <c r="AL31" i="12"/>
  <c r="AK31" i="12"/>
  <c r="AJ31" i="12"/>
  <c r="AM30" i="12"/>
  <c r="AL30" i="12"/>
  <c r="AK30" i="12"/>
  <c r="AJ30" i="12"/>
  <c r="AM29" i="12"/>
  <c r="AL29" i="12"/>
  <c r="AK29" i="12"/>
  <c r="AJ29" i="12"/>
  <c r="AM28" i="12"/>
  <c r="AL28" i="12"/>
  <c r="AK28" i="12"/>
  <c r="AJ28" i="12"/>
  <c r="AM27" i="12"/>
  <c r="AL27" i="12"/>
  <c r="AK27" i="12"/>
  <c r="AJ27" i="12"/>
  <c r="AM26" i="12"/>
  <c r="AL26" i="12"/>
  <c r="AK26" i="12"/>
  <c r="AJ26" i="12"/>
  <c r="AM24" i="12"/>
  <c r="AL24" i="12"/>
  <c r="AK24" i="12"/>
  <c r="AJ24" i="12"/>
  <c r="AM23" i="12"/>
  <c r="AL23" i="12"/>
  <c r="AK23" i="12"/>
  <c r="AJ23" i="12"/>
  <c r="AM22" i="12"/>
  <c r="AL22" i="12"/>
  <c r="AK22" i="12"/>
  <c r="AJ22" i="12"/>
  <c r="AM21" i="12"/>
  <c r="AL21" i="12"/>
  <c r="AK21" i="12"/>
  <c r="AJ21" i="12"/>
  <c r="AM20" i="12"/>
  <c r="AL20" i="12"/>
  <c r="AK20" i="12"/>
  <c r="AJ20" i="12"/>
  <c r="AM19" i="12"/>
  <c r="AL19" i="12"/>
  <c r="AK19" i="12"/>
  <c r="AJ19" i="12"/>
  <c r="AM18" i="12"/>
  <c r="AL18" i="12"/>
  <c r="AK18" i="12"/>
  <c r="AJ18" i="12"/>
  <c r="AM17" i="12"/>
  <c r="AL17" i="12"/>
  <c r="AK17" i="12"/>
  <c r="AJ17" i="12"/>
  <c r="AM16" i="12"/>
  <c r="AL16" i="12"/>
  <c r="AK16" i="12"/>
  <c r="AJ16" i="12"/>
  <c r="AM15" i="12"/>
  <c r="AL15" i="12"/>
  <c r="AK15" i="12"/>
  <c r="AJ15" i="12"/>
  <c r="AM14" i="12"/>
  <c r="AL14" i="12"/>
  <c r="AK14" i="12"/>
  <c r="AJ14" i="12"/>
  <c r="AM13" i="12"/>
  <c r="AL13" i="12"/>
  <c r="AK13" i="12"/>
  <c r="AJ13" i="12"/>
  <c r="AM12" i="12"/>
  <c r="AL12" i="12"/>
  <c r="AK12" i="12"/>
  <c r="AJ12" i="12"/>
  <c r="AM11" i="12"/>
  <c r="AL11" i="12"/>
  <c r="AK11" i="12"/>
  <c r="AJ11" i="12"/>
  <c r="AM10" i="12"/>
  <c r="AL10" i="12"/>
  <c r="AK10" i="12"/>
  <c r="AJ10" i="12"/>
  <c r="AM9" i="12"/>
  <c r="AL9" i="12"/>
  <c r="AK9" i="12"/>
  <c r="AJ9" i="12"/>
  <c r="AM8" i="12"/>
  <c r="AL8" i="12"/>
  <c r="AK8" i="12"/>
  <c r="AJ8" i="12"/>
  <c r="AM7" i="12"/>
  <c r="AL7" i="12"/>
  <c r="AK7" i="12"/>
  <c r="AJ7" i="12"/>
  <c r="AM6" i="12"/>
  <c r="AL6" i="12"/>
  <c r="AK6" i="12"/>
  <c r="AJ6" i="12"/>
  <c r="AM5" i="12"/>
  <c r="AL5" i="12"/>
  <c r="AK5" i="12"/>
  <c r="AJ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6" i="12" s="1"/>
  <c r="A27" i="12" s="1"/>
  <c r="A28" i="12" s="1"/>
  <c r="A29" i="12" s="1"/>
  <c r="A30" i="12" s="1"/>
  <c r="A31" i="12" s="1"/>
  <c r="A32" i="12" s="1"/>
  <c r="A34" i="12" s="1"/>
  <c r="A35" i="12" s="1"/>
  <c r="A36" i="12" s="1"/>
  <c r="A38" i="12" s="1"/>
  <c r="A40" i="12" s="1"/>
  <c r="A41" i="12" s="1"/>
  <c r="A42" i="12" s="1"/>
  <c r="A44" i="12" s="1"/>
  <c r="A45" i="12" s="1"/>
  <c r="A46" i="12" s="1"/>
  <c r="A47" i="12" s="1"/>
  <c r="A48" i="12" s="1"/>
  <c r="A49" i="12" s="1"/>
  <c r="A50" i="12" s="1"/>
  <c r="A52" i="12" s="1"/>
  <c r="A54" i="12" s="1"/>
  <c r="A55" i="12" s="1"/>
  <c r="A56" i="12" s="1"/>
  <c r="AM4" i="12"/>
  <c r="AL4" i="12"/>
  <c r="AK4" i="12"/>
  <c r="AJ4" i="12"/>
  <c r="A1" i="12"/>
  <c r="AL37" i="13" l="1"/>
  <c r="AL39" i="13" s="1"/>
  <c r="AM43" i="13"/>
  <c r="AJ33" i="13"/>
  <c r="AM51" i="13"/>
  <c r="AM53" i="13" s="1"/>
  <c r="AK37" i="13"/>
  <c r="AK39" i="13" s="1"/>
  <c r="AK43" i="12"/>
  <c r="AJ57" i="12"/>
  <c r="AJ37" i="12"/>
  <c r="AJ33" i="12"/>
  <c r="AK51" i="12"/>
  <c r="AJ51" i="12"/>
  <c r="AK33" i="12"/>
  <c r="AK37" i="12"/>
  <c r="AJ43" i="12"/>
  <c r="AL43" i="12"/>
  <c r="AM37" i="12"/>
  <c r="AL57" i="12"/>
  <c r="AK57" i="12"/>
  <c r="AM33" i="12"/>
  <c r="AL33" i="12"/>
  <c r="AL37" i="12"/>
  <c r="AJ67" i="12"/>
  <c r="AJ68" i="12" s="1"/>
  <c r="AL67" i="12"/>
  <c r="AJ25" i="12"/>
  <c r="AL25" i="12"/>
  <c r="AL51" i="12"/>
  <c r="AM51" i="12"/>
  <c r="AK67" i="12"/>
  <c r="AM67" i="12"/>
  <c r="AK25" i="12"/>
  <c r="AM25" i="12"/>
  <c r="AI24" i="11"/>
  <c r="AJ24" i="11"/>
  <c r="AK24" i="11"/>
  <c r="AL24" i="11"/>
  <c r="AK25" i="10"/>
  <c r="AL25" i="10"/>
  <c r="AM25" i="10"/>
  <c r="AJ25" i="10"/>
  <c r="A26" i="10"/>
  <c r="A24" i="10"/>
  <c r="AJ24" i="10"/>
  <c r="AK24" i="10"/>
  <c r="AL24" i="10"/>
  <c r="AM24" i="10"/>
  <c r="AJ37" i="13" l="1"/>
  <c r="AJ39" i="13" s="1"/>
  <c r="AK43" i="13"/>
  <c r="AK51" i="13" s="1"/>
  <c r="AK53" i="13" s="1"/>
  <c r="AL43" i="13"/>
  <c r="AL51" i="13" s="1"/>
  <c r="AL53" i="13" s="1"/>
  <c r="AJ58" i="12"/>
  <c r="AL66" i="11"/>
  <c r="AK66" i="11"/>
  <c r="AJ66" i="11"/>
  <c r="AI66" i="11"/>
  <c r="AL65" i="11"/>
  <c r="AK65" i="11"/>
  <c r="AJ65" i="11"/>
  <c r="AI65" i="11"/>
  <c r="AL64" i="11"/>
  <c r="AK64" i="11"/>
  <c r="AJ64" i="11"/>
  <c r="AI64" i="11"/>
  <c r="AL63" i="11"/>
  <c r="AK63" i="11"/>
  <c r="AJ63" i="11"/>
  <c r="AI63" i="11"/>
  <c r="A63" i="11"/>
  <c r="A64" i="11" s="1"/>
  <c r="A65" i="11" s="1"/>
  <c r="A66" i="11" s="1"/>
  <c r="AL62" i="11"/>
  <c r="AK62" i="11"/>
  <c r="AJ62" i="11"/>
  <c r="AI62" i="11"/>
  <c r="A60" i="11"/>
  <c r="AL56" i="11"/>
  <c r="AK56" i="11"/>
  <c r="AJ56" i="11"/>
  <c r="AI56" i="11"/>
  <c r="AL55" i="11"/>
  <c r="AK55" i="11"/>
  <c r="AJ55" i="11"/>
  <c r="AI55" i="11"/>
  <c r="AL54" i="11"/>
  <c r="AK54" i="11"/>
  <c r="AJ54" i="11"/>
  <c r="AJ57" i="11" s="1"/>
  <c r="AI54" i="11"/>
  <c r="AL52" i="11"/>
  <c r="AL53" i="11" s="1"/>
  <c r="AK52" i="11"/>
  <c r="AK53" i="11" s="1"/>
  <c r="AJ52" i="11"/>
  <c r="AJ53" i="11" s="1"/>
  <c r="AI52" i="11"/>
  <c r="AI53" i="11" s="1"/>
  <c r="AL50" i="11"/>
  <c r="AK50" i="11"/>
  <c r="AJ50" i="11"/>
  <c r="AI50" i="1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K44" i="11"/>
  <c r="AJ44" i="11"/>
  <c r="AI44" i="11"/>
  <c r="AL42" i="11"/>
  <c r="AK42" i="11"/>
  <c r="AJ42" i="11"/>
  <c r="AI42" i="11"/>
  <c r="AL41" i="11"/>
  <c r="AK41" i="11"/>
  <c r="AJ41" i="11"/>
  <c r="AI41" i="11"/>
  <c r="AL40" i="11"/>
  <c r="AL43" i="11" s="1"/>
  <c r="AK40" i="11"/>
  <c r="AJ40" i="11"/>
  <c r="AJ43" i="11" s="1"/>
  <c r="AI40" i="11"/>
  <c r="AL38" i="11"/>
  <c r="AL39" i="11" s="1"/>
  <c r="AK38" i="11"/>
  <c r="AK39" i="11" s="1"/>
  <c r="AJ38" i="11"/>
  <c r="AJ39" i="11" s="1"/>
  <c r="AI38" i="11"/>
  <c r="AI39" i="11" s="1"/>
  <c r="AL36" i="11"/>
  <c r="AK36" i="11"/>
  <c r="AJ36" i="11"/>
  <c r="AI36" i="11"/>
  <c r="AL35" i="11"/>
  <c r="AK35" i="11"/>
  <c r="AJ35" i="11"/>
  <c r="AI35" i="11"/>
  <c r="AL34" i="11"/>
  <c r="AL37" i="11" s="1"/>
  <c r="AK34" i="11"/>
  <c r="AJ34" i="11"/>
  <c r="AI34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K26" i="11"/>
  <c r="AJ26" i="11"/>
  <c r="AI26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L4" i="11"/>
  <c r="AK4" i="11"/>
  <c r="AJ4" i="11"/>
  <c r="AI4" i="11"/>
  <c r="A1" i="11"/>
  <c r="AJ43" i="13" l="1"/>
  <c r="AJ51" i="13" s="1"/>
  <c r="AJ53" i="13" s="1"/>
  <c r="AJ58" i="13" s="1"/>
  <c r="AJ33" i="11"/>
  <c r="AL33" i="11"/>
  <c r="AK37" i="11"/>
  <c r="AL51" i="11"/>
  <c r="AI51" i="11"/>
  <c r="AL57" i="11"/>
  <c r="AJ37" i="11"/>
  <c r="AI57" i="11"/>
  <c r="AI43" i="11"/>
  <c r="AJ51" i="11"/>
  <c r="AK43" i="11"/>
  <c r="AI25" i="11"/>
  <c r="AK25" i="11"/>
  <c r="AJ25" i="11"/>
  <c r="AL25" i="11"/>
  <c r="A24" i="11"/>
  <c r="A26" i="11" s="1"/>
  <c r="A27" i="11" s="1"/>
  <c r="A28" i="11" s="1"/>
  <c r="A29" i="11" s="1"/>
  <c r="A30" i="11" s="1"/>
  <c r="A31" i="11" s="1"/>
  <c r="A32" i="11" s="1"/>
  <c r="A34" i="11" s="1"/>
  <c r="A35" i="11" s="1"/>
  <c r="A36" i="11" s="1"/>
  <c r="A38" i="11" s="1"/>
  <c r="A40" i="11" s="1"/>
  <c r="A41" i="11" s="1"/>
  <c r="A42" i="11" s="1"/>
  <c r="A44" i="11" s="1"/>
  <c r="A45" i="11" s="1"/>
  <c r="A46" i="11" s="1"/>
  <c r="A47" i="11" s="1"/>
  <c r="A48" i="11" s="1"/>
  <c r="A49" i="11" s="1"/>
  <c r="A50" i="11" s="1"/>
  <c r="A52" i="11" s="1"/>
  <c r="A54" i="11" s="1"/>
  <c r="A55" i="11" s="1"/>
  <c r="A56" i="11" s="1"/>
  <c r="AI33" i="11"/>
  <c r="AI67" i="11"/>
  <c r="AI68" i="11" s="1"/>
  <c r="AK67" i="11"/>
  <c r="AI37" i="11"/>
  <c r="AK33" i="11"/>
  <c r="AK57" i="11"/>
  <c r="AK51" i="11"/>
  <c r="AJ67" i="11"/>
  <c r="AL67" i="11"/>
  <c r="AJ22" i="10"/>
  <c r="AK22" i="10"/>
  <c r="AL22" i="10"/>
  <c r="AM22" i="10"/>
  <c r="AJ23" i="10"/>
  <c r="AK23" i="10"/>
  <c r="AL23" i="10"/>
  <c r="AM23" i="10"/>
  <c r="AI58" i="11" l="1"/>
  <c r="AJ66" i="9"/>
  <c r="AK66" i="9"/>
  <c r="AL66" i="9"/>
  <c r="AI66" i="9"/>
  <c r="AL65" i="9"/>
  <c r="AK65" i="9"/>
  <c r="AJ65" i="9"/>
  <c r="AI65" i="9"/>
  <c r="AM65" i="10" l="1"/>
  <c r="AL65" i="10"/>
  <c r="AK65" i="10"/>
  <c r="AJ65" i="10"/>
  <c r="AM64" i="10"/>
  <c r="AL64" i="10"/>
  <c r="AK64" i="10"/>
  <c r="AJ64" i="10"/>
  <c r="AM63" i="10"/>
  <c r="AL63" i="10"/>
  <c r="AK63" i="10"/>
  <c r="AJ63" i="10"/>
  <c r="A63" i="10"/>
  <c r="A64" i="10" s="1"/>
  <c r="A65" i="10" s="1"/>
  <c r="A66" i="10" s="1"/>
  <c r="AM62" i="10"/>
  <c r="AL62" i="10"/>
  <c r="AK62" i="10"/>
  <c r="AJ62" i="10"/>
  <c r="A60" i="10"/>
  <c r="AM56" i="10"/>
  <c r="AL56" i="10"/>
  <c r="AK56" i="10"/>
  <c r="AJ56" i="10"/>
  <c r="AM55" i="10"/>
  <c r="AL55" i="10"/>
  <c r="AK55" i="10"/>
  <c r="AJ55" i="10"/>
  <c r="AM54" i="10"/>
  <c r="AM57" i="10" s="1"/>
  <c r="AL54" i="10"/>
  <c r="AK54" i="10"/>
  <c r="AJ54" i="10"/>
  <c r="AM52" i="10"/>
  <c r="AM53" i="10" s="1"/>
  <c r="AL52" i="10"/>
  <c r="AL53" i="10" s="1"/>
  <c r="AK52" i="10"/>
  <c r="AK53" i="10" s="1"/>
  <c r="AJ52" i="10"/>
  <c r="AJ53" i="10" s="1"/>
  <c r="AM50" i="10"/>
  <c r="AL50" i="10"/>
  <c r="AK50" i="10"/>
  <c r="AJ50" i="10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2" i="10"/>
  <c r="AL42" i="10"/>
  <c r="AK42" i="10"/>
  <c r="AJ42" i="10"/>
  <c r="AM41" i="10"/>
  <c r="AL41" i="10"/>
  <c r="AK41" i="10"/>
  <c r="AJ41" i="10"/>
  <c r="AM40" i="10"/>
  <c r="AL40" i="10"/>
  <c r="AK40" i="10"/>
  <c r="AJ40" i="10"/>
  <c r="AM38" i="10"/>
  <c r="AM39" i="10" s="1"/>
  <c r="AL38" i="10"/>
  <c r="AL39" i="10" s="1"/>
  <c r="AK38" i="10"/>
  <c r="AK39" i="10" s="1"/>
  <c r="AJ38" i="10"/>
  <c r="AJ39" i="10" s="1"/>
  <c r="AM36" i="10"/>
  <c r="AL36" i="10"/>
  <c r="AK36" i="10"/>
  <c r="AJ36" i="10"/>
  <c r="AM35" i="10"/>
  <c r="AL35" i="10"/>
  <c r="AK35" i="10"/>
  <c r="AJ35" i="10"/>
  <c r="AM34" i="10"/>
  <c r="AL34" i="10"/>
  <c r="AK34" i="10"/>
  <c r="AK37" i="10" s="1"/>
  <c r="AJ34" i="10"/>
  <c r="AM32" i="10"/>
  <c r="AL32" i="10"/>
  <c r="AK32" i="10"/>
  <c r="AJ32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6" i="10"/>
  <c r="AL66" i="10"/>
  <c r="AK66" i="10"/>
  <c r="AJ66" i="10"/>
  <c r="A1" i="10"/>
  <c r="A27" i="10" l="1"/>
  <c r="A28" i="10" s="1"/>
  <c r="A29" i="10" s="1"/>
  <c r="A30" i="10" s="1"/>
  <c r="A31" i="10" s="1"/>
  <c r="A32" i="10" s="1"/>
  <c r="A34" i="10" s="1"/>
  <c r="A35" i="10" s="1"/>
  <c r="A36" i="10" s="1"/>
  <c r="A38" i="10" s="1"/>
  <c r="A40" i="10" s="1"/>
  <c r="A41" i="10" s="1"/>
  <c r="A42" i="10" s="1"/>
  <c r="A44" i="10" s="1"/>
  <c r="A45" i="10" s="1"/>
  <c r="A46" i="10" s="1"/>
  <c r="A47" i="10" s="1"/>
  <c r="A48" i="10" s="1"/>
  <c r="A49" i="10" s="1"/>
  <c r="A50" i="10" s="1"/>
  <c r="A52" i="10" s="1"/>
  <c r="A54" i="10" s="1"/>
  <c r="A55" i="10" s="1"/>
  <c r="A56" i="10" s="1"/>
  <c r="AK57" i="10"/>
  <c r="AK43" i="10"/>
  <c r="AK33" i="10"/>
  <c r="AK51" i="10"/>
  <c r="AM37" i="10"/>
  <c r="AM43" i="10"/>
  <c r="AJ37" i="10"/>
  <c r="AJ57" i="10"/>
  <c r="AL43" i="10"/>
  <c r="AM51" i="10"/>
  <c r="AK67" i="10"/>
  <c r="AM67" i="10"/>
  <c r="AJ67" i="10"/>
  <c r="AL67" i="10"/>
  <c r="AJ68" i="10"/>
  <c r="AJ43" i="10"/>
  <c r="AL57" i="10"/>
  <c r="AL33" i="10"/>
  <c r="AL51" i="10"/>
  <c r="AM33" i="10"/>
  <c r="AJ51" i="10"/>
  <c r="AJ33" i="10"/>
  <c r="AL37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8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<sst xmlns="http://schemas.openxmlformats.org/spreadsheetml/2006/main" count="6071" uniqueCount="87">
  <si>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</si>
  <si>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</si>
  <si>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</si>
  <si>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</si>
  <si>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</si>
  <si>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</si>
  <si>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</si>
  <si>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</si>
  <si>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</si>
  <si>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</si>
  <si>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</si>
  <si>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</si>
  <si>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</si>
  <si>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</si>
  <si>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</si>
  <si>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</si>
  <si>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</si>
  <si>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</si>
  <si>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</si>
  <si>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</si>
  <si>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</si>
  <si>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</si>
  <si>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</si>
  <si>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</si>
  <si>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</si>
  <si>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</si>
  <si>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</si>
  <si>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</si>
  <si>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</si>
  <si>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</si>
  <si>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</si>
  <si>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</si>
  <si>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</si>
  <si>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</si>
  <si>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</si>
  <si>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</si>
  <si>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</si>
  <si>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</si>
  <si>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</si>
  <si>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</si>
  <si>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</si>
  <si>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</si>
  <si>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</si>
  <si>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</si>
  <si>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</si>
  <si>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</si>
  <si>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</si>
  <si>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</si>
  <si>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</si>
  <si>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</si>
  <si>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</si>
  <si>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</si>
  <si>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</si>
  <si>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</si>
  <si>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</si>
  <si>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</si>
  <si>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</si>
  <si>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</si>
  <si>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</si>
  <si>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</si>
  <si>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</si>
  <si>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</si>
  <si>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</si>
  <si>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</si>
  <si>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</si>
  <si>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</si>
  <si>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</si>
  <si>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</si>
  <si>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</si>
  <si>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</si>
  <si>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</si>
  <si>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</si>
  <si>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</si>
  <si>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</si>
  <si>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</si>
  <si>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</si>
  <si>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</si>
  <si>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</si>
  <si>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</si>
  <si>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</si>
  <si>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</si>
  <si>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</si>
  <si>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</si>
  <si>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</si>
  <si>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</si>
  <si>
    <t>12012</t>
  </si>
  <si>
    <t>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</si>
</sst>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72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5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3" s="171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71"/>
      <c r="AI63" s="171"/>
      <c r="AJ63" s="171"/>
      <c r="AK63" s="171"/>
      <c r="AL63" s="171"/>
      <c r="AM63" s="171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4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3" s="171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71"/>
      <c r="AI63" s="171"/>
      <c r="AJ63" s="171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13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3" s="171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71"/>
      <c r="AI63" s="171"/>
      <c r="AJ63" s="171"/>
      <c r="AK63" s="171"/>
      <c r="AL63" s="171"/>
      <c r="AM63" s="171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12" priority="2">
      <formula>LEN(TRIM(E4))=0</formula>
    </cfRule>
  </conditionalFormatting>
  <conditionalFormatting sqref="AJ38:AM38">
    <cfRule type="containsBlanks" dxfId="11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59" s="171"/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71"/>
      <c r="AE59" s="171"/>
      <c r="AF59" s="171"/>
      <c r="AG59" s="171"/>
      <c r="AH59" s="171"/>
      <c r="AI59" s="171"/>
      <c r="AJ59" s="171"/>
      <c r="AK59" s="171"/>
      <c r="AL59" s="171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10" priority="2">
      <formula>LEN(TRIM(E4))=0</formula>
    </cfRule>
  </conditionalFormatting>
  <conditionalFormatting sqref="E65:AI65">
    <cfRule type="containsBlanks" dxfId="9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70"/>
  <sheetViews>
    <sheetView zoomScale="90" zoomScaleNormal="90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J25" sqref="AJ2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s">
        <v>57</v>
      </c>
      <c r="AF23" s="5" t="s">
        <v>57</v>
      </c>
      <c r="AG23" s="5" t="s">
        <v>57</v>
      </c>
      <c r="AH23" s="5" t="s">
        <v>57</v>
      </c>
      <c r="AI23" s="78" t="s">
        <v>57</v>
      </c>
      <c r="AJ23" s="153">
        <f t="shared" si="5"/>
        <v>5</v>
      </c>
      <c r="AK23" s="54">
        <f t="shared" si="6"/>
        <v>0</v>
      </c>
      <c r="AL23" s="54">
        <f t="shared" si="7"/>
        <v>0</v>
      </c>
      <c r="AM23" s="55">
        <f t="shared" si="8"/>
        <v>5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126" t="s">
        <v>57</v>
      </c>
      <c r="AJ24" s="154">
        <f t="shared" ref="AJ24" si="9">COUNTA(E24:AI24)</f>
        <v>1</v>
      </c>
      <c r="AK24" s="84">
        <f t="shared" ref="AK24" si="10">COUNTIF(E24:AI24,1)</f>
        <v>0</v>
      </c>
      <c r="AL24" s="84">
        <f t="shared" ref="AL24" si="11">COUNTIF(E24:AI24,"тр")</f>
        <v>0</v>
      </c>
      <c r="AM24" s="85">
        <f t="shared" ref="AM24" si="12">COUNTIF(E24:AI24,"бв")</f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569</v>
      </c>
      <c r="AK25" s="69">
        <f t="shared" ref="AK25:AM25" si="13">SUM(AK4:AK24)</f>
        <v>452</v>
      </c>
      <c r="AL25" s="69">
        <f t="shared" si="13"/>
        <v>79</v>
      </c>
      <c r="AM25" s="75">
        <f t="shared" si="13"/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58</v>
      </c>
      <c r="F26" s="35" t="s">
        <v>58</v>
      </c>
      <c r="G26" s="35" t="s">
        <v>58</v>
      </c>
      <c r="H26" s="35" t="s">
        <v>58</v>
      </c>
      <c r="I26" s="35" t="s">
        <v>58</v>
      </c>
      <c r="J26" s="35" t="s">
        <v>58</v>
      </c>
      <c r="K26" s="35" t="s">
        <v>58</v>
      </c>
      <c r="L26" s="35" t="s">
        <v>58</v>
      </c>
      <c r="M26" s="35" t="s">
        <v>58</v>
      </c>
      <c r="N26" s="35" t="s">
        <v>58</v>
      </c>
      <c r="O26" s="35" t="s">
        <v>58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 t="s">
        <v>57</v>
      </c>
      <c r="AG26" s="35" t="s">
        <v>57</v>
      </c>
      <c r="AH26" s="35" t="s">
        <v>58</v>
      </c>
      <c r="AI26" s="35">
        <v>1</v>
      </c>
      <c r="AJ26" s="152">
        <f t="shared" ref="AJ26:AJ32" si="14">COUNTA(E26:AI26)</f>
        <v>31</v>
      </c>
      <c r="AK26" s="80">
        <f t="shared" ref="AK26:AK32" si="15">COUNTIF(E26:AI26,1)</f>
        <v>17</v>
      </c>
      <c r="AL26" s="80">
        <f t="shared" ref="AL26:AL32" si="16">COUNTIF(E26:AI26,"тр")</f>
        <v>12</v>
      </c>
      <c r="AM26" s="81">
        <f t="shared" ref="AM26:AM32" si="17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 t="s">
        <v>58</v>
      </c>
      <c r="O27" s="5">
        <v>1</v>
      </c>
      <c r="P27" s="5" t="s">
        <v>57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57</v>
      </c>
      <c r="AE27" s="5" t="s">
        <v>58</v>
      </c>
      <c r="AF27" s="5">
        <v>1</v>
      </c>
      <c r="AG27" s="5">
        <v>1</v>
      </c>
      <c r="AH27" s="5" t="s">
        <v>58</v>
      </c>
      <c r="AI27" s="5" t="s">
        <v>58</v>
      </c>
      <c r="AJ27" s="153">
        <f t="shared" si="14"/>
        <v>31</v>
      </c>
      <c r="AK27" s="54">
        <f t="shared" si="15"/>
        <v>12</v>
      </c>
      <c r="AL27" s="54">
        <f t="shared" si="16"/>
        <v>17</v>
      </c>
      <c r="AM27" s="55">
        <f t="shared" si="17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 t="s">
        <v>58</v>
      </c>
      <c r="I28" s="5" t="s">
        <v>57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 t="s">
        <v>58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153">
        <f t="shared" si="14"/>
        <v>31</v>
      </c>
      <c r="AK28" s="54">
        <f t="shared" si="15"/>
        <v>28</v>
      </c>
      <c r="AL28" s="54">
        <f t="shared" si="16"/>
        <v>2</v>
      </c>
      <c r="AM28" s="55">
        <f t="shared" si="17"/>
        <v>1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14"/>
        <v>31</v>
      </c>
      <c r="AK29" s="54">
        <f t="shared" si="15"/>
        <v>0</v>
      </c>
      <c r="AL29" s="54">
        <f t="shared" si="16"/>
        <v>31</v>
      </c>
      <c r="AM29" s="55">
        <f t="shared" si="17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57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 t="s">
        <v>57</v>
      </c>
      <c r="AE30" s="5" t="s">
        <v>57</v>
      </c>
      <c r="AF30" s="5">
        <v>1</v>
      </c>
      <c r="AG30" s="5">
        <v>1</v>
      </c>
      <c r="AH30" s="5">
        <v>1</v>
      </c>
      <c r="AI30" s="5">
        <v>1</v>
      </c>
      <c r="AJ30" s="153">
        <f t="shared" si="14"/>
        <v>31</v>
      </c>
      <c r="AK30" s="54">
        <f t="shared" si="15"/>
        <v>24</v>
      </c>
      <c r="AL30" s="54">
        <f t="shared" si="16"/>
        <v>0</v>
      </c>
      <c r="AM30" s="55">
        <f t="shared" si="17"/>
        <v>7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 t="s">
        <v>58</v>
      </c>
      <c r="AI31" s="5">
        <v>1</v>
      </c>
      <c r="AJ31" s="153">
        <f t="shared" si="14"/>
        <v>31</v>
      </c>
      <c r="AK31" s="54">
        <f t="shared" si="15"/>
        <v>18</v>
      </c>
      <c r="AL31" s="54">
        <f t="shared" si="16"/>
        <v>13</v>
      </c>
      <c r="AM31" s="55">
        <f t="shared" si="17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57</v>
      </c>
      <c r="F32" s="42" t="s">
        <v>57</v>
      </c>
      <c r="G32" s="42" t="s">
        <v>57</v>
      </c>
      <c r="H32" s="42" t="s">
        <v>57</v>
      </c>
      <c r="I32" s="42" t="s">
        <v>57</v>
      </c>
      <c r="J32" s="42" t="s">
        <v>57</v>
      </c>
      <c r="K32" s="42" t="s">
        <v>57</v>
      </c>
      <c r="L32" s="42" t="s">
        <v>57</v>
      </c>
      <c r="M32" s="42" t="s">
        <v>57</v>
      </c>
      <c r="N32" s="42" t="s">
        <v>57</v>
      </c>
      <c r="O32" s="42" t="s">
        <v>57</v>
      </c>
      <c r="P32" s="42" t="s">
        <v>57</v>
      </c>
      <c r="Q32" s="42" t="s">
        <v>57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 t="s">
        <v>58</v>
      </c>
      <c r="Y32" s="42" t="s">
        <v>58</v>
      </c>
      <c r="Z32" s="42" t="s">
        <v>58</v>
      </c>
      <c r="AA32" s="42" t="s">
        <v>58</v>
      </c>
      <c r="AB32" s="42" t="s">
        <v>58</v>
      </c>
      <c r="AC32" s="42" t="s">
        <v>58</v>
      </c>
      <c r="AD32" s="42" t="s">
        <v>58</v>
      </c>
      <c r="AE32" s="42">
        <v>1</v>
      </c>
      <c r="AF32" s="42" t="s">
        <v>58</v>
      </c>
      <c r="AG32" s="42" t="s">
        <v>58</v>
      </c>
      <c r="AH32" s="42" t="s">
        <v>58</v>
      </c>
      <c r="AI32" s="42" t="s">
        <v>58</v>
      </c>
      <c r="AJ32" s="154">
        <f t="shared" si="14"/>
        <v>31</v>
      </c>
      <c r="AK32" s="84">
        <f t="shared" si="15"/>
        <v>7</v>
      </c>
      <c r="AL32" s="84">
        <f t="shared" si="16"/>
        <v>11</v>
      </c>
      <c r="AM32" s="85">
        <f t="shared" si="17"/>
        <v>13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106</v>
      </c>
      <c r="AL33" s="135">
        <f>SUM(AL26:AL32)</f>
        <v>86</v>
      </c>
      <c r="AM33" s="136">
        <f>SUM(AM26:AM32)</f>
        <v>25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>
        <v>1</v>
      </c>
      <c r="F34" s="35">
        <v>1</v>
      </c>
      <c r="G34" s="35">
        <v>1</v>
      </c>
      <c r="H34" s="35">
        <v>1</v>
      </c>
      <c r="I34" s="35">
        <v>1</v>
      </c>
      <c r="J34" s="35">
        <v>1</v>
      </c>
      <c r="K34" s="35" t="s">
        <v>57</v>
      </c>
      <c r="L34" s="35" t="s">
        <v>57</v>
      </c>
      <c r="M34" s="35" t="s">
        <v>57</v>
      </c>
      <c r="N34" s="35">
        <v>1</v>
      </c>
      <c r="O34" s="35">
        <v>1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8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>
        <v>1</v>
      </c>
      <c r="J35" s="5" t="s">
        <v>57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 t="s">
        <v>57</v>
      </c>
      <c r="S35" s="5" t="s">
        <v>57</v>
      </c>
      <c r="T35" s="5">
        <v>1</v>
      </c>
      <c r="U35" s="5">
        <v>1</v>
      </c>
      <c r="V35" s="5">
        <v>1</v>
      </c>
      <c r="W35" s="5">
        <v>1</v>
      </c>
      <c r="X35" s="5">
        <v>1</v>
      </c>
      <c r="Y35" s="5">
        <v>1</v>
      </c>
      <c r="Z35" s="5" t="s">
        <v>57</v>
      </c>
      <c r="AA35" s="5" t="s">
        <v>57</v>
      </c>
      <c r="AB35" s="5">
        <v>1</v>
      </c>
      <c r="AC35" s="5">
        <v>1</v>
      </c>
      <c r="AD35" s="5">
        <v>1</v>
      </c>
      <c r="AE35" s="5">
        <v>1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22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30</v>
      </c>
      <c r="AL37" s="69">
        <f>SUM(AL34:AL36)</f>
        <v>31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 t="s">
        <v>57</v>
      </c>
      <c r="K40" s="35" t="s">
        <v>57</v>
      </c>
      <c r="L40" s="35">
        <v>1</v>
      </c>
      <c r="M40" s="35">
        <v>1</v>
      </c>
      <c r="N40" s="35">
        <v>1</v>
      </c>
      <c r="O40" s="35">
        <v>1</v>
      </c>
      <c r="P40" s="35">
        <v>1</v>
      </c>
      <c r="Q40" s="35">
        <v>1</v>
      </c>
      <c r="R40" s="35">
        <v>1</v>
      </c>
      <c r="S40" s="35" t="s">
        <v>57</v>
      </c>
      <c r="T40" s="35" t="s">
        <v>57</v>
      </c>
      <c r="U40" s="35">
        <v>1</v>
      </c>
      <c r="V40" s="35">
        <v>1</v>
      </c>
      <c r="W40" s="35">
        <v>1</v>
      </c>
      <c r="X40" s="35">
        <v>1</v>
      </c>
      <c r="Y40" s="35">
        <v>1</v>
      </c>
      <c r="Z40" s="35">
        <v>1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>
        <v>1</v>
      </c>
      <c r="AJ40" s="155">
        <f>COUNTA(E40:AI40)</f>
        <v>31</v>
      </c>
      <c r="AK40" s="17">
        <f>COUNTIF(E40:AI40,1)</f>
        <v>18</v>
      </c>
      <c r="AL40" s="17">
        <f>COUNTIF(E40:AI40,"тр")</f>
        <v>8</v>
      </c>
      <c r="AM40" s="18">
        <f>COUNTIF(E40:AI40,"бв")</f>
        <v>5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 t="s">
        <v>58</v>
      </c>
      <c r="F41" s="7" t="s">
        <v>58</v>
      </c>
      <c r="G41" s="7" t="s">
        <v>58</v>
      </c>
      <c r="H41" s="5" t="s">
        <v>58</v>
      </c>
      <c r="I41" s="5">
        <v>1</v>
      </c>
      <c r="J41" s="5">
        <v>1</v>
      </c>
      <c r="K41" s="5">
        <v>1</v>
      </c>
      <c r="L41" s="5" t="s">
        <v>58</v>
      </c>
      <c r="M41" s="5" t="s">
        <v>58</v>
      </c>
      <c r="N41" s="5" t="s">
        <v>58</v>
      </c>
      <c r="O41" s="5" t="s">
        <v>58</v>
      </c>
      <c r="P41" s="5" t="s">
        <v>58</v>
      </c>
      <c r="Q41" s="5" t="s">
        <v>58</v>
      </c>
      <c r="R41" s="5" t="s">
        <v>58</v>
      </c>
      <c r="S41" s="5" t="s">
        <v>58</v>
      </c>
      <c r="T41" s="5" t="s">
        <v>58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 t="s">
        <v>57</v>
      </c>
      <c r="AC41" s="5" t="s">
        <v>57</v>
      </c>
      <c r="AD41" s="5" t="s">
        <v>57</v>
      </c>
      <c r="AE41" s="5">
        <v>1</v>
      </c>
      <c r="AF41" s="5">
        <v>1</v>
      </c>
      <c r="AG41" s="5">
        <v>1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15</v>
      </c>
      <c r="AL41" s="54">
        <f>COUNTIF(E41:AI41,"тр")</f>
        <v>13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57</v>
      </c>
      <c r="F42" s="43">
        <v>1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>
        <v>1</v>
      </c>
      <c r="M42" s="42">
        <v>1</v>
      </c>
      <c r="N42" s="42">
        <v>1</v>
      </c>
      <c r="O42" s="42">
        <v>1</v>
      </c>
      <c r="P42" s="42" t="s">
        <v>57</v>
      </c>
      <c r="Q42" s="42">
        <v>1</v>
      </c>
      <c r="R42" s="42">
        <v>1</v>
      </c>
      <c r="S42" s="42">
        <v>1</v>
      </c>
      <c r="T42" s="42">
        <v>1</v>
      </c>
      <c r="U42" s="42">
        <v>1</v>
      </c>
      <c r="V42" s="42" t="s">
        <v>57</v>
      </c>
      <c r="W42" s="42" t="s">
        <v>57</v>
      </c>
      <c r="X42" s="42">
        <v>1</v>
      </c>
      <c r="Y42" s="42" t="s">
        <v>57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>
        <v>1</v>
      </c>
      <c r="AF42" s="42" t="s">
        <v>57</v>
      </c>
      <c r="AG42" s="42" t="s">
        <v>57</v>
      </c>
      <c r="AH42" s="42">
        <v>1</v>
      </c>
      <c r="AI42" s="42">
        <v>1</v>
      </c>
      <c r="AJ42" s="155">
        <f>COUNTA(E42:AI42)</f>
        <v>31</v>
      </c>
      <c r="AK42" s="56">
        <f>COUNTIF(E42:AI42,1)</f>
        <v>23</v>
      </c>
      <c r="AL42" s="56">
        <f>COUNTIF(E42:AI42,"тр")</f>
        <v>0</v>
      </c>
      <c r="AM42" s="57">
        <f>COUNTIF(E42:AI42,"бв")</f>
        <v>8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56</v>
      </c>
      <c r="AL43" s="69">
        <f>SUM(AL40:AL42)</f>
        <v>21</v>
      </c>
      <c r="AM43" s="75">
        <f>SUM(AM40:AM42)</f>
        <v>16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18">COUNTA(E44:AI44)</f>
        <v>31</v>
      </c>
      <c r="AK44" s="17">
        <f t="shared" ref="AK44:AK50" si="19">COUNTIF(E44:AI44,1)</f>
        <v>30</v>
      </c>
      <c r="AL44" s="17">
        <f t="shared" ref="AL44:AL50" si="20">COUNTIF(E44:AI44,"тр")</f>
        <v>1</v>
      </c>
      <c r="AM44" s="18">
        <f t="shared" ref="AM44:AM50" si="21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 t="s">
        <v>57</v>
      </c>
      <c r="AE45" s="5">
        <v>1</v>
      </c>
      <c r="AF45" s="5">
        <v>1</v>
      </c>
      <c r="AG45" s="5">
        <v>1</v>
      </c>
      <c r="AH45" s="5" t="s">
        <v>57</v>
      </c>
      <c r="AI45" s="5">
        <v>1</v>
      </c>
      <c r="AJ45" s="155">
        <f t="shared" si="18"/>
        <v>31</v>
      </c>
      <c r="AK45" s="54">
        <f t="shared" si="19"/>
        <v>27</v>
      </c>
      <c r="AL45" s="54">
        <f t="shared" si="20"/>
        <v>0</v>
      </c>
      <c r="AM45" s="55">
        <f t="shared" si="21"/>
        <v>4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58</v>
      </c>
      <c r="AH46" s="5">
        <v>1</v>
      </c>
      <c r="AI46" s="5">
        <v>1</v>
      </c>
      <c r="AJ46" s="155">
        <f t="shared" si="18"/>
        <v>31</v>
      </c>
      <c r="AK46" s="54">
        <f t="shared" si="19"/>
        <v>29</v>
      </c>
      <c r="AL46" s="54">
        <f t="shared" si="20"/>
        <v>1</v>
      </c>
      <c r="AM46" s="55">
        <f t="shared" si="21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 t="s">
        <v>57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 t="s">
        <v>57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 t="s">
        <v>57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8"/>
        <v>31</v>
      </c>
      <c r="AK47" s="54">
        <f t="shared" si="19"/>
        <v>27</v>
      </c>
      <c r="AL47" s="54">
        <f t="shared" si="20"/>
        <v>0</v>
      </c>
      <c r="AM47" s="55">
        <f t="shared" si="21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 t="s">
        <v>57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18"/>
        <v>31</v>
      </c>
      <c r="AK48" s="54">
        <f t="shared" si="19"/>
        <v>29</v>
      </c>
      <c r="AL48" s="54">
        <f t="shared" si="20"/>
        <v>0</v>
      </c>
      <c r="AM48" s="55">
        <f t="shared" si="21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 t="s">
        <v>58</v>
      </c>
      <c r="H49" s="5" t="s">
        <v>58</v>
      </c>
      <c r="I49" s="5" t="s">
        <v>58</v>
      </c>
      <c r="J49" s="5" t="s">
        <v>58</v>
      </c>
      <c r="K49" s="5" t="s">
        <v>58</v>
      </c>
      <c r="L49" s="5" t="s">
        <v>58</v>
      </c>
      <c r="M49" s="5" t="s">
        <v>58</v>
      </c>
      <c r="N49" s="5" t="s">
        <v>58</v>
      </c>
      <c r="O49" s="5" t="s">
        <v>58</v>
      </c>
      <c r="P49" s="5" t="s">
        <v>58</v>
      </c>
      <c r="Q49" s="5" t="s">
        <v>58</v>
      </c>
      <c r="R49" s="5" t="s">
        <v>58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 t="s">
        <v>58</v>
      </c>
      <c r="Y49" s="5" t="s">
        <v>58</v>
      </c>
      <c r="Z49" s="5" t="s">
        <v>58</v>
      </c>
      <c r="AA49" s="5">
        <v>1</v>
      </c>
      <c r="AB49" s="5">
        <v>1</v>
      </c>
      <c r="AC49" s="5">
        <v>1</v>
      </c>
      <c r="AD49" s="5" t="s">
        <v>57</v>
      </c>
      <c r="AE49" s="5" t="s">
        <v>57</v>
      </c>
      <c r="AF49" s="5" t="s">
        <v>57</v>
      </c>
      <c r="AG49" s="5">
        <v>1</v>
      </c>
      <c r="AH49" s="5">
        <v>1</v>
      </c>
      <c r="AI49" s="5" t="s">
        <v>58</v>
      </c>
      <c r="AJ49" s="155">
        <f t="shared" si="18"/>
        <v>31</v>
      </c>
      <c r="AK49" s="54">
        <f t="shared" si="19"/>
        <v>5</v>
      </c>
      <c r="AL49" s="54">
        <f t="shared" si="20"/>
        <v>23</v>
      </c>
      <c r="AM49" s="55">
        <f t="shared" si="21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 t="s">
        <v>58</v>
      </c>
      <c r="X50" s="42" t="s">
        <v>58</v>
      </c>
      <c r="Y50" s="42" t="s">
        <v>58</v>
      </c>
      <c r="Z50" s="42">
        <v>1</v>
      </c>
      <c r="AA50" s="42" t="s">
        <v>57</v>
      </c>
      <c r="AB50" s="42">
        <v>1</v>
      </c>
      <c r="AC50" s="42">
        <v>1</v>
      </c>
      <c r="AD50" s="42" t="s">
        <v>57</v>
      </c>
      <c r="AE50" s="42" t="s">
        <v>57</v>
      </c>
      <c r="AF50" s="42" t="s">
        <v>57</v>
      </c>
      <c r="AG50" s="42">
        <v>1</v>
      </c>
      <c r="AH50" s="42" t="s">
        <v>58</v>
      </c>
      <c r="AI50" s="42">
        <v>1</v>
      </c>
      <c r="AJ50" s="155">
        <f t="shared" si="18"/>
        <v>31</v>
      </c>
      <c r="AK50" s="56">
        <f t="shared" si="19"/>
        <v>22</v>
      </c>
      <c r="AL50" s="56">
        <f t="shared" si="20"/>
        <v>4</v>
      </c>
      <c r="AM50" s="57">
        <f t="shared" si="21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29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>
        <v>1</v>
      </c>
      <c r="G52" s="42">
        <v>1</v>
      </c>
      <c r="H52" s="42">
        <v>1</v>
      </c>
      <c r="I52" s="42" t="s">
        <v>57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 t="s">
        <v>58</v>
      </c>
      <c r="AB52" s="42" t="s">
        <v>58</v>
      </c>
      <c r="AC52" s="42">
        <v>1</v>
      </c>
      <c r="AD52" s="42">
        <v>1</v>
      </c>
      <c r="AE52" s="42" t="s">
        <v>57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24</v>
      </c>
      <c r="AL52" s="56">
        <f>COUNTIF(E52:AI52,"тр")</f>
        <v>2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24</v>
      </c>
      <c r="AL53" s="69">
        <f>SUM(AL52:AL52)</f>
        <v>2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 t="s">
        <v>57</v>
      </c>
      <c r="I54" s="92" t="s">
        <v>57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 t="s">
        <v>58</v>
      </c>
      <c r="P54" s="92">
        <v>1</v>
      </c>
      <c r="Q54" s="92">
        <v>1</v>
      </c>
      <c r="R54" s="92">
        <v>1</v>
      </c>
      <c r="S54" s="5" t="s">
        <v>58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 t="s">
        <v>57</v>
      </c>
      <c r="AB54" s="92" t="s">
        <v>57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2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 t="s">
        <v>57</v>
      </c>
      <c r="M55" s="42" t="s">
        <v>57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 t="s">
        <v>57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 t="s">
        <v>57</v>
      </c>
      <c r="G56" s="97" t="s">
        <v>57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58</v>
      </c>
      <c r="R56" s="97">
        <v>1</v>
      </c>
      <c r="S56" s="97">
        <v>1</v>
      </c>
      <c r="T56" s="97">
        <v>1</v>
      </c>
      <c r="U56" s="97">
        <v>1</v>
      </c>
      <c r="V56" s="97" t="s">
        <v>57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1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3</v>
      </c>
      <c r="AM57" s="75">
        <f>SUM(AM54:AM56)</f>
        <v>11</v>
      </c>
    </row>
    <row r="58" spans="1:39" s="33" customFormat="1" x14ac:dyDescent="0.25">
      <c r="A58" s="165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0" s="171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  <c r="AM60" s="171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87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2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22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 t="s">
        <v>57</v>
      </c>
      <c r="J64" s="5" t="s">
        <v>57</v>
      </c>
      <c r="K64" s="5" t="s">
        <v>57</v>
      </c>
      <c r="L64" s="5" t="s">
        <v>57</v>
      </c>
      <c r="M64" s="5" t="s">
        <v>57</v>
      </c>
      <c r="N64" s="5">
        <v>1</v>
      </c>
      <c r="O64" s="5">
        <v>1</v>
      </c>
      <c r="P64" s="5" t="s">
        <v>57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58</v>
      </c>
      <c r="W64" s="5" t="s">
        <v>58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 t="s">
        <v>57</v>
      </c>
      <c r="AE64" s="5">
        <v>1</v>
      </c>
      <c r="AF64" s="5">
        <v>1</v>
      </c>
      <c r="AG64" s="5">
        <v>1</v>
      </c>
      <c r="AH64" s="5">
        <v>1</v>
      </c>
      <c r="AI64" s="78">
        <v>1</v>
      </c>
      <c r="AJ64" s="153">
        <f>COUNTA(E64:AI64)</f>
        <v>31</v>
      </c>
      <c r="AK64" s="54">
        <f>COUNTIF(E64:AI64,1)</f>
        <v>20</v>
      </c>
      <c r="AL64" s="54">
        <f>COUNTIF(E64:AI64,"тр")</f>
        <v>2</v>
      </c>
      <c r="AM64" s="55">
        <f>COUNTIF(E64:AI64,"бв")</f>
        <v>9</v>
      </c>
    </row>
    <row r="65" spans="1:39" x14ac:dyDescent="0.25">
      <c r="A65" s="11">
        <f t="shared" si="22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78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22"/>
        <v>5</v>
      </c>
      <c r="B66" s="39" t="s">
        <v>0</v>
      </c>
      <c r="C66" s="40" t="s">
        <v>2</v>
      </c>
      <c r="D66" s="40">
        <v>1637</v>
      </c>
      <c r="E66" s="42" t="s">
        <v>57</v>
      </c>
      <c r="F66" s="42">
        <v>1</v>
      </c>
      <c r="G66" s="42">
        <v>1</v>
      </c>
      <c r="H66" s="42">
        <v>1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>
        <v>1</v>
      </c>
      <c r="O66" s="42">
        <v>1</v>
      </c>
      <c r="P66" s="42" t="s">
        <v>57</v>
      </c>
      <c r="Q66" s="42">
        <v>1</v>
      </c>
      <c r="R66" s="42" t="s">
        <v>58</v>
      </c>
      <c r="S66" s="42" t="s">
        <v>58</v>
      </c>
      <c r="T66" s="42" t="s">
        <v>57</v>
      </c>
      <c r="U66" s="42">
        <v>1</v>
      </c>
      <c r="V66" s="42" t="s">
        <v>58</v>
      </c>
      <c r="W66" s="42" t="s">
        <v>58</v>
      </c>
      <c r="X66" s="42">
        <v>1</v>
      </c>
      <c r="Y66" s="42">
        <v>1</v>
      </c>
      <c r="Z66" s="42">
        <v>1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>
        <v>1</v>
      </c>
      <c r="AF66" s="42" t="s">
        <v>58</v>
      </c>
      <c r="AG66" s="42" t="s">
        <v>58</v>
      </c>
      <c r="AH66" s="42" t="s">
        <v>58</v>
      </c>
      <c r="AI66" s="126" t="s">
        <v>58</v>
      </c>
      <c r="AJ66" s="156">
        <f>COUNTA(E66:AI66)</f>
        <v>31</v>
      </c>
      <c r="AK66" s="56">
        <f>COUNTIF(E66:AI66,1)</f>
        <v>11</v>
      </c>
      <c r="AL66" s="56">
        <f>COUNTIF(E66:AI66,"тр")</f>
        <v>17</v>
      </c>
      <c r="AM66" s="57">
        <f>COUNTIF(E66:AI66,"бв")</f>
        <v>3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23">SUM(AK62:AK66)</f>
        <v>93</v>
      </c>
      <c r="AL67" s="69">
        <f t="shared" si="23"/>
        <v>50</v>
      </c>
      <c r="AM67" s="75">
        <f t="shared" si="23"/>
        <v>12</v>
      </c>
    </row>
    <row r="68" spans="1:39" s="33" customFormat="1" x14ac:dyDescent="0.25">
      <c r="A68" s="165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4">
    <cfRule type="containsBlanks" dxfId="8" priority="1">
      <formula>LEN(TRIM(E4))=0</formula>
    </cfRule>
  </conditionalFormatting>
  <pageMargins left="0.23622047244094491" right="0.23622047244094491" top="0.74803149606299213" bottom="0.67" header="0.31496062992125984" footer="0.31496062992125984"/>
  <pageSetup paperSize="9" scale="78" fitToHeight="0" orientation="landscape" verticalDpi="0" r:id="rId1"/>
  <ignoredErrors>
    <ignoredError sqref="AJ53:AM53 AJ51:AN51 AJ43:AM43 AJ39:AM39 AJ37:AM37 AJ33:AM33 AJ25:AM2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4" sqref="AH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 t="s">
        <v>57</v>
      </c>
      <c r="I4" s="92" t="s">
        <v>57</v>
      </c>
      <c r="J4" s="92" t="s">
        <v>57</v>
      </c>
      <c r="K4" s="92" t="s">
        <v>57</v>
      </c>
      <c r="L4" s="92" t="s">
        <v>57</v>
      </c>
      <c r="M4" s="92" t="s">
        <v>57</v>
      </c>
      <c r="N4" s="92">
        <v>1</v>
      </c>
      <c r="O4" s="92">
        <v>1</v>
      </c>
      <c r="P4" s="92" t="s">
        <v>57</v>
      </c>
      <c r="Q4" s="92" t="s">
        <v>57</v>
      </c>
      <c r="R4" s="92">
        <v>1</v>
      </c>
      <c r="S4" s="92" t="s">
        <v>57</v>
      </c>
      <c r="T4" s="92" t="s">
        <v>57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52">
        <f t="shared" ref="AI4:AI24" si="0">COUNTA(E4:AH4)</f>
        <v>30</v>
      </c>
      <c r="AJ4" s="80">
        <f t="shared" ref="AJ4:AJ24" si="1">COUNTIF(E4:AH4,1)</f>
        <v>14</v>
      </c>
      <c r="AK4" s="80">
        <f t="shared" ref="AK4:AK24" si="2">COUNTIF(E4:AH4,"тр")</f>
        <v>0</v>
      </c>
      <c r="AL4" s="81">
        <f t="shared" ref="AL4:AL24" si="3">COUNTIF(E4:AH4,"бв")</f>
        <v>16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>
        <v>1</v>
      </c>
      <c r="Y5" s="5">
        <v>1</v>
      </c>
      <c r="Z5" s="5" t="s">
        <v>57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78">
        <v>1</v>
      </c>
      <c r="AI5" s="153">
        <f t="shared" si="0"/>
        <v>30</v>
      </c>
      <c r="AJ5" s="54">
        <f t="shared" si="1"/>
        <v>28</v>
      </c>
      <c r="AK5" s="54">
        <f t="shared" si="2"/>
        <v>0</v>
      </c>
      <c r="AL5" s="55">
        <f t="shared" si="3"/>
        <v>2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153">
        <f t="shared" si="0"/>
        <v>30</v>
      </c>
      <c r="AJ6" s="54">
        <f t="shared" si="1"/>
        <v>13</v>
      </c>
      <c r="AK6" s="54">
        <f t="shared" si="2"/>
        <v>17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 t="s">
        <v>57</v>
      </c>
      <c r="I7" s="5" t="s">
        <v>57</v>
      </c>
      <c r="J7" s="5" t="s">
        <v>57</v>
      </c>
      <c r="K7" s="5">
        <v>1</v>
      </c>
      <c r="L7" s="5" t="s">
        <v>57</v>
      </c>
      <c r="M7" s="5" t="s">
        <v>57</v>
      </c>
      <c r="N7" s="5">
        <v>1</v>
      </c>
      <c r="O7" s="5" t="s">
        <v>57</v>
      </c>
      <c r="P7" s="5" t="s">
        <v>57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 t="s">
        <v>57</v>
      </c>
      <c r="AE7" s="5" t="s">
        <v>57</v>
      </c>
      <c r="AF7" s="5">
        <v>1</v>
      </c>
      <c r="AG7" s="5">
        <v>1</v>
      </c>
      <c r="AH7" s="78">
        <v>1</v>
      </c>
      <c r="AI7" s="153">
        <f t="shared" si="0"/>
        <v>30</v>
      </c>
      <c r="AJ7" s="54">
        <f t="shared" si="1"/>
        <v>19</v>
      </c>
      <c r="AK7" s="54">
        <f t="shared" si="2"/>
        <v>0</v>
      </c>
      <c r="AL7" s="55">
        <f t="shared" si="3"/>
        <v>11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 t="s">
        <v>57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 t="s">
        <v>57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 t="s">
        <v>57</v>
      </c>
      <c r="AA8" s="5" t="s">
        <v>57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 t="s">
        <v>57</v>
      </c>
      <c r="AH8" s="78" t="s">
        <v>57</v>
      </c>
      <c r="AI8" s="153">
        <f t="shared" si="0"/>
        <v>30</v>
      </c>
      <c r="AJ8" s="54">
        <f t="shared" si="1"/>
        <v>20</v>
      </c>
      <c r="AK8" s="54">
        <f t="shared" si="2"/>
        <v>0</v>
      </c>
      <c r="AL8" s="55">
        <f t="shared" si="3"/>
        <v>10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 t="s">
        <v>57</v>
      </c>
      <c r="L9" s="5" t="s">
        <v>57</v>
      </c>
      <c r="M9" s="5" t="s">
        <v>57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 t="s">
        <v>57</v>
      </c>
      <c r="AA9" s="5" t="s">
        <v>57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153">
        <f t="shared" si="0"/>
        <v>30</v>
      </c>
      <c r="AJ9" s="54">
        <f t="shared" si="1"/>
        <v>25</v>
      </c>
      <c r="AK9" s="54">
        <f t="shared" si="2"/>
        <v>0</v>
      </c>
      <c r="AL9" s="55">
        <f t="shared" si="3"/>
        <v>5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 t="s">
        <v>57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 t="s">
        <v>57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153">
        <f t="shared" si="0"/>
        <v>30</v>
      </c>
      <c r="AJ10" s="54">
        <f t="shared" si="1"/>
        <v>26</v>
      </c>
      <c r="AK10" s="54">
        <f t="shared" si="2"/>
        <v>0</v>
      </c>
      <c r="AL10" s="55">
        <f t="shared" si="3"/>
        <v>4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153">
        <f t="shared" si="0"/>
        <v>30</v>
      </c>
      <c r="AJ11" s="54">
        <f t="shared" si="1"/>
        <v>30</v>
      </c>
      <c r="AK11" s="54">
        <f t="shared" si="2"/>
        <v>0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58</v>
      </c>
      <c r="R12" s="5" t="s">
        <v>58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 t="s">
        <v>57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153">
        <f t="shared" si="0"/>
        <v>30</v>
      </c>
      <c r="AJ12" s="54">
        <f t="shared" si="1"/>
        <v>26</v>
      </c>
      <c r="AK12" s="54">
        <f t="shared" si="2"/>
        <v>2</v>
      </c>
      <c r="AL12" s="55">
        <f t="shared" si="3"/>
        <v>2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153">
        <f t="shared" si="0"/>
        <v>30</v>
      </c>
      <c r="AJ13" s="54">
        <f t="shared" si="1"/>
        <v>30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153">
        <f t="shared" si="0"/>
        <v>30</v>
      </c>
      <c r="AJ14" s="54">
        <f t="shared" si="1"/>
        <v>30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 t="s">
        <v>57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 t="s">
        <v>57</v>
      </c>
      <c r="AH15" s="78" t="s">
        <v>57</v>
      </c>
      <c r="AI15" s="153">
        <f t="shared" si="0"/>
        <v>30</v>
      </c>
      <c r="AJ15" s="54">
        <f t="shared" si="1"/>
        <v>23</v>
      </c>
      <c r="AK15" s="54">
        <f t="shared" si="2"/>
        <v>0</v>
      </c>
      <c r="AL15" s="55">
        <f t="shared" si="3"/>
        <v>7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 t="s">
        <v>57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153">
        <f t="shared" si="0"/>
        <v>30</v>
      </c>
      <c r="AJ16" s="54">
        <f t="shared" si="1"/>
        <v>27</v>
      </c>
      <c r="AK16" s="54">
        <f t="shared" si="2"/>
        <v>0</v>
      </c>
      <c r="AL16" s="55">
        <f t="shared" si="3"/>
        <v>3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153">
        <f t="shared" si="0"/>
        <v>30</v>
      </c>
      <c r="AJ17" s="54">
        <f t="shared" si="1"/>
        <v>30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 t="s">
        <v>57</v>
      </c>
      <c r="L18" s="5" t="s">
        <v>57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 t="s">
        <v>57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 t="s">
        <v>57</v>
      </c>
      <c r="AH18" s="78" t="s">
        <v>57</v>
      </c>
      <c r="AI18" s="153">
        <f t="shared" si="0"/>
        <v>30</v>
      </c>
      <c r="AJ18" s="54">
        <f t="shared" si="1"/>
        <v>23</v>
      </c>
      <c r="AK18" s="54">
        <f t="shared" si="2"/>
        <v>0</v>
      </c>
      <c r="AL18" s="55">
        <f t="shared" si="3"/>
        <v>7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 t="s">
        <v>58</v>
      </c>
      <c r="P19" s="5" t="s">
        <v>58</v>
      </c>
      <c r="Q19" s="5">
        <v>1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153">
        <f t="shared" si="0"/>
        <v>30</v>
      </c>
      <c r="AJ19" s="54">
        <f t="shared" si="1"/>
        <v>9</v>
      </c>
      <c r="AK19" s="54">
        <f t="shared" si="2"/>
        <v>19</v>
      </c>
      <c r="AL19" s="55">
        <f t="shared" si="3"/>
        <v>2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153">
        <f t="shared" si="0"/>
        <v>30</v>
      </c>
      <c r="AJ20" s="54">
        <f t="shared" si="1"/>
        <v>16</v>
      </c>
      <c r="AK20" s="54">
        <f t="shared" si="2"/>
        <v>13</v>
      </c>
      <c r="AL20" s="55">
        <f t="shared" si="3"/>
        <v>1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 t="s">
        <v>57</v>
      </c>
      <c r="T21" s="5">
        <v>1</v>
      </c>
      <c r="U21" s="5">
        <v>1</v>
      </c>
      <c r="V21" s="5" t="s">
        <v>58</v>
      </c>
      <c r="W21" s="5" t="s">
        <v>58</v>
      </c>
      <c r="X21" s="5" t="s">
        <v>58</v>
      </c>
      <c r="Y21" s="5">
        <v>1</v>
      </c>
      <c r="Z21" s="5">
        <v>1</v>
      </c>
      <c r="AA21" s="5">
        <v>1</v>
      </c>
      <c r="AB21" s="5">
        <v>1</v>
      </c>
      <c r="AC21" s="5" t="s">
        <v>58</v>
      </c>
      <c r="AD21" s="5">
        <v>1</v>
      </c>
      <c r="AE21" s="5">
        <v>1</v>
      </c>
      <c r="AF21" s="5">
        <v>1</v>
      </c>
      <c r="AG21" s="5" t="s">
        <v>57</v>
      </c>
      <c r="AH21" s="78">
        <v>1</v>
      </c>
      <c r="AI21" s="153">
        <f t="shared" si="0"/>
        <v>30</v>
      </c>
      <c r="AJ21" s="54">
        <f t="shared" si="1"/>
        <v>24</v>
      </c>
      <c r="AK21" s="54">
        <f t="shared" si="2"/>
        <v>4</v>
      </c>
      <c r="AL21" s="55">
        <f t="shared" si="3"/>
        <v>2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 t="s">
        <v>57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 t="s">
        <v>57</v>
      </c>
      <c r="AH22" s="126" t="s">
        <v>57</v>
      </c>
      <c r="AI22" s="153">
        <f t="shared" si="0"/>
        <v>30</v>
      </c>
      <c r="AJ22" s="54">
        <f t="shared" si="1"/>
        <v>26</v>
      </c>
      <c r="AK22" s="54">
        <f t="shared" si="2"/>
        <v>0</v>
      </c>
      <c r="AL22" s="55">
        <f t="shared" si="3"/>
        <v>4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 t="s">
        <v>57</v>
      </c>
      <c r="G23" s="5" t="s">
        <v>57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153">
        <f t="shared" si="0"/>
        <v>30</v>
      </c>
      <c r="AJ23" s="54">
        <f t="shared" si="1"/>
        <v>28</v>
      </c>
      <c r="AK23" s="54">
        <f t="shared" si="2"/>
        <v>0</v>
      </c>
      <c r="AL23" s="55">
        <f t="shared" si="3"/>
        <v>2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 t="s">
        <v>57</v>
      </c>
      <c r="F24" s="5" t="s">
        <v>57</v>
      </c>
      <c r="G24" s="5" t="s">
        <v>57</v>
      </c>
      <c r="H24" s="5" t="s">
        <v>57</v>
      </c>
      <c r="I24" s="5" t="s">
        <v>57</v>
      </c>
      <c r="J24" s="5" t="s">
        <v>57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156">
        <f t="shared" si="0"/>
        <v>30</v>
      </c>
      <c r="AJ24" s="56">
        <f t="shared" si="1"/>
        <v>22</v>
      </c>
      <c r="AK24" s="56">
        <f t="shared" si="2"/>
        <v>0</v>
      </c>
      <c r="AL24" s="57">
        <f t="shared" si="3"/>
        <v>8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630</v>
      </c>
      <c r="AJ25" s="69">
        <f>SUM(AJ4:AJ24)</f>
        <v>489</v>
      </c>
      <c r="AK25" s="69">
        <f>SUM(AK4:AK24)</f>
        <v>55</v>
      </c>
      <c r="AL25" s="75">
        <f>SUM(AL4:AL24)</f>
        <v>86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 t="s">
        <v>57</v>
      </c>
      <c r="W26" s="35">
        <v>1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 t="s">
        <v>58</v>
      </c>
      <c r="AF26" s="35" t="s">
        <v>58</v>
      </c>
      <c r="AG26" s="35">
        <v>1</v>
      </c>
      <c r="AH26" s="35">
        <v>1</v>
      </c>
      <c r="AI26" s="152">
        <f t="shared" ref="AI26:AI32" si="5">COUNTA(E26:AH26)</f>
        <v>30</v>
      </c>
      <c r="AJ26" s="80">
        <f t="shared" ref="AJ26:AJ32" si="6">COUNTIF(E26:AH26,1)</f>
        <v>26</v>
      </c>
      <c r="AK26" s="80">
        <f t="shared" ref="AK26:AK32" si="7">COUNTIF(E26:AH26,"тр")</f>
        <v>2</v>
      </c>
      <c r="AL26" s="81">
        <f t="shared" ref="AL26:AL32" si="8">COUNTIF(E26:AH26,"бв")</f>
        <v>2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153">
        <f t="shared" si="5"/>
        <v>30</v>
      </c>
      <c r="AJ27" s="54">
        <f t="shared" si="6"/>
        <v>0</v>
      </c>
      <c r="AK27" s="54">
        <f t="shared" si="7"/>
        <v>30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 t="s">
        <v>57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 t="s">
        <v>57</v>
      </c>
      <c r="Y28" s="5">
        <v>1</v>
      </c>
      <c r="Z28" s="5">
        <v>1</v>
      </c>
      <c r="AA28" s="5" t="s">
        <v>57</v>
      </c>
      <c r="AB28" s="5">
        <v>1</v>
      </c>
      <c r="AC28" s="5" t="s">
        <v>57</v>
      </c>
      <c r="AD28" s="5" t="s">
        <v>57</v>
      </c>
      <c r="AE28" s="5">
        <v>1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22</v>
      </c>
      <c r="AK28" s="54">
        <f t="shared" si="7"/>
        <v>3</v>
      </c>
      <c r="AL28" s="55">
        <f t="shared" si="8"/>
        <v>5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153">
        <f t="shared" si="5"/>
        <v>30</v>
      </c>
      <c r="AJ29" s="54">
        <f t="shared" si="6"/>
        <v>0</v>
      </c>
      <c r="AK29" s="54">
        <f t="shared" si="7"/>
        <v>30</v>
      </c>
      <c r="AL29" s="55">
        <f t="shared" si="8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 t="s">
        <v>57</v>
      </c>
      <c r="Y30" s="5">
        <v>1</v>
      </c>
      <c r="Z30" s="5" t="s">
        <v>57</v>
      </c>
      <c r="AA30" s="5" t="s">
        <v>57</v>
      </c>
      <c r="AB30" s="5">
        <v>1</v>
      </c>
      <c r="AC30" s="5" t="s">
        <v>58</v>
      </c>
      <c r="AD30" s="5" t="s">
        <v>58</v>
      </c>
      <c r="AE30" s="5" t="s">
        <v>57</v>
      </c>
      <c r="AF30" s="5" t="s">
        <v>57</v>
      </c>
      <c r="AG30" s="5">
        <v>1</v>
      </c>
      <c r="AH30" s="5">
        <v>1</v>
      </c>
      <c r="AI30" s="153">
        <f t="shared" si="5"/>
        <v>30</v>
      </c>
      <c r="AJ30" s="54">
        <f t="shared" si="6"/>
        <v>19</v>
      </c>
      <c r="AK30" s="54">
        <f t="shared" si="7"/>
        <v>2</v>
      </c>
      <c r="AL30" s="55">
        <f t="shared" si="8"/>
        <v>9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 t="s">
        <v>57</v>
      </c>
      <c r="H31" s="5" t="s">
        <v>58</v>
      </c>
      <c r="I31" s="5" t="s">
        <v>58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153">
        <f t="shared" si="5"/>
        <v>30</v>
      </c>
      <c r="AJ31" s="54">
        <f t="shared" si="6"/>
        <v>22</v>
      </c>
      <c r="AK31" s="54">
        <f t="shared" si="7"/>
        <v>5</v>
      </c>
      <c r="AL31" s="55">
        <f t="shared" si="8"/>
        <v>3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 t="s">
        <v>58</v>
      </c>
      <c r="G32" s="42" t="s">
        <v>58</v>
      </c>
      <c r="H32" s="42" t="s">
        <v>58</v>
      </c>
      <c r="I32" s="42" t="s">
        <v>58</v>
      </c>
      <c r="J32" s="42" t="s">
        <v>58</v>
      </c>
      <c r="K32" s="42" t="s">
        <v>58</v>
      </c>
      <c r="L32" s="42" t="s">
        <v>58</v>
      </c>
      <c r="M32" s="42" t="s">
        <v>58</v>
      </c>
      <c r="N32" s="42" t="s">
        <v>58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 t="s">
        <v>57</v>
      </c>
      <c r="AI32" s="154">
        <f t="shared" si="5"/>
        <v>30</v>
      </c>
      <c r="AJ32" s="84">
        <f t="shared" si="6"/>
        <v>18</v>
      </c>
      <c r="AK32" s="84">
        <f t="shared" si="7"/>
        <v>10</v>
      </c>
      <c r="AL32" s="85">
        <f t="shared" si="8"/>
        <v>2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210</v>
      </c>
      <c r="AJ33" s="135">
        <f>SUM(AJ26:AJ32)</f>
        <v>107</v>
      </c>
      <c r="AK33" s="135">
        <f>SUM(AK26:AK32)</f>
        <v>82</v>
      </c>
      <c r="AL33" s="136">
        <f>SUM(AL26:AL32)</f>
        <v>21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155">
        <f>COUNTA(E34:AH34)</f>
        <v>30</v>
      </c>
      <c r="AJ34" s="17">
        <f>COUNTIF(E34:AH34,1)</f>
        <v>0</v>
      </c>
      <c r="AK34" s="17">
        <f>COUNTIF(E34:AH34,"тр")</f>
        <v>0</v>
      </c>
      <c r="AL34" s="18">
        <f>COUNTIF(E34:AH34,"бв")</f>
        <v>30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 t="s">
        <v>58</v>
      </c>
      <c r="J35" s="5" t="s">
        <v>58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>
        <v>1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>
        <v>1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155">
        <f>COUNTA(E35:AH35)</f>
        <v>30</v>
      </c>
      <c r="AJ35" s="54">
        <f>COUNTIF(E35:AH35,1)</f>
        <v>6</v>
      </c>
      <c r="AK35" s="54">
        <f>COUNTIF(E35:AH35,"тр")</f>
        <v>2</v>
      </c>
      <c r="AL35" s="55">
        <f>COUNTIF(E35:AH35,"бв")</f>
        <v>22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155">
        <f>COUNTA(E36:AH36)</f>
        <v>30</v>
      </c>
      <c r="AJ36" s="56">
        <f>COUNTIF(E36:AH36,1)</f>
        <v>0</v>
      </c>
      <c r="AK36" s="56">
        <f>COUNTIF(E36:AH36,"тр")</f>
        <v>30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90</v>
      </c>
      <c r="AJ37" s="69">
        <f>SUM(AJ34:AJ36)</f>
        <v>6</v>
      </c>
      <c r="AK37" s="69">
        <f>SUM(AK34:AK36)</f>
        <v>32</v>
      </c>
      <c r="AL37" s="75">
        <f>SUM(AL34:AL36)</f>
        <v>52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155">
        <f>COUNTA(E38:AH38)</f>
        <v>30</v>
      </c>
      <c r="AJ38" s="19">
        <f>COUNTIF(E38:AH38,1)</f>
        <v>0</v>
      </c>
      <c r="AK38" s="19">
        <f>COUNTIF(E38:AH38,"тр")</f>
        <v>30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30</v>
      </c>
      <c r="AJ39" s="69">
        <f>SUM(AJ38)</f>
        <v>0</v>
      </c>
      <c r="AK39" s="69">
        <f>SUM(AK38)</f>
        <v>30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 t="s">
        <v>57</v>
      </c>
      <c r="P40" s="35" t="s">
        <v>57</v>
      </c>
      <c r="Q40" s="35">
        <v>1</v>
      </c>
      <c r="R40" s="35">
        <v>1</v>
      </c>
      <c r="S40" s="35">
        <v>1</v>
      </c>
      <c r="T40" s="35">
        <v>1</v>
      </c>
      <c r="U40" s="35">
        <v>1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155">
        <f>COUNTA(E40:AH40)</f>
        <v>30</v>
      </c>
      <c r="AJ40" s="17">
        <f>COUNTIF(E40:AH40,1)</f>
        <v>14</v>
      </c>
      <c r="AK40" s="17">
        <f>COUNTIF(E40:AH40,"тр")</f>
        <v>13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 t="s">
        <v>57</v>
      </c>
      <c r="G41" s="7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>
        <v>1</v>
      </c>
      <c r="T41" s="5" t="s">
        <v>57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>
        <v>1</v>
      </c>
      <c r="AG41" s="5" t="s">
        <v>57</v>
      </c>
      <c r="AH41" s="5" t="s">
        <v>57</v>
      </c>
      <c r="AI41" s="155">
        <f>COUNTA(E41:AH41)</f>
        <v>30</v>
      </c>
      <c r="AJ41" s="54">
        <f>COUNTIF(E41:AH41,1)</f>
        <v>26</v>
      </c>
      <c r="AK41" s="54">
        <f>COUNTIF(E41:AH41,"тр")</f>
        <v>0</v>
      </c>
      <c r="AL41" s="55">
        <f>COUNTIF(E41:AH41,"бв")</f>
        <v>4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>
        <v>1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>
        <v>1</v>
      </c>
      <c r="AC42" s="42">
        <v>1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155">
        <f>COUNTA(E42:AH42)</f>
        <v>30</v>
      </c>
      <c r="AJ42" s="56">
        <f>COUNTIF(E42:AH42,1)</f>
        <v>4</v>
      </c>
      <c r="AK42" s="56">
        <f>COUNTIF(E42:AH42,"тр")</f>
        <v>26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90</v>
      </c>
      <c r="AJ43" s="69">
        <f>SUM(AJ40:AJ42)</f>
        <v>44</v>
      </c>
      <c r="AK43" s="69">
        <f>SUM(AK40:AK42)</f>
        <v>39</v>
      </c>
      <c r="AL43" s="75">
        <f>SUM(AL40:AL42)</f>
        <v>7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 t="s">
        <v>58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155">
        <f t="shared" ref="AI44:AI50" si="9">COUNTA(E44:AH44)</f>
        <v>30</v>
      </c>
      <c r="AJ44" s="17">
        <f t="shared" ref="AJ44:AJ50" si="10">COUNTIF(E44:AH44,1)</f>
        <v>28</v>
      </c>
      <c r="AK44" s="17">
        <f t="shared" ref="AK44:AK50" si="11">COUNTIF(E44:AH44,"тр")</f>
        <v>2</v>
      </c>
      <c r="AL44" s="18">
        <f t="shared" ref="AL44:AL50" si="12">COUNTIF(E44:AH44,"бв")</f>
        <v>0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 t="s">
        <v>57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28</v>
      </c>
      <c r="AK45" s="54">
        <f t="shared" si="11"/>
        <v>1</v>
      </c>
      <c r="AL45" s="55">
        <f t="shared" si="12"/>
        <v>1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 t="s">
        <v>57</v>
      </c>
      <c r="G46" s="5" t="s">
        <v>57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155">
        <f t="shared" si="9"/>
        <v>30</v>
      </c>
      <c r="AJ46" s="54">
        <f t="shared" si="10"/>
        <v>28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 t="s">
        <v>57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 t="s">
        <v>57</v>
      </c>
      <c r="P47" s="5">
        <v>1</v>
      </c>
      <c r="Q47" s="5">
        <v>1</v>
      </c>
      <c r="R47" s="5" t="s">
        <v>58</v>
      </c>
      <c r="S47" s="5">
        <v>1</v>
      </c>
      <c r="T47" s="5" t="s">
        <v>57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 t="s">
        <v>57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>
        <v>1</v>
      </c>
      <c r="R48" s="5" t="s">
        <v>58</v>
      </c>
      <c r="S48" s="5">
        <v>1</v>
      </c>
      <c r="T48" s="5">
        <v>1</v>
      </c>
      <c r="U48" s="5">
        <v>1</v>
      </c>
      <c r="V48" s="5" t="s">
        <v>57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 t="s">
        <v>57</v>
      </c>
      <c r="AD48" s="5" t="s">
        <v>57</v>
      </c>
      <c r="AE48" s="5">
        <v>1</v>
      </c>
      <c r="AF48" s="5">
        <v>1</v>
      </c>
      <c r="AG48" s="5">
        <v>1</v>
      </c>
      <c r="AH48" s="5">
        <v>1</v>
      </c>
      <c r="AI48" s="155">
        <f t="shared" si="9"/>
        <v>30</v>
      </c>
      <c r="AJ48" s="54">
        <f t="shared" si="10"/>
        <v>20</v>
      </c>
      <c r="AK48" s="54">
        <f t="shared" si="11"/>
        <v>7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>
        <v>1</v>
      </c>
      <c r="H49" s="5" t="s">
        <v>57</v>
      </c>
      <c r="I49" s="5">
        <v>1</v>
      </c>
      <c r="J49" s="5">
        <v>1</v>
      </c>
      <c r="K49" s="5" t="s">
        <v>58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>
        <v>1</v>
      </c>
      <c r="Y49" s="5">
        <v>1</v>
      </c>
      <c r="Z49" s="5">
        <v>1</v>
      </c>
      <c r="AA49" s="5">
        <v>1</v>
      </c>
      <c r="AB49" s="5" t="s">
        <v>57</v>
      </c>
      <c r="AC49" s="5" t="s">
        <v>58</v>
      </c>
      <c r="AD49" s="5">
        <v>1</v>
      </c>
      <c r="AE49" s="5">
        <v>1</v>
      </c>
      <c r="AF49" s="5">
        <v>1</v>
      </c>
      <c r="AG49" s="5">
        <v>1</v>
      </c>
      <c r="AH49" s="5" t="s">
        <v>57</v>
      </c>
      <c r="AI49" s="155">
        <f t="shared" si="9"/>
        <v>30</v>
      </c>
      <c r="AJ49" s="54">
        <f t="shared" si="10"/>
        <v>18</v>
      </c>
      <c r="AK49" s="54">
        <f t="shared" si="11"/>
        <v>9</v>
      </c>
      <c r="AL49" s="55">
        <f t="shared" si="12"/>
        <v>3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 t="s">
        <v>58</v>
      </c>
      <c r="G50" s="42" t="s">
        <v>58</v>
      </c>
      <c r="H50" s="42" t="s">
        <v>58</v>
      </c>
      <c r="I50" s="42" t="s">
        <v>58</v>
      </c>
      <c r="J50" s="42" t="s">
        <v>58</v>
      </c>
      <c r="K50" s="42">
        <v>1</v>
      </c>
      <c r="L50" s="42">
        <v>1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 t="s">
        <v>58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 t="s">
        <v>57</v>
      </c>
      <c r="AI50" s="155">
        <f t="shared" si="9"/>
        <v>30</v>
      </c>
      <c r="AJ50" s="56">
        <f t="shared" si="10"/>
        <v>20</v>
      </c>
      <c r="AK50" s="56">
        <f t="shared" si="11"/>
        <v>8</v>
      </c>
      <c r="AL50" s="57">
        <f t="shared" si="12"/>
        <v>2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210</v>
      </c>
      <c r="AJ51" s="69">
        <f>SUM(AJ44:AJ50)</f>
        <v>165</v>
      </c>
      <c r="AK51" s="69">
        <f>SUM(AK44:AK50)</f>
        <v>28</v>
      </c>
      <c r="AL51" s="75">
        <f>SUM(AL44:AL50)</f>
        <v>17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 t="s">
        <v>57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 t="s">
        <v>57</v>
      </c>
      <c r="U52" s="42" t="s">
        <v>57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>
        <v>1</v>
      </c>
      <c r="AG52" s="42">
        <v>1</v>
      </c>
      <c r="AH52" s="42">
        <v>1</v>
      </c>
      <c r="AI52" s="155">
        <f>COUNTA(E52:AH52)</f>
        <v>30</v>
      </c>
      <c r="AJ52" s="56">
        <f>COUNTIF(E52:AH52,1)</f>
        <v>26</v>
      </c>
      <c r="AK52" s="56">
        <f>COUNTIF(E52:AH52,"тр")</f>
        <v>0</v>
      </c>
      <c r="AL52" s="57">
        <f>COUNTIF(E52:AH52,"бв")</f>
        <v>4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30</v>
      </c>
      <c r="AJ53" s="69">
        <f>SUM(AJ52:AJ52)</f>
        <v>26</v>
      </c>
      <c r="AK53" s="69">
        <f>SUM(AK52:AK52)</f>
        <v>0</v>
      </c>
      <c r="AL53" s="75">
        <f>SUM(AL52:AL52)</f>
        <v>4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 t="s">
        <v>57</v>
      </c>
      <c r="R54" s="92" t="s">
        <v>58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 t="s">
        <v>58</v>
      </c>
      <c r="AD54" s="92" t="s">
        <v>58</v>
      </c>
      <c r="AE54" s="92" t="s">
        <v>58</v>
      </c>
      <c r="AF54" s="92">
        <v>1</v>
      </c>
      <c r="AG54" s="92">
        <v>1</v>
      </c>
      <c r="AH54" s="92">
        <v>1</v>
      </c>
      <c r="AI54" s="152">
        <f>COUNTA(E54:AH54)</f>
        <v>30</v>
      </c>
      <c r="AJ54" s="80">
        <f>COUNTIF(E54:AH54,1)</f>
        <v>25</v>
      </c>
      <c r="AK54" s="80">
        <f>COUNTIF(E54:AH54,"тр")</f>
        <v>4</v>
      </c>
      <c r="AL54" s="81">
        <f>COUNTIF(E54:AH54,"бв")</f>
        <v>1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 t="s">
        <v>57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155">
        <f>COUNTA(E55:AH55)</f>
        <v>30</v>
      </c>
      <c r="AJ55" s="56">
        <f>COUNTIF(E55:AH55,1)</f>
        <v>29</v>
      </c>
      <c r="AK55" s="56">
        <f>COUNTIF(E55:AH55,"тр")</f>
        <v>0</v>
      </c>
      <c r="AL55" s="57">
        <f>COUNTIF(E55:AH55,"бв")</f>
        <v>1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 t="s">
        <v>57</v>
      </c>
      <c r="H56" s="97" t="s">
        <v>58</v>
      </c>
      <c r="I56" s="97" t="s">
        <v>58</v>
      </c>
      <c r="J56" s="97" t="s">
        <v>58</v>
      </c>
      <c r="K56" s="97" t="s">
        <v>58</v>
      </c>
      <c r="L56" s="97" t="s">
        <v>58</v>
      </c>
      <c r="M56" s="97" t="s">
        <v>58</v>
      </c>
      <c r="N56" s="97" t="s">
        <v>58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>
        <v>1</v>
      </c>
      <c r="V56" s="97">
        <v>1</v>
      </c>
      <c r="W56" s="97">
        <v>1</v>
      </c>
      <c r="X56" s="97" t="s">
        <v>57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 t="s">
        <v>58</v>
      </c>
      <c r="AF56" s="97">
        <v>1</v>
      </c>
      <c r="AG56" s="97" t="s">
        <v>57</v>
      </c>
      <c r="AH56" s="97" t="s">
        <v>57</v>
      </c>
      <c r="AI56" s="157">
        <f>COUNTA(E56:AH56)</f>
        <v>30</v>
      </c>
      <c r="AJ56" s="84">
        <f>COUNTIF(E56:AH56,1)</f>
        <v>17</v>
      </c>
      <c r="AK56" s="84">
        <f>COUNTIF(E56:AH56,"тр")</f>
        <v>8</v>
      </c>
      <c r="AL56" s="85">
        <f>COUNTIF(E56:AH56,"бв")</f>
        <v>5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90</v>
      </c>
      <c r="AJ57" s="69">
        <f>SUM(AJ54:AJ56)</f>
        <v>71</v>
      </c>
      <c r="AK57" s="69">
        <f>SUM(AK54:AK56)</f>
        <v>12</v>
      </c>
      <c r="AL57" s="75">
        <f>SUM(AL54:AL56)</f>
        <v>7</v>
      </c>
    </row>
    <row r="58" spans="1:38" s="33" customFormat="1" x14ac:dyDescent="0.25">
      <c r="A58" s="167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1380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0" s="171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55">
        <f>COUNTA(E62:AH62)</f>
        <v>30</v>
      </c>
      <c r="AJ62" s="17">
        <f>COUNTIF(E62:AH62,1)</f>
        <v>30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30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 t="s">
        <v>57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 t="s">
        <v>57</v>
      </c>
      <c r="M64" s="5" t="s">
        <v>57</v>
      </c>
      <c r="N64" s="5">
        <v>1</v>
      </c>
      <c r="O64" s="5" t="s">
        <v>57</v>
      </c>
      <c r="P64" s="5" t="s">
        <v>58</v>
      </c>
      <c r="Q64" s="5" t="s">
        <v>58</v>
      </c>
      <c r="R64" s="5">
        <v>1</v>
      </c>
      <c r="S64" s="5" t="s">
        <v>57</v>
      </c>
      <c r="T64" s="5" t="s">
        <v>57</v>
      </c>
      <c r="U64" s="5" t="s">
        <v>57</v>
      </c>
      <c r="V64" s="5" t="s">
        <v>57</v>
      </c>
      <c r="W64" s="5" t="s">
        <v>57</v>
      </c>
      <c r="X64" s="5" t="s">
        <v>57</v>
      </c>
      <c r="Y64" s="5" t="s">
        <v>57</v>
      </c>
      <c r="Z64" s="5" t="s">
        <v>57</v>
      </c>
      <c r="AA64" s="5" t="s">
        <v>57</v>
      </c>
      <c r="AB64" s="5" t="s">
        <v>57</v>
      </c>
      <c r="AC64" s="5" t="s">
        <v>57</v>
      </c>
      <c r="AD64" s="5" t="s">
        <v>57</v>
      </c>
      <c r="AE64" s="5">
        <v>1</v>
      </c>
      <c r="AF64" s="5" t="s">
        <v>57</v>
      </c>
      <c r="AG64" s="5">
        <v>1</v>
      </c>
      <c r="AH64" s="5">
        <v>1</v>
      </c>
      <c r="AI64" s="153">
        <f>COUNTA(E64:AH64)</f>
        <v>30</v>
      </c>
      <c r="AJ64" s="54">
        <f>COUNTIF(E64:AH64,1)</f>
        <v>10</v>
      </c>
      <c r="AK64" s="54">
        <f>COUNTIF(E64:AH64,"тр")</f>
        <v>2</v>
      </c>
      <c r="AL64" s="55">
        <f>COUNTIF(E64:AH64,"бв")</f>
        <v>18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153">
        <f>COUNTA(E65:AH65)</f>
        <v>30</v>
      </c>
      <c r="AJ65" s="54">
        <f>COUNTIF(E65:AH65,1)</f>
        <v>0</v>
      </c>
      <c r="AK65" s="54">
        <f>COUNTIF(E65:AH65,"тр")</f>
        <v>30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156">
        <f>COUNTA(E66:AH66)</f>
        <v>30</v>
      </c>
      <c r="AJ66" s="56">
        <f>COUNTIF(E66:AH66,1)</f>
        <v>0</v>
      </c>
      <c r="AK66" s="56">
        <f>COUNTIF(E66:AH66,"тр")</f>
        <v>30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150</v>
      </c>
      <c r="AJ67" s="69">
        <f t="shared" ref="AJ67:AL67" si="14">SUM(AJ62:AJ66)</f>
        <v>70</v>
      </c>
      <c r="AK67" s="69">
        <f t="shared" si="14"/>
        <v>62</v>
      </c>
      <c r="AL67" s="75">
        <f t="shared" si="14"/>
        <v>18</v>
      </c>
    </row>
    <row r="68" spans="1:38" s="33" customFormat="1" x14ac:dyDescent="0.25">
      <c r="A68" s="167"/>
      <c r="B68" s="49"/>
      <c r="C68" s="50"/>
      <c r="D68" s="50"/>
      <c r="Y68" s="51" t="s">
        <v>68</v>
      </c>
      <c r="AI68" s="76">
        <f>AI67</f>
        <v>150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E52:AI52 E34:AI36 E38:AI38 E62:AI66 E26:AI32 E40:AI42 E44:AI50 E54:AI56 E4:AI23 AI24">
    <cfRule type="containsBlanks" dxfId="7" priority="3">
      <formula>LEN(TRIM(E4))=0</formula>
    </cfRule>
  </conditionalFormatting>
  <conditionalFormatting sqref="E24:AH24">
    <cfRule type="containsBlanks" dxfId="6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M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4" sqref="AI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Июль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8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 t="s">
        <v>57</v>
      </c>
      <c r="K4" s="92" t="s">
        <v>57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 t="s">
        <v>57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 t="s">
        <v>57</v>
      </c>
      <c r="AI4" s="101">
        <v>1</v>
      </c>
      <c r="AJ4" s="152">
        <f t="shared" ref="AJ4:AJ24" si="0">COUNTA(E4:AI4)</f>
        <v>31</v>
      </c>
      <c r="AK4" s="80">
        <f t="shared" ref="AK4:AK24" si="1">COUNTIF(E4:AI4,1)</f>
        <v>25</v>
      </c>
      <c r="AL4" s="80">
        <f t="shared" ref="AL4:AL24" si="2">COUNTIF(E4:AI4,"тр")</f>
        <v>0</v>
      </c>
      <c r="AM4" s="81">
        <f t="shared" ref="AM4:AM24" si="3">COUNTIF(E4:AI4,"бв")</f>
        <v>6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58</v>
      </c>
      <c r="G5" s="5" t="s">
        <v>58</v>
      </c>
      <c r="H5" s="5" t="s">
        <v>58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78" t="s">
        <v>58</v>
      </c>
      <c r="AJ5" s="153">
        <f t="shared" si="0"/>
        <v>31</v>
      </c>
      <c r="AK5" s="54">
        <f t="shared" si="1"/>
        <v>8</v>
      </c>
      <c r="AL5" s="54">
        <f t="shared" si="2"/>
        <v>23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78">
        <v>1</v>
      </c>
      <c r="AJ6" s="153">
        <f t="shared" si="0"/>
        <v>31</v>
      </c>
      <c r="AK6" s="54">
        <f t="shared" si="1"/>
        <v>31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 t="s">
        <v>57</v>
      </c>
      <c r="H7" s="5" t="s">
        <v>57</v>
      </c>
      <c r="I7" s="5" t="s">
        <v>57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78" t="s">
        <v>57</v>
      </c>
      <c r="AI7" s="78">
        <v>1</v>
      </c>
      <c r="AJ7" s="153">
        <f t="shared" si="0"/>
        <v>31</v>
      </c>
      <c r="AK7" s="54">
        <f t="shared" si="1"/>
        <v>20</v>
      </c>
      <c r="AL7" s="54">
        <f t="shared" si="2"/>
        <v>6</v>
      </c>
      <c r="AM7" s="55">
        <f t="shared" si="3"/>
        <v>5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>
        <v>1</v>
      </c>
      <c r="I8" s="5">
        <v>1</v>
      </c>
      <c r="J8" s="5" t="s">
        <v>57</v>
      </c>
      <c r="K8" s="5" t="s">
        <v>57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 t="s">
        <v>57</v>
      </c>
      <c r="R8" s="5" t="s">
        <v>57</v>
      </c>
      <c r="S8" s="5">
        <v>1</v>
      </c>
      <c r="T8" s="5">
        <v>1</v>
      </c>
      <c r="U8" s="5">
        <v>1</v>
      </c>
      <c r="V8" s="5">
        <v>1</v>
      </c>
      <c r="W8" s="5">
        <v>1</v>
      </c>
      <c r="X8" s="5" t="s">
        <v>57</v>
      </c>
      <c r="Y8" s="5" t="s">
        <v>57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 t="s">
        <v>57</v>
      </c>
      <c r="AF8" s="5" t="s">
        <v>57</v>
      </c>
      <c r="AG8" s="5">
        <v>1</v>
      </c>
      <c r="AH8" s="78">
        <v>1</v>
      </c>
      <c r="AI8" s="78">
        <v>1</v>
      </c>
      <c r="AJ8" s="153">
        <f t="shared" si="0"/>
        <v>31</v>
      </c>
      <c r="AK8" s="54">
        <f t="shared" si="1"/>
        <v>22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>
        <v>1</v>
      </c>
      <c r="AA9" s="5" t="s">
        <v>58</v>
      </c>
      <c r="AB9" s="5">
        <v>1</v>
      </c>
      <c r="AC9" s="5" t="s">
        <v>57</v>
      </c>
      <c r="AD9" s="5" t="s">
        <v>57</v>
      </c>
      <c r="AE9" s="5" t="s">
        <v>57</v>
      </c>
      <c r="AF9" s="5" t="s">
        <v>57</v>
      </c>
      <c r="AG9" s="5">
        <v>1</v>
      </c>
      <c r="AH9" s="78">
        <v>1</v>
      </c>
      <c r="AI9" s="78">
        <v>1</v>
      </c>
      <c r="AJ9" s="153">
        <f t="shared" si="0"/>
        <v>31</v>
      </c>
      <c r="AK9" s="54">
        <f t="shared" si="1"/>
        <v>26</v>
      </c>
      <c r="AL9" s="54">
        <f t="shared" si="2"/>
        <v>1</v>
      </c>
      <c r="AM9" s="55">
        <f t="shared" si="3"/>
        <v>4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 t="s">
        <v>58</v>
      </c>
      <c r="F10" s="5" t="s">
        <v>58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78">
        <v>1</v>
      </c>
      <c r="AJ10" s="153">
        <f t="shared" si="0"/>
        <v>31</v>
      </c>
      <c r="AK10" s="54">
        <f t="shared" si="1"/>
        <v>28</v>
      </c>
      <c r="AL10" s="54">
        <f t="shared" si="2"/>
        <v>3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78">
        <v>1</v>
      </c>
      <c r="AJ11" s="153">
        <f t="shared" si="0"/>
        <v>31</v>
      </c>
      <c r="AK11" s="54">
        <f t="shared" si="1"/>
        <v>31</v>
      </c>
      <c r="AL11" s="54">
        <f t="shared" si="2"/>
        <v>0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 t="s">
        <v>58</v>
      </c>
      <c r="G12" s="5" t="s">
        <v>58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>
        <v>1</v>
      </c>
      <c r="T12" s="5">
        <v>1</v>
      </c>
      <c r="U12" s="5">
        <v>1</v>
      </c>
      <c r="V12" s="5">
        <v>1</v>
      </c>
      <c r="W12" s="5" t="s">
        <v>58</v>
      </c>
      <c r="X12" s="5" t="s">
        <v>58</v>
      </c>
      <c r="Y12" s="5" t="s">
        <v>58</v>
      </c>
      <c r="Z12" s="5" t="s">
        <v>58</v>
      </c>
      <c r="AA12" s="5" t="s">
        <v>58</v>
      </c>
      <c r="AB12" s="5" t="s">
        <v>58</v>
      </c>
      <c r="AC12" s="5" t="s">
        <v>58</v>
      </c>
      <c r="AD12" s="5" t="s">
        <v>58</v>
      </c>
      <c r="AE12" s="5" t="s">
        <v>58</v>
      </c>
      <c r="AF12" s="5" t="s">
        <v>58</v>
      </c>
      <c r="AG12" s="5" t="s">
        <v>58</v>
      </c>
      <c r="AH12" s="78" t="s">
        <v>58</v>
      </c>
      <c r="AI12" s="78" t="s">
        <v>58</v>
      </c>
      <c r="AJ12" s="153">
        <f t="shared" si="0"/>
        <v>31</v>
      </c>
      <c r="AK12" s="54">
        <f t="shared" si="1"/>
        <v>14</v>
      </c>
      <c r="AL12" s="54">
        <f t="shared" si="2"/>
        <v>15</v>
      </c>
      <c r="AM12" s="55">
        <f t="shared" si="3"/>
        <v>2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78">
        <v>1</v>
      </c>
      <c r="AJ13" s="153">
        <f t="shared" si="0"/>
        <v>31</v>
      </c>
      <c r="AK13" s="54">
        <f t="shared" si="1"/>
        <v>31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 t="s">
        <v>57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 t="s">
        <v>57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 t="s">
        <v>57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5">
        <v>1</v>
      </c>
      <c r="AG15" s="5">
        <v>1</v>
      </c>
      <c r="AH15" s="78">
        <v>1</v>
      </c>
      <c r="AI15" s="78">
        <v>1</v>
      </c>
      <c r="AJ15" s="153">
        <f t="shared" si="0"/>
        <v>31</v>
      </c>
      <c r="AK15" s="54">
        <f t="shared" si="1"/>
        <v>27</v>
      </c>
      <c r="AL15" s="54">
        <f t="shared" si="2"/>
        <v>1</v>
      </c>
      <c r="AM15" s="55">
        <f t="shared" si="3"/>
        <v>3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78">
        <v>1</v>
      </c>
      <c r="AJ16" s="153">
        <f t="shared" si="0"/>
        <v>31</v>
      </c>
      <c r="AK16" s="54">
        <f t="shared" si="1"/>
        <v>31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 t="s">
        <v>57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0</v>
      </c>
      <c r="AM17" s="55">
        <f t="shared" si="3"/>
        <v>1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 t="s">
        <v>57</v>
      </c>
      <c r="G18" s="5" t="s">
        <v>57</v>
      </c>
      <c r="H18" s="5" t="s">
        <v>57</v>
      </c>
      <c r="I18" s="5" t="s">
        <v>57</v>
      </c>
      <c r="J18" s="5" t="s">
        <v>57</v>
      </c>
      <c r="K18" s="5" t="s">
        <v>57</v>
      </c>
      <c r="L18" s="5" t="s">
        <v>57</v>
      </c>
      <c r="M18" s="5" t="s">
        <v>57</v>
      </c>
      <c r="N18" s="5">
        <v>1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 t="s">
        <v>58</v>
      </c>
      <c r="X18" s="5" t="s">
        <v>58</v>
      </c>
      <c r="Y18" s="5" t="s">
        <v>58</v>
      </c>
      <c r="Z18" s="5" t="s">
        <v>58</v>
      </c>
      <c r="AA18" s="5" t="s">
        <v>58</v>
      </c>
      <c r="AB18" s="5" t="s">
        <v>58</v>
      </c>
      <c r="AC18" s="5" t="s">
        <v>58</v>
      </c>
      <c r="AD18" s="5" t="s">
        <v>58</v>
      </c>
      <c r="AE18" s="5" t="s">
        <v>58</v>
      </c>
      <c r="AF18" s="5" t="s">
        <v>58</v>
      </c>
      <c r="AG18" s="5" t="s">
        <v>58</v>
      </c>
      <c r="AH18" s="78" t="s">
        <v>58</v>
      </c>
      <c r="AI18" s="78" t="s">
        <v>58</v>
      </c>
      <c r="AJ18" s="153">
        <f t="shared" si="0"/>
        <v>31</v>
      </c>
      <c r="AK18" s="54">
        <f t="shared" si="1"/>
        <v>1</v>
      </c>
      <c r="AL18" s="54">
        <f t="shared" si="2"/>
        <v>21</v>
      </c>
      <c r="AM18" s="55">
        <f t="shared" si="3"/>
        <v>9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 t="s">
        <v>57</v>
      </c>
      <c r="AH19" s="78">
        <v>1</v>
      </c>
      <c r="AI19" s="78">
        <v>1</v>
      </c>
      <c r="AJ19" s="153">
        <f t="shared" si="0"/>
        <v>31</v>
      </c>
      <c r="AK19" s="54">
        <f t="shared" si="1"/>
        <v>11</v>
      </c>
      <c r="AL19" s="54">
        <f t="shared" si="2"/>
        <v>19</v>
      </c>
      <c r="AM19" s="55">
        <f t="shared" si="3"/>
        <v>1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>
        <v>1</v>
      </c>
      <c r="K20" s="5">
        <v>1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78" t="s">
        <v>58</v>
      </c>
      <c r="AJ20" s="153">
        <f t="shared" si="0"/>
        <v>31</v>
      </c>
      <c r="AK20" s="54">
        <f t="shared" si="1"/>
        <v>2</v>
      </c>
      <c r="AL20" s="54">
        <f t="shared" si="2"/>
        <v>29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78" t="s">
        <v>58</v>
      </c>
      <c r="AI21" s="78" t="s">
        <v>58</v>
      </c>
      <c r="AJ21" s="153">
        <f t="shared" si="0"/>
        <v>31</v>
      </c>
      <c r="AK21" s="54">
        <f t="shared" si="1"/>
        <v>15</v>
      </c>
      <c r="AL21" s="54">
        <f t="shared" si="2"/>
        <v>15</v>
      </c>
      <c r="AM21" s="55">
        <f t="shared" si="3"/>
        <v>1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 t="s">
        <v>57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 t="s">
        <v>57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26">
        <v>1</v>
      </c>
      <c r="AJ22" s="153">
        <f t="shared" si="0"/>
        <v>31</v>
      </c>
      <c r="AK22" s="54">
        <f t="shared" si="1"/>
        <v>29</v>
      </c>
      <c r="AL22" s="54">
        <f t="shared" si="2"/>
        <v>0</v>
      </c>
      <c r="AM22" s="55">
        <f t="shared" si="3"/>
        <v>2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 t="s">
        <v>57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 t="s">
        <v>57</v>
      </c>
      <c r="AG23" s="5">
        <v>1</v>
      </c>
      <c r="AH23" s="78">
        <v>1</v>
      </c>
      <c r="AI23" s="78">
        <v>1</v>
      </c>
      <c r="AJ23" s="153">
        <f t="shared" si="0"/>
        <v>31</v>
      </c>
      <c r="AK23" s="54">
        <f t="shared" si="1"/>
        <v>29</v>
      </c>
      <c r="AL23" s="54">
        <f t="shared" si="2"/>
        <v>0</v>
      </c>
      <c r="AM23" s="55">
        <f t="shared" si="3"/>
        <v>2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 t="s">
        <v>57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>
        <v>1</v>
      </c>
      <c r="AJ24" s="156">
        <f t="shared" si="0"/>
        <v>31</v>
      </c>
      <c r="AK24" s="56">
        <f t="shared" si="1"/>
        <v>29</v>
      </c>
      <c r="AL24" s="56">
        <f t="shared" si="2"/>
        <v>0</v>
      </c>
      <c r="AM24" s="57">
        <f t="shared" si="3"/>
        <v>2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651</v>
      </c>
      <c r="AK25" s="69">
        <f>SUM(AK4:AK24)</f>
        <v>471</v>
      </c>
      <c r="AL25" s="69">
        <f>SUM(AL4:AL24)</f>
        <v>133</v>
      </c>
      <c r="AM25" s="75">
        <f>SUM(AM4:AM24)</f>
        <v>47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 t="s">
        <v>57</v>
      </c>
      <c r="I26" s="35" t="s">
        <v>57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 t="s">
        <v>57</v>
      </c>
      <c r="Q26" s="35" t="s">
        <v>57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 t="s">
        <v>57</v>
      </c>
      <c r="AE26" s="35">
        <v>1</v>
      </c>
      <c r="AF26" s="35">
        <v>1</v>
      </c>
      <c r="AG26" s="35">
        <v>1</v>
      </c>
      <c r="AH26" s="35">
        <v>1</v>
      </c>
      <c r="AI26" s="35">
        <v>1</v>
      </c>
      <c r="AJ26" s="152">
        <f t="shared" ref="AJ26:AJ32" si="5">COUNTA(E26:AI26)</f>
        <v>31</v>
      </c>
      <c r="AK26" s="80">
        <f t="shared" ref="AK26:AK32" si="6">COUNTIF(E26:AI26,1)</f>
        <v>26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5" t="s">
        <v>58</v>
      </c>
      <c r="AJ27" s="153">
        <f t="shared" si="5"/>
        <v>31</v>
      </c>
      <c r="AK27" s="54">
        <f t="shared" si="6"/>
        <v>0</v>
      </c>
      <c r="AL27" s="54">
        <f t="shared" si="7"/>
        <v>31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5"/>
        <v>31</v>
      </c>
      <c r="AK29" s="54">
        <f t="shared" si="6"/>
        <v>0</v>
      </c>
      <c r="AL29" s="54">
        <f t="shared" si="7"/>
        <v>31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>
        <v>1</v>
      </c>
      <c r="Q30" s="5" t="s">
        <v>57</v>
      </c>
      <c r="R30" s="5" t="s">
        <v>57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 t="s">
        <v>57</v>
      </c>
      <c r="AH30" s="5" t="s">
        <v>58</v>
      </c>
      <c r="AI30" s="5" t="s">
        <v>58</v>
      </c>
      <c r="AJ30" s="153">
        <f t="shared" si="5"/>
        <v>31</v>
      </c>
      <c r="AK30" s="54">
        <f t="shared" si="6"/>
        <v>24</v>
      </c>
      <c r="AL30" s="54">
        <f t="shared" si="7"/>
        <v>2</v>
      </c>
      <c r="AM30" s="55">
        <f t="shared" si="8"/>
        <v>5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 t="s">
        <v>57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 t="s">
        <v>58</v>
      </c>
      <c r="AB31" s="5">
        <v>1</v>
      </c>
      <c r="AC31" s="5">
        <v>1</v>
      </c>
      <c r="AD31" s="5">
        <v>1</v>
      </c>
      <c r="AE31" s="5" t="s">
        <v>57</v>
      </c>
      <c r="AF31" s="5">
        <v>1</v>
      </c>
      <c r="AG31" s="5">
        <v>1</v>
      </c>
      <c r="AH31" s="5">
        <v>1</v>
      </c>
      <c r="AI31" s="5" t="s">
        <v>57</v>
      </c>
      <c r="AJ31" s="153">
        <f t="shared" si="5"/>
        <v>31</v>
      </c>
      <c r="AK31" s="54">
        <f t="shared" si="6"/>
        <v>27</v>
      </c>
      <c r="AL31" s="54">
        <f t="shared" si="7"/>
        <v>1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 t="s">
        <v>57</v>
      </c>
      <c r="L32" s="42">
        <v>1</v>
      </c>
      <c r="M32" s="42">
        <v>1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>
        <v>1</v>
      </c>
      <c r="AI32" s="42">
        <v>1</v>
      </c>
      <c r="AJ32" s="154">
        <f t="shared" si="5"/>
        <v>31</v>
      </c>
      <c r="AK32" s="84">
        <f t="shared" si="6"/>
        <v>28</v>
      </c>
      <c r="AL32" s="84">
        <f t="shared" si="7"/>
        <v>1</v>
      </c>
      <c r="AM32" s="85">
        <f t="shared" si="8"/>
        <v>2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105</v>
      </c>
      <c r="AL33" s="135">
        <f>SUM(AL26:AL32)</f>
        <v>97</v>
      </c>
      <c r="AM33" s="136">
        <f>SUM(AM26:AM32)</f>
        <v>15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0</v>
      </c>
      <c r="AL34" s="17">
        <f>COUNTIF(E34:AI34,"тр")</f>
        <v>0</v>
      </c>
      <c r="AM34" s="18">
        <f>COUNTIF(E34:AI34,"бв")</f>
        <v>31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>
        <v>1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1</v>
      </c>
      <c r="AL35" s="54">
        <f>COUNTIF(E35:AI35,"тр")</f>
        <v>0</v>
      </c>
      <c r="AM35" s="55">
        <f>COUNTIF(E35:AI35,"бв")</f>
        <v>30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1</v>
      </c>
      <c r="AL37" s="69">
        <f>SUM(AL34:AL36)</f>
        <v>31</v>
      </c>
      <c r="AM37" s="75">
        <f>SUM(AM34:AM36)</f>
        <v>61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 t="s">
        <v>58</v>
      </c>
      <c r="AJ40" s="155">
        <f>COUNTA(E40:AI40)</f>
        <v>31</v>
      </c>
      <c r="AK40" s="17">
        <f>COUNTIF(E40:AI40,1)</f>
        <v>0</v>
      </c>
      <c r="AL40" s="17">
        <f>COUNTIF(E40:AI40,"тр")</f>
        <v>31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 t="s">
        <v>57</v>
      </c>
      <c r="R41" s="5" t="s">
        <v>57</v>
      </c>
      <c r="S41" s="5">
        <v>1</v>
      </c>
      <c r="T41" s="5">
        <v>1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 t="s">
        <v>57</v>
      </c>
      <c r="AG41" s="5" t="s">
        <v>57</v>
      </c>
      <c r="AH41" s="5" t="s">
        <v>57</v>
      </c>
      <c r="AI41" s="5">
        <v>1</v>
      </c>
      <c r="AJ41" s="155">
        <f>COUNTA(E41:AI41)</f>
        <v>31</v>
      </c>
      <c r="AK41" s="54">
        <f>COUNTIF(E41:AI41,1)</f>
        <v>25</v>
      </c>
      <c r="AL41" s="54">
        <f>COUNTIF(E41:AI41,"тр")</f>
        <v>0</v>
      </c>
      <c r="AM41" s="55">
        <f>COUNTIF(E41:AI41,"бв")</f>
        <v>6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>
        <v>1</v>
      </c>
      <c r="H42" s="42" t="s">
        <v>58</v>
      </c>
      <c r="I42" s="42" t="s">
        <v>58</v>
      </c>
      <c r="J42" s="42">
        <v>1</v>
      </c>
      <c r="K42" s="42">
        <v>1</v>
      </c>
      <c r="L42" s="42">
        <v>1</v>
      </c>
      <c r="M42" s="42">
        <v>1</v>
      </c>
      <c r="N42" s="42" t="s">
        <v>57</v>
      </c>
      <c r="O42" s="42" t="s">
        <v>57</v>
      </c>
      <c r="P42" s="42">
        <v>1</v>
      </c>
      <c r="Q42" s="42">
        <v>1</v>
      </c>
      <c r="R42" s="42">
        <v>1</v>
      </c>
      <c r="S42" s="42" t="s">
        <v>58</v>
      </c>
      <c r="T42" s="42">
        <v>1</v>
      </c>
      <c r="U42" s="42" t="s">
        <v>57</v>
      </c>
      <c r="V42" s="42" t="s">
        <v>57</v>
      </c>
      <c r="W42" s="42">
        <v>1</v>
      </c>
      <c r="X42" s="42">
        <v>1</v>
      </c>
      <c r="Y42" s="42">
        <v>1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 t="s">
        <v>57</v>
      </c>
      <c r="AF42" s="42" t="s">
        <v>57</v>
      </c>
      <c r="AG42" s="42" t="s">
        <v>57</v>
      </c>
      <c r="AH42" s="42" t="s">
        <v>58</v>
      </c>
      <c r="AI42" s="42">
        <v>1</v>
      </c>
      <c r="AJ42" s="155">
        <f>COUNTA(E42:AI42)</f>
        <v>31</v>
      </c>
      <c r="AK42" s="56">
        <f>COUNTIF(E42:AI42,1)</f>
        <v>18</v>
      </c>
      <c r="AL42" s="56">
        <f>COUNTIF(E42:AI42,"тр")</f>
        <v>6</v>
      </c>
      <c r="AM42" s="57">
        <f>COUNTIF(E42:AI42,"бв")</f>
        <v>7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43</v>
      </c>
      <c r="AL43" s="69">
        <f>SUM(AL40:AL42)</f>
        <v>37</v>
      </c>
      <c r="AM43" s="75">
        <f>SUM(AM40:AM42)</f>
        <v>13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 t="s">
        <v>57</v>
      </c>
      <c r="AC44" s="35">
        <v>1</v>
      </c>
      <c r="AD44" s="35" t="s">
        <v>58</v>
      </c>
      <c r="AE44" s="35">
        <v>1</v>
      </c>
      <c r="AF44" s="35">
        <v>1</v>
      </c>
      <c r="AG44" s="35">
        <v>1</v>
      </c>
      <c r="AH44" s="35" t="s">
        <v>57</v>
      </c>
      <c r="AI44" s="35" t="s">
        <v>57</v>
      </c>
      <c r="AJ44" s="155">
        <f t="shared" ref="AJ44:AJ50" si="9">COUNTA(E44:AI44)</f>
        <v>31</v>
      </c>
      <c r="AK44" s="17">
        <f t="shared" ref="AK44:AK50" si="10">COUNTIF(E44:AI44,1)</f>
        <v>22</v>
      </c>
      <c r="AL44" s="17">
        <f t="shared" ref="AL44:AL50" si="11">COUNTIF(E44:AI44,"тр")</f>
        <v>6</v>
      </c>
      <c r="AM44" s="18">
        <f t="shared" ref="AM44:AM50" si="12">COUNTIF(E44:AI44,"бв")</f>
        <v>3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 t="s">
        <v>57</v>
      </c>
      <c r="H45" s="5" t="s">
        <v>57</v>
      </c>
      <c r="I45" s="5" t="s">
        <v>57</v>
      </c>
      <c r="J45" s="5" t="s">
        <v>57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>
        <v>1</v>
      </c>
      <c r="AJ45" s="155">
        <f t="shared" si="9"/>
        <v>31</v>
      </c>
      <c r="AK45" s="54">
        <f t="shared" si="10"/>
        <v>25</v>
      </c>
      <c r="AL45" s="54">
        <f t="shared" si="11"/>
        <v>0</v>
      </c>
      <c r="AM45" s="55">
        <f t="shared" si="12"/>
        <v>6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 t="s">
        <v>57</v>
      </c>
      <c r="L46" s="5">
        <v>1</v>
      </c>
      <c r="M46" s="5">
        <v>1</v>
      </c>
      <c r="N46" s="5" t="s">
        <v>58</v>
      </c>
      <c r="O46" s="5" t="s">
        <v>58</v>
      </c>
      <c r="P46" s="5">
        <v>1</v>
      </c>
      <c r="Q46" s="5">
        <v>1</v>
      </c>
      <c r="R46" s="5" t="s">
        <v>57</v>
      </c>
      <c r="S46" s="5" t="s">
        <v>57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 t="s">
        <v>57</v>
      </c>
      <c r="AA46" s="5">
        <v>1</v>
      </c>
      <c r="AB46" s="5">
        <v>1</v>
      </c>
      <c r="AC46" s="5" t="s">
        <v>57</v>
      </c>
      <c r="AD46" s="5">
        <v>1</v>
      </c>
      <c r="AE46" s="5">
        <v>1</v>
      </c>
      <c r="AF46" s="5" t="s">
        <v>57</v>
      </c>
      <c r="AG46" s="5">
        <v>1</v>
      </c>
      <c r="AH46" s="5">
        <v>1</v>
      </c>
      <c r="AI46" s="5">
        <v>1</v>
      </c>
      <c r="AJ46" s="155">
        <f t="shared" si="9"/>
        <v>31</v>
      </c>
      <c r="AK46" s="54">
        <f t="shared" si="10"/>
        <v>22</v>
      </c>
      <c r="AL46" s="54">
        <f t="shared" si="11"/>
        <v>2</v>
      </c>
      <c r="AM46" s="55">
        <f t="shared" si="12"/>
        <v>7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 t="s">
        <v>57</v>
      </c>
      <c r="AC47" s="5" t="s">
        <v>57</v>
      </c>
      <c r="AD47" s="5">
        <v>1</v>
      </c>
      <c r="AE47" s="5" t="s">
        <v>57</v>
      </c>
      <c r="AF47" s="5">
        <v>1</v>
      </c>
      <c r="AG47" s="5">
        <v>1</v>
      </c>
      <c r="AH47" s="5" t="s">
        <v>57</v>
      </c>
      <c r="AI47" s="5" t="s">
        <v>57</v>
      </c>
      <c r="AJ47" s="155">
        <f t="shared" si="9"/>
        <v>31</v>
      </c>
      <c r="AK47" s="54">
        <f t="shared" si="10"/>
        <v>26</v>
      </c>
      <c r="AL47" s="54">
        <f t="shared" si="11"/>
        <v>0</v>
      </c>
      <c r="AM47" s="55">
        <f t="shared" si="12"/>
        <v>5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 t="s">
        <v>57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 t="s">
        <v>57</v>
      </c>
      <c r="N48" s="5" t="s">
        <v>57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 t="s">
        <v>57</v>
      </c>
      <c r="U48" s="5" t="s">
        <v>57</v>
      </c>
      <c r="V48" s="5">
        <v>1</v>
      </c>
      <c r="W48" s="5">
        <v>1</v>
      </c>
      <c r="X48" s="5" t="s">
        <v>57</v>
      </c>
      <c r="Y48" s="5" t="s">
        <v>57</v>
      </c>
      <c r="Z48" s="5">
        <v>1</v>
      </c>
      <c r="AA48" s="5">
        <v>1</v>
      </c>
      <c r="AB48" s="5">
        <v>1</v>
      </c>
      <c r="AC48" s="5">
        <v>1</v>
      </c>
      <c r="AD48" s="5" t="s">
        <v>57</v>
      </c>
      <c r="AE48" s="5" t="s">
        <v>57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9"/>
        <v>31</v>
      </c>
      <c r="AK48" s="54">
        <f t="shared" si="10"/>
        <v>21</v>
      </c>
      <c r="AL48" s="54">
        <f t="shared" si="11"/>
        <v>0</v>
      </c>
      <c r="AM48" s="55">
        <f t="shared" si="12"/>
        <v>10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9"/>
        <v>31</v>
      </c>
      <c r="AK49" s="54">
        <f t="shared" si="10"/>
        <v>30</v>
      </c>
      <c r="AL49" s="54">
        <f t="shared" si="11"/>
        <v>0</v>
      </c>
      <c r="AM49" s="55">
        <f t="shared" si="12"/>
        <v>1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 t="s">
        <v>57</v>
      </c>
      <c r="H50" s="42" t="s">
        <v>57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>
        <v>1</v>
      </c>
      <c r="P50" s="42">
        <v>1</v>
      </c>
      <c r="Q50" s="42" t="s">
        <v>57</v>
      </c>
      <c r="R50" s="42" t="s">
        <v>57</v>
      </c>
      <c r="S50" s="42">
        <v>1</v>
      </c>
      <c r="T50" s="42">
        <v>1</v>
      </c>
      <c r="U50" s="42">
        <v>1</v>
      </c>
      <c r="V50" s="42">
        <v>1</v>
      </c>
      <c r="W50" s="42">
        <v>1</v>
      </c>
      <c r="X50" s="42">
        <v>1</v>
      </c>
      <c r="Y50" s="42" t="s">
        <v>57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>
        <v>1</v>
      </c>
      <c r="AI50" s="42">
        <v>1</v>
      </c>
      <c r="AJ50" s="155">
        <f t="shared" si="9"/>
        <v>31</v>
      </c>
      <c r="AK50" s="56">
        <f t="shared" si="10"/>
        <v>23</v>
      </c>
      <c r="AL50" s="56">
        <f t="shared" si="11"/>
        <v>0</v>
      </c>
      <c r="AM50" s="57">
        <f t="shared" si="12"/>
        <v>8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8</v>
      </c>
      <c r="AM51" s="75">
        <f>SUM(AM44:AM50)</f>
        <v>40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 t="s">
        <v>57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 t="s">
        <v>57</v>
      </c>
      <c r="S52" s="42" t="s">
        <v>57</v>
      </c>
      <c r="T52" s="42">
        <v>1</v>
      </c>
      <c r="U52" s="42">
        <v>1</v>
      </c>
      <c r="V52" s="42">
        <v>1</v>
      </c>
      <c r="W52" s="42" t="s">
        <v>57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 t="s">
        <v>57</v>
      </c>
      <c r="AG52" s="42">
        <v>1</v>
      </c>
      <c r="AH52" s="42">
        <v>1</v>
      </c>
      <c r="AI52" s="42">
        <v>1</v>
      </c>
      <c r="AJ52" s="155">
        <f>COUNTA(E52:AI52)</f>
        <v>31</v>
      </c>
      <c r="AK52" s="56">
        <f>COUNTIF(E52:AI52,1)</f>
        <v>26</v>
      </c>
      <c r="AL52" s="56">
        <f>COUNTIF(E52:AI52,"тр")</f>
        <v>0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26</v>
      </c>
      <c r="AL53" s="69">
        <f>SUM(AL52:AL52)</f>
        <v>0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 t="s">
        <v>57</v>
      </c>
      <c r="M54" s="92" t="s">
        <v>57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 t="s">
        <v>58</v>
      </c>
      <c r="Y54" s="92">
        <v>1</v>
      </c>
      <c r="Z54" s="92" t="s">
        <v>57</v>
      </c>
      <c r="AA54" s="92" t="s">
        <v>57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1</v>
      </c>
      <c r="AM54" s="81">
        <f>COUNTIF(E54:AI54,"бв")</f>
        <v>5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 t="s">
        <v>57</v>
      </c>
      <c r="G55" s="42" t="s">
        <v>57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 t="s">
        <v>57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 t="s">
        <v>57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>
        <v>1</v>
      </c>
      <c r="K56" s="97">
        <v>1</v>
      </c>
      <c r="L56" s="97" t="s">
        <v>57</v>
      </c>
      <c r="M56" s="97" t="s">
        <v>57</v>
      </c>
      <c r="N56" s="97">
        <v>1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 t="s">
        <v>57</v>
      </c>
      <c r="V56" s="97">
        <v>1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0</v>
      </c>
      <c r="AM56" s="85">
        <f>COUNTIF(E56:AI56,"бв")</f>
        <v>4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1</v>
      </c>
      <c r="AM57" s="75">
        <f>SUM(AM54:AM56)</f>
        <v>13</v>
      </c>
    </row>
    <row r="58" spans="1:39" s="33" customFormat="1" x14ac:dyDescent="0.25">
      <c r="A58" s="168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1426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0" s="171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  <c r="AM60" s="171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3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 t="s">
        <v>57</v>
      </c>
      <c r="G64" s="5">
        <v>1</v>
      </c>
      <c r="H64" s="5">
        <v>1</v>
      </c>
      <c r="I64" s="5">
        <v>1</v>
      </c>
      <c r="J64" s="5" t="s">
        <v>57</v>
      </c>
      <c r="K64" s="5" t="s">
        <v>57</v>
      </c>
      <c r="L64" s="5">
        <v>1</v>
      </c>
      <c r="M64" s="5">
        <v>1</v>
      </c>
      <c r="N64" s="5">
        <v>1</v>
      </c>
      <c r="O64" s="5">
        <v>1</v>
      </c>
      <c r="P64" s="5">
        <v>1</v>
      </c>
      <c r="Q64" s="5" t="s">
        <v>57</v>
      </c>
      <c r="R64" s="5">
        <v>1</v>
      </c>
      <c r="S64" s="5">
        <v>1</v>
      </c>
      <c r="T64" s="5">
        <v>1</v>
      </c>
      <c r="U64" s="5">
        <v>1</v>
      </c>
      <c r="V64" s="5">
        <v>1</v>
      </c>
      <c r="W64" s="5">
        <v>1</v>
      </c>
      <c r="X64" s="5" t="s">
        <v>57</v>
      </c>
      <c r="Y64" s="5">
        <v>1</v>
      </c>
      <c r="Z64" s="5">
        <v>1</v>
      </c>
      <c r="AA64" s="5">
        <v>1</v>
      </c>
      <c r="AB64" s="5">
        <v>1</v>
      </c>
      <c r="AC64" s="5">
        <v>1</v>
      </c>
      <c r="AD64" s="5">
        <v>1</v>
      </c>
      <c r="AE64" s="5">
        <v>1</v>
      </c>
      <c r="AF64" s="5" t="s">
        <v>57</v>
      </c>
      <c r="AG64" s="5">
        <v>1</v>
      </c>
      <c r="AH64" s="5">
        <v>1</v>
      </c>
      <c r="AI64" s="5">
        <v>1</v>
      </c>
      <c r="AJ64" s="153">
        <f>COUNTA(E64:AI64)</f>
        <v>31</v>
      </c>
      <c r="AK64" s="54">
        <f>COUNTIF(E64:AI64,1)</f>
        <v>25</v>
      </c>
      <c r="AL64" s="54">
        <f>COUNTIF(E64:AI64,"тр")</f>
        <v>0</v>
      </c>
      <c r="AM64" s="55">
        <f>COUNTIF(E64:AI64,"бв")</f>
        <v>6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5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42" t="s">
        <v>58</v>
      </c>
      <c r="AJ66" s="156">
        <f>COUNTA(E66:AI66)</f>
        <v>31</v>
      </c>
      <c r="AK66" s="56">
        <f>COUNTIF(E66:AI66,1)</f>
        <v>0</v>
      </c>
      <c r="AL66" s="56">
        <f>COUNTIF(E66:AI66,"тр")</f>
        <v>31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14">SUM(AK62:AK66)</f>
        <v>87</v>
      </c>
      <c r="AL67" s="69">
        <f t="shared" si="14"/>
        <v>62</v>
      </c>
      <c r="AM67" s="75">
        <f t="shared" si="14"/>
        <v>6</v>
      </c>
    </row>
    <row r="68" spans="1:39" s="33" customFormat="1" x14ac:dyDescent="0.25">
      <c r="A68" s="168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5" priority="2">
      <formula>LEN(TRIM(E4))=0</formula>
    </cfRule>
  </conditionalFormatting>
  <conditionalFormatting sqref="E24:AI24">
    <cfRule type="containsBlanks" dxfId="4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M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5" sqref="AI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Август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9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 t="s">
        <v>57</v>
      </c>
      <c r="R4" s="92" t="s">
        <v>57</v>
      </c>
      <c r="S4" s="92">
        <v>1</v>
      </c>
      <c r="T4" s="92">
        <v>1</v>
      </c>
      <c r="U4" s="92">
        <v>1</v>
      </c>
      <c r="V4" s="92">
        <v>1</v>
      </c>
      <c r="W4" s="92" t="s">
        <v>57</v>
      </c>
      <c r="X4" s="92">
        <v>1</v>
      </c>
      <c r="Y4" s="92">
        <v>1</v>
      </c>
      <c r="Z4" s="92">
        <v>1</v>
      </c>
      <c r="AA4" s="92">
        <v>1</v>
      </c>
      <c r="AB4" s="92" t="s">
        <v>58</v>
      </c>
      <c r="AC4" s="92">
        <v>1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01">
        <v>1</v>
      </c>
      <c r="AJ4" s="152">
        <f t="shared" ref="AJ4:AJ24" si="0">COUNTA(E4:AI4)</f>
        <v>31</v>
      </c>
      <c r="AK4" s="80">
        <f t="shared" ref="AK4:AK24" si="1">COUNTIF(E4:AI4,1)</f>
        <v>27</v>
      </c>
      <c r="AL4" s="80">
        <f t="shared" ref="AL4:AL24" si="2">COUNTIF(E4:AI4,"тр")</f>
        <v>1</v>
      </c>
      <c r="AM4" s="81">
        <f t="shared" ref="AM4:AM24" si="3">COUNTIF(E4:AI4,"бв")</f>
        <v>3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 t="s">
        <v>58</v>
      </c>
      <c r="H5" s="5" t="s">
        <v>58</v>
      </c>
      <c r="I5" s="5" t="s">
        <v>58</v>
      </c>
      <c r="J5" s="5" t="s">
        <v>58</v>
      </c>
      <c r="K5" s="5" t="s">
        <v>58</v>
      </c>
      <c r="L5" s="5" t="s">
        <v>58</v>
      </c>
      <c r="M5" s="5" t="s">
        <v>58</v>
      </c>
      <c r="N5" s="5" t="s">
        <v>58</v>
      </c>
      <c r="O5" s="5" t="s">
        <v>58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78"/>
      <c r="AJ5" s="153">
        <f t="shared" si="0"/>
        <v>30</v>
      </c>
      <c r="AK5" s="54">
        <f t="shared" si="1"/>
        <v>0</v>
      </c>
      <c r="AL5" s="54">
        <f t="shared" si="2"/>
        <v>30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57</v>
      </c>
      <c r="H6" s="5" t="s">
        <v>57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78">
        <v>1</v>
      </c>
      <c r="AJ6" s="153">
        <f t="shared" si="0"/>
        <v>31</v>
      </c>
      <c r="AK6" s="54">
        <f t="shared" si="1"/>
        <v>29</v>
      </c>
      <c r="AL6" s="54">
        <f t="shared" si="2"/>
        <v>0</v>
      </c>
      <c r="AM6" s="55">
        <f t="shared" si="3"/>
        <v>2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78" t="s">
        <v>58</v>
      </c>
      <c r="AI7" s="78"/>
      <c r="AJ7" s="153">
        <f t="shared" si="0"/>
        <v>30</v>
      </c>
      <c r="AK7" s="54">
        <f t="shared" si="1"/>
        <v>19</v>
      </c>
      <c r="AL7" s="54">
        <f t="shared" si="2"/>
        <v>11</v>
      </c>
      <c r="AM7" s="55">
        <f t="shared" si="3"/>
        <v>0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 t="s">
        <v>57</v>
      </c>
      <c r="I8" s="5">
        <v>1</v>
      </c>
      <c r="J8" s="5">
        <v>1</v>
      </c>
      <c r="K8" s="5">
        <v>1</v>
      </c>
      <c r="L8" s="5">
        <v>1</v>
      </c>
      <c r="M8" s="5">
        <v>1</v>
      </c>
      <c r="N8" s="5" t="s">
        <v>57</v>
      </c>
      <c r="O8" s="5" t="s">
        <v>57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 t="s">
        <v>57</v>
      </c>
      <c r="V8" s="5" t="s">
        <v>57</v>
      </c>
      <c r="W8" s="5">
        <v>1</v>
      </c>
      <c r="X8" s="5" t="s">
        <v>57</v>
      </c>
      <c r="Y8" s="5" t="s">
        <v>57</v>
      </c>
      <c r="Z8" s="5" t="s">
        <v>57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78"/>
      <c r="AJ8" s="153">
        <f t="shared" si="0"/>
        <v>30</v>
      </c>
      <c r="AK8" s="54">
        <f t="shared" si="1"/>
        <v>21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78">
        <v>1</v>
      </c>
      <c r="AJ9" s="153">
        <f t="shared" si="0"/>
        <v>31</v>
      </c>
      <c r="AK9" s="54">
        <f t="shared" si="1"/>
        <v>29</v>
      </c>
      <c r="AL9" s="54">
        <f t="shared" si="2"/>
        <v>2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 t="s">
        <v>58</v>
      </c>
      <c r="G10" s="5" t="s">
        <v>57</v>
      </c>
      <c r="H10" s="5" t="s">
        <v>57</v>
      </c>
      <c r="I10" s="5">
        <v>1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 t="s">
        <v>58</v>
      </c>
      <c r="X10" s="5">
        <v>1</v>
      </c>
      <c r="Y10" s="5" t="s">
        <v>58</v>
      </c>
      <c r="Z10" s="5" t="s">
        <v>58</v>
      </c>
      <c r="AA10" s="5" t="s">
        <v>58</v>
      </c>
      <c r="AB10" s="5" t="s">
        <v>58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78" t="s">
        <v>58</v>
      </c>
      <c r="AJ10" s="153">
        <f t="shared" si="0"/>
        <v>31</v>
      </c>
      <c r="AK10" s="54">
        <f t="shared" si="1"/>
        <v>8</v>
      </c>
      <c r="AL10" s="54">
        <f t="shared" si="2"/>
        <v>20</v>
      </c>
      <c r="AM10" s="55">
        <f t="shared" si="3"/>
        <v>3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 t="s">
        <v>57</v>
      </c>
      <c r="H11" s="5" t="s">
        <v>57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78">
        <v>1</v>
      </c>
      <c r="AJ11" s="153">
        <f t="shared" si="0"/>
        <v>31</v>
      </c>
      <c r="AK11" s="54">
        <f t="shared" si="1"/>
        <v>29</v>
      </c>
      <c r="AL11" s="54">
        <f t="shared" si="2"/>
        <v>0</v>
      </c>
      <c r="AM11" s="55">
        <f t="shared" si="3"/>
        <v>2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 t="s">
        <v>58</v>
      </c>
      <c r="F12" s="5" t="s">
        <v>58</v>
      </c>
      <c r="G12" s="5" t="s">
        <v>58</v>
      </c>
      <c r="H12" s="5" t="s">
        <v>58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 t="s">
        <v>58</v>
      </c>
      <c r="P12" s="5" t="s">
        <v>58</v>
      </c>
      <c r="Q12" s="5" t="s">
        <v>58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 t="s">
        <v>58</v>
      </c>
      <c r="Y12" s="5" t="s">
        <v>58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78">
        <v>1</v>
      </c>
      <c r="AJ12" s="153">
        <f t="shared" si="0"/>
        <v>31</v>
      </c>
      <c r="AK12" s="54">
        <f t="shared" si="1"/>
        <v>16</v>
      </c>
      <c r="AL12" s="54">
        <f t="shared" si="2"/>
        <v>15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78">
        <v>1</v>
      </c>
      <c r="AJ13" s="153">
        <f t="shared" si="0"/>
        <v>31</v>
      </c>
      <c r="AK13" s="54">
        <f t="shared" si="1"/>
        <v>31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 t="s">
        <v>58</v>
      </c>
      <c r="K14" s="5" t="s">
        <v>58</v>
      </c>
      <c r="L14" s="5" t="s">
        <v>58</v>
      </c>
      <c r="M14" s="5" t="s">
        <v>58</v>
      </c>
      <c r="N14" s="5" t="s">
        <v>58</v>
      </c>
      <c r="O14" s="5" t="s">
        <v>58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 t="s">
        <v>58</v>
      </c>
      <c r="W14" s="5" t="s">
        <v>58</v>
      </c>
      <c r="X14" s="5" t="s">
        <v>58</v>
      </c>
      <c r="Y14" s="5" t="s">
        <v>58</v>
      </c>
      <c r="Z14" s="5" t="s">
        <v>58</v>
      </c>
      <c r="AA14" s="5" t="s">
        <v>58</v>
      </c>
      <c r="AB14" s="5" t="s">
        <v>58</v>
      </c>
      <c r="AC14" s="5" t="s">
        <v>58</v>
      </c>
      <c r="AD14" s="5" t="s">
        <v>58</v>
      </c>
      <c r="AE14" s="5" t="s">
        <v>58</v>
      </c>
      <c r="AF14" s="5" t="s">
        <v>58</v>
      </c>
      <c r="AG14" s="5" t="s">
        <v>58</v>
      </c>
      <c r="AH14" s="78" t="s">
        <v>58</v>
      </c>
      <c r="AI14" s="78" t="s">
        <v>58</v>
      </c>
      <c r="AJ14" s="153">
        <f t="shared" si="0"/>
        <v>31</v>
      </c>
      <c r="AK14" s="54">
        <f t="shared" si="1"/>
        <v>5</v>
      </c>
      <c r="AL14" s="54">
        <f t="shared" si="2"/>
        <v>26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 t="s">
        <v>57</v>
      </c>
      <c r="H15" s="5" t="s">
        <v>57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 t="s">
        <v>57</v>
      </c>
      <c r="W15" s="5" t="s">
        <v>57</v>
      </c>
      <c r="X15" s="5" t="s">
        <v>57</v>
      </c>
      <c r="Y15" s="5" t="s">
        <v>57</v>
      </c>
      <c r="Z15" s="5" t="s">
        <v>57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78">
        <v>1</v>
      </c>
      <c r="AI15" s="78">
        <v>1</v>
      </c>
      <c r="AJ15" s="153">
        <f t="shared" si="0"/>
        <v>31</v>
      </c>
      <c r="AK15" s="54">
        <f t="shared" si="1"/>
        <v>22</v>
      </c>
      <c r="AL15" s="54">
        <f t="shared" si="2"/>
        <v>0</v>
      </c>
      <c r="AM15" s="55">
        <f t="shared" si="3"/>
        <v>9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 t="s">
        <v>57</v>
      </c>
      <c r="P16" s="5" t="s">
        <v>57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57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0</v>
      </c>
      <c r="AM16" s="55">
        <f t="shared" si="3"/>
        <v>3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78">
        <v>1</v>
      </c>
      <c r="AJ17" s="153">
        <f t="shared" si="0"/>
        <v>31</v>
      </c>
      <c r="AK17" s="54">
        <f t="shared" si="1"/>
        <v>31</v>
      </c>
      <c r="AL17" s="54">
        <f t="shared" si="2"/>
        <v>0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58</v>
      </c>
      <c r="F18" s="5" t="s">
        <v>58</v>
      </c>
      <c r="G18" s="5" t="s">
        <v>58</v>
      </c>
      <c r="H18" s="5" t="s">
        <v>58</v>
      </c>
      <c r="I18" s="5" t="s">
        <v>58</v>
      </c>
      <c r="J18" s="5" t="s">
        <v>58</v>
      </c>
      <c r="K18" s="5" t="s">
        <v>58</v>
      </c>
      <c r="L18" s="5" t="s">
        <v>58</v>
      </c>
      <c r="M18" s="5" t="s">
        <v>58</v>
      </c>
      <c r="N18" s="5">
        <v>1</v>
      </c>
      <c r="O18" s="5" t="s">
        <v>57</v>
      </c>
      <c r="P18" s="5">
        <v>1</v>
      </c>
      <c r="Q18" s="5" t="s">
        <v>58</v>
      </c>
      <c r="R18" s="5" t="s">
        <v>58</v>
      </c>
      <c r="S18" s="5" t="s">
        <v>58</v>
      </c>
      <c r="T18" s="5" t="s">
        <v>58</v>
      </c>
      <c r="U18" s="5">
        <v>1</v>
      </c>
      <c r="V18" s="5">
        <v>1</v>
      </c>
      <c r="W18" s="5">
        <v>1</v>
      </c>
      <c r="X18" s="5" t="s">
        <v>57</v>
      </c>
      <c r="Y18" s="5">
        <v>1</v>
      </c>
      <c r="Z18" s="5">
        <v>1</v>
      </c>
      <c r="AA18" s="5">
        <v>1</v>
      </c>
      <c r="AB18" s="5" t="s">
        <v>57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78" t="s">
        <v>57</v>
      </c>
      <c r="AJ18" s="153">
        <f t="shared" si="0"/>
        <v>31</v>
      </c>
      <c r="AK18" s="54">
        <f t="shared" si="1"/>
        <v>14</v>
      </c>
      <c r="AL18" s="54">
        <f t="shared" si="2"/>
        <v>13</v>
      </c>
      <c r="AM18" s="55">
        <f t="shared" si="3"/>
        <v>4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>
        <v>1</v>
      </c>
      <c r="G19" s="5">
        <v>1</v>
      </c>
      <c r="H19" s="5">
        <v>1</v>
      </c>
      <c r="I19" s="5" t="s">
        <v>57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 t="s">
        <v>57</v>
      </c>
      <c r="R19" s="5">
        <v>1</v>
      </c>
      <c r="S19" s="5">
        <v>1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78" t="s">
        <v>58</v>
      </c>
      <c r="AJ19" s="153">
        <f t="shared" si="0"/>
        <v>31</v>
      </c>
      <c r="AK19" s="54">
        <f t="shared" si="1"/>
        <v>12</v>
      </c>
      <c r="AL19" s="54">
        <f t="shared" si="2"/>
        <v>17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 t="s">
        <v>58</v>
      </c>
      <c r="K20" s="5" t="s">
        <v>58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78" t="s">
        <v>58</v>
      </c>
      <c r="AJ20" s="153">
        <f t="shared" si="0"/>
        <v>31</v>
      </c>
      <c r="AK20" s="54">
        <f t="shared" si="1"/>
        <v>0</v>
      </c>
      <c r="AL20" s="54">
        <f t="shared" si="2"/>
        <v>31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 t="s">
        <v>57</v>
      </c>
      <c r="AC21" s="5" t="s">
        <v>57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78" t="s">
        <v>57</v>
      </c>
      <c r="AJ21" s="153">
        <f t="shared" si="0"/>
        <v>31</v>
      </c>
      <c r="AK21" s="54">
        <f t="shared" si="1"/>
        <v>28</v>
      </c>
      <c r="AL21" s="54">
        <f t="shared" si="2"/>
        <v>0</v>
      </c>
      <c r="AM21" s="55">
        <f t="shared" si="3"/>
        <v>3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>
        <v>1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26">
        <v>1</v>
      </c>
      <c r="AJ22" s="153">
        <f t="shared" si="0"/>
        <v>31</v>
      </c>
      <c r="AK22" s="54">
        <f t="shared" si="1"/>
        <v>30</v>
      </c>
      <c r="AL22" s="54">
        <f t="shared" si="2"/>
        <v>0</v>
      </c>
      <c r="AM22" s="55">
        <f t="shared" si="3"/>
        <v>1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 t="s">
        <v>57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78">
        <v>1</v>
      </c>
      <c r="AJ23" s="153">
        <f t="shared" si="0"/>
        <v>31</v>
      </c>
      <c r="AK23" s="54">
        <f t="shared" si="1"/>
        <v>30</v>
      </c>
      <c r="AL23" s="54">
        <f t="shared" si="2"/>
        <v>0</v>
      </c>
      <c r="AM23" s="55">
        <f t="shared" si="3"/>
        <v>1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>
        <v>1</v>
      </c>
      <c r="AJ24" s="156">
        <f t="shared" si="0"/>
        <v>31</v>
      </c>
      <c r="AK24" s="56">
        <f t="shared" si="1"/>
        <v>30</v>
      </c>
      <c r="AL24" s="56">
        <f t="shared" si="2"/>
        <v>0</v>
      </c>
      <c r="AM24" s="57">
        <f t="shared" si="3"/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648</v>
      </c>
      <c r="AK25" s="69">
        <f>SUM(AK4:AK24)</f>
        <v>439</v>
      </c>
      <c r="AL25" s="69">
        <f>SUM(AL4:AL24)</f>
        <v>166</v>
      </c>
      <c r="AM25" s="75">
        <f>SUM(AM4:AM24)</f>
        <v>43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 t="s">
        <v>57</v>
      </c>
      <c r="H26" s="35" t="s">
        <v>57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 t="s">
        <v>57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 t="s">
        <v>57</v>
      </c>
      <c r="V26" s="35" t="s">
        <v>57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>
        <v>1</v>
      </c>
      <c r="AG26" s="35">
        <v>1</v>
      </c>
      <c r="AH26" s="35">
        <v>1</v>
      </c>
      <c r="AI26" s="35">
        <v>1</v>
      </c>
      <c r="AJ26" s="152">
        <f t="shared" ref="AJ26:AJ32" si="5">COUNTA(E26:AI26)</f>
        <v>31</v>
      </c>
      <c r="AK26" s="80">
        <f t="shared" ref="AK26:AK32" si="6">COUNTIF(E26:AI26,1)</f>
        <v>26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5" t="s">
        <v>58</v>
      </c>
      <c r="AJ27" s="153">
        <f t="shared" si="5"/>
        <v>31</v>
      </c>
      <c r="AK27" s="54">
        <f t="shared" si="6"/>
        <v>0</v>
      </c>
      <c r="AL27" s="54">
        <f t="shared" si="7"/>
        <v>31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5"/>
        <v>31</v>
      </c>
      <c r="AK29" s="54">
        <f t="shared" si="6"/>
        <v>0</v>
      </c>
      <c r="AL29" s="54">
        <f t="shared" si="7"/>
        <v>31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58</v>
      </c>
      <c r="F30" s="7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>
        <v>1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5">
        <v>1</v>
      </c>
      <c r="AJ30" s="153">
        <f t="shared" si="5"/>
        <v>31</v>
      </c>
      <c r="AK30" s="54">
        <f t="shared" si="6"/>
        <v>2</v>
      </c>
      <c r="AL30" s="54">
        <f t="shared" si="7"/>
        <v>29</v>
      </c>
      <c r="AM30" s="55">
        <f t="shared" si="8"/>
        <v>0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>
        <v>1</v>
      </c>
      <c r="H31" s="5">
        <v>1</v>
      </c>
      <c r="I31" s="5" t="s">
        <v>57</v>
      </c>
      <c r="J31" s="5">
        <v>1</v>
      </c>
      <c r="K31" s="5">
        <v>1</v>
      </c>
      <c r="L31" s="5">
        <v>1</v>
      </c>
      <c r="M31" s="5">
        <v>1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 t="s">
        <v>58</v>
      </c>
      <c r="T31" s="5" t="s">
        <v>58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 t="s">
        <v>58</v>
      </c>
      <c r="AC31" s="5" t="s">
        <v>58</v>
      </c>
      <c r="AD31" s="5" t="s">
        <v>58</v>
      </c>
      <c r="AE31" s="5">
        <v>1</v>
      </c>
      <c r="AF31" s="5">
        <v>1</v>
      </c>
      <c r="AG31" s="5">
        <v>1</v>
      </c>
      <c r="AH31" s="5" t="s">
        <v>58</v>
      </c>
      <c r="AI31" s="5" t="s">
        <v>58</v>
      </c>
      <c r="AJ31" s="153">
        <f t="shared" si="5"/>
        <v>31</v>
      </c>
      <c r="AK31" s="54">
        <f t="shared" si="6"/>
        <v>9</v>
      </c>
      <c r="AL31" s="54">
        <f t="shared" si="7"/>
        <v>19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>
        <v>1</v>
      </c>
      <c r="L32" s="42">
        <v>1</v>
      </c>
      <c r="M32" s="42" t="s">
        <v>57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>
        <v>1</v>
      </c>
      <c r="AC32" s="42" t="s">
        <v>57</v>
      </c>
      <c r="AD32" s="42" t="s">
        <v>57</v>
      </c>
      <c r="AE32" s="42">
        <v>1</v>
      </c>
      <c r="AF32" s="42">
        <v>1</v>
      </c>
      <c r="AG32" s="42">
        <v>1</v>
      </c>
      <c r="AH32" s="42">
        <v>1</v>
      </c>
      <c r="AI32" s="42">
        <v>1</v>
      </c>
      <c r="AJ32" s="154">
        <f t="shared" si="5"/>
        <v>31</v>
      </c>
      <c r="AK32" s="84">
        <f t="shared" si="6"/>
        <v>28</v>
      </c>
      <c r="AL32" s="84">
        <f t="shared" si="7"/>
        <v>0</v>
      </c>
      <c r="AM32" s="85">
        <f t="shared" si="8"/>
        <v>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65</v>
      </c>
      <c r="AL33" s="135">
        <f>SUM(AL26:AL32)</f>
        <v>141</v>
      </c>
      <c r="AM33" s="136">
        <f>SUM(AM26:AM32)</f>
        <v>11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58</v>
      </c>
      <c r="AC34" s="35" t="s">
        <v>58</v>
      </c>
      <c r="AD34" s="35" t="s">
        <v>58</v>
      </c>
      <c r="AE34" s="35" t="s">
        <v>58</v>
      </c>
      <c r="AF34" s="35" t="s">
        <v>58</v>
      </c>
      <c r="AG34" s="35" t="s">
        <v>58</v>
      </c>
      <c r="AH34" s="35" t="s">
        <v>58</v>
      </c>
      <c r="AI34" s="35" t="s">
        <v>58</v>
      </c>
      <c r="AJ34" s="155">
        <f>COUNTA(E34:AI34)</f>
        <v>31</v>
      </c>
      <c r="AK34" s="17">
        <f>COUNTIF(E34:AI34,1)</f>
        <v>0</v>
      </c>
      <c r="AL34" s="17">
        <f>COUNTIF(E34:AI34,"тр")</f>
        <v>8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58</v>
      </c>
      <c r="AC35" s="5" t="s">
        <v>58</v>
      </c>
      <c r="AD35" s="5" t="s">
        <v>58</v>
      </c>
      <c r="AE35" s="5" t="s">
        <v>58</v>
      </c>
      <c r="AF35" s="5" t="s">
        <v>58</v>
      </c>
      <c r="AG35" s="5" t="s">
        <v>58</v>
      </c>
      <c r="AH35" s="5" t="s">
        <v>58</v>
      </c>
      <c r="AI35" s="5" t="s">
        <v>58</v>
      </c>
      <c r="AJ35" s="155">
        <f>COUNTA(E35:AI35)</f>
        <v>31</v>
      </c>
      <c r="AK35" s="54">
        <f>COUNTIF(E35:AI35,1)</f>
        <v>0</v>
      </c>
      <c r="AL35" s="54">
        <f>COUNTIF(E35:AI35,"тр")</f>
        <v>8</v>
      </c>
      <c r="AM35" s="55">
        <f>COUNTIF(E35:AI35,"бв")</f>
        <v>23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0</v>
      </c>
      <c r="AL37" s="69">
        <f>SUM(AL34:AL36)</f>
        <v>47</v>
      </c>
      <c r="AM37" s="75">
        <f>SUM(AM34:AM36)</f>
        <v>46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 t="s">
        <v>58</v>
      </c>
      <c r="AJ40" s="155">
        <f>COUNTA(E40:AI40)</f>
        <v>31</v>
      </c>
      <c r="AK40" s="17">
        <f>COUNTIF(E40:AI40,1)</f>
        <v>0</v>
      </c>
      <c r="AL40" s="17">
        <f>COUNTIF(E40:AI40,"тр")</f>
        <v>31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 t="s">
        <v>57</v>
      </c>
      <c r="I41" s="5">
        <v>1</v>
      </c>
      <c r="J41" s="5" t="s">
        <v>57</v>
      </c>
      <c r="K41" s="5">
        <v>1</v>
      </c>
      <c r="L41" s="5">
        <v>1</v>
      </c>
      <c r="M41" s="5">
        <v>1</v>
      </c>
      <c r="N41" s="5" t="s">
        <v>58</v>
      </c>
      <c r="O41" s="5" t="s">
        <v>58</v>
      </c>
      <c r="P41" s="5">
        <v>1</v>
      </c>
      <c r="Q41" s="5" t="s">
        <v>58</v>
      </c>
      <c r="R41" s="5" t="s">
        <v>58</v>
      </c>
      <c r="S41" s="5" t="s">
        <v>58</v>
      </c>
      <c r="T41" s="5">
        <v>1</v>
      </c>
      <c r="U41" s="5">
        <v>1</v>
      </c>
      <c r="V41" s="5" t="s">
        <v>57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 t="s">
        <v>57</v>
      </c>
      <c r="AD41" s="5">
        <v>1</v>
      </c>
      <c r="AE41" s="5">
        <v>1</v>
      </c>
      <c r="AF41" s="5">
        <v>1</v>
      </c>
      <c r="AG41" s="5" t="s">
        <v>58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21</v>
      </c>
      <c r="AL41" s="54">
        <f>COUNTIF(E41:AI41,"тр")</f>
        <v>6</v>
      </c>
      <c r="AM41" s="55">
        <f>COUNTIF(E41:AI41,"бв")</f>
        <v>4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 t="s">
        <v>57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 t="s">
        <v>57</v>
      </c>
      <c r="M42" s="42">
        <v>1</v>
      </c>
      <c r="N42" s="42">
        <v>1</v>
      </c>
      <c r="O42" s="42">
        <v>1</v>
      </c>
      <c r="P42" s="42">
        <v>1</v>
      </c>
      <c r="Q42" s="42" t="s">
        <v>58</v>
      </c>
      <c r="R42" s="42" t="s">
        <v>58</v>
      </c>
      <c r="S42" s="42">
        <v>1</v>
      </c>
      <c r="T42" s="42">
        <v>1</v>
      </c>
      <c r="U42" s="42">
        <v>1</v>
      </c>
      <c r="V42" s="42">
        <v>1</v>
      </c>
      <c r="W42" s="42">
        <v>1</v>
      </c>
      <c r="X42" s="42" t="s">
        <v>57</v>
      </c>
      <c r="Y42" s="42" t="s">
        <v>57</v>
      </c>
      <c r="Z42" s="42" t="s">
        <v>58</v>
      </c>
      <c r="AA42" s="42">
        <v>1</v>
      </c>
      <c r="AB42" s="42" t="s">
        <v>58</v>
      </c>
      <c r="AC42" s="42" t="s">
        <v>58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42" t="s">
        <v>58</v>
      </c>
      <c r="AJ42" s="155">
        <f>COUNTA(E42:AI42)</f>
        <v>31</v>
      </c>
      <c r="AK42" s="56">
        <f>COUNTIF(E42:AI42,1)</f>
        <v>15</v>
      </c>
      <c r="AL42" s="56">
        <f>COUNTIF(E42:AI42,"тр")</f>
        <v>11</v>
      </c>
      <c r="AM42" s="57">
        <f>COUNTIF(E42:AI42,"бв")</f>
        <v>5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36</v>
      </c>
      <c r="AL43" s="69">
        <f>SUM(AL40:AL42)</f>
        <v>48</v>
      </c>
      <c r="AM43" s="75">
        <f>SUM(AM40:AM42)</f>
        <v>9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 t="s">
        <v>57</v>
      </c>
      <c r="H44" s="35" t="s">
        <v>57</v>
      </c>
      <c r="I44" s="35">
        <v>1</v>
      </c>
      <c r="J44" s="35" t="s">
        <v>58</v>
      </c>
      <c r="K44" s="35">
        <v>1</v>
      </c>
      <c r="L44" s="35" t="s">
        <v>58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 t="s">
        <v>57</v>
      </c>
      <c r="V44" s="35" t="s">
        <v>57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9">COUNTA(E44:AI44)</f>
        <v>31</v>
      </c>
      <c r="AK44" s="17">
        <f t="shared" ref="AK44:AK50" si="10">COUNTIF(E44:AI44,1)</f>
        <v>25</v>
      </c>
      <c r="AL44" s="17">
        <f t="shared" ref="AL44:AL50" si="11">COUNTIF(E44:AI44,"тр")</f>
        <v>2</v>
      </c>
      <c r="AM44" s="18">
        <f t="shared" ref="AM44:AM50" si="12">COUNTIF(E44:AI44,"бв")</f>
        <v>4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 t="s">
        <v>58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>
        <v>1</v>
      </c>
      <c r="AJ45" s="155">
        <f t="shared" si="9"/>
        <v>31</v>
      </c>
      <c r="AK45" s="54">
        <f t="shared" si="10"/>
        <v>30</v>
      </c>
      <c r="AL45" s="54">
        <f t="shared" si="11"/>
        <v>1</v>
      </c>
      <c r="AM45" s="55">
        <f t="shared" si="12"/>
        <v>0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 t="s">
        <v>57</v>
      </c>
      <c r="F46" s="5">
        <v>1</v>
      </c>
      <c r="G46" s="5" t="s">
        <v>57</v>
      </c>
      <c r="H46" s="5">
        <v>1</v>
      </c>
      <c r="I46" s="5" t="s">
        <v>57</v>
      </c>
      <c r="J46" s="5" t="s">
        <v>57</v>
      </c>
      <c r="K46" s="5" t="s">
        <v>57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 t="s">
        <v>57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5" t="s">
        <v>57</v>
      </c>
      <c r="AJ46" s="155">
        <f t="shared" si="9"/>
        <v>31</v>
      </c>
      <c r="AK46" s="54">
        <f t="shared" si="10"/>
        <v>24</v>
      </c>
      <c r="AL46" s="54">
        <f t="shared" si="11"/>
        <v>0</v>
      </c>
      <c r="AM46" s="55">
        <f t="shared" si="12"/>
        <v>7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58</v>
      </c>
      <c r="N47" s="5">
        <v>1</v>
      </c>
      <c r="O47" s="5" t="s">
        <v>57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 t="s">
        <v>57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>
        <v>1</v>
      </c>
      <c r="AI47" s="5">
        <v>1</v>
      </c>
      <c r="AJ47" s="155">
        <f t="shared" si="9"/>
        <v>31</v>
      </c>
      <c r="AK47" s="54">
        <f t="shared" si="10"/>
        <v>25</v>
      </c>
      <c r="AL47" s="54">
        <f t="shared" si="11"/>
        <v>1</v>
      </c>
      <c r="AM47" s="55">
        <f t="shared" si="12"/>
        <v>5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 t="s">
        <v>57</v>
      </c>
      <c r="H48" s="5" t="s">
        <v>57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 t="s">
        <v>57</v>
      </c>
      <c r="AB48" s="5">
        <v>1</v>
      </c>
      <c r="AC48" s="5">
        <v>1</v>
      </c>
      <c r="AD48" s="5">
        <v>1</v>
      </c>
      <c r="AE48" s="5" t="s">
        <v>57</v>
      </c>
      <c r="AF48" s="5" t="s">
        <v>58</v>
      </c>
      <c r="AG48" s="5">
        <v>1</v>
      </c>
      <c r="AH48" s="5">
        <v>1</v>
      </c>
      <c r="AI48" s="5" t="s">
        <v>58</v>
      </c>
      <c r="AJ48" s="155">
        <f t="shared" si="9"/>
        <v>31</v>
      </c>
      <c r="AK48" s="54">
        <f t="shared" si="10"/>
        <v>25</v>
      </c>
      <c r="AL48" s="54">
        <f t="shared" si="11"/>
        <v>2</v>
      </c>
      <c r="AM48" s="55">
        <f t="shared" si="12"/>
        <v>4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 t="s">
        <v>57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 t="s">
        <v>57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 t="s">
        <v>57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155">
        <f t="shared" si="9"/>
        <v>31</v>
      </c>
      <c r="AK49" s="54">
        <f t="shared" si="10"/>
        <v>28</v>
      </c>
      <c r="AL49" s="54">
        <f t="shared" si="11"/>
        <v>0</v>
      </c>
      <c r="AM49" s="55">
        <f t="shared" si="12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>
        <v>1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 t="s">
        <v>57</v>
      </c>
      <c r="W50" s="42">
        <v>1</v>
      </c>
      <c r="X50" s="42">
        <v>1</v>
      </c>
      <c r="Y50" s="42" t="s">
        <v>58</v>
      </c>
      <c r="Z50" s="42">
        <v>1</v>
      </c>
      <c r="AA50" s="42">
        <v>1</v>
      </c>
      <c r="AB50" s="42">
        <v>1</v>
      </c>
      <c r="AC50" s="42" t="s">
        <v>57</v>
      </c>
      <c r="AD50" s="42" t="s">
        <v>57</v>
      </c>
      <c r="AE50" s="42">
        <v>1</v>
      </c>
      <c r="AF50" s="42">
        <v>1</v>
      </c>
      <c r="AG50" s="42">
        <v>1</v>
      </c>
      <c r="AH50" s="42">
        <v>1</v>
      </c>
      <c r="AI50" s="42">
        <v>1</v>
      </c>
      <c r="AJ50" s="155">
        <f t="shared" si="9"/>
        <v>31</v>
      </c>
      <c r="AK50" s="56">
        <f t="shared" si="10"/>
        <v>27</v>
      </c>
      <c r="AL50" s="56">
        <f t="shared" si="11"/>
        <v>1</v>
      </c>
      <c r="AM50" s="57">
        <f t="shared" si="12"/>
        <v>3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184</v>
      </c>
      <c r="AL51" s="69">
        <f>SUM(AL44:AL50)</f>
        <v>7</v>
      </c>
      <c r="AM51" s="75">
        <f>SUM(AM44:AM50)</f>
        <v>26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 t="s">
        <v>57</v>
      </c>
      <c r="G52" s="42">
        <v>1</v>
      </c>
      <c r="H52" s="42">
        <v>1</v>
      </c>
      <c r="I52" s="42">
        <v>1</v>
      </c>
      <c r="J52" s="42" t="s">
        <v>57</v>
      </c>
      <c r="K52" s="42">
        <v>1</v>
      </c>
      <c r="L52" s="42">
        <v>1</v>
      </c>
      <c r="M52" s="42">
        <v>1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 t="s">
        <v>57</v>
      </c>
      <c r="Z52" s="42">
        <v>1</v>
      </c>
      <c r="AA52" s="42">
        <v>1</v>
      </c>
      <c r="AB52" s="42">
        <v>1</v>
      </c>
      <c r="AC52" s="42" t="s">
        <v>57</v>
      </c>
      <c r="AD52" s="42">
        <v>1</v>
      </c>
      <c r="AE52" s="42">
        <v>1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23</v>
      </c>
      <c r="AL52" s="56">
        <f>COUNTIF(E52:AI52,"тр")</f>
        <v>0</v>
      </c>
      <c r="AM52" s="57">
        <f>COUNTIF(E52:AI52,"бв")</f>
        <v>8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23</v>
      </c>
      <c r="AL53" s="69">
        <f>SUM(AL52:AL52)</f>
        <v>0</v>
      </c>
      <c r="AM53" s="75">
        <f>SUM(AM52:AM52)</f>
        <v>8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 t="s">
        <v>57</v>
      </c>
      <c r="Z54" s="92" t="s">
        <v>57</v>
      </c>
      <c r="AA54" s="92">
        <v>1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 t="s">
        <v>57</v>
      </c>
      <c r="AH54" s="92" t="s">
        <v>57</v>
      </c>
      <c r="AI54" s="92" t="s">
        <v>57</v>
      </c>
      <c r="AJ54" s="152">
        <f>COUNTA(E54:AI54)</f>
        <v>31</v>
      </c>
      <c r="AK54" s="80">
        <f>COUNTIF(E54:AI54,1)</f>
        <v>25</v>
      </c>
      <c r="AL54" s="80">
        <f>COUNTIF(E54:AI54,"тр")</f>
        <v>0</v>
      </c>
      <c r="AM54" s="81">
        <f>COUNTIF(E54:AI54,"бв")</f>
        <v>6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 t="s">
        <v>57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 t="s">
        <v>57</v>
      </c>
      <c r="V55" s="42" t="s">
        <v>57</v>
      </c>
      <c r="W55" s="42" t="s">
        <v>57</v>
      </c>
      <c r="X55" s="42">
        <v>1</v>
      </c>
      <c r="Y55" s="42">
        <v>1</v>
      </c>
      <c r="Z55" s="42">
        <v>1</v>
      </c>
      <c r="AA55" s="42">
        <v>1</v>
      </c>
      <c r="AB55" s="42" t="s">
        <v>57</v>
      </c>
      <c r="AC55" s="42" t="s">
        <v>57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24</v>
      </c>
      <c r="AL55" s="56">
        <f>COUNTIF(E55:AI55,"тр")</f>
        <v>0</v>
      </c>
      <c r="AM55" s="57">
        <f>COUNTIF(E55:AI55,"бв")</f>
        <v>7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 t="s">
        <v>57</v>
      </c>
      <c r="K56" s="97">
        <v>1</v>
      </c>
      <c r="L56" s="97">
        <v>1</v>
      </c>
      <c r="M56" s="97">
        <v>1</v>
      </c>
      <c r="N56" s="97">
        <v>1</v>
      </c>
      <c r="O56" s="97" t="s">
        <v>57</v>
      </c>
      <c r="P56" s="97">
        <v>1</v>
      </c>
      <c r="Q56" s="97">
        <v>1</v>
      </c>
      <c r="R56" s="97">
        <v>1</v>
      </c>
      <c r="S56" s="97">
        <v>1</v>
      </c>
      <c r="T56" s="97">
        <v>1</v>
      </c>
      <c r="U56" s="97">
        <v>1</v>
      </c>
      <c r="V56" s="97">
        <v>1</v>
      </c>
      <c r="W56" s="97" t="s">
        <v>57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28</v>
      </c>
      <c r="AL56" s="84">
        <f>COUNTIF(E56:AI56,"тр")</f>
        <v>0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77</v>
      </c>
      <c r="AL57" s="69">
        <f>SUM(AL54:AL56)</f>
        <v>0</v>
      </c>
      <c r="AM57" s="75">
        <f>SUM(AM54:AM56)</f>
        <v>16</v>
      </c>
    </row>
    <row r="58" spans="1:39" s="33" customFormat="1" x14ac:dyDescent="0.25">
      <c r="A58" s="169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1423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0" s="171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  <c r="AM60" s="171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3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>
        <v>1</v>
      </c>
      <c r="G64" s="5">
        <v>1</v>
      </c>
      <c r="H64" s="5" t="s">
        <v>57</v>
      </c>
      <c r="I64" s="5">
        <v>1</v>
      </c>
      <c r="J64" s="5">
        <v>1</v>
      </c>
      <c r="K64" s="5">
        <v>1</v>
      </c>
      <c r="L64" s="5">
        <v>1</v>
      </c>
      <c r="M64" s="5">
        <v>1</v>
      </c>
      <c r="N64" s="5">
        <v>1</v>
      </c>
      <c r="O64" s="5" t="s">
        <v>57</v>
      </c>
      <c r="P64" s="5">
        <v>1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57</v>
      </c>
      <c r="W64" s="5">
        <v>1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>
        <v>1</v>
      </c>
      <c r="AE64" s="5">
        <v>1</v>
      </c>
      <c r="AF64" s="5">
        <v>1</v>
      </c>
      <c r="AG64" s="5">
        <v>1</v>
      </c>
      <c r="AH64" s="5">
        <v>1</v>
      </c>
      <c r="AI64" s="5">
        <v>1</v>
      </c>
      <c r="AJ64" s="153">
        <f>COUNTA(E64:AI64)</f>
        <v>31</v>
      </c>
      <c r="AK64" s="54">
        <f>COUNTIF(E64:AI64,1)</f>
        <v>27</v>
      </c>
      <c r="AL64" s="54">
        <f>COUNTIF(E64:AI64,"тр")</f>
        <v>0</v>
      </c>
      <c r="AM64" s="55">
        <f>COUNTIF(E64:AI64,"бв")</f>
        <v>4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5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42" t="s">
        <v>58</v>
      </c>
      <c r="AJ66" s="156">
        <f>COUNTA(E66:AI66)</f>
        <v>31</v>
      </c>
      <c r="AK66" s="56">
        <f>COUNTIF(E66:AI66,1)</f>
        <v>0</v>
      </c>
      <c r="AL66" s="56">
        <f>COUNTIF(E66:AI66,"тр")</f>
        <v>31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14">SUM(AK62:AK66)</f>
        <v>89</v>
      </c>
      <c r="AL67" s="69">
        <f t="shared" si="14"/>
        <v>62</v>
      </c>
      <c r="AM67" s="75">
        <f t="shared" si="14"/>
        <v>4</v>
      </c>
    </row>
    <row r="68" spans="1:39" s="33" customFormat="1" x14ac:dyDescent="0.25">
      <c r="A68" s="169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3" priority="2">
      <formula>LEN(TRIM(E4))=0</formula>
    </cfRule>
  </conditionalFormatting>
  <conditionalFormatting sqref="E24:AI24">
    <cfRule type="containsBlanks" dxfId="2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8" fitToHeight="0" orientation="landscape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pageSetUpPr fitToPage="1"/>
  </sheetPr>
  <dimension ref="A1:AL70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X7" sqref="X7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Сентябрь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70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 t="s">
        <v>57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 t="s">
        <v>57</v>
      </c>
      <c r="V4" s="92">
        <v>1</v>
      </c>
      <c r="W4" s="92">
        <v>1</v>
      </c>
      <c r="X4" s="92">
        <v>1</v>
      </c>
      <c r="Y4" s="92"/>
      <c r="Z4" s="92"/>
      <c r="AA4" s="92"/>
      <c r="AB4" s="92"/>
      <c r="AC4" s="92"/>
      <c r="AD4" s="92"/>
      <c r="AE4" s="92"/>
      <c r="AF4" s="92"/>
      <c r="AG4" s="92"/>
      <c r="AH4" s="101"/>
      <c r="AI4" s="152">
        <f t="shared" ref="AI4:AI24" si="0">COUNTA(E4:AH4)</f>
        <v>20</v>
      </c>
      <c r="AJ4" s="80">
        <f t="shared" ref="AJ4:AJ24" si="1">COUNTIF(E4:AH4,1)</f>
        <v>18</v>
      </c>
      <c r="AK4" s="80">
        <f t="shared" ref="AK4:AK24" si="2">COUNTIF(E4:AH4,"тр")</f>
        <v>0</v>
      </c>
      <c r="AL4" s="81">
        <f t="shared" ref="AL4:AL24" si="3">COUNTIF(E4:AH4,"бв")</f>
        <v>2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 t="s">
        <v>58</v>
      </c>
      <c r="H5" s="5" t="s">
        <v>58</v>
      </c>
      <c r="I5" s="5" t="s">
        <v>58</v>
      </c>
      <c r="J5" s="5" t="s">
        <v>58</v>
      </c>
      <c r="K5" s="5" t="s">
        <v>58</v>
      </c>
      <c r="L5" s="5" t="s">
        <v>58</v>
      </c>
      <c r="M5" s="5" t="s">
        <v>58</v>
      </c>
      <c r="N5" s="5" t="s">
        <v>58</v>
      </c>
      <c r="O5" s="5" t="s">
        <v>58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/>
      <c r="Z5" s="5"/>
      <c r="AA5" s="5"/>
      <c r="AB5" s="5"/>
      <c r="AC5" s="5"/>
      <c r="AD5" s="5"/>
      <c r="AE5" s="5"/>
      <c r="AF5" s="5"/>
      <c r="AG5" s="5"/>
      <c r="AH5" s="78"/>
      <c r="AI5" s="153">
        <f t="shared" si="0"/>
        <v>20</v>
      </c>
      <c r="AJ5" s="54">
        <f t="shared" si="1"/>
        <v>0</v>
      </c>
      <c r="AK5" s="54">
        <f t="shared" si="2"/>
        <v>20</v>
      </c>
      <c r="AL5" s="55">
        <f t="shared" si="3"/>
        <v>0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 t="s">
        <v>58</v>
      </c>
      <c r="J6" s="5">
        <v>1</v>
      </c>
      <c r="K6" s="5">
        <v>1</v>
      </c>
      <c r="L6" s="5" t="s">
        <v>58</v>
      </c>
      <c r="M6" s="5">
        <v>1</v>
      </c>
      <c r="N6" s="5" t="s">
        <v>58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/>
      <c r="Z6" s="5"/>
      <c r="AA6" s="5"/>
      <c r="AB6" s="5"/>
      <c r="AC6" s="5"/>
      <c r="AD6" s="5"/>
      <c r="AE6" s="5"/>
      <c r="AF6" s="5"/>
      <c r="AG6" s="5"/>
      <c r="AH6" s="78"/>
      <c r="AI6" s="153">
        <f t="shared" si="0"/>
        <v>20</v>
      </c>
      <c r="AJ6" s="54">
        <f t="shared" si="1"/>
        <v>16</v>
      </c>
      <c r="AK6" s="54">
        <f t="shared" si="2"/>
        <v>3</v>
      </c>
      <c r="AL6" s="55">
        <f t="shared" si="3"/>
        <v>1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58</v>
      </c>
      <c r="F7" s="5" t="s">
        <v>58</v>
      </c>
      <c r="G7" s="5" t="s">
        <v>58</v>
      </c>
      <c r="H7" s="5" t="s">
        <v>58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/>
      <c r="Z7" s="5"/>
      <c r="AA7" s="5"/>
      <c r="AB7" s="5"/>
      <c r="AC7" s="5"/>
      <c r="AD7" s="5"/>
      <c r="AE7" s="5"/>
      <c r="AF7" s="5"/>
      <c r="AG7" s="5"/>
      <c r="AH7" s="78"/>
      <c r="AI7" s="153">
        <f t="shared" si="0"/>
        <v>20</v>
      </c>
      <c r="AJ7" s="54">
        <f t="shared" si="1"/>
        <v>0</v>
      </c>
      <c r="AK7" s="54">
        <f t="shared" si="2"/>
        <v>20</v>
      </c>
      <c r="AL7" s="55">
        <f t="shared" si="3"/>
        <v>0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>
        <v>1</v>
      </c>
      <c r="W8" s="5">
        <v>1</v>
      </c>
      <c r="X8" s="5">
        <v>1</v>
      </c>
      <c r="Y8" s="5"/>
      <c r="Z8" s="5"/>
      <c r="AA8" s="5"/>
      <c r="AB8" s="5"/>
      <c r="AC8" s="5"/>
      <c r="AD8" s="5"/>
      <c r="AE8" s="5"/>
      <c r="AF8" s="5"/>
      <c r="AG8" s="5"/>
      <c r="AH8" s="78"/>
      <c r="AI8" s="153">
        <f t="shared" si="0"/>
        <v>20</v>
      </c>
      <c r="AJ8" s="54">
        <f t="shared" si="1"/>
        <v>20</v>
      </c>
      <c r="AK8" s="54">
        <f t="shared" si="2"/>
        <v>0</v>
      </c>
      <c r="AL8" s="55">
        <f t="shared" si="3"/>
        <v>0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 t="s">
        <v>57</v>
      </c>
      <c r="X9" s="5">
        <v>1</v>
      </c>
      <c r="Y9" s="5"/>
      <c r="Z9" s="5"/>
      <c r="AA9" s="5"/>
      <c r="AB9" s="5"/>
      <c r="AC9" s="5"/>
      <c r="AD9" s="5"/>
      <c r="AE9" s="5"/>
      <c r="AF9" s="5"/>
      <c r="AG9" s="5"/>
      <c r="AH9" s="78"/>
      <c r="AI9" s="153">
        <f t="shared" si="0"/>
        <v>20</v>
      </c>
      <c r="AJ9" s="54">
        <f t="shared" si="1"/>
        <v>19</v>
      </c>
      <c r="AK9" s="54">
        <f t="shared" si="2"/>
        <v>0</v>
      </c>
      <c r="AL9" s="55">
        <f t="shared" si="3"/>
        <v>1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 t="s">
        <v>58</v>
      </c>
      <c r="G10" s="5" t="s">
        <v>58</v>
      </c>
      <c r="H10" s="5" t="s">
        <v>58</v>
      </c>
      <c r="I10" s="5" t="s">
        <v>58</v>
      </c>
      <c r="J10" s="5" t="s">
        <v>58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/>
      <c r="Z10" s="5"/>
      <c r="AA10" s="5"/>
      <c r="AB10" s="5"/>
      <c r="AC10" s="5"/>
      <c r="AD10" s="5"/>
      <c r="AE10" s="5"/>
      <c r="AF10" s="5"/>
      <c r="AG10" s="5"/>
      <c r="AH10" s="78"/>
      <c r="AI10" s="153">
        <f t="shared" si="0"/>
        <v>20</v>
      </c>
      <c r="AJ10" s="54">
        <f t="shared" si="1"/>
        <v>15</v>
      </c>
      <c r="AK10" s="54">
        <f t="shared" si="2"/>
        <v>5</v>
      </c>
      <c r="AL10" s="55">
        <f t="shared" si="3"/>
        <v>0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 t="s">
        <v>58</v>
      </c>
      <c r="S11" s="5" t="s">
        <v>58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/>
      <c r="Z11" s="5"/>
      <c r="AA11" s="5"/>
      <c r="AB11" s="5"/>
      <c r="AC11" s="5"/>
      <c r="AD11" s="5"/>
      <c r="AE11" s="5"/>
      <c r="AF11" s="5"/>
      <c r="AG11" s="5"/>
      <c r="AH11" s="78"/>
      <c r="AI11" s="153">
        <f t="shared" si="0"/>
        <v>20</v>
      </c>
      <c r="AJ11" s="54">
        <f t="shared" si="1"/>
        <v>11</v>
      </c>
      <c r="AK11" s="54">
        <f t="shared" si="2"/>
        <v>9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 t="s">
        <v>57</v>
      </c>
      <c r="F12" s="5" t="s">
        <v>57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/>
      <c r="Z12" s="5"/>
      <c r="AA12" s="5"/>
      <c r="AB12" s="5"/>
      <c r="AC12" s="5"/>
      <c r="AD12" s="5"/>
      <c r="AE12" s="5"/>
      <c r="AF12" s="5"/>
      <c r="AG12" s="5"/>
      <c r="AH12" s="78"/>
      <c r="AI12" s="153">
        <f t="shared" si="0"/>
        <v>20</v>
      </c>
      <c r="AJ12" s="54">
        <f t="shared" si="1"/>
        <v>16</v>
      </c>
      <c r="AK12" s="54">
        <f t="shared" si="2"/>
        <v>0</v>
      </c>
      <c r="AL12" s="55">
        <f t="shared" si="3"/>
        <v>4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/>
      <c r="Z13" s="5"/>
      <c r="AA13" s="5"/>
      <c r="AB13" s="5"/>
      <c r="AC13" s="5"/>
      <c r="AD13" s="5"/>
      <c r="AE13" s="5"/>
      <c r="AF13" s="5"/>
      <c r="AG13" s="5"/>
      <c r="AH13" s="78"/>
      <c r="AI13" s="153">
        <f t="shared" si="0"/>
        <v>20</v>
      </c>
      <c r="AJ13" s="54">
        <f t="shared" si="1"/>
        <v>20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 t="s">
        <v>58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/>
      <c r="Z14" s="5"/>
      <c r="AA14" s="5"/>
      <c r="AB14" s="5"/>
      <c r="AC14" s="5"/>
      <c r="AD14" s="5"/>
      <c r="AE14" s="5"/>
      <c r="AF14" s="5"/>
      <c r="AG14" s="5"/>
      <c r="AH14" s="78"/>
      <c r="AI14" s="153">
        <f t="shared" si="0"/>
        <v>20</v>
      </c>
      <c r="AJ14" s="54">
        <f t="shared" si="1"/>
        <v>19</v>
      </c>
      <c r="AK14" s="54">
        <f t="shared" si="2"/>
        <v>1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/>
      <c r="Z15" s="5"/>
      <c r="AA15" s="5"/>
      <c r="AB15" s="5"/>
      <c r="AC15" s="5"/>
      <c r="AD15" s="5"/>
      <c r="AE15" s="5"/>
      <c r="AF15" s="5"/>
      <c r="AG15" s="5"/>
      <c r="AH15" s="78"/>
      <c r="AI15" s="153">
        <f t="shared" si="0"/>
        <v>20</v>
      </c>
      <c r="AJ15" s="54">
        <f t="shared" si="1"/>
        <v>20</v>
      </c>
      <c r="AK15" s="54">
        <f t="shared" si="2"/>
        <v>0</v>
      </c>
      <c r="AL15" s="55">
        <f t="shared" si="3"/>
        <v>0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/>
      <c r="Z16" s="5"/>
      <c r="AA16" s="5"/>
      <c r="AB16" s="5"/>
      <c r="AC16" s="5"/>
      <c r="AD16" s="5"/>
      <c r="AE16" s="5"/>
      <c r="AF16" s="5"/>
      <c r="AG16" s="5"/>
      <c r="AH16" s="78"/>
      <c r="AI16" s="153">
        <f t="shared" si="0"/>
        <v>20</v>
      </c>
      <c r="AJ16" s="54">
        <f t="shared" si="1"/>
        <v>20</v>
      </c>
      <c r="AK16" s="54">
        <f t="shared" si="2"/>
        <v>0</v>
      </c>
      <c r="AL16" s="55">
        <f t="shared" si="3"/>
        <v>0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/>
      <c r="Z17" s="5"/>
      <c r="AA17" s="5"/>
      <c r="AB17" s="5"/>
      <c r="AC17" s="5"/>
      <c r="AD17" s="5"/>
      <c r="AE17" s="5"/>
      <c r="AF17" s="5"/>
      <c r="AG17" s="5"/>
      <c r="AH17" s="78"/>
      <c r="AI17" s="153">
        <f t="shared" si="0"/>
        <v>20</v>
      </c>
      <c r="AJ17" s="54">
        <f t="shared" si="1"/>
        <v>20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>
        <v>1</v>
      </c>
      <c r="F18" s="5">
        <v>1</v>
      </c>
      <c r="G18" s="5">
        <v>1</v>
      </c>
      <c r="H18" s="5">
        <v>1</v>
      </c>
      <c r="I18" s="5">
        <v>1</v>
      </c>
      <c r="J18" s="5" t="s">
        <v>58</v>
      </c>
      <c r="K18" s="5" t="s">
        <v>58</v>
      </c>
      <c r="L18" s="5" t="s">
        <v>58</v>
      </c>
      <c r="M18" s="5" t="s">
        <v>58</v>
      </c>
      <c r="N18" s="5" t="s">
        <v>58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 t="s">
        <v>58</v>
      </c>
      <c r="X18" s="5" t="s">
        <v>58</v>
      </c>
      <c r="Y18" s="5"/>
      <c r="Z18" s="5"/>
      <c r="AA18" s="5"/>
      <c r="AB18" s="5"/>
      <c r="AC18" s="5"/>
      <c r="AD18" s="5"/>
      <c r="AE18" s="5"/>
      <c r="AF18" s="5"/>
      <c r="AG18" s="5"/>
      <c r="AH18" s="78"/>
      <c r="AI18" s="153">
        <f t="shared" si="0"/>
        <v>20</v>
      </c>
      <c r="AJ18" s="54">
        <f t="shared" si="1"/>
        <v>5</v>
      </c>
      <c r="AK18" s="54">
        <f t="shared" si="2"/>
        <v>15</v>
      </c>
      <c r="AL18" s="55">
        <f t="shared" si="3"/>
        <v>0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/>
      <c r="Z19" s="5"/>
      <c r="AA19" s="5"/>
      <c r="AB19" s="5"/>
      <c r="AC19" s="5"/>
      <c r="AD19" s="5"/>
      <c r="AE19" s="5"/>
      <c r="AF19" s="5"/>
      <c r="AG19" s="5"/>
      <c r="AH19" s="78"/>
      <c r="AI19" s="153">
        <f t="shared" si="0"/>
        <v>20</v>
      </c>
      <c r="AJ19" s="54">
        <f t="shared" si="1"/>
        <v>9</v>
      </c>
      <c r="AK19" s="54">
        <f t="shared" si="2"/>
        <v>11</v>
      </c>
      <c r="AL19" s="55">
        <f t="shared" si="3"/>
        <v>0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 t="s">
        <v>58</v>
      </c>
      <c r="K20" s="5" t="s">
        <v>58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/>
      <c r="Z20" s="5"/>
      <c r="AA20" s="5"/>
      <c r="AB20" s="5"/>
      <c r="AC20" s="5"/>
      <c r="AD20" s="5"/>
      <c r="AE20" s="5"/>
      <c r="AF20" s="5"/>
      <c r="AG20" s="5"/>
      <c r="AH20" s="78"/>
      <c r="AI20" s="153">
        <f t="shared" si="0"/>
        <v>20</v>
      </c>
      <c r="AJ20" s="54">
        <f t="shared" si="1"/>
        <v>0</v>
      </c>
      <c r="AK20" s="54">
        <f t="shared" si="2"/>
        <v>20</v>
      </c>
      <c r="AL20" s="55">
        <f t="shared" si="3"/>
        <v>0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 t="s">
        <v>57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57</v>
      </c>
      <c r="S21" s="5" t="s">
        <v>57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/>
      <c r="Z21" s="5"/>
      <c r="AA21" s="5"/>
      <c r="AB21" s="5"/>
      <c r="AC21" s="5"/>
      <c r="AD21" s="5"/>
      <c r="AE21" s="5"/>
      <c r="AF21" s="5"/>
      <c r="AG21" s="5"/>
      <c r="AH21" s="78"/>
      <c r="AI21" s="153">
        <f t="shared" si="0"/>
        <v>20</v>
      </c>
      <c r="AJ21" s="54">
        <f t="shared" si="1"/>
        <v>16</v>
      </c>
      <c r="AK21" s="54">
        <f t="shared" si="2"/>
        <v>0</v>
      </c>
      <c r="AL21" s="55">
        <f t="shared" si="3"/>
        <v>4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/>
      <c r="Z22" s="42"/>
      <c r="AA22" s="42"/>
      <c r="AB22" s="42"/>
      <c r="AC22" s="42"/>
      <c r="AD22" s="42"/>
      <c r="AE22" s="42"/>
      <c r="AF22" s="42"/>
      <c r="AG22" s="42"/>
      <c r="AH22" s="126"/>
      <c r="AI22" s="153">
        <f t="shared" si="0"/>
        <v>20</v>
      </c>
      <c r="AJ22" s="54">
        <f t="shared" si="1"/>
        <v>20</v>
      </c>
      <c r="AK22" s="54">
        <f t="shared" si="2"/>
        <v>0</v>
      </c>
      <c r="AL22" s="55">
        <f t="shared" si="3"/>
        <v>0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/>
      <c r="Z23" s="5"/>
      <c r="AA23" s="5"/>
      <c r="AB23" s="5"/>
      <c r="AC23" s="5"/>
      <c r="AD23" s="5"/>
      <c r="AE23" s="5"/>
      <c r="AF23" s="5"/>
      <c r="AG23" s="5"/>
      <c r="AH23" s="78"/>
      <c r="AI23" s="153">
        <f t="shared" si="0"/>
        <v>20</v>
      </c>
      <c r="AJ23" s="54">
        <f t="shared" si="1"/>
        <v>20</v>
      </c>
      <c r="AK23" s="54">
        <f t="shared" si="2"/>
        <v>0</v>
      </c>
      <c r="AL23" s="55">
        <f t="shared" si="3"/>
        <v>0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156">
        <f t="shared" si="0"/>
        <v>20</v>
      </c>
      <c r="AJ24" s="56">
        <f t="shared" si="1"/>
        <v>20</v>
      </c>
      <c r="AK24" s="56">
        <f t="shared" si="2"/>
        <v>0</v>
      </c>
      <c r="AL24" s="57">
        <f t="shared" si="3"/>
        <v>0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420</v>
      </c>
      <c r="AJ25" s="69">
        <f>SUM(AJ4:AJ24)</f>
        <v>304</v>
      </c>
      <c r="AK25" s="69">
        <f>SUM(AK4:AK24)</f>
        <v>104</v>
      </c>
      <c r="AL25" s="75">
        <f>SUM(AL4:AL24)</f>
        <v>12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57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 t="s">
        <v>57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 t="s">
        <v>57</v>
      </c>
      <c r="X26" s="35" t="s">
        <v>57</v>
      </c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152">
        <f t="shared" ref="AI26:AI32" si="5">COUNTA(E26:AH26)</f>
        <v>20</v>
      </c>
      <c r="AJ26" s="80">
        <f t="shared" ref="AJ26:AJ32" si="6">COUNTIF(E26:AH26,1)</f>
        <v>16</v>
      </c>
      <c r="AK26" s="80">
        <f t="shared" ref="AK26:AK32" si="7">COUNTIF(E26:AH26,"тр")</f>
        <v>0</v>
      </c>
      <c r="AL26" s="81">
        <f t="shared" ref="AL26:AL32" si="8">COUNTIF(E26:AH26,"бв")</f>
        <v>4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>
        <v>1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153">
        <f t="shared" si="5"/>
        <v>20</v>
      </c>
      <c r="AJ27" s="54">
        <f t="shared" si="6"/>
        <v>1</v>
      </c>
      <c r="AK27" s="54">
        <f t="shared" si="7"/>
        <v>19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153">
        <f t="shared" si="5"/>
        <v>20</v>
      </c>
      <c r="AJ28" s="54">
        <f t="shared" si="6"/>
        <v>0</v>
      </c>
      <c r="AK28" s="54">
        <f t="shared" si="7"/>
        <v>20</v>
      </c>
      <c r="AL28" s="55">
        <f t="shared" si="8"/>
        <v>0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 t="s">
        <v>57</v>
      </c>
      <c r="T29" s="5" t="s">
        <v>57</v>
      </c>
      <c r="U29" s="5">
        <v>1</v>
      </c>
      <c r="V29" s="5">
        <v>1</v>
      </c>
      <c r="W29" s="5">
        <v>1</v>
      </c>
      <c r="X29" s="5">
        <v>1</v>
      </c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153">
        <f t="shared" si="5"/>
        <v>20</v>
      </c>
      <c r="AJ29" s="54">
        <f t="shared" si="6"/>
        <v>13</v>
      </c>
      <c r="AK29" s="54">
        <f t="shared" si="7"/>
        <v>4</v>
      </c>
      <c r="AL29" s="55">
        <f t="shared" si="8"/>
        <v>3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58</v>
      </c>
      <c r="G30" s="5" t="s">
        <v>58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58</v>
      </c>
      <c r="N30" s="5">
        <v>1</v>
      </c>
      <c r="O30" s="5" t="s">
        <v>57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153">
        <f t="shared" si="5"/>
        <v>20</v>
      </c>
      <c r="AJ30" s="54">
        <f t="shared" si="6"/>
        <v>11</v>
      </c>
      <c r="AK30" s="54">
        <f t="shared" si="7"/>
        <v>5</v>
      </c>
      <c r="AL30" s="55">
        <f t="shared" si="8"/>
        <v>4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58</v>
      </c>
      <c r="F31" s="5" t="s">
        <v>58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 t="s">
        <v>58</v>
      </c>
      <c r="T31" s="5" t="s">
        <v>58</v>
      </c>
      <c r="U31" s="5" t="s">
        <v>58</v>
      </c>
      <c r="V31" s="5" t="s">
        <v>58</v>
      </c>
      <c r="W31" s="5" t="s">
        <v>58</v>
      </c>
      <c r="X31" s="5" t="s">
        <v>58</v>
      </c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153">
        <f t="shared" si="5"/>
        <v>20</v>
      </c>
      <c r="AJ31" s="54">
        <f t="shared" si="6"/>
        <v>0</v>
      </c>
      <c r="AK31" s="54">
        <f t="shared" si="7"/>
        <v>20</v>
      </c>
      <c r="AL31" s="55">
        <f t="shared" si="8"/>
        <v>0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>
        <v>1</v>
      </c>
      <c r="L32" s="42">
        <v>1</v>
      </c>
      <c r="M32" s="42" t="s">
        <v>57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154">
        <f t="shared" si="5"/>
        <v>20</v>
      </c>
      <c r="AJ32" s="84">
        <f t="shared" si="6"/>
        <v>19</v>
      </c>
      <c r="AK32" s="84">
        <f t="shared" si="7"/>
        <v>0</v>
      </c>
      <c r="AL32" s="85">
        <f t="shared" si="8"/>
        <v>1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140</v>
      </c>
      <c r="AJ33" s="135">
        <f>SUM(AJ26:AJ32)</f>
        <v>60</v>
      </c>
      <c r="AK33" s="135">
        <f>SUM(AK26:AK32)</f>
        <v>68</v>
      </c>
      <c r="AL33" s="136">
        <f>SUM(AL26:AL32)</f>
        <v>12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58</v>
      </c>
      <c r="F34" s="35" t="s">
        <v>58</v>
      </c>
      <c r="G34" s="35" t="s">
        <v>58</v>
      </c>
      <c r="H34" s="35" t="s">
        <v>58</v>
      </c>
      <c r="I34" s="35" t="s">
        <v>58</v>
      </c>
      <c r="J34" s="35" t="s">
        <v>58</v>
      </c>
      <c r="K34" s="35" t="s">
        <v>58</v>
      </c>
      <c r="L34" s="35" t="s">
        <v>58</v>
      </c>
      <c r="M34" s="35" t="s">
        <v>58</v>
      </c>
      <c r="N34" s="35" t="s">
        <v>58</v>
      </c>
      <c r="O34" s="35" t="s">
        <v>58</v>
      </c>
      <c r="P34" s="35" t="s">
        <v>58</v>
      </c>
      <c r="Q34" s="35" t="s">
        <v>58</v>
      </c>
      <c r="R34" s="35" t="s">
        <v>58</v>
      </c>
      <c r="S34" s="35" t="s">
        <v>58</v>
      </c>
      <c r="T34" s="35" t="s">
        <v>58</v>
      </c>
      <c r="U34" s="35" t="s">
        <v>58</v>
      </c>
      <c r="V34" s="35" t="s">
        <v>58</v>
      </c>
      <c r="W34" s="35" t="s">
        <v>58</v>
      </c>
      <c r="X34" s="35" t="s">
        <v>58</v>
      </c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155">
        <f>COUNTA(E34:AH34)</f>
        <v>20</v>
      </c>
      <c r="AJ34" s="17">
        <f>COUNTIF(E34:AH34,1)</f>
        <v>0</v>
      </c>
      <c r="AK34" s="17">
        <f>COUNTIF(E34:AH34,"тр")</f>
        <v>20</v>
      </c>
      <c r="AL34" s="18">
        <f>COUNTIF(E34:AH34,"бв")</f>
        <v>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58</v>
      </c>
      <c r="F35" s="5" t="s">
        <v>58</v>
      </c>
      <c r="G35" s="5" t="s">
        <v>58</v>
      </c>
      <c r="H35" s="5" t="s">
        <v>58</v>
      </c>
      <c r="I35" s="5" t="s">
        <v>58</v>
      </c>
      <c r="J35" s="5" t="s">
        <v>58</v>
      </c>
      <c r="K35" s="5" t="s">
        <v>58</v>
      </c>
      <c r="L35" s="5" t="s">
        <v>58</v>
      </c>
      <c r="M35" s="5" t="s">
        <v>58</v>
      </c>
      <c r="N35" s="5" t="s">
        <v>58</v>
      </c>
      <c r="O35" s="5" t="s">
        <v>58</v>
      </c>
      <c r="P35" s="5" t="s">
        <v>58</v>
      </c>
      <c r="Q35" s="5" t="s">
        <v>58</v>
      </c>
      <c r="R35" s="5" t="s">
        <v>58</v>
      </c>
      <c r="S35" s="5" t="s">
        <v>58</v>
      </c>
      <c r="T35" s="5" t="s">
        <v>58</v>
      </c>
      <c r="U35" s="5" t="s">
        <v>58</v>
      </c>
      <c r="V35" s="5" t="s">
        <v>58</v>
      </c>
      <c r="W35" s="5" t="s">
        <v>58</v>
      </c>
      <c r="X35" s="5" t="s">
        <v>58</v>
      </c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155">
        <f>COUNTA(E35:AH35)</f>
        <v>20</v>
      </c>
      <c r="AJ35" s="54">
        <f>COUNTIF(E35:AH35,1)</f>
        <v>0</v>
      </c>
      <c r="AK35" s="54">
        <f>COUNTIF(E35:AH35,"тр")</f>
        <v>20</v>
      </c>
      <c r="AL35" s="55">
        <f>COUNTIF(E35:AH35,"бв")</f>
        <v>0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155">
        <f>COUNTA(E36:AH36)</f>
        <v>20</v>
      </c>
      <c r="AJ36" s="56">
        <f>COUNTIF(E36:AH36,1)</f>
        <v>0</v>
      </c>
      <c r="AK36" s="56">
        <f>COUNTIF(E36:AH36,"тр")</f>
        <v>20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60</v>
      </c>
      <c r="AJ37" s="69">
        <f>SUM(AJ34:AJ36)</f>
        <v>0</v>
      </c>
      <c r="AK37" s="69">
        <f>SUM(AK34:AK36)</f>
        <v>60</v>
      </c>
      <c r="AL37" s="75">
        <f>SUM(AL34:AL36)</f>
        <v>0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155">
        <f>COUNTA(E38:AH38)</f>
        <v>20</v>
      </c>
      <c r="AJ38" s="19">
        <f>COUNTIF(E38:AH38,1)</f>
        <v>0</v>
      </c>
      <c r="AK38" s="19">
        <f>COUNTIF(E38:AH38,"тр")</f>
        <v>20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20</v>
      </c>
      <c r="AJ39" s="69">
        <f>SUM(AJ38)</f>
        <v>0</v>
      </c>
      <c r="AK39" s="69">
        <f>SUM(AK38)</f>
        <v>20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>
        <v>1</v>
      </c>
      <c r="H40" s="35">
        <v>1</v>
      </c>
      <c r="I40" s="35" t="s">
        <v>57</v>
      </c>
      <c r="J40" s="35" t="s">
        <v>57</v>
      </c>
      <c r="K40" s="35">
        <v>1</v>
      </c>
      <c r="L40" s="35">
        <v>1</v>
      </c>
      <c r="M40" s="35">
        <v>1</v>
      </c>
      <c r="N40" s="35">
        <v>1</v>
      </c>
      <c r="O40" s="35" t="s">
        <v>58</v>
      </c>
      <c r="P40" s="35" t="s">
        <v>58</v>
      </c>
      <c r="Q40" s="35" t="s">
        <v>57</v>
      </c>
      <c r="R40" s="35" t="s">
        <v>58</v>
      </c>
      <c r="S40" s="35" t="s">
        <v>58</v>
      </c>
      <c r="T40" s="35">
        <v>1</v>
      </c>
      <c r="U40" s="35">
        <v>1</v>
      </c>
      <c r="V40" s="35">
        <v>1</v>
      </c>
      <c r="W40" s="35" t="s">
        <v>57</v>
      </c>
      <c r="X40" s="35">
        <v>1</v>
      </c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155">
        <f>COUNTA(E40:AH40)</f>
        <v>20</v>
      </c>
      <c r="AJ40" s="17">
        <f>COUNTIF(E40:AH40,1)</f>
        <v>10</v>
      </c>
      <c r="AK40" s="17">
        <f>COUNTIF(E40:AH40,"тр")</f>
        <v>6</v>
      </c>
      <c r="AL40" s="18">
        <f>COUNTIF(E40:AH40,"бв")</f>
        <v>4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 t="s">
        <v>57</v>
      </c>
      <c r="T41" s="5">
        <v>1</v>
      </c>
      <c r="U41" s="5">
        <v>1</v>
      </c>
      <c r="V41" s="5">
        <v>1</v>
      </c>
      <c r="W41" s="5">
        <v>1</v>
      </c>
      <c r="X41" s="5">
        <v>1</v>
      </c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155">
        <f>COUNTA(E41:AH41)</f>
        <v>20</v>
      </c>
      <c r="AJ41" s="54">
        <f>COUNTIF(E41:AH41,1)</f>
        <v>18</v>
      </c>
      <c r="AK41" s="54">
        <f>COUNTIF(E41:AH41,"тр")</f>
        <v>0</v>
      </c>
      <c r="AL41" s="55">
        <f>COUNTIF(E41:AH41,"бв")</f>
        <v>2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155">
        <f>COUNTA(E42:AH42)</f>
        <v>20</v>
      </c>
      <c r="AJ42" s="56">
        <f>COUNTIF(E42:AH42,1)</f>
        <v>0</v>
      </c>
      <c r="AK42" s="56">
        <f>COUNTIF(E42:AH42,"тр")</f>
        <v>20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60</v>
      </c>
      <c r="AJ43" s="69">
        <f>SUM(AJ40:AJ42)</f>
        <v>28</v>
      </c>
      <c r="AK43" s="69">
        <f>SUM(AK40:AK42)</f>
        <v>26</v>
      </c>
      <c r="AL43" s="75">
        <f>SUM(AL40:AL42)</f>
        <v>6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 t="s">
        <v>57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57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155">
        <f t="shared" ref="AI44:AI50" si="9">COUNTA(E44:AH44)</f>
        <v>20</v>
      </c>
      <c r="AJ44" s="17">
        <f t="shared" ref="AJ44:AJ50" si="10">COUNTIF(E44:AH44,1)</f>
        <v>18</v>
      </c>
      <c r="AK44" s="17">
        <f t="shared" ref="AK44:AK50" si="11">COUNTIF(E44:AH44,"тр")</f>
        <v>0</v>
      </c>
      <c r="AL44" s="18">
        <f t="shared" ref="AL44:AL50" si="12">COUNTIF(E44:AH44,"бв")</f>
        <v>2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 t="s">
        <v>57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155">
        <f t="shared" si="9"/>
        <v>20</v>
      </c>
      <c r="AJ45" s="54">
        <f t="shared" si="10"/>
        <v>16</v>
      </c>
      <c r="AK45" s="54">
        <f t="shared" si="11"/>
        <v>0</v>
      </c>
      <c r="AL45" s="55">
        <f t="shared" si="12"/>
        <v>4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 t="s">
        <v>57</v>
      </c>
      <c r="M46" s="5" t="s">
        <v>57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155">
        <f t="shared" si="9"/>
        <v>20</v>
      </c>
      <c r="AJ46" s="54">
        <f t="shared" si="10"/>
        <v>18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 t="s">
        <v>58</v>
      </c>
      <c r="O47" s="5" t="s">
        <v>58</v>
      </c>
      <c r="P47" s="5" t="s">
        <v>58</v>
      </c>
      <c r="Q47" s="5" t="s">
        <v>57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155">
        <f t="shared" si="9"/>
        <v>20</v>
      </c>
      <c r="AJ47" s="54">
        <f t="shared" si="10"/>
        <v>15</v>
      </c>
      <c r="AK47" s="54">
        <f t="shared" si="11"/>
        <v>3</v>
      </c>
      <c r="AL47" s="55">
        <f t="shared" si="12"/>
        <v>2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 t="s">
        <v>57</v>
      </c>
      <c r="F48" s="5" t="s">
        <v>57</v>
      </c>
      <c r="G48" s="5" t="s">
        <v>58</v>
      </c>
      <c r="H48" s="5" t="s">
        <v>58</v>
      </c>
      <c r="I48" s="5" t="s">
        <v>58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57</v>
      </c>
      <c r="X48" s="5">
        <v>1</v>
      </c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155">
        <f t="shared" si="9"/>
        <v>20</v>
      </c>
      <c r="AJ48" s="54">
        <f t="shared" si="10"/>
        <v>14</v>
      </c>
      <c r="AK48" s="54">
        <f t="shared" si="11"/>
        <v>3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 t="s">
        <v>57</v>
      </c>
      <c r="M49" s="5" t="s">
        <v>57</v>
      </c>
      <c r="N49" s="5">
        <v>1</v>
      </c>
      <c r="O49" s="5">
        <v>1</v>
      </c>
      <c r="P49" s="5" t="s">
        <v>57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155">
        <f t="shared" si="9"/>
        <v>20</v>
      </c>
      <c r="AJ49" s="54">
        <f t="shared" si="10"/>
        <v>17</v>
      </c>
      <c r="AK49" s="54">
        <f t="shared" si="11"/>
        <v>0</v>
      </c>
      <c r="AL49" s="55">
        <f t="shared" si="12"/>
        <v>3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 t="s">
        <v>57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>
        <v>1</v>
      </c>
      <c r="X50" s="42">
        <v>1</v>
      </c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155">
        <f t="shared" si="9"/>
        <v>20</v>
      </c>
      <c r="AJ50" s="56">
        <f t="shared" si="10"/>
        <v>15</v>
      </c>
      <c r="AK50" s="56">
        <f t="shared" si="11"/>
        <v>2</v>
      </c>
      <c r="AL50" s="57">
        <f t="shared" si="12"/>
        <v>3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140</v>
      </c>
      <c r="AJ51" s="69">
        <f>SUM(AJ44:AJ50)</f>
        <v>113</v>
      </c>
      <c r="AK51" s="69">
        <f>SUM(AK44:AK50)</f>
        <v>8</v>
      </c>
      <c r="AL51" s="75">
        <f>SUM(AL44:AL50)</f>
        <v>19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 t="s">
        <v>57</v>
      </c>
      <c r="M52" s="42">
        <v>1</v>
      </c>
      <c r="N52" s="42" t="s">
        <v>57</v>
      </c>
      <c r="O52" s="42">
        <v>1</v>
      </c>
      <c r="P52" s="42">
        <v>1</v>
      </c>
      <c r="Q52" s="42" t="s">
        <v>58</v>
      </c>
      <c r="R52" s="42" t="s">
        <v>57</v>
      </c>
      <c r="S52" s="42">
        <v>1</v>
      </c>
      <c r="T52" s="42" t="s">
        <v>57</v>
      </c>
      <c r="U52" s="42" t="s">
        <v>57</v>
      </c>
      <c r="V52" s="42" t="s">
        <v>57</v>
      </c>
      <c r="W52" s="42" t="s">
        <v>57</v>
      </c>
      <c r="X52" s="42">
        <v>1</v>
      </c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155">
        <f>COUNTA(E52:AH52)</f>
        <v>20</v>
      </c>
      <c r="AJ52" s="56">
        <f>COUNTIF(E52:AH52,1)</f>
        <v>12</v>
      </c>
      <c r="AK52" s="56">
        <f>COUNTIF(E52:AH52,"тр")</f>
        <v>1</v>
      </c>
      <c r="AL52" s="57">
        <f>COUNTIF(E52:AH52,"бв")</f>
        <v>7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20</v>
      </c>
      <c r="AJ53" s="69">
        <f>SUM(AJ52:AJ52)</f>
        <v>12</v>
      </c>
      <c r="AK53" s="69">
        <f>SUM(AK52:AK52)</f>
        <v>1</v>
      </c>
      <c r="AL53" s="75">
        <f>SUM(AL52:AL52)</f>
        <v>7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 t="s">
        <v>57</v>
      </c>
      <c r="F54" s="92" t="s">
        <v>57</v>
      </c>
      <c r="G54" s="92" t="s">
        <v>57</v>
      </c>
      <c r="H54" s="92" t="s">
        <v>57</v>
      </c>
      <c r="I54" s="92" t="s">
        <v>57</v>
      </c>
      <c r="J54" s="92">
        <v>1</v>
      </c>
      <c r="K54" s="92">
        <v>1</v>
      </c>
      <c r="L54" s="92" t="s">
        <v>57</v>
      </c>
      <c r="M54" s="92" t="s">
        <v>57</v>
      </c>
      <c r="N54" s="92" t="s">
        <v>57</v>
      </c>
      <c r="O54" s="92">
        <v>1</v>
      </c>
      <c r="P54" s="92" t="s">
        <v>57</v>
      </c>
      <c r="Q54" s="92">
        <v>1</v>
      </c>
      <c r="R54" s="92">
        <v>1</v>
      </c>
      <c r="S54" s="5" t="s">
        <v>57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152">
        <f>COUNTA(E54:AH54)</f>
        <v>20</v>
      </c>
      <c r="AJ54" s="80">
        <f>COUNTIF(E54:AH54,1)</f>
        <v>10</v>
      </c>
      <c r="AK54" s="80">
        <f>COUNTIF(E54:AH54,"тр")</f>
        <v>0</v>
      </c>
      <c r="AL54" s="81">
        <f>COUNTIF(E54:AH54,"бв")</f>
        <v>10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 t="s">
        <v>57</v>
      </c>
      <c r="I55" s="42" t="s">
        <v>57</v>
      </c>
      <c r="J55" s="42" t="s">
        <v>57</v>
      </c>
      <c r="K55" s="42" t="s">
        <v>57</v>
      </c>
      <c r="L55" s="42">
        <v>1</v>
      </c>
      <c r="M55" s="42">
        <v>1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 t="s">
        <v>57</v>
      </c>
      <c r="X55" s="42">
        <v>1</v>
      </c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155">
        <f>COUNTA(E55:AH55)</f>
        <v>20</v>
      </c>
      <c r="AJ55" s="56">
        <f>COUNTIF(E55:AH55,1)</f>
        <v>14</v>
      </c>
      <c r="AK55" s="56">
        <f>COUNTIF(E55:AH55,"тр")</f>
        <v>0</v>
      </c>
      <c r="AL55" s="57">
        <f>COUNTIF(E55:AH55,"бв")</f>
        <v>6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 t="s">
        <v>57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57</v>
      </c>
      <c r="R56" s="97" t="s">
        <v>57</v>
      </c>
      <c r="S56" s="97">
        <v>1</v>
      </c>
      <c r="T56" s="97">
        <v>1</v>
      </c>
      <c r="U56" s="97" t="s">
        <v>57</v>
      </c>
      <c r="V56" s="97">
        <v>1</v>
      </c>
      <c r="W56" s="97">
        <v>1</v>
      </c>
      <c r="X56" s="97">
        <v>1</v>
      </c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157">
        <f>COUNTA(E56:AH56)</f>
        <v>20</v>
      </c>
      <c r="AJ56" s="84">
        <f>COUNTIF(E56:AH56,1)</f>
        <v>16</v>
      </c>
      <c r="AK56" s="84">
        <f>COUNTIF(E56:AH56,"тр")</f>
        <v>0</v>
      </c>
      <c r="AL56" s="85">
        <f>COUNTIF(E56:AH56,"бв")</f>
        <v>4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60</v>
      </c>
      <c r="AJ57" s="69">
        <f>SUM(AJ54:AJ56)</f>
        <v>40</v>
      </c>
      <c r="AK57" s="69">
        <f>SUM(AK54:AK56)</f>
        <v>0</v>
      </c>
      <c r="AL57" s="75">
        <f>SUM(AL54:AL56)</f>
        <v>20</v>
      </c>
    </row>
    <row r="58" spans="1:38" s="33" customFormat="1" x14ac:dyDescent="0.25">
      <c r="A58" s="170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920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0" s="171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155">
        <f>COUNTA(E62:AH62)</f>
        <v>20</v>
      </c>
      <c r="AJ62" s="17">
        <f>COUNTIF(E62:AH62,1)</f>
        <v>20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153">
        <f>COUNTA(E63:AH63)</f>
        <v>20</v>
      </c>
      <c r="AJ63" s="54">
        <f>COUNTIF(E63:AH63,1)</f>
        <v>20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 t="s">
        <v>57</v>
      </c>
      <c r="L64" s="5" t="s">
        <v>57</v>
      </c>
      <c r="M64" s="5">
        <v>1</v>
      </c>
      <c r="N64" s="5">
        <v>1</v>
      </c>
      <c r="O64" s="5">
        <v>1</v>
      </c>
      <c r="P64" s="5">
        <v>1</v>
      </c>
      <c r="Q64" s="5">
        <v>1</v>
      </c>
      <c r="R64" s="5" t="s">
        <v>57</v>
      </c>
      <c r="S64" s="5" t="s">
        <v>57</v>
      </c>
      <c r="T64" s="5">
        <v>1</v>
      </c>
      <c r="U64" s="5">
        <v>1</v>
      </c>
      <c r="V64" s="5">
        <v>1</v>
      </c>
      <c r="W64" s="5">
        <v>1</v>
      </c>
      <c r="X64" s="5">
        <v>1</v>
      </c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153">
        <f>COUNTA(E64:AH64)</f>
        <v>20</v>
      </c>
      <c r="AJ64" s="54">
        <f>COUNTIF(E64:AH64,1)</f>
        <v>15</v>
      </c>
      <c r="AK64" s="54">
        <f>COUNTIF(E64:AH64,"тр")</f>
        <v>0</v>
      </c>
      <c r="AL64" s="55">
        <f>COUNTIF(E64:AH64,"бв")</f>
        <v>5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153">
        <f>COUNTA(E65:AH65)</f>
        <v>20</v>
      </c>
      <c r="AJ65" s="54">
        <f>COUNTIF(E65:AH65,1)</f>
        <v>0</v>
      </c>
      <c r="AK65" s="54">
        <f>COUNTIF(E65:AH65,"тр")</f>
        <v>20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156">
        <f>COUNTA(E66:AH66)</f>
        <v>20</v>
      </c>
      <c r="AJ66" s="56">
        <f>COUNTIF(E66:AH66,1)</f>
        <v>0</v>
      </c>
      <c r="AK66" s="56">
        <f>COUNTIF(E66:AH66,"тр")</f>
        <v>20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100</v>
      </c>
      <c r="AJ67" s="69">
        <f t="shared" ref="AJ67:AL67" si="14">SUM(AJ62:AJ66)</f>
        <v>55</v>
      </c>
      <c r="AK67" s="69">
        <f t="shared" si="14"/>
        <v>40</v>
      </c>
      <c r="AL67" s="75">
        <f t="shared" si="14"/>
        <v>5</v>
      </c>
    </row>
    <row r="68" spans="1:38" s="33" customFormat="1" x14ac:dyDescent="0.25">
      <c r="A68" s="170"/>
      <c r="B68" s="49"/>
      <c r="C68" s="50"/>
      <c r="D68" s="50"/>
      <c r="Y68" s="51" t="s">
        <v>68</v>
      </c>
      <c r="AI68" s="76">
        <f>AI67</f>
        <v>100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AI24 E52:AI52 E34:AI36 E38:AI38 E62:AI66 E26:AI32 E40:AI42 E44:AI50 E54:AI56 E4:AI23">
    <cfRule type="containsBlanks" dxfId="1" priority="2">
      <formula>LEN(TRIM(E4))=0</formula>
    </cfRule>
  </conditionalFormatting>
  <conditionalFormatting sqref="E24:AH24">
    <cfRule type="containsBlanks" dxfId="0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8" fitToHeight="0" orientation="landscape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9</vt:i4>
      </vt:variant>
    </vt:vector>
  </HeadingPairs>
  <TitlesOfParts>
    <vt:vector size="19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Сентябрь 2019</vt:lpstr>
      <vt:lpstr>Данные</vt:lpstr>
      <vt:lpstr>АХД</vt:lpstr>
      <vt:lpstr>'Август 2019'!Заголовки_для_печати</vt:lpstr>
      <vt:lpstr>'Апрель 2019'!Заголовки_для_печати</vt:lpstr>
      <vt:lpstr>'Июль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'Сентябрь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2019-09-03T10:33:05Z</cp:lastPrinted>
  <dcterms:created xsi:type="dcterms:W3CDTF">2018-09-27T18:15:43Z</dcterms:created>
  <dcterms:modified xsi:type="dcterms:W3CDTF">2019-09-20T08:33:49Z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