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M57" i="13" l="1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<sst xmlns="http://schemas.openxmlformats.org/spreadsheetml/2006/main" count="5357" uniqueCount="87">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</sst>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A4" sqref="AA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23</v>
      </c>
      <c r="AK4" s="80">
        <f t="shared" ref="AK4:AK24" si="1">COUNTIF(E4:AI4,1)</f>
        <v>20</v>
      </c>
      <c r="AL4" s="80">
        <f t="shared" ref="AL4:AL24" si="2">COUNTIF(E4:AI4,"тр")</f>
        <v>0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/>
      <c r="AC5" s="5"/>
      <c r="AD5" s="5"/>
      <c r="AE5" s="5"/>
      <c r="AF5" s="5"/>
      <c r="AG5" s="5"/>
      <c r="AH5" s="78"/>
      <c r="AI5" s="78"/>
      <c r="AJ5" s="153">
        <f t="shared" si="0"/>
        <v>23</v>
      </c>
      <c r="AK5" s="54">
        <f t="shared" si="1"/>
        <v>0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/>
      <c r="AC6" s="5"/>
      <c r="AD6" s="5"/>
      <c r="AE6" s="5"/>
      <c r="AF6" s="5"/>
      <c r="AG6" s="5"/>
      <c r="AH6" s="78"/>
      <c r="AI6" s="78"/>
      <c r="AJ6" s="153">
        <f t="shared" si="0"/>
        <v>23</v>
      </c>
      <c r="AK6" s="54">
        <f t="shared" si="1"/>
        <v>21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/>
      <c r="AC7" s="5"/>
      <c r="AD7" s="5"/>
      <c r="AE7" s="5"/>
      <c r="AF7" s="5"/>
      <c r="AG7" s="5"/>
      <c r="AH7" s="78"/>
      <c r="AI7" s="78"/>
      <c r="AJ7" s="153">
        <f t="shared" si="0"/>
        <v>23</v>
      </c>
      <c r="AK7" s="54">
        <f t="shared" si="1"/>
        <v>19</v>
      </c>
      <c r="AL7" s="54">
        <f t="shared" si="2"/>
        <v>4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/>
      <c r="AC8" s="5"/>
      <c r="AD8" s="5"/>
      <c r="AE8" s="5"/>
      <c r="AF8" s="5"/>
      <c r="AG8" s="5"/>
      <c r="AH8" s="78"/>
      <c r="AI8" s="78"/>
      <c r="AJ8" s="153">
        <f t="shared" si="0"/>
        <v>23</v>
      </c>
      <c r="AK8" s="54">
        <f t="shared" si="1"/>
        <v>14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/>
      <c r="AC9" s="5"/>
      <c r="AD9" s="5"/>
      <c r="AE9" s="5"/>
      <c r="AF9" s="5"/>
      <c r="AG9" s="5"/>
      <c r="AH9" s="78"/>
      <c r="AI9" s="78"/>
      <c r="AJ9" s="153">
        <f t="shared" si="0"/>
        <v>23</v>
      </c>
      <c r="AK9" s="54">
        <f t="shared" si="1"/>
        <v>21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23</v>
      </c>
      <c r="AK10" s="54">
        <f t="shared" si="1"/>
        <v>3</v>
      </c>
      <c r="AL10" s="54">
        <f t="shared" si="2"/>
        <v>18</v>
      </c>
      <c r="AM10" s="55">
        <f t="shared" si="3"/>
        <v>2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23</v>
      </c>
      <c r="AK11" s="54">
        <f t="shared" si="1"/>
        <v>21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23</v>
      </c>
      <c r="AK12" s="54">
        <f t="shared" si="1"/>
        <v>8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23</v>
      </c>
      <c r="AK13" s="54">
        <f t="shared" si="1"/>
        <v>23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23</v>
      </c>
      <c r="AK14" s="54">
        <f t="shared" si="1"/>
        <v>5</v>
      </c>
      <c r="AL14" s="54">
        <f t="shared" si="2"/>
        <v>18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23</v>
      </c>
      <c r="AK15" s="54">
        <f t="shared" si="1"/>
        <v>15</v>
      </c>
      <c r="AL15" s="54">
        <f t="shared" si="2"/>
        <v>0</v>
      </c>
      <c r="AM15" s="55">
        <f t="shared" si="3"/>
        <v>8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23</v>
      </c>
      <c r="AK16" s="54">
        <f t="shared" si="1"/>
        <v>20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23</v>
      </c>
      <c r="AK17" s="54">
        <f t="shared" si="1"/>
        <v>23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23</v>
      </c>
      <c r="AK18" s="54">
        <f t="shared" si="1"/>
        <v>8</v>
      </c>
      <c r="AL18" s="54">
        <f t="shared" si="2"/>
        <v>13</v>
      </c>
      <c r="AM18" s="55">
        <f t="shared" si="3"/>
        <v>2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23</v>
      </c>
      <c r="AK19" s="54">
        <f t="shared" si="1"/>
        <v>12</v>
      </c>
      <c r="AL19" s="54">
        <f t="shared" si="2"/>
        <v>9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23</v>
      </c>
      <c r="AK20" s="54">
        <f t="shared" si="1"/>
        <v>0</v>
      </c>
      <c r="AL20" s="54">
        <f t="shared" si="2"/>
        <v>23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23</v>
      </c>
      <c r="AK21" s="54">
        <f t="shared" si="1"/>
        <v>23</v>
      </c>
      <c r="AL21" s="54">
        <f t="shared" si="2"/>
        <v>0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23</v>
      </c>
      <c r="AK22" s="54">
        <f t="shared" si="1"/>
        <v>22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23</v>
      </c>
      <c r="AK23" s="54">
        <f t="shared" si="1"/>
        <v>22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/>
      <c r="AC24" s="5"/>
      <c r="AD24" s="5"/>
      <c r="AE24" s="5"/>
      <c r="AF24" s="5"/>
      <c r="AG24" s="5"/>
      <c r="AH24" s="5"/>
      <c r="AI24" s="5"/>
      <c r="AJ24" s="156">
        <f t="shared" si="0"/>
        <v>23</v>
      </c>
      <c r="AK24" s="56">
        <f t="shared" si="1"/>
        <v>22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483</v>
      </c>
      <c r="AK25" s="69">
        <f>SUM(AK4:AK24)</f>
        <v>322</v>
      </c>
      <c r="AL25" s="69">
        <f>SUM(AL4:AL24)</f>
        <v>125</v>
      </c>
      <c r="AM25" s="75">
        <f>SUM(AM4:AM24)</f>
        <v>36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23</v>
      </c>
      <c r="AK26" s="80">
        <f t="shared" ref="AK26:AK32" si="6">COUNTIF(E26:AI26,1)</f>
        <v>18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/>
      <c r="AC27" s="5"/>
      <c r="AD27" s="5"/>
      <c r="AE27" s="5"/>
      <c r="AF27" s="5"/>
      <c r="AG27" s="5"/>
      <c r="AH27" s="5"/>
      <c r="AI27" s="5"/>
      <c r="AJ27" s="153">
        <f t="shared" si="5"/>
        <v>23</v>
      </c>
      <c r="AK27" s="54">
        <f t="shared" si="6"/>
        <v>0</v>
      </c>
      <c r="AL27" s="54">
        <f t="shared" si="7"/>
        <v>23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/>
      <c r="AC28" s="5"/>
      <c r="AD28" s="5"/>
      <c r="AE28" s="5"/>
      <c r="AF28" s="5"/>
      <c r="AG28" s="5"/>
      <c r="AH28" s="5"/>
      <c r="AI28" s="5"/>
      <c r="AJ28" s="153">
        <f t="shared" si="5"/>
        <v>23</v>
      </c>
      <c r="AK28" s="54">
        <f t="shared" si="6"/>
        <v>0</v>
      </c>
      <c r="AL28" s="54">
        <f t="shared" si="7"/>
        <v>23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/>
      <c r="AC29" s="5"/>
      <c r="AD29" s="5"/>
      <c r="AE29" s="5"/>
      <c r="AF29" s="5"/>
      <c r="AG29" s="5"/>
      <c r="AH29" s="5"/>
      <c r="AI29" s="5"/>
      <c r="AJ29" s="153">
        <f t="shared" si="5"/>
        <v>23</v>
      </c>
      <c r="AK29" s="54">
        <f t="shared" si="6"/>
        <v>0</v>
      </c>
      <c r="AL29" s="54">
        <f t="shared" si="7"/>
        <v>23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/>
      <c r="AC30" s="5"/>
      <c r="AD30" s="5"/>
      <c r="AE30" s="5"/>
      <c r="AF30" s="5"/>
      <c r="AG30" s="5"/>
      <c r="AH30" s="5"/>
      <c r="AI30" s="5"/>
      <c r="AJ30" s="153">
        <f t="shared" si="5"/>
        <v>23</v>
      </c>
      <c r="AK30" s="54">
        <f t="shared" si="6"/>
        <v>1</v>
      </c>
      <c r="AL30" s="54">
        <f t="shared" si="7"/>
        <v>22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/>
      <c r="AC31" s="5"/>
      <c r="AD31" s="5"/>
      <c r="AE31" s="5"/>
      <c r="AF31" s="5"/>
      <c r="AG31" s="5"/>
      <c r="AH31" s="5"/>
      <c r="AI31" s="5"/>
      <c r="AJ31" s="153">
        <f t="shared" si="5"/>
        <v>23</v>
      </c>
      <c r="AK31" s="54">
        <f t="shared" si="6"/>
        <v>6</v>
      </c>
      <c r="AL31" s="54">
        <f t="shared" si="7"/>
        <v>14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23</v>
      </c>
      <c r="AK32" s="84">
        <f t="shared" si="6"/>
        <v>22</v>
      </c>
      <c r="AL32" s="84">
        <f t="shared" si="7"/>
        <v>0</v>
      </c>
      <c r="AM32" s="85">
        <f t="shared" si="8"/>
        <v>1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161</v>
      </c>
      <c r="AK33" s="135">
        <f>SUM(AK26:AK32)</f>
        <v>47</v>
      </c>
      <c r="AL33" s="135">
        <f>SUM(AL26:AL32)</f>
        <v>105</v>
      </c>
      <c r="AM33" s="136">
        <f>SUM(AM26:AM32)</f>
        <v>9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23</v>
      </c>
      <c r="AK34" s="17">
        <f>COUNTIF(E34:AI34,1)</f>
        <v>0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23</v>
      </c>
      <c r="AK35" s="54">
        <f>COUNTIF(E35:AI35,1)</f>
        <v>0</v>
      </c>
      <c r="AL35" s="54">
        <f>COUNTIF(E35:AI35,"тр")</f>
        <v>0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23</v>
      </c>
      <c r="AK36" s="56">
        <f>COUNTIF(E36:AI36,1)</f>
        <v>0</v>
      </c>
      <c r="AL36" s="56">
        <f>COUNTIF(E36:AI36,"тр")</f>
        <v>23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69</v>
      </c>
      <c r="AK37" s="69">
        <f>SUM(AK34:AK36)</f>
        <v>0</v>
      </c>
      <c r="AL37" s="69">
        <f>SUM(AL34:AL36)</f>
        <v>23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23</v>
      </c>
      <c r="AK38" s="19">
        <f>COUNTIF(E38:AI38,1)</f>
        <v>0</v>
      </c>
      <c r="AL38" s="19">
        <f>COUNTIF(E38:AI38,"тр")</f>
        <v>23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23</v>
      </c>
      <c r="AK39" s="69">
        <f>SUM(AK38)</f>
        <v>0</v>
      </c>
      <c r="AL39" s="69">
        <f>SUM(AL38)</f>
        <v>23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23</v>
      </c>
      <c r="AK40" s="17">
        <f>COUNTIF(E40:AI40,1)</f>
        <v>0</v>
      </c>
      <c r="AL40" s="17">
        <f>COUNTIF(E40:AI40,"тр")</f>
        <v>23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23</v>
      </c>
      <c r="AK41" s="54">
        <f>COUNTIF(E41:AI41,1)</f>
        <v>15</v>
      </c>
      <c r="AL41" s="54">
        <f>COUNTIF(E41:AI41,"тр")</f>
        <v>5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23</v>
      </c>
      <c r="AK42" s="56">
        <f>COUNTIF(E42:AI42,1)</f>
        <v>15</v>
      </c>
      <c r="AL42" s="56">
        <f>COUNTIF(E42:AI42,"тр")</f>
        <v>3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69</v>
      </c>
      <c r="AK43" s="69">
        <f>SUM(AK40:AK42)</f>
        <v>30</v>
      </c>
      <c r="AL43" s="69">
        <f>SUM(AL40:AL42)</f>
        <v>31</v>
      </c>
      <c r="AM43" s="75">
        <f>SUM(AM40:AM42)</f>
        <v>8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23</v>
      </c>
      <c r="AK44" s="17">
        <f t="shared" ref="AK44:AK50" si="10">COUNTIF(E44:AI44,1)</f>
        <v>17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/>
      <c r="AC45" s="5"/>
      <c r="AD45" s="5"/>
      <c r="AE45" s="5"/>
      <c r="AF45" s="5"/>
      <c r="AG45" s="5"/>
      <c r="AH45" s="5"/>
      <c r="AI45" s="5"/>
      <c r="AJ45" s="155">
        <f t="shared" si="9"/>
        <v>23</v>
      </c>
      <c r="AK45" s="54">
        <f t="shared" si="10"/>
        <v>22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/>
      <c r="AC46" s="5"/>
      <c r="AD46" s="5"/>
      <c r="AE46" s="5"/>
      <c r="AF46" s="5"/>
      <c r="AG46" s="5"/>
      <c r="AH46" s="5"/>
      <c r="AI46" s="5"/>
      <c r="AJ46" s="155">
        <f t="shared" si="9"/>
        <v>23</v>
      </c>
      <c r="AK46" s="54">
        <f t="shared" si="10"/>
        <v>17</v>
      </c>
      <c r="AL46" s="54">
        <f t="shared" si="11"/>
        <v>0</v>
      </c>
      <c r="AM46" s="55">
        <f t="shared" si="12"/>
        <v>6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/>
      <c r="AC47" s="5"/>
      <c r="AD47" s="5"/>
      <c r="AE47" s="5"/>
      <c r="AF47" s="5"/>
      <c r="AG47" s="5"/>
      <c r="AH47" s="5"/>
      <c r="AI47" s="5"/>
      <c r="AJ47" s="155">
        <f t="shared" si="9"/>
        <v>23</v>
      </c>
      <c r="AK47" s="54">
        <f t="shared" si="10"/>
        <v>18</v>
      </c>
      <c r="AL47" s="54">
        <f t="shared" si="11"/>
        <v>1</v>
      </c>
      <c r="AM47" s="55">
        <f t="shared" si="12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/>
      <c r="AC48" s="5"/>
      <c r="AD48" s="5"/>
      <c r="AE48" s="5"/>
      <c r="AF48" s="5"/>
      <c r="AG48" s="5"/>
      <c r="AH48" s="5"/>
      <c r="AI48" s="5"/>
      <c r="AJ48" s="155">
        <f t="shared" si="9"/>
        <v>23</v>
      </c>
      <c r="AK48" s="54">
        <f t="shared" si="10"/>
        <v>20</v>
      </c>
      <c r="AL48" s="54">
        <f t="shared" si="11"/>
        <v>0</v>
      </c>
      <c r="AM48" s="55">
        <f t="shared" si="12"/>
        <v>3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/>
      <c r="AC49" s="5"/>
      <c r="AD49" s="5"/>
      <c r="AE49" s="5"/>
      <c r="AF49" s="5"/>
      <c r="AG49" s="5"/>
      <c r="AH49" s="5"/>
      <c r="AI49" s="5"/>
      <c r="AJ49" s="155">
        <f t="shared" si="9"/>
        <v>23</v>
      </c>
      <c r="AK49" s="54">
        <f t="shared" si="10"/>
        <v>21</v>
      </c>
      <c r="AL49" s="54">
        <f t="shared" si="11"/>
        <v>0</v>
      </c>
      <c r="AM49" s="55">
        <f t="shared" si="12"/>
        <v>2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23</v>
      </c>
      <c r="AK50" s="56">
        <f t="shared" si="10"/>
        <v>21</v>
      </c>
      <c r="AL50" s="56">
        <f t="shared" si="11"/>
        <v>1</v>
      </c>
      <c r="AM50" s="57">
        <f t="shared" si="12"/>
        <v>1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161</v>
      </c>
      <c r="AK51" s="69">
        <f>SUM(AK44:AK50)</f>
        <v>136</v>
      </c>
      <c r="AL51" s="69">
        <f>SUM(AL44:AL50)</f>
        <v>5</v>
      </c>
      <c r="AM51" s="75">
        <f>SUM(AM44:AM50)</f>
        <v>20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23</v>
      </c>
      <c r="AK52" s="56">
        <f>COUNTIF(E52:AI52,1)</f>
        <v>18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23</v>
      </c>
      <c r="AK53" s="69">
        <f>SUM(AK52:AK52)</f>
        <v>18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23</v>
      </c>
      <c r="AK54" s="80">
        <f>COUNTIF(E54:AI54,1)</f>
        <v>20</v>
      </c>
      <c r="AL54" s="80">
        <f>COUNTIF(E54:AI54,"тр")</f>
        <v>0</v>
      </c>
      <c r="AM54" s="81">
        <f>COUNTIF(E54:AI54,"бв")</f>
        <v>3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23</v>
      </c>
      <c r="AK55" s="56">
        <f>COUNTIF(E55:AI55,1)</f>
        <v>18</v>
      </c>
      <c r="AL55" s="56">
        <f>COUNTIF(E55:AI55,"тр")</f>
        <v>0</v>
      </c>
      <c r="AM55" s="57">
        <f>COUNTIF(E55:AI55,"бв")</f>
        <v>5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23</v>
      </c>
      <c r="AK56" s="84">
        <f>COUNTIF(E56:AI56,1)</f>
        <v>20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69</v>
      </c>
      <c r="AK57" s="69">
        <f>SUM(AK54:AK56)</f>
        <v>58</v>
      </c>
      <c r="AL57" s="69">
        <f>SUM(AL54:AL56)</f>
        <v>0</v>
      </c>
      <c r="AM57" s="75">
        <f>SUM(AM54:AM56)</f>
        <v>11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1058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23</v>
      </c>
      <c r="AK62" s="17">
        <f>COUNTIF(E62:AI62,1)</f>
        <v>23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23</v>
      </c>
      <c r="AK63" s="54">
        <f>COUNTIF(E63:AI63,1)</f>
        <v>23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23</v>
      </c>
      <c r="AK64" s="54">
        <f>COUNTIF(E64:AI64,1)</f>
        <v>20</v>
      </c>
      <c r="AL64" s="54">
        <f>COUNTIF(E64:AI64,"тр")</f>
        <v>0</v>
      </c>
      <c r="AM64" s="55">
        <f>COUNTIF(E64:AI64,"бв")</f>
        <v>3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23</v>
      </c>
      <c r="AK65" s="54">
        <f>COUNTIF(E65:AI65,1)</f>
        <v>0</v>
      </c>
      <c r="AL65" s="54">
        <f>COUNTIF(E65:AI65,"тр")</f>
        <v>23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23</v>
      </c>
      <c r="AK66" s="56">
        <f>COUNTIF(E66:AI66,1)</f>
        <v>0</v>
      </c>
      <c r="AL66" s="56">
        <f>COUNTIF(E66:AI66,"тр")</f>
        <v>23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115</v>
      </c>
      <c r="AK67" s="69">
        <f t="shared" ref="AK67:AM67" si="14">SUM(AK62:AK66)</f>
        <v>66</v>
      </c>
      <c r="AL67" s="69">
        <f t="shared" si="14"/>
        <v>46</v>
      </c>
      <c r="AM67" s="75">
        <f t="shared" si="14"/>
        <v>3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115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2019-08-26T05:24:45Z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