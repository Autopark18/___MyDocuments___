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<sst xmlns="http://schemas.openxmlformats.org/spreadsheetml/2006/main" count="4705" uniqueCount="87">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</sst>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59" sqref="AH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/>
      <c r="AJ4" s="152">
        <f t="shared" ref="AJ4:AJ24" si="0">COUNTA(E4:AI4)</f>
        <v>30</v>
      </c>
      <c r="AK4" s="80">
        <f t="shared" ref="AK4:AK24" si="1">COUNTIF(E4:AI4,1)</f>
        <v>24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/>
      <c r="AJ5" s="153">
        <f t="shared" si="0"/>
        <v>30</v>
      </c>
      <c r="AK5" s="54">
        <f t="shared" si="1"/>
        <v>8</v>
      </c>
      <c r="AL5" s="54">
        <f t="shared" si="2"/>
        <v>22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/>
      <c r="AJ6" s="153">
        <f t="shared" si="0"/>
        <v>30</v>
      </c>
      <c r="AK6" s="54">
        <f t="shared" si="1"/>
        <v>30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/>
      <c r="AJ7" s="153">
        <f t="shared" si="0"/>
        <v>30</v>
      </c>
      <c r="AK7" s="54">
        <f t="shared" si="1"/>
        <v>19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/>
      <c r="AJ8" s="153">
        <f t="shared" si="0"/>
        <v>30</v>
      </c>
      <c r="AK8" s="54">
        <f t="shared" si="1"/>
        <v>21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/>
      <c r="AJ9" s="153">
        <f t="shared" si="0"/>
        <v>30</v>
      </c>
      <c r="AK9" s="54">
        <f t="shared" si="1"/>
        <v>25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/>
      <c r="AJ10" s="153">
        <f t="shared" si="0"/>
        <v>30</v>
      </c>
      <c r="AK10" s="54">
        <f t="shared" si="1"/>
        <v>27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/>
      <c r="AJ11" s="153">
        <f t="shared" si="0"/>
        <v>30</v>
      </c>
      <c r="AK11" s="54">
        <f t="shared" si="1"/>
        <v>30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/>
      <c r="AJ12" s="153">
        <f t="shared" si="0"/>
        <v>30</v>
      </c>
      <c r="AK12" s="54">
        <f t="shared" si="1"/>
        <v>14</v>
      </c>
      <c r="AL12" s="54">
        <f t="shared" si="2"/>
        <v>14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/>
      <c r="AJ13" s="153">
        <f t="shared" si="0"/>
        <v>30</v>
      </c>
      <c r="AK13" s="54">
        <f t="shared" si="1"/>
        <v>30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/>
      <c r="AJ14" s="153">
        <f t="shared" si="0"/>
        <v>30</v>
      </c>
      <c r="AK14" s="54">
        <f t="shared" si="1"/>
        <v>30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/>
      <c r="AJ15" s="153">
        <f t="shared" si="0"/>
        <v>30</v>
      </c>
      <c r="AK15" s="54">
        <f t="shared" si="1"/>
        <v>26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/>
      <c r="AJ16" s="153">
        <f t="shared" si="0"/>
        <v>30</v>
      </c>
      <c r="AK16" s="54">
        <f t="shared" si="1"/>
        <v>30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/>
      <c r="AJ17" s="153">
        <f t="shared" si="0"/>
        <v>30</v>
      </c>
      <c r="AK17" s="54">
        <f t="shared" si="1"/>
        <v>29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/>
      <c r="AJ18" s="153">
        <f t="shared" si="0"/>
        <v>30</v>
      </c>
      <c r="AK18" s="54">
        <f t="shared" si="1"/>
        <v>1</v>
      </c>
      <c r="AL18" s="54">
        <f t="shared" si="2"/>
        <v>20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/>
      <c r="AJ19" s="153">
        <f t="shared" si="0"/>
        <v>30</v>
      </c>
      <c r="AK19" s="54">
        <f t="shared" si="1"/>
        <v>10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/>
      <c r="AJ20" s="153">
        <f t="shared" si="0"/>
        <v>30</v>
      </c>
      <c r="AK20" s="54">
        <f t="shared" si="1"/>
        <v>2</v>
      </c>
      <c r="AL20" s="54">
        <f t="shared" si="2"/>
        <v>28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/>
      <c r="AJ21" s="153">
        <f t="shared" si="0"/>
        <v>30</v>
      </c>
      <c r="AK21" s="54">
        <f t="shared" si="1"/>
        <v>15</v>
      </c>
      <c r="AL21" s="54">
        <f t="shared" si="2"/>
        <v>14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/>
      <c r="AJ22" s="153">
        <f t="shared" si="0"/>
        <v>30</v>
      </c>
      <c r="AK22" s="54">
        <f t="shared" si="1"/>
        <v>28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/>
      <c r="AJ23" s="153">
        <f t="shared" si="0"/>
        <v>30</v>
      </c>
      <c r="AK23" s="54">
        <f t="shared" si="1"/>
        <v>28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/>
      <c r="AJ24" s="156">
        <f t="shared" si="0"/>
        <v>30</v>
      </c>
      <c r="AK24" s="56">
        <f t="shared" si="1"/>
        <v>28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630</v>
      </c>
      <c r="AK25" s="69">
        <f>SUM(AK4:AK24)</f>
        <v>455</v>
      </c>
      <c r="AL25" s="69">
        <f>SUM(AL4:AL24)</f>
        <v>128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/>
      <c r="AJ26" s="152">
        <f t="shared" ref="AJ26:AJ32" si="5">COUNTA(E26:AI26)</f>
        <v>30</v>
      </c>
      <c r="AK26" s="80">
        <f t="shared" ref="AK26:AK32" si="6">COUNTIF(E26:AI26,1)</f>
        <v>25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/>
      <c r="AJ27" s="153">
        <f t="shared" si="5"/>
        <v>30</v>
      </c>
      <c r="AK27" s="54">
        <f t="shared" si="6"/>
        <v>0</v>
      </c>
      <c r="AL27" s="54">
        <f t="shared" si="7"/>
        <v>30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/>
      <c r="AJ28" s="153">
        <f t="shared" si="5"/>
        <v>30</v>
      </c>
      <c r="AK28" s="54">
        <f t="shared" si="6"/>
        <v>0</v>
      </c>
      <c r="AL28" s="54">
        <f t="shared" si="7"/>
        <v>30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/>
      <c r="AJ29" s="153">
        <f t="shared" si="5"/>
        <v>30</v>
      </c>
      <c r="AK29" s="54">
        <f t="shared" si="6"/>
        <v>0</v>
      </c>
      <c r="AL29" s="54">
        <f t="shared" si="7"/>
        <v>30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/>
      <c r="AJ30" s="153">
        <f t="shared" si="5"/>
        <v>30</v>
      </c>
      <c r="AK30" s="54">
        <f t="shared" si="6"/>
        <v>24</v>
      </c>
      <c r="AL30" s="54">
        <f t="shared" si="7"/>
        <v>1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/>
      <c r="AJ31" s="153">
        <f t="shared" si="5"/>
        <v>30</v>
      </c>
      <c r="AK31" s="54">
        <f t="shared" si="6"/>
        <v>27</v>
      </c>
      <c r="AL31" s="54">
        <f t="shared" si="7"/>
        <v>1</v>
      </c>
      <c r="AM31" s="55">
        <f t="shared" si="8"/>
        <v>2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/>
      <c r="AJ32" s="154">
        <f t="shared" si="5"/>
        <v>30</v>
      </c>
      <c r="AK32" s="84">
        <f t="shared" si="6"/>
        <v>27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210</v>
      </c>
      <c r="AK33" s="135">
        <f>SUM(AK26:AK32)</f>
        <v>103</v>
      </c>
      <c r="AL33" s="135">
        <f>SUM(AL26:AL32)</f>
        <v>93</v>
      </c>
      <c r="AM33" s="136">
        <f>SUM(AM26:AM32)</f>
        <v>14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/>
      <c r="AJ34" s="155">
        <f>COUNTA(E34:AI34)</f>
        <v>30</v>
      </c>
      <c r="AK34" s="17">
        <f>COUNTIF(E34:AI34,1)</f>
        <v>0</v>
      </c>
      <c r="AL34" s="17">
        <f>COUNTIF(E34:AI34,"тр")</f>
        <v>0</v>
      </c>
      <c r="AM34" s="18">
        <f>COUNTIF(E34:AI34,"бв")</f>
        <v>30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/>
      <c r="AJ35" s="155">
        <f>COUNTA(E35:AI35)</f>
        <v>30</v>
      </c>
      <c r="AK35" s="54">
        <f>COUNTIF(E35:AI35,1)</f>
        <v>1</v>
      </c>
      <c r="AL35" s="54">
        <f>COUNTIF(E35:AI35,"тр")</f>
        <v>0</v>
      </c>
      <c r="AM35" s="55">
        <f>COUNTIF(E35:AI35,"бв")</f>
        <v>29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/>
      <c r="AJ36" s="155">
        <f>COUNTA(E36:AI36)</f>
        <v>30</v>
      </c>
      <c r="AK36" s="56">
        <f>COUNTIF(E36:AI36,1)</f>
        <v>0</v>
      </c>
      <c r="AL36" s="56">
        <f>COUNTIF(E36:AI36,"тр")</f>
        <v>30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90</v>
      </c>
      <c r="AK37" s="69">
        <f>SUM(AK34:AK36)</f>
        <v>1</v>
      </c>
      <c r="AL37" s="69">
        <f>SUM(AL34:AL36)</f>
        <v>30</v>
      </c>
      <c r="AM37" s="75">
        <f>SUM(AM34:AM36)</f>
        <v>59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/>
      <c r="AJ38" s="155">
        <f>COUNTA(E38:AI38)</f>
        <v>30</v>
      </c>
      <c r="AK38" s="19">
        <f>COUNTIF(E38:AI38,1)</f>
        <v>0</v>
      </c>
      <c r="AL38" s="19">
        <f>COUNTIF(E38:AI38,"тр")</f>
        <v>30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30</v>
      </c>
      <c r="AK39" s="69">
        <f>SUM(AK38)</f>
        <v>0</v>
      </c>
      <c r="AL39" s="69">
        <f>SUM(AL38)</f>
        <v>30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/>
      <c r="AJ40" s="155">
        <f>COUNTA(E40:AI40)</f>
        <v>30</v>
      </c>
      <c r="AK40" s="17">
        <f>COUNTIF(E40:AI40,1)</f>
        <v>0</v>
      </c>
      <c r="AL40" s="17">
        <f>COUNTIF(E40:AI40,"тр")</f>
        <v>30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/>
      <c r="AJ41" s="155">
        <f>COUNTA(E41:AI41)</f>
        <v>30</v>
      </c>
      <c r="AK41" s="54">
        <f>COUNTIF(E41:AI41,1)</f>
        <v>24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/>
      <c r="AJ42" s="155">
        <f>COUNTA(E42:AI42)</f>
        <v>30</v>
      </c>
      <c r="AK42" s="56">
        <f>COUNTIF(E42:AI42,1)</f>
        <v>17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90</v>
      </c>
      <c r="AK43" s="69">
        <f>SUM(AK40:AK42)</f>
        <v>41</v>
      </c>
      <c r="AL43" s="69">
        <f>SUM(AL40:AL42)</f>
        <v>36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/>
      <c r="AJ44" s="155">
        <f t="shared" ref="AJ44:AJ50" si="9">COUNTA(E44:AI44)</f>
        <v>30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2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/>
      <c r="AJ45" s="155">
        <f t="shared" si="9"/>
        <v>30</v>
      </c>
      <c r="AK45" s="54">
        <f t="shared" si="10"/>
        <v>24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/>
      <c r="AJ46" s="155">
        <f t="shared" si="9"/>
        <v>30</v>
      </c>
      <c r="AK46" s="54">
        <f t="shared" si="10"/>
        <v>21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/>
      <c r="AJ47" s="155">
        <f t="shared" si="9"/>
        <v>30</v>
      </c>
      <c r="AK47" s="54">
        <f t="shared" si="10"/>
        <v>26</v>
      </c>
      <c r="AL47" s="54">
        <f t="shared" si="11"/>
        <v>0</v>
      </c>
      <c r="AM47" s="55">
        <f t="shared" si="12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/>
      <c r="AJ48" s="155">
        <f t="shared" si="9"/>
        <v>30</v>
      </c>
      <c r="AK48" s="54">
        <f t="shared" si="10"/>
        <v>20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/>
      <c r="AJ49" s="155">
        <f t="shared" si="9"/>
        <v>30</v>
      </c>
      <c r="AK49" s="54">
        <f t="shared" si="10"/>
        <v>29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/>
      <c r="AJ50" s="155">
        <f t="shared" si="9"/>
        <v>30</v>
      </c>
      <c r="AK50" s="56">
        <f t="shared" si="10"/>
        <v>22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210</v>
      </c>
      <c r="AK51" s="69">
        <f>SUM(AK44:AK50)</f>
        <v>164</v>
      </c>
      <c r="AL51" s="69">
        <f>SUM(AL44:AL50)</f>
        <v>8</v>
      </c>
      <c r="AM51" s="75">
        <f>SUM(AM44:AM50)</f>
        <v>38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/>
      <c r="AJ52" s="155">
        <f>COUNTA(E52:AI52)</f>
        <v>30</v>
      </c>
      <c r="AK52" s="56">
        <f>COUNTIF(E52:AI52,1)</f>
        <v>25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30</v>
      </c>
      <c r="AK53" s="69">
        <f>SUM(AK52:AK52)</f>
        <v>25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/>
      <c r="AJ54" s="152">
        <f>COUNTA(E54:AI54)</f>
        <v>30</v>
      </c>
      <c r="AK54" s="80">
        <f>COUNTIF(E54:AI54,1)</f>
        <v>24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/>
      <c r="AJ55" s="155">
        <f>COUNTA(E55:AI55)</f>
        <v>30</v>
      </c>
      <c r="AK55" s="56">
        <f>COUNTIF(E55:AI55,1)</f>
        <v>26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/>
      <c r="AJ56" s="157">
        <f>COUNTA(E56:AI56)</f>
        <v>30</v>
      </c>
      <c r="AK56" s="84">
        <f>COUNTIF(E56:AI56,1)</f>
        <v>26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90</v>
      </c>
      <c r="AK57" s="69">
        <f>SUM(AK54:AK56)</f>
        <v>76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1380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/>
      <c r="AJ62" s="155">
        <f>COUNTA(E62:AI62)</f>
        <v>30</v>
      </c>
      <c r="AK62" s="17">
        <f>COUNTIF(E62:AI62,1)</f>
        <v>30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/>
      <c r="AJ63" s="153">
        <f>COUNTA(E63:AI63)</f>
        <v>30</v>
      </c>
      <c r="AK63" s="54">
        <f>COUNTIF(E63:AI63,1)</f>
        <v>30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/>
      <c r="AJ64" s="153">
        <f>COUNTA(E64:AI64)</f>
        <v>30</v>
      </c>
      <c r="AK64" s="54">
        <f>COUNTIF(E64:AI64,1)</f>
        <v>24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/>
      <c r="AJ65" s="153">
        <f>COUNTA(E65:AI65)</f>
        <v>30</v>
      </c>
      <c r="AK65" s="54">
        <f>COUNTIF(E65:AI65,1)</f>
        <v>0</v>
      </c>
      <c r="AL65" s="54">
        <f>COUNTIF(E65:AI65,"тр")</f>
        <v>30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/>
      <c r="AJ66" s="156">
        <f>COUNTA(E66:AI66)</f>
        <v>30</v>
      </c>
      <c r="AK66" s="56">
        <f>COUNTIF(E66:AI66,1)</f>
        <v>0</v>
      </c>
      <c r="AL66" s="56">
        <f>COUNTIF(E66:AI66,"тр")</f>
        <v>30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150</v>
      </c>
      <c r="AK67" s="69">
        <f t="shared" ref="AK67:AM67" si="14">SUM(AK62:AK66)</f>
        <v>84</v>
      </c>
      <c r="AL67" s="69">
        <f t="shared" si="14"/>
        <v>60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2019-07-30T07:10:47Z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