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<sst xmlns="http://schemas.openxmlformats.org/spreadsheetml/2006/main" count="1345" uniqueCount="81">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</sst>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X44" sqref="X4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/>
      <c r="Z8" s="5"/>
      <c r="AA8" s="5"/>
      <c r="AB8" s="5"/>
      <c r="AC8" s="5"/>
      <c r="AD8" s="5"/>
      <c r="AE8" s="5"/>
      <c r="AF8" s="79"/>
      <c r="AG8" s="83">
        <f t="shared" ref="AG8:AG60" si="4">COUNTA(E8:AF8)</f>
        <v>20</v>
      </c>
      <c r="AH8" s="54">
        <f t="shared" si="0"/>
        <v>16</v>
      </c>
      <c r="AI8" s="54">
        <f t="shared" si="1"/>
        <v>0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/>
      <c r="Z9" s="5"/>
      <c r="AA9" s="5"/>
      <c r="AB9" s="5"/>
      <c r="AC9" s="5"/>
      <c r="AD9" s="5"/>
      <c r="AE9" s="5"/>
      <c r="AF9" s="79"/>
      <c r="AG9" s="83">
        <f t="shared" si="4"/>
        <v>20</v>
      </c>
      <c r="AH9" s="54">
        <f t="shared" si="0"/>
        <v>7</v>
      </c>
      <c r="AI9" s="54">
        <f t="shared" si="1"/>
        <v>13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/>
      <c r="Z10" s="5"/>
      <c r="AA10" s="5"/>
      <c r="AB10" s="5"/>
      <c r="AC10" s="5"/>
      <c r="AD10" s="5"/>
      <c r="AE10" s="5"/>
      <c r="AF10" s="79"/>
      <c r="AG10" s="83">
        <f t="shared" si="4"/>
        <v>20</v>
      </c>
      <c r="AH10" s="54">
        <f t="shared" si="0"/>
        <v>12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/>
      <c r="Z11" s="5"/>
      <c r="AA11" s="5"/>
      <c r="AB11" s="5"/>
      <c r="AC11" s="5"/>
      <c r="AD11" s="5"/>
      <c r="AE11" s="5"/>
      <c r="AF11" s="79"/>
      <c r="AG11" s="83">
        <f t="shared" si="4"/>
        <v>20</v>
      </c>
      <c r="AH11" s="54">
        <f t="shared" si="0"/>
        <v>18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/>
      <c r="Z12" s="5"/>
      <c r="AA12" s="5"/>
      <c r="AB12" s="5"/>
      <c r="AC12" s="5"/>
      <c r="AD12" s="5"/>
      <c r="AE12" s="5"/>
      <c r="AF12" s="79"/>
      <c r="AG12" s="83">
        <f t="shared" si="4"/>
        <v>20</v>
      </c>
      <c r="AH12" s="54">
        <f t="shared" si="0"/>
        <v>14</v>
      </c>
      <c r="AI12" s="54">
        <f t="shared" si="1"/>
        <v>0</v>
      </c>
      <c r="AJ12" s="55">
        <f t="shared" si="2"/>
        <v>6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/>
      <c r="Z13" s="5"/>
      <c r="AA13" s="5"/>
      <c r="AB13" s="5"/>
      <c r="AC13" s="5"/>
      <c r="AD13" s="5"/>
      <c r="AE13" s="5"/>
      <c r="AF13" s="79"/>
      <c r="AG13" s="83">
        <f t="shared" si="4"/>
        <v>20</v>
      </c>
      <c r="AH13" s="54">
        <f t="shared" si="0"/>
        <v>17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/>
      <c r="Z14" s="5"/>
      <c r="AA14" s="5"/>
      <c r="AB14" s="5"/>
      <c r="AC14" s="5"/>
      <c r="AD14" s="5"/>
      <c r="AE14" s="5"/>
      <c r="AF14" s="79"/>
      <c r="AG14" s="83">
        <f t="shared" si="4"/>
        <v>20</v>
      </c>
      <c r="AH14" s="54">
        <f t="shared" si="0"/>
        <v>19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/>
      <c r="Z15" s="5"/>
      <c r="AA15" s="5"/>
      <c r="AB15" s="5"/>
      <c r="AC15" s="5"/>
      <c r="AD15" s="5"/>
      <c r="AE15" s="5"/>
      <c r="AF15" s="79"/>
      <c r="AG15" s="83">
        <f t="shared" si="4"/>
        <v>20</v>
      </c>
      <c r="AH15" s="54">
        <f t="shared" si="0"/>
        <v>17</v>
      </c>
      <c r="AI15" s="54">
        <f t="shared" si="1"/>
        <v>0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/>
      <c r="Z16" s="5"/>
      <c r="AA16" s="5"/>
      <c r="AB16" s="5"/>
      <c r="AC16" s="5"/>
      <c r="AD16" s="5"/>
      <c r="AE16" s="5"/>
      <c r="AF16" s="79"/>
      <c r="AG16" s="83">
        <f t="shared" si="4"/>
        <v>20</v>
      </c>
      <c r="AH16" s="54">
        <f t="shared" si="0"/>
        <v>15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/>
      <c r="Z17" s="5"/>
      <c r="AA17" s="5"/>
      <c r="AB17" s="5"/>
      <c r="AC17" s="5"/>
      <c r="AD17" s="5"/>
      <c r="AE17" s="5"/>
      <c r="AF17" s="79"/>
      <c r="AG17" s="83">
        <f t="shared" si="4"/>
        <v>20</v>
      </c>
      <c r="AH17" s="54">
        <f t="shared" si="0"/>
        <v>20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/>
      <c r="Z18" s="5"/>
      <c r="AA18" s="5"/>
      <c r="AB18" s="5"/>
      <c r="AC18" s="5"/>
      <c r="AD18" s="5"/>
      <c r="AE18" s="5"/>
      <c r="AF18" s="79"/>
      <c r="AG18" s="83">
        <f t="shared" si="4"/>
        <v>20</v>
      </c>
      <c r="AH18" s="54">
        <f t="shared" si="0"/>
        <v>14</v>
      </c>
      <c r="AI18" s="54">
        <f t="shared" si="1"/>
        <v>2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/>
      <c r="Z19" s="5"/>
      <c r="AA19" s="5"/>
      <c r="AB19" s="5"/>
      <c r="AC19" s="5"/>
      <c r="AD19" s="5"/>
      <c r="AE19" s="5"/>
      <c r="AF19" s="79"/>
      <c r="AG19" s="83">
        <f t="shared" si="4"/>
        <v>20</v>
      </c>
      <c r="AH19" s="54">
        <f t="shared" si="0"/>
        <v>17</v>
      </c>
      <c r="AI19" s="54">
        <f t="shared" si="1"/>
        <v>0</v>
      </c>
      <c r="AJ19" s="55">
        <f t="shared" si="2"/>
        <v>3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/>
      <c r="Z20" s="5"/>
      <c r="AA20" s="5"/>
      <c r="AB20" s="5"/>
      <c r="AC20" s="5"/>
      <c r="AD20" s="5"/>
      <c r="AE20" s="5"/>
      <c r="AF20" s="79"/>
      <c r="AG20" s="83">
        <f t="shared" si="4"/>
        <v>20</v>
      </c>
      <c r="AH20" s="54">
        <f t="shared" si="0"/>
        <v>20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/>
      <c r="Z21" s="5"/>
      <c r="AA21" s="5"/>
      <c r="AB21" s="5"/>
      <c r="AC21" s="5"/>
      <c r="AD21" s="5"/>
      <c r="AE21" s="5"/>
      <c r="AF21" s="79"/>
      <c r="AG21" s="83">
        <f>COUNTA(E21:AF21)</f>
        <v>20</v>
      </c>
      <c r="AH21" s="54">
        <f t="shared" si="0"/>
        <v>20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/>
      <c r="Z22" s="5"/>
      <c r="AA22" s="5"/>
      <c r="AB22" s="5"/>
      <c r="AC22" s="5"/>
      <c r="AD22" s="5"/>
      <c r="AE22" s="5"/>
      <c r="AF22" s="79"/>
      <c r="AG22" s="83">
        <f t="shared" si="4"/>
        <v>20</v>
      </c>
      <c r="AH22" s="54">
        <f t="shared" si="0"/>
        <v>16</v>
      </c>
      <c r="AI22" s="54">
        <f t="shared" si="1"/>
        <v>0</v>
      </c>
      <c r="AJ22" s="55">
        <f t="shared" si="2"/>
        <v>4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0</v>
      </c>
      <c r="AI23" s="54">
        <f t="shared" si="1"/>
        <v>27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/>
      <c r="Z24" s="5"/>
      <c r="AA24" s="5"/>
      <c r="AB24" s="5"/>
      <c r="AC24" s="5"/>
      <c r="AD24" s="5"/>
      <c r="AE24" s="5"/>
      <c r="AF24" s="79"/>
      <c r="AG24" s="83">
        <f t="shared" si="4"/>
        <v>20</v>
      </c>
      <c r="AH24" s="54">
        <f t="shared" si="0"/>
        <v>18</v>
      </c>
      <c r="AI24" s="54">
        <f t="shared" si="1"/>
        <v>0</v>
      </c>
      <c r="AJ24" s="55">
        <f t="shared" si="2"/>
        <v>2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 t="s">
        <v>57</v>
      </c>
      <c r="V25" s="98">
        <v>1</v>
      </c>
      <c r="W25" s="98">
        <v>1</v>
      </c>
      <c r="X25" s="98">
        <v>1</v>
      </c>
      <c r="Y25" s="98"/>
      <c r="Z25" s="98"/>
      <c r="AA25" s="98"/>
      <c r="AB25" s="98"/>
      <c r="AC25" s="98"/>
      <c r="AD25" s="98"/>
      <c r="AE25" s="98"/>
      <c r="AF25" s="103"/>
      <c r="AG25" s="84">
        <f t="shared" si="4"/>
        <v>20</v>
      </c>
      <c r="AH25" s="85">
        <f t="shared" si="0"/>
        <v>19</v>
      </c>
      <c r="AI25" s="85">
        <f t="shared" si="1"/>
        <v>0</v>
      </c>
      <c r="AJ25" s="86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396</v>
      </c>
      <c r="AH26" s="142">
        <f t="shared" ref="AH26:AJ26" si="5">SUM(AH7:AH25)</f>
        <v>279</v>
      </c>
      <c r="AI26" s="142">
        <f t="shared" si="5"/>
        <v>82</v>
      </c>
      <c r="AJ26" s="143">
        <f t="shared" si="5"/>
        <v>35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/>
      <c r="Z27" s="35"/>
      <c r="AA27" s="35"/>
      <c r="AB27" s="35"/>
      <c r="AC27" s="35"/>
      <c r="AD27" s="35"/>
      <c r="AE27" s="35"/>
      <c r="AF27" s="126"/>
      <c r="AG27" s="80">
        <f t="shared" si="4"/>
        <v>20</v>
      </c>
      <c r="AH27" s="81">
        <f t="shared" ref="AH27:AH33" si="6">COUNTIF(E27:AF27,1)</f>
        <v>2</v>
      </c>
      <c r="AI27" s="81">
        <f t="shared" ref="AI27:AI33" si="7">COUNTIF(E27:AF27,"тр")</f>
        <v>16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/>
      <c r="Z29" s="5"/>
      <c r="AA29" s="5"/>
      <c r="AB29" s="5"/>
      <c r="AC29" s="5"/>
      <c r="AD29" s="5"/>
      <c r="AE29" s="5"/>
      <c r="AF29" s="79"/>
      <c r="AG29" s="83">
        <f t="shared" si="4"/>
        <v>20</v>
      </c>
      <c r="AH29" s="54">
        <f t="shared" si="6"/>
        <v>16</v>
      </c>
      <c r="AI29" s="54">
        <f t="shared" si="7"/>
        <v>0</v>
      </c>
      <c r="AJ29" s="55">
        <f t="shared" si="8"/>
        <v>4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/>
      <c r="Z30" s="5"/>
      <c r="AA30" s="5"/>
      <c r="AB30" s="5"/>
      <c r="AC30" s="5"/>
      <c r="AD30" s="5"/>
      <c r="AE30" s="5"/>
      <c r="AF30" s="79"/>
      <c r="AG30" s="83">
        <f t="shared" si="4"/>
        <v>20</v>
      </c>
      <c r="AH30" s="54">
        <f t="shared" si="6"/>
        <v>8</v>
      </c>
      <c r="AI30" s="54">
        <f t="shared" si="7"/>
        <v>2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/>
      <c r="Z31" s="5"/>
      <c r="AA31" s="5"/>
      <c r="AB31" s="5"/>
      <c r="AC31" s="5"/>
      <c r="AD31" s="5"/>
      <c r="AE31" s="5"/>
      <c r="AF31" s="79"/>
      <c r="AG31" s="83">
        <f t="shared" si="4"/>
        <v>20</v>
      </c>
      <c r="AH31" s="54">
        <f t="shared" si="6"/>
        <v>17</v>
      </c>
      <c r="AI31" s="54">
        <f t="shared" si="7"/>
        <v>0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/>
      <c r="Z32" s="5"/>
      <c r="AA32" s="5"/>
      <c r="AB32" s="5"/>
      <c r="AC32" s="5"/>
      <c r="AD32" s="5"/>
      <c r="AE32" s="5"/>
      <c r="AF32" s="79"/>
      <c r="AG32" s="83">
        <f t="shared" si="4"/>
        <v>20</v>
      </c>
      <c r="AH32" s="54">
        <f t="shared" si="6"/>
        <v>13</v>
      </c>
      <c r="AI32" s="54">
        <f t="shared" si="7"/>
        <v>2</v>
      </c>
      <c r="AJ32" s="55">
        <f t="shared" si="8"/>
        <v>5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/>
      <c r="Z33" s="42"/>
      <c r="AA33" s="42"/>
      <c r="AB33" s="42"/>
      <c r="AC33" s="42"/>
      <c r="AD33" s="42"/>
      <c r="AE33" s="42"/>
      <c r="AF33" s="127"/>
      <c r="AG33" s="84">
        <f t="shared" si="4"/>
        <v>20</v>
      </c>
      <c r="AH33" s="85">
        <f t="shared" si="6"/>
        <v>14</v>
      </c>
      <c r="AI33" s="85">
        <f t="shared" si="7"/>
        <v>5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148</v>
      </c>
      <c r="AH34" s="136">
        <f>SUM(AH27:AH33)</f>
        <v>70</v>
      </c>
      <c r="AI34" s="136">
        <f>SUM(AI27:AI33)</f>
        <v>53</v>
      </c>
      <c r="AJ34" s="137">
        <f>SUM(AJ27:AJ33)</f>
        <v>25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/>
      <c r="Z35" s="35"/>
      <c r="AA35" s="35"/>
      <c r="AB35" s="35"/>
      <c r="AC35" s="35"/>
      <c r="AD35" s="35"/>
      <c r="AE35" s="35"/>
      <c r="AF35" s="35"/>
      <c r="AG35" s="73">
        <f t="shared" si="4"/>
        <v>20</v>
      </c>
      <c r="AH35" s="17">
        <f>COUNTIF(E35:AF35,1)</f>
        <v>6</v>
      </c>
      <c r="AI35" s="17">
        <f>COUNTIF(E35:AF35,"тр")</f>
        <v>12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/>
      <c r="Z36" s="5"/>
      <c r="AA36" s="5"/>
      <c r="AB36" s="5"/>
      <c r="AC36" s="5"/>
      <c r="AD36" s="5"/>
      <c r="AE36" s="5"/>
      <c r="AF36" s="5"/>
      <c r="AG36" s="73">
        <f t="shared" si="4"/>
        <v>20</v>
      </c>
      <c r="AH36" s="54">
        <f>COUNTIF(E36:AF36,1)</f>
        <v>14</v>
      </c>
      <c r="AI36" s="54">
        <f>COUNTIF(E36:AF36,"тр")</f>
        <v>0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68</v>
      </c>
      <c r="AH38" s="70">
        <f>SUM(AH35:AH37)</f>
        <v>20</v>
      </c>
      <c r="AI38" s="70">
        <f>SUM(AI35:AI37)</f>
        <v>40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 t="s">
        <v>58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 t="s">
        <v>58</v>
      </c>
      <c r="Y44" s="35"/>
      <c r="Z44" s="35"/>
      <c r="AA44" s="35"/>
      <c r="AB44" s="35"/>
      <c r="AC44" s="35"/>
      <c r="AD44" s="35"/>
      <c r="AE44" s="35"/>
      <c r="AF44" s="35"/>
      <c r="AG44" s="73">
        <f t="shared" si="4"/>
        <v>20</v>
      </c>
      <c r="AH44" s="17">
        <f>COUNTIF(E44:AF44,1)</f>
        <v>16</v>
      </c>
      <c r="AI44" s="17">
        <f>COUNTIF(E44:AF44,"тр")</f>
        <v>3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 t="s">
        <v>57</v>
      </c>
      <c r="S45" s="5" t="s">
        <v>57</v>
      </c>
      <c r="T45" s="5" t="s">
        <v>58</v>
      </c>
      <c r="U45" s="5" t="s">
        <v>58</v>
      </c>
      <c r="V45" s="5" t="s">
        <v>58</v>
      </c>
      <c r="W45" s="5" t="s">
        <v>58</v>
      </c>
      <c r="X45" s="5" t="s">
        <v>58</v>
      </c>
      <c r="Y45" s="5"/>
      <c r="Z45" s="5"/>
      <c r="AA45" s="5"/>
      <c r="AB45" s="5"/>
      <c r="AC45" s="5"/>
      <c r="AD45" s="5"/>
      <c r="AE45" s="5"/>
      <c r="AF45" s="5"/>
      <c r="AG45" s="73">
        <f t="shared" si="4"/>
        <v>20</v>
      </c>
      <c r="AH45" s="54">
        <f>COUNTIF(E45:AF45,1)</f>
        <v>6</v>
      </c>
      <c r="AI45" s="54">
        <f>COUNTIF(E45:AF45,"тр")</f>
        <v>5</v>
      </c>
      <c r="AJ45" s="55">
        <f>COUNTIF(E45:AF45,"бв")</f>
        <v>9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 t="s">
        <v>58</v>
      </c>
      <c r="S46" s="42" t="s">
        <v>58</v>
      </c>
      <c r="T46" s="42" t="s">
        <v>58</v>
      </c>
      <c r="U46" s="42" t="s">
        <v>58</v>
      </c>
      <c r="V46" s="42" t="s">
        <v>58</v>
      </c>
      <c r="W46" s="42" t="s">
        <v>58</v>
      </c>
      <c r="X46" s="42" t="s">
        <v>58</v>
      </c>
      <c r="Y46" s="42"/>
      <c r="Z46" s="42"/>
      <c r="AA46" s="42"/>
      <c r="AB46" s="42"/>
      <c r="AC46" s="42"/>
      <c r="AD46" s="42"/>
      <c r="AE46" s="42"/>
      <c r="AF46" s="42"/>
      <c r="AG46" s="73">
        <f t="shared" si="4"/>
        <v>20</v>
      </c>
      <c r="AH46" s="56">
        <f>COUNTIF(E46:AF46,1)</f>
        <v>0</v>
      </c>
      <c r="AI46" s="56">
        <f>COUNTIF(E46:AF46,"тр")</f>
        <v>20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60</v>
      </c>
      <c r="AH47" s="70">
        <f>SUM(AH44:AH46)</f>
        <v>22</v>
      </c>
      <c r="AI47" s="70">
        <f>SUM(AI44:AI46)</f>
        <v>28</v>
      </c>
      <c r="AJ47" s="76">
        <f>SUM(AJ44:AJ46)</f>
        <v>10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 t="s">
        <v>58</v>
      </c>
      <c r="S48" s="35" t="s">
        <v>58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/>
      <c r="Z48" s="35"/>
      <c r="AA48" s="35"/>
      <c r="AB48" s="35"/>
      <c r="AC48" s="35"/>
      <c r="AD48" s="35"/>
      <c r="AE48" s="35"/>
      <c r="AF48" s="35"/>
      <c r="AG48" s="73">
        <f t="shared" si="4"/>
        <v>20</v>
      </c>
      <c r="AH48" s="17">
        <f t="shared" ref="AH48:AH54" si="9">COUNTIF(E48:AF48,1)</f>
        <v>18</v>
      </c>
      <c r="AI48" s="17">
        <f t="shared" ref="AI48:AI54" si="10">COUNTIF(E48:AF48,"тр")</f>
        <v>2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/>
      <c r="Z49" s="5"/>
      <c r="AA49" s="5"/>
      <c r="AB49" s="5"/>
      <c r="AC49" s="5"/>
      <c r="AD49" s="5"/>
      <c r="AE49" s="5"/>
      <c r="AF49" s="5"/>
      <c r="AG49" s="73">
        <f t="shared" si="4"/>
        <v>20</v>
      </c>
      <c r="AH49" s="54">
        <f t="shared" si="9"/>
        <v>20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 t="s">
        <v>57</v>
      </c>
      <c r="W50" s="5">
        <v>1</v>
      </c>
      <c r="X50" s="5">
        <v>1</v>
      </c>
      <c r="Y50" s="5"/>
      <c r="Z50" s="5"/>
      <c r="AA50" s="5"/>
      <c r="AB50" s="5"/>
      <c r="AC50" s="5"/>
      <c r="AD50" s="5"/>
      <c r="AE50" s="5"/>
      <c r="AF50" s="5"/>
      <c r="AG50" s="73">
        <f t="shared" si="4"/>
        <v>20</v>
      </c>
      <c r="AH50" s="54">
        <f t="shared" si="9"/>
        <v>18</v>
      </c>
      <c r="AI50" s="54">
        <f t="shared" si="10"/>
        <v>0</v>
      </c>
      <c r="AJ50" s="55">
        <f t="shared" si="11"/>
        <v>2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/>
      <c r="Z51" s="5"/>
      <c r="AA51" s="5"/>
      <c r="AB51" s="5"/>
      <c r="AC51" s="5"/>
      <c r="AD51" s="5"/>
      <c r="AE51" s="5"/>
      <c r="AF51" s="5"/>
      <c r="AG51" s="73">
        <f t="shared" si="4"/>
        <v>20</v>
      </c>
      <c r="AH51" s="54">
        <f t="shared" si="9"/>
        <v>20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/>
      <c r="Z52" s="5"/>
      <c r="AA52" s="5"/>
      <c r="AB52" s="5"/>
      <c r="AC52" s="5"/>
      <c r="AD52" s="5"/>
      <c r="AE52" s="5"/>
      <c r="AF52" s="5"/>
      <c r="AG52" s="73">
        <f t="shared" si="4"/>
        <v>20</v>
      </c>
      <c r="AH52" s="54">
        <f t="shared" si="9"/>
        <v>19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/>
      <c r="Z53" s="5"/>
      <c r="AA53" s="5"/>
      <c r="AB53" s="5"/>
      <c r="AC53" s="5"/>
      <c r="AD53" s="5"/>
      <c r="AE53" s="5"/>
      <c r="AF53" s="5"/>
      <c r="AG53" s="73">
        <f t="shared" si="4"/>
        <v>20</v>
      </c>
      <c r="AH53" s="54">
        <f t="shared" si="9"/>
        <v>20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 t="s">
        <v>58</v>
      </c>
      <c r="T54" s="42" t="s">
        <v>58</v>
      </c>
      <c r="U54" s="42" t="s">
        <v>58</v>
      </c>
      <c r="V54" s="42" t="s">
        <v>58</v>
      </c>
      <c r="W54" s="42">
        <v>1</v>
      </c>
      <c r="X54" s="42">
        <v>1</v>
      </c>
      <c r="Y54" s="42"/>
      <c r="Z54" s="42"/>
      <c r="AA54" s="42"/>
      <c r="AB54" s="42"/>
      <c r="AC54" s="42"/>
      <c r="AD54" s="42"/>
      <c r="AE54" s="42"/>
      <c r="AF54" s="42"/>
      <c r="AG54" s="73">
        <f t="shared" si="4"/>
        <v>20</v>
      </c>
      <c r="AH54" s="56">
        <f t="shared" si="9"/>
        <v>16</v>
      </c>
      <c r="AI54" s="56">
        <f t="shared" si="10"/>
        <v>4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140</v>
      </c>
      <c r="AH55" s="70">
        <f>SUM(AH48:AH54)</f>
        <v>131</v>
      </c>
      <c r="AI55" s="70">
        <f>SUM(AI48:AI54)</f>
        <v>6</v>
      </c>
      <c r="AJ55" s="76">
        <f>SUM(AJ48:AJ54)</f>
        <v>3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>
        <v>1</v>
      </c>
      <c r="S56" s="42">
        <v>1</v>
      </c>
      <c r="T56" s="42">
        <v>1</v>
      </c>
      <c r="U56" s="42">
        <v>1</v>
      </c>
      <c r="V56" s="42">
        <v>1</v>
      </c>
      <c r="W56" s="42">
        <v>1</v>
      </c>
      <c r="X56" s="42">
        <v>1</v>
      </c>
      <c r="Y56" s="42"/>
      <c r="Z56" s="42"/>
      <c r="AA56" s="42"/>
      <c r="AB56" s="42"/>
      <c r="AC56" s="42"/>
      <c r="AD56" s="42"/>
      <c r="AE56" s="42"/>
      <c r="AF56" s="42"/>
      <c r="AG56" s="73">
        <f t="shared" si="4"/>
        <v>20</v>
      </c>
      <c r="AH56" s="56">
        <f>COUNTIF(E56:AF56,1)</f>
        <v>12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20</v>
      </c>
      <c r="AH57" s="70">
        <f>SUM(AH56:AH56)</f>
        <v>12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 t="s">
        <v>57</v>
      </c>
      <c r="S58" s="93" t="s">
        <v>57</v>
      </c>
      <c r="T58" s="93" t="s">
        <v>58</v>
      </c>
      <c r="U58" s="93" t="s">
        <v>58</v>
      </c>
      <c r="V58" s="93" t="s">
        <v>58</v>
      </c>
      <c r="W58" s="93" t="s">
        <v>58</v>
      </c>
      <c r="X58" s="93" t="s">
        <v>58</v>
      </c>
      <c r="Y58" s="93"/>
      <c r="Z58" s="93"/>
      <c r="AA58" s="93"/>
      <c r="AB58" s="93"/>
      <c r="AC58" s="93"/>
      <c r="AD58" s="93"/>
      <c r="AE58" s="93"/>
      <c r="AF58" s="102"/>
      <c r="AG58" s="80">
        <f t="shared" si="4"/>
        <v>20</v>
      </c>
      <c r="AH58" s="81">
        <f>COUNTIF(E58:AF58,1)</f>
        <v>10</v>
      </c>
      <c r="AI58" s="81">
        <f>COUNTIF(E58:AF58,"тр")</f>
        <v>8</v>
      </c>
      <c r="AJ58" s="82">
        <f>COUNTIF(E58:AF58,"бв")</f>
        <v>2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/>
      <c r="Z59" s="42"/>
      <c r="AA59" s="42"/>
      <c r="AB59" s="42"/>
      <c r="AC59" s="42"/>
      <c r="AD59" s="42"/>
      <c r="AE59" s="42"/>
      <c r="AF59" s="127"/>
      <c r="AG59" s="73">
        <f t="shared" si="4"/>
        <v>20</v>
      </c>
      <c r="AH59" s="56">
        <f>COUNTIF(E59:AF59,1)</f>
        <v>19</v>
      </c>
      <c r="AI59" s="56">
        <f>COUNTIF(E59:AF59,"тр")</f>
        <v>0</v>
      </c>
      <c r="AJ59" s="57">
        <f>COUNTIF(E59:AF59,"бв")</f>
        <v>1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>
        <v>1</v>
      </c>
      <c r="S60" s="98">
        <v>1</v>
      </c>
      <c r="T60" s="98">
        <v>1</v>
      </c>
      <c r="U60" s="98">
        <v>1</v>
      </c>
      <c r="V60" s="98">
        <v>1</v>
      </c>
      <c r="W60" s="98">
        <v>1</v>
      </c>
      <c r="X60" s="98">
        <v>1</v>
      </c>
      <c r="Y60" s="98"/>
      <c r="Z60" s="98"/>
      <c r="AA60" s="98"/>
      <c r="AB60" s="98"/>
      <c r="AC60" s="98"/>
      <c r="AD60" s="98"/>
      <c r="AE60" s="98"/>
      <c r="AF60" s="103"/>
      <c r="AG60" s="128">
        <f t="shared" si="4"/>
        <v>20</v>
      </c>
      <c r="AH60" s="85">
        <f>COUNTIF(E60:AF60,1)</f>
        <v>12</v>
      </c>
      <c r="AI60" s="85">
        <f>COUNTIF(E60:AF60,"тр")</f>
        <v>0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60</v>
      </c>
      <c r="AH61" s="70">
        <f t="shared" ref="AH61:AJ61" si="12">SUM(AH58:AH60)</f>
        <v>41</v>
      </c>
      <c r="AI61" s="70">
        <f t="shared" si="12"/>
        <v>8</v>
      </c>
      <c r="AJ61" s="76">
        <f t="shared" si="12"/>
        <v>11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1032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>
        <v>1</v>
      </c>
      <c r="S66" s="93">
        <v>1</v>
      </c>
      <c r="T66" s="93">
        <v>1</v>
      </c>
      <c r="U66" s="93">
        <v>1</v>
      </c>
      <c r="V66" s="93">
        <v>1</v>
      </c>
      <c r="W66" s="93">
        <v>1</v>
      </c>
      <c r="X66" s="93">
        <v>1</v>
      </c>
      <c r="Y66" s="93"/>
      <c r="Z66" s="93"/>
      <c r="AA66" s="93"/>
      <c r="AB66" s="93"/>
      <c r="AC66" s="93"/>
      <c r="AD66" s="93"/>
      <c r="AE66" s="93"/>
      <c r="AF66" s="102"/>
      <c r="AG66" s="80">
        <f t="shared" ref="AG66:AG68" si="13">COUNTA(E66:AF66)</f>
        <v>20</v>
      </c>
      <c r="AH66" s="81">
        <f>COUNTIF(E66:AF66,1)</f>
        <v>13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1</v>
      </c>
      <c r="V67" s="5">
        <v>1</v>
      </c>
      <c r="W67" s="5">
        <v>1</v>
      </c>
      <c r="X67" s="5">
        <v>1</v>
      </c>
      <c r="Y67" s="5"/>
      <c r="Z67" s="5"/>
      <c r="AA67" s="5"/>
      <c r="AB67" s="5"/>
      <c r="AC67" s="5"/>
      <c r="AD67" s="5"/>
      <c r="AE67" s="5"/>
      <c r="AF67" s="79"/>
      <c r="AG67" s="83">
        <f t="shared" si="13"/>
        <v>20</v>
      </c>
      <c r="AH67" s="54">
        <f>COUNTIF(E67:AF67,1)</f>
        <v>20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>
        <v>1</v>
      </c>
      <c r="S68" s="98">
        <v>1</v>
      </c>
      <c r="T68" s="98" t="s">
        <v>57</v>
      </c>
      <c r="U68" s="98" t="s">
        <v>57</v>
      </c>
      <c r="V68" s="98">
        <v>1</v>
      </c>
      <c r="W68" s="98">
        <v>1</v>
      </c>
      <c r="X68" s="98">
        <v>1</v>
      </c>
      <c r="Y68" s="98"/>
      <c r="Z68" s="98"/>
      <c r="AA68" s="98"/>
      <c r="AB68" s="98"/>
      <c r="AC68" s="98"/>
      <c r="AD68" s="98"/>
      <c r="AE68" s="98"/>
      <c r="AF68" s="103"/>
      <c r="AG68" s="84">
        <f t="shared" si="13"/>
        <v>20</v>
      </c>
      <c r="AH68" s="85">
        <f>COUNTIF(E68:AF68,1)</f>
        <v>14</v>
      </c>
      <c r="AI68" s="85">
        <f>COUNTIF(E68:AF68,"тр")</f>
        <v>0</v>
      </c>
      <c r="AJ68" s="86">
        <f>COUNTIF(E68:AF68,"бв")</f>
        <v>6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60</v>
      </c>
      <c r="AH69" s="136">
        <f t="shared" ref="AH69:AJ69" si="14">SUM(AH66:AH68)</f>
        <v>47</v>
      </c>
      <c r="AI69" s="136">
        <f t="shared" si="14"/>
        <v>5</v>
      </c>
      <c r="AJ69" s="137">
        <f t="shared" si="14"/>
        <v>7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60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2019-02-20T08:15:12Z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