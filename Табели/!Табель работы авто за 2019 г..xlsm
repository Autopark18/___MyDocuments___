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/>
  </bookViews>
  <sheets>
    <sheet name="Январь 2019" sheetId="6" r:id="rId1"/>
    <sheet name="Данные" sheetId="5" state="hidden" r:id="rId2"/>
  </sheets>
  <functionGroups builtInGroupCount="18"/>
  <definedNames>
    <definedName name="_xlnm._FilterDatabase" localSheetId="0" hidden="1">'Январь 2019'!$E$2:$AL$62</definedName>
    <definedName name="АХД">'Январь 2019'!$C$2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26" i="6" l="1"/>
  <c r="AI23" i="6"/>
  <c r="AJ23" i="6"/>
  <c r="AK23" i="6"/>
  <c r="AL23" i="6"/>
  <c r="AI24" i="6"/>
  <c r="AJ24" i="6"/>
  <c r="AK24" i="6"/>
  <c r="AL24" i="6"/>
  <c r="AI25" i="6"/>
  <c r="AJ25" i="6"/>
  <c r="AK25" i="6"/>
  <c r="AL25" i="6"/>
  <c r="AI67" i="6" l="1"/>
  <c r="AI66" i="6"/>
  <c r="AI60" i="6"/>
  <c r="AI59" i="6"/>
  <c r="AI57" i="6"/>
  <c r="AI56" i="6"/>
  <c r="AI49" i="6"/>
  <c r="AI50" i="6"/>
  <c r="AI51" i="6"/>
  <c r="AI52" i="6"/>
  <c r="AI53" i="6"/>
  <c r="AI54" i="6"/>
  <c r="AI48" i="6"/>
  <c r="AI45" i="6"/>
  <c r="AI46" i="6"/>
  <c r="AI44" i="6"/>
  <c r="AI42" i="6"/>
  <c r="AI40" i="6"/>
  <c r="AI39" i="6"/>
  <c r="AI36" i="6"/>
  <c r="AI37" i="6"/>
  <c r="AI35" i="6"/>
  <c r="AI28" i="6"/>
  <c r="AI29" i="6"/>
  <c r="AI30" i="6"/>
  <c r="AI31" i="6"/>
  <c r="AI32" i="6"/>
  <c r="AI33" i="6"/>
  <c r="AI27" i="6"/>
  <c r="AI8" i="6"/>
  <c r="AI9" i="6"/>
  <c r="AI10" i="6"/>
  <c r="AI11" i="6"/>
  <c r="AI12" i="6"/>
  <c r="AI13" i="6"/>
  <c r="AI14" i="6"/>
  <c r="AI15" i="6"/>
  <c r="AI16" i="6"/>
  <c r="AI17" i="6"/>
  <c r="AI18" i="6"/>
  <c r="AI19" i="6"/>
  <c r="AI20" i="6"/>
  <c r="AI21" i="6"/>
  <c r="AI22" i="6"/>
  <c r="AI7" i="6"/>
  <c r="AI5" i="6"/>
  <c r="AI4" i="6"/>
  <c r="AI68" i="6"/>
  <c r="AI69" i="6" s="1"/>
  <c r="AL67" i="6"/>
  <c r="AK67" i="6"/>
  <c r="AJ67" i="6"/>
  <c r="AL66" i="6"/>
  <c r="AK66" i="6"/>
  <c r="AJ66" i="6"/>
  <c r="A64" i="6"/>
  <c r="AL60" i="6"/>
  <c r="AK60" i="6"/>
  <c r="AJ60" i="6"/>
  <c r="AL59" i="6"/>
  <c r="AK59" i="6"/>
  <c r="AJ59" i="6"/>
  <c r="AL57" i="6"/>
  <c r="AK57" i="6"/>
  <c r="AJ57" i="6"/>
  <c r="AL56" i="6"/>
  <c r="AK56" i="6"/>
  <c r="AJ56" i="6"/>
  <c r="AL54" i="6"/>
  <c r="AK54" i="6"/>
  <c r="AJ54" i="6"/>
  <c r="AL53" i="6"/>
  <c r="AK53" i="6"/>
  <c r="AJ53" i="6"/>
  <c r="AL52" i="6"/>
  <c r="AK52" i="6"/>
  <c r="AJ52" i="6"/>
  <c r="AL51" i="6"/>
  <c r="AK51" i="6"/>
  <c r="AJ51" i="6"/>
  <c r="AL50" i="6"/>
  <c r="AK50" i="6"/>
  <c r="AJ50" i="6"/>
  <c r="AL49" i="6"/>
  <c r="AK49" i="6"/>
  <c r="AJ49" i="6"/>
  <c r="AL48" i="6"/>
  <c r="AK48" i="6"/>
  <c r="AJ48" i="6"/>
  <c r="AL46" i="6"/>
  <c r="AK46" i="6"/>
  <c r="AJ46" i="6"/>
  <c r="AL45" i="6"/>
  <c r="AK45" i="6"/>
  <c r="AJ45" i="6"/>
  <c r="AL44" i="6"/>
  <c r="AK44" i="6"/>
  <c r="AJ44" i="6"/>
  <c r="AL42" i="6"/>
  <c r="AK42" i="6"/>
  <c r="AJ42" i="6"/>
  <c r="AL40" i="6"/>
  <c r="AK40" i="6"/>
  <c r="AJ40" i="6"/>
  <c r="AL39" i="6"/>
  <c r="AK39" i="6"/>
  <c r="AJ39" i="6"/>
  <c r="AL37" i="6"/>
  <c r="AK37" i="6"/>
  <c r="AJ37" i="6"/>
  <c r="AL36" i="6"/>
  <c r="AK36" i="6"/>
  <c r="AJ36" i="6"/>
  <c r="AL35" i="6"/>
  <c r="AK35" i="6"/>
  <c r="AJ35" i="6"/>
  <c r="AL33" i="6"/>
  <c r="AK33" i="6"/>
  <c r="AJ33" i="6"/>
  <c r="AL32" i="6"/>
  <c r="AK32" i="6"/>
  <c r="AJ32" i="6"/>
  <c r="AL31" i="6"/>
  <c r="AK31" i="6"/>
  <c r="AJ31" i="6"/>
  <c r="AL30" i="6"/>
  <c r="AK30" i="6"/>
  <c r="AJ30" i="6"/>
  <c r="AL29" i="6"/>
  <c r="AK29" i="6"/>
  <c r="AJ29" i="6"/>
  <c r="AL28" i="6"/>
  <c r="AK28" i="6"/>
  <c r="AJ28" i="6"/>
  <c r="AL27" i="6"/>
  <c r="AK27" i="6"/>
  <c r="AJ27" i="6"/>
  <c r="AL22" i="6"/>
  <c r="AK22" i="6"/>
  <c r="AJ22" i="6"/>
  <c r="AL21" i="6"/>
  <c r="AK21" i="6"/>
  <c r="AJ21" i="6"/>
  <c r="AL20" i="6"/>
  <c r="AK20" i="6"/>
  <c r="AJ20" i="6"/>
  <c r="AL19" i="6"/>
  <c r="AK19" i="6"/>
  <c r="AJ19" i="6"/>
  <c r="AL18" i="6"/>
  <c r="AK18" i="6"/>
  <c r="AJ18" i="6"/>
  <c r="AL17" i="6"/>
  <c r="AK17" i="6"/>
  <c r="AJ17" i="6"/>
  <c r="AL16" i="6"/>
  <c r="AK16" i="6"/>
  <c r="AJ16" i="6"/>
  <c r="AL15" i="6"/>
  <c r="AK15" i="6"/>
  <c r="AJ15" i="6"/>
  <c r="AL14" i="6"/>
  <c r="AK14" i="6"/>
  <c r="AJ14" i="6"/>
  <c r="AL13" i="6"/>
  <c r="AK13" i="6"/>
  <c r="AJ13" i="6"/>
  <c r="AL12" i="6"/>
  <c r="AK12" i="6"/>
  <c r="AJ12" i="6"/>
  <c r="AL11" i="6"/>
  <c r="AK11" i="6"/>
  <c r="AJ11" i="6"/>
  <c r="AL10" i="6"/>
  <c r="AK10" i="6"/>
  <c r="AJ10" i="6"/>
  <c r="AL9" i="6"/>
  <c r="AK9" i="6"/>
  <c r="AJ9" i="6"/>
  <c r="AL8" i="6"/>
  <c r="AK8" i="6"/>
  <c r="AJ8" i="6"/>
  <c r="AL7" i="6"/>
  <c r="AK7" i="6"/>
  <c r="AJ7" i="6"/>
  <c r="AL5" i="6"/>
  <c r="AK5" i="6"/>
  <c r="AJ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L4" i="6"/>
  <c r="AK4" i="6"/>
  <c r="AJ4" i="6"/>
  <c r="A1" i="6"/>
  <c r="A23" i="6" l="1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6" i="6" s="1"/>
  <c r="A57" i="6" s="1"/>
  <c r="A59" i="6" s="1"/>
  <c r="A60" i="6" s="1"/>
  <c r="AJ43" i="6"/>
  <c r="AL43" i="6"/>
  <c r="AK43" i="6"/>
  <c r="AJ68" i="6"/>
  <c r="AL68" i="6"/>
  <c r="AK68" i="6"/>
  <c r="AL6" i="6" l="1"/>
  <c r="AL26" i="6" s="1"/>
  <c r="AL34" i="6" s="1"/>
  <c r="AL38" i="6" s="1"/>
  <c r="AL41" i="6" s="1"/>
  <c r="AL47" i="6" s="1"/>
  <c r="AL55" i="6" s="1"/>
  <c r="AL58" i="6" s="1"/>
  <c r="AL61" i="6" s="1"/>
  <c r="AI43" i="6" l="1"/>
  <c r="AI41" i="6" l="1"/>
  <c r="AI6" i="6" l="1"/>
  <c r="AI34" i="6"/>
  <c r="AI47" i="6"/>
  <c r="AI55" i="6" s="1"/>
  <c r="AI58" i="6"/>
  <c r="AK47" i="6"/>
  <c r="AK55" i="6" s="1"/>
  <c r="AK6" i="6" s="1"/>
  <c r="AK26" i="6" s="1"/>
  <c r="AK34" i="6" s="1"/>
  <c r="AK38" i="6" s="1"/>
  <c r="AK41" i="6" s="1"/>
  <c r="AI38" i="6" l="1"/>
  <c r="AK58" i="6"/>
  <c r="AK61" i="6" s="1"/>
  <c r="AI61" i="6"/>
  <c r="AJ6" i="6"/>
  <c r="AJ26" i="6"/>
  <c r="AJ34" i="6"/>
  <c r="AJ38" i="6"/>
  <c r="AJ41" i="6"/>
  <c r="AJ47" i="6"/>
  <c r="AJ55" i="6"/>
  <c r="AJ58" i="6"/>
  <c r="AJ61" i="6"/>
  <c r="AI62" i="6" l="1"/>
</calcChain>
</file>

<file path=xl/sharedStrings.xml><?xml version="1.0" encoding="utf-8"?>
<sst xmlns="http://schemas.openxmlformats.org/spreadsheetml/2006/main" count="646" uniqueCount="72">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</sst>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2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/>
    </xf>
    <xf numFmtId="0" fontId="2" fillId="3" borderId="18" xfId="0" applyFont="1" applyFill="1" applyBorder="1" applyAlignment="1">
      <alignment horizontal="center"/>
    </xf>
    <xf numFmtId="0" fontId="2" fillId="0" borderId="25" xfId="0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1"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9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J18" sqref="AJ18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91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91"/>
      <c r="C1" s="91"/>
      <c r="D1" s="91"/>
      <c r="E1" s="91"/>
      <c r="F1" s="91"/>
      <c r="G1" s="91"/>
      <c r="H1" s="91"/>
      <c r="I1" s="91"/>
      <c r="J1" s="91"/>
      <c r="K1" s="91"/>
      <c r="L1" s="91"/>
      <c r="M1" s="91"/>
      <c r="N1" s="91"/>
      <c r="O1" s="91"/>
      <c r="P1" s="91"/>
      <c r="Q1" s="91"/>
      <c r="R1" s="91"/>
      <c r="S1" s="91"/>
      <c r="T1" s="91"/>
      <c r="U1" s="91"/>
      <c r="V1" s="91"/>
      <c r="W1" s="91"/>
      <c r="X1" s="91"/>
      <c r="Y1" s="91"/>
      <c r="Z1" s="91"/>
      <c r="AA1" s="91"/>
      <c r="AB1" s="91"/>
      <c r="AC1" s="91"/>
      <c r="AD1" s="91"/>
      <c r="AE1" s="91"/>
      <c r="AF1" s="91"/>
      <c r="AG1" s="91"/>
      <c r="AH1" s="91"/>
      <c r="AI1" s="91"/>
      <c r="AJ1" s="91"/>
      <c r="AK1" s="91"/>
      <c r="AL1" s="91"/>
    </row>
    <row r="2" spans="1:38" ht="16.3" thickBot="1" x14ac:dyDescent="0.3">
      <c r="A2" s="23"/>
      <c r="B2" s="23"/>
      <c r="C2" s="75">
        <v>30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27" t="s">
        <v>62</v>
      </c>
      <c r="AJ3" s="31" t="s">
        <v>61</v>
      </c>
      <c r="AK3" s="31" t="s">
        <v>58</v>
      </c>
      <c r="AL3" s="32" t="s">
        <v>57</v>
      </c>
    </row>
    <row r="4" spans="1:38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73">
        <f>АХД</f>
        <v>30</v>
      </c>
      <c r="AJ4" s="17">
        <f>COUNTIF(E4:AH4,1)</f>
        <v>0</v>
      </c>
      <c r="AK4" s="17">
        <f>COUNTIF(E4:AH4,"тр")</f>
        <v>30</v>
      </c>
      <c r="AL4" s="18">
        <f>COUNTIF(E4:AH4,"бв")</f>
        <v>0</v>
      </c>
    </row>
    <row r="5" spans="1:38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74">
        <f>АХД</f>
        <v>30</v>
      </c>
      <c r="AJ5" s="56">
        <f>COUNTIF(E5:AH5,1)</f>
        <v>0</v>
      </c>
      <c r="AK5" s="56">
        <f>COUNTIF(E5:AH5,"тр")</f>
        <v>30</v>
      </c>
      <c r="AL5" s="57">
        <f>COUNTIF(E5:AH5,"бв")</f>
        <v>0</v>
      </c>
    </row>
    <row r="6" spans="1:38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78">
        <f>SUM(AI4:AI5)</f>
        <v>60</v>
      </c>
      <c r="AJ6" s="71">
        <f>SUM(AJ4:AJ5)</f>
        <v>0</v>
      </c>
      <c r="AK6" s="71">
        <f>SUM(AK4:AK5)</f>
        <v>60</v>
      </c>
      <c r="AL6" s="72">
        <f>SUM(AL4:AL5)</f>
        <v>0</v>
      </c>
    </row>
    <row r="7" spans="1:38" x14ac:dyDescent="0.25">
      <c r="A7" s="8">
        <f>A5+1</f>
        <v>3</v>
      </c>
      <c r="B7" s="9" t="s">
        <v>53</v>
      </c>
      <c r="C7" s="10" t="s">
        <v>3</v>
      </c>
      <c r="D7" s="21">
        <v>6981</v>
      </c>
      <c r="E7" s="6" t="s">
        <v>58</v>
      </c>
      <c r="F7" s="35" t="s">
        <v>58</v>
      </c>
      <c r="G7" s="35" t="s">
        <v>58</v>
      </c>
      <c r="H7" s="35" t="s">
        <v>58</v>
      </c>
      <c r="I7" s="35" t="s">
        <v>58</v>
      </c>
      <c r="J7" s="35" t="s">
        <v>58</v>
      </c>
      <c r="K7" s="35" t="s">
        <v>58</v>
      </c>
      <c r="L7" s="35" t="s">
        <v>58</v>
      </c>
      <c r="M7" s="35" t="s">
        <v>58</v>
      </c>
      <c r="N7" s="35" t="s">
        <v>58</v>
      </c>
      <c r="O7" s="35" t="s">
        <v>58</v>
      </c>
      <c r="P7" s="35" t="s">
        <v>58</v>
      </c>
      <c r="Q7" s="35" t="s">
        <v>58</v>
      </c>
      <c r="R7" s="35" t="s">
        <v>58</v>
      </c>
      <c r="S7" s="35" t="s">
        <v>58</v>
      </c>
      <c r="T7" s="35" t="s">
        <v>58</v>
      </c>
      <c r="U7" s="35" t="s">
        <v>58</v>
      </c>
      <c r="V7" s="35" t="s">
        <v>58</v>
      </c>
      <c r="W7" s="35" t="s">
        <v>58</v>
      </c>
      <c r="X7" s="35" t="s">
        <v>58</v>
      </c>
      <c r="Y7" s="35" t="s">
        <v>58</v>
      </c>
      <c r="Z7" s="35" t="s">
        <v>58</v>
      </c>
      <c r="AA7" s="35" t="s">
        <v>58</v>
      </c>
      <c r="AB7" s="35" t="s">
        <v>58</v>
      </c>
      <c r="AC7" s="35" t="s">
        <v>58</v>
      </c>
      <c r="AD7" s="35" t="s">
        <v>58</v>
      </c>
      <c r="AE7" s="35" t="s">
        <v>58</v>
      </c>
      <c r="AF7" s="35" t="s">
        <v>58</v>
      </c>
      <c r="AG7" s="35" t="s">
        <v>58</v>
      </c>
      <c r="AH7" s="81" t="s">
        <v>58</v>
      </c>
      <c r="AI7" s="84">
        <f t="shared" ref="AI7:AI25" si="0">АХД</f>
        <v>30</v>
      </c>
      <c r="AJ7" s="85">
        <f t="shared" ref="AJ7:AJ22" si="1">COUNTIF(E7:AH7,1)</f>
        <v>0</v>
      </c>
      <c r="AK7" s="85">
        <f t="shared" ref="AK7:AK22" si="2">COUNTIF(E7:AH7,"тр")</f>
        <v>30</v>
      </c>
      <c r="AL7" s="86">
        <f t="shared" ref="AL7:AL22" si="3">COUNTIF(E7:AH7,"бв")</f>
        <v>0</v>
      </c>
    </row>
    <row r="8" spans="1:38" x14ac:dyDescent="0.25">
      <c r="A8" s="11">
        <f t="shared" ref="A8:A60" si="4">A7+1</f>
        <v>4</v>
      </c>
      <c r="B8" s="12" t="s">
        <v>53</v>
      </c>
      <c r="C8" s="13" t="s">
        <v>4</v>
      </c>
      <c r="D8" s="22">
        <v>6982</v>
      </c>
      <c r="E8" s="7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/>
      <c r="AC8" s="5"/>
      <c r="AD8" s="5"/>
      <c r="AE8" s="5"/>
      <c r="AF8" s="5"/>
      <c r="AG8" s="5"/>
      <c r="AH8" s="82"/>
      <c r="AI8" s="73">
        <f t="shared" si="0"/>
        <v>30</v>
      </c>
      <c r="AJ8" s="54">
        <f t="shared" si="1"/>
        <v>11</v>
      </c>
      <c r="AK8" s="54">
        <f t="shared" si="2"/>
        <v>6</v>
      </c>
      <c r="AL8" s="55">
        <f t="shared" si="3"/>
        <v>6</v>
      </c>
    </row>
    <row r="9" spans="1:38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7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82" t="s">
        <v>58</v>
      </c>
      <c r="AI9" s="73">
        <f t="shared" si="0"/>
        <v>30</v>
      </c>
      <c r="AJ9" s="54">
        <f t="shared" si="1"/>
        <v>0</v>
      </c>
      <c r="AK9" s="54">
        <f t="shared" si="2"/>
        <v>30</v>
      </c>
      <c r="AL9" s="55">
        <f t="shared" si="3"/>
        <v>0</v>
      </c>
    </row>
    <row r="10" spans="1:38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7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/>
      <c r="AC10" s="5"/>
      <c r="AD10" s="5"/>
      <c r="AE10" s="5"/>
      <c r="AF10" s="5"/>
      <c r="AG10" s="5"/>
      <c r="AH10" s="82"/>
      <c r="AI10" s="73">
        <f t="shared" si="0"/>
        <v>30</v>
      </c>
      <c r="AJ10" s="54">
        <f t="shared" si="1"/>
        <v>5</v>
      </c>
      <c r="AK10" s="54">
        <f t="shared" si="2"/>
        <v>18</v>
      </c>
      <c r="AL10" s="55">
        <f t="shared" si="3"/>
        <v>0</v>
      </c>
    </row>
    <row r="11" spans="1:38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7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/>
      <c r="AC11" s="5"/>
      <c r="AD11" s="5"/>
      <c r="AE11" s="5"/>
      <c r="AF11" s="5"/>
      <c r="AG11" s="5"/>
      <c r="AH11" s="82"/>
      <c r="AI11" s="73">
        <f t="shared" si="0"/>
        <v>30</v>
      </c>
      <c r="AJ11" s="54">
        <f t="shared" si="1"/>
        <v>11</v>
      </c>
      <c r="AK11" s="54">
        <f t="shared" si="2"/>
        <v>11</v>
      </c>
      <c r="AL11" s="55">
        <f t="shared" si="3"/>
        <v>1</v>
      </c>
    </row>
    <row r="12" spans="1:38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7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/>
      <c r="AC12" s="5"/>
      <c r="AD12" s="5"/>
      <c r="AE12" s="5"/>
      <c r="AF12" s="5"/>
      <c r="AG12" s="5"/>
      <c r="AH12" s="82"/>
      <c r="AI12" s="73">
        <f t="shared" si="0"/>
        <v>30</v>
      </c>
      <c r="AJ12" s="54">
        <f t="shared" si="1"/>
        <v>15</v>
      </c>
      <c r="AK12" s="54">
        <f t="shared" si="2"/>
        <v>0</v>
      </c>
      <c r="AL12" s="55">
        <f t="shared" si="3"/>
        <v>8</v>
      </c>
    </row>
    <row r="13" spans="1:38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7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/>
      <c r="AC13" s="5"/>
      <c r="AD13" s="5"/>
      <c r="AE13" s="5"/>
      <c r="AF13" s="5"/>
      <c r="AG13" s="5"/>
      <c r="AH13" s="82"/>
      <c r="AI13" s="73">
        <f t="shared" si="0"/>
        <v>30</v>
      </c>
      <c r="AJ13" s="54">
        <f t="shared" si="1"/>
        <v>20</v>
      </c>
      <c r="AK13" s="54">
        <f t="shared" si="2"/>
        <v>3</v>
      </c>
      <c r="AL13" s="55">
        <f t="shared" si="3"/>
        <v>0</v>
      </c>
    </row>
    <row r="14" spans="1:38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/>
      <c r="AC14" s="5"/>
      <c r="AD14" s="5"/>
      <c r="AE14" s="5"/>
      <c r="AF14" s="5"/>
      <c r="AG14" s="5"/>
      <c r="AH14" s="82"/>
      <c r="AI14" s="73">
        <f t="shared" si="0"/>
        <v>30</v>
      </c>
      <c r="AJ14" s="54">
        <f t="shared" si="1"/>
        <v>17</v>
      </c>
      <c r="AK14" s="54">
        <f t="shared" si="2"/>
        <v>6</v>
      </c>
      <c r="AL14" s="55">
        <f t="shared" si="3"/>
        <v>0</v>
      </c>
    </row>
    <row r="15" spans="1:38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7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/>
      <c r="AC15" s="5"/>
      <c r="AD15" s="5"/>
      <c r="AE15" s="5"/>
      <c r="AF15" s="5"/>
      <c r="AG15" s="5"/>
      <c r="AH15" s="82"/>
      <c r="AI15" s="73">
        <f t="shared" si="0"/>
        <v>30</v>
      </c>
      <c r="AJ15" s="54">
        <f t="shared" si="1"/>
        <v>23</v>
      </c>
      <c r="AK15" s="54">
        <f t="shared" si="2"/>
        <v>0</v>
      </c>
      <c r="AL15" s="55">
        <f t="shared" si="3"/>
        <v>0</v>
      </c>
    </row>
    <row r="16" spans="1:38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/>
      <c r="AC16" s="5"/>
      <c r="AD16" s="5"/>
      <c r="AE16" s="5"/>
      <c r="AF16" s="5"/>
      <c r="AG16" s="5"/>
      <c r="AH16" s="82"/>
      <c r="AI16" s="73">
        <f t="shared" si="0"/>
        <v>30</v>
      </c>
      <c r="AJ16" s="54">
        <f t="shared" si="1"/>
        <v>21</v>
      </c>
      <c r="AK16" s="54">
        <f t="shared" si="2"/>
        <v>2</v>
      </c>
      <c r="AL16" s="55">
        <f t="shared" si="3"/>
        <v>0</v>
      </c>
    </row>
    <row r="17" spans="1:38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7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/>
      <c r="AC17" s="5"/>
      <c r="AD17" s="5"/>
      <c r="AE17" s="5"/>
      <c r="AF17" s="5"/>
      <c r="AG17" s="5"/>
      <c r="AH17" s="82"/>
      <c r="AI17" s="73">
        <f t="shared" si="0"/>
        <v>30</v>
      </c>
      <c r="AJ17" s="54">
        <f t="shared" si="1"/>
        <v>20</v>
      </c>
      <c r="AK17" s="54">
        <f t="shared" si="2"/>
        <v>2</v>
      </c>
      <c r="AL17" s="55">
        <f t="shared" si="3"/>
        <v>1</v>
      </c>
    </row>
    <row r="18" spans="1:38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7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/>
      <c r="AC18" s="5"/>
      <c r="AD18" s="5"/>
      <c r="AE18" s="5"/>
      <c r="AF18" s="5"/>
      <c r="AG18" s="5"/>
      <c r="AH18" s="82"/>
      <c r="AI18" s="73">
        <f t="shared" si="0"/>
        <v>30</v>
      </c>
      <c r="AJ18" s="54">
        <f t="shared" si="1"/>
        <v>23</v>
      </c>
      <c r="AK18" s="54">
        <f t="shared" si="2"/>
        <v>0</v>
      </c>
      <c r="AL18" s="55">
        <f t="shared" si="3"/>
        <v>0</v>
      </c>
    </row>
    <row r="19" spans="1:38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7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/>
      <c r="AC19" s="5"/>
      <c r="AD19" s="5"/>
      <c r="AE19" s="5"/>
      <c r="AF19" s="5"/>
      <c r="AG19" s="5"/>
      <c r="AH19" s="82"/>
      <c r="AI19" s="73">
        <f t="shared" si="0"/>
        <v>30</v>
      </c>
      <c r="AJ19" s="54">
        <f t="shared" si="1"/>
        <v>1</v>
      </c>
      <c r="AK19" s="54">
        <f t="shared" si="2"/>
        <v>21</v>
      </c>
      <c r="AL19" s="55">
        <f t="shared" si="3"/>
        <v>1</v>
      </c>
    </row>
    <row r="20" spans="1:38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/>
      <c r="AC20" s="5"/>
      <c r="AD20" s="5"/>
      <c r="AE20" s="5"/>
      <c r="AF20" s="5"/>
      <c r="AG20" s="5"/>
      <c r="AH20" s="82"/>
      <c r="AI20" s="73">
        <f t="shared" si="0"/>
        <v>30</v>
      </c>
      <c r="AJ20" s="54">
        <f t="shared" si="1"/>
        <v>23</v>
      </c>
      <c r="AK20" s="54">
        <f t="shared" si="2"/>
        <v>0</v>
      </c>
      <c r="AL20" s="55">
        <f t="shared" si="3"/>
        <v>0</v>
      </c>
    </row>
    <row r="21" spans="1:38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/>
      <c r="AC21" s="5"/>
      <c r="AD21" s="5"/>
      <c r="AE21" s="5"/>
      <c r="AF21" s="5"/>
      <c r="AG21" s="5"/>
      <c r="AH21" s="82"/>
      <c r="AI21" s="73">
        <f t="shared" si="0"/>
        <v>30</v>
      </c>
      <c r="AJ21" s="54">
        <f t="shared" si="1"/>
        <v>23</v>
      </c>
      <c r="AK21" s="54">
        <f t="shared" si="2"/>
        <v>0</v>
      </c>
      <c r="AL21" s="55">
        <f t="shared" si="3"/>
        <v>0</v>
      </c>
    </row>
    <row r="22" spans="1:38" x14ac:dyDescent="0.25">
      <c r="A22" s="79">
        <f t="shared" si="4"/>
        <v>18</v>
      </c>
      <c r="B22" s="12" t="s">
        <v>53</v>
      </c>
      <c r="C22" s="13" t="s">
        <v>18</v>
      </c>
      <c r="D22" s="13">
        <v>4302</v>
      </c>
      <c r="E22" s="5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/>
      <c r="AC22" s="5"/>
      <c r="AD22" s="5"/>
      <c r="AE22" s="5"/>
      <c r="AF22" s="5"/>
      <c r="AG22" s="5"/>
      <c r="AH22" s="82"/>
      <c r="AI22" s="87">
        <f t="shared" si="0"/>
        <v>30</v>
      </c>
      <c r="AJ22" s="54">
        <f t="shared" si="1"/>
        <v>16</v>
      </c>
      <c r="AK22" s="54">
        <f t="shared" si="2"/>
        <v>2</v>
      </c>
      <c r="AL22" s="55">
        <f t="shared" si="3"/>
        <v>5</v>
      </c>
    </row>
    <row r="23" spans="1:38" x14ac:dyDescent="0.25">
      <c r="A23" s="79">
        <f t="shared" si="4"/>
        <v>19</v>
      </c>
      <c r="B23" s="12" t="s">
        <v>53</v>
      </c>
      <c r="C23" s="13"/>
      <c r="D23" s="13" t="s">
        <v>69</v>
      </c>
      <c r="E23" s="5"/>
      <c r="F23" s="5"/>
      <c r="G23" s="5"/>
      <c r="H23" s="5"/>
      <c r="I23" s="5"/>
      <c r="J23" s="5"/>
      <c r="K23" s="5"/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/>
      <c r="AC23" s="5"/>
      <c r="AD23" s="5"/>
      <c r="AE23" s="5"/>
      <c r="AF23" s="5"/>
      <c r="AG23" s="5"/>
      <c r="AH23" s="82"/>
      <c r="AI23" s="87">
        <f t="shared" si="0"/>
        <v>30</v>
      </c>
      <c r="AJ23" s="54">
        <f t="shared" ref="AJ23:AJ25" si="5">COUNTIF(E23:AH23,1)</f>
        <v>0</v>
      </c>
      <c r="AK23" s="54">
        <f t="shared" ref="AK23:AK25" si="6">COUNTIF(E23:AH23,"тр")</f>
        <v>15</v>
      </c>
      <c r="AL23" s="55">
        <f t="shared" ref="AL23:AL25" si="7">COUNTIF(E23:AH23,"бв")</f>
        <v>1</v>
      </c>
    </row>
    <row r="24" spans="1:38" x14ac:dyDescent="0.25">
      <c r="A24" s="79">
        <f t="shared" si="4"/>
        <v>20</v>
      </c>
      <c r="B24" s="12" t="s">
        <v>53</v>
      </c>
      <c r="C24" s="13"/>
      <c r="D24" s="13" t="s">
        <v>70</v>
      </c>
      <c r="E24" s="5"/>
      <c r="F24" s="5"/>
      <c r="G24" s="5"/>
      <c r="H24" s="5"/>
      <c r="I24" s="5"/>
      <c r="J24" s="5"/>
      <c r="K24" s="5"/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/>
      <c r="AC24" s="5"/>
      <c r="AD24" s="5"/>
      <c r="AE24" s="5"/>
      <c r="AF24" s="5"/>
      <c r="AG24" s="5"/>
      <c r="AH24" s="82"/>
      <c r="AI24" s="87">
        <f t="shared" si="0"/>
        <v>30</v>
      </c>
      <c r="AJ24" s="54">
        <f t="shared" si="5"/>
        <v>14</v>
      </c>
      <c r="AK24" s="54">
        <f t="shared" si="6"/>
        <v>0</v>
      </c>
      <c r="AL24" s="55">
        <f t="shared" si="7"/>
        <v>2</v>
      </c>
    </row>
    <row r="25" spans="1:38" ht="16.3" thickBot="1" x14ac:dyDescent="0.3">
      <c r="A25" s="80">
        <f t="shared" si="4"/>
        <v>21</v>
      </c>
      <c r="B25" s="39" t="s">
        <v>53</v>
      </c>
      <c r="C25" s="40"/>
      <c r="D25" s="40" t="s">
        <v>71</v>
      </c>
      <c r="E25" s="42"/>
      <c r="F25" s="42"/>
      <c r="G25" s="42"/>
      <c r="H25" s="42"/>
      <c r="I25" s="42"/>
      <c r="J25" s="42"/>
      <c r="K25" s="42"/>
      <c r="L25" s="42" t="s">
        <v>58</v>
      </c>
      <c r="M25" s="42" t="s">
        <v>58</v>
      </c>
      <c r="N25" s="42">
        <v>1</v>
      </c>
      <c r="O25" s="42">
        <v>1</v>
      </c>
      <c r="P25" s="42">
        <v>1</v>
      </c>
      <c r="Q25" s="42">
        <v>1</v>
      </c>
      <c r="R25" s="42">
        <v>1</v>
      </c>
      <c r="S25" s="42">
        <v>1</v>
      </c>
      <c r="T25" s="42">
        <v>1</v>
      </c>
      <c r="U25" s="42">
        <v>1</v>
      </c>
      <c r="V25" s="42">
        <v>1</v>
      </c>
      <c r="W25" s="42">
        <v>1</v>
      </c>
      <c r="X25" s="42" t="s">
        <v>57</v>
      </c>
      <c r="Y25" s="42">
        <v>1</v>
      </c>
      <c r="Z25" s="42">
        <v>1</v>
      </c>
      <c r="AA25" s="42">
        <v>1</v>
      </c>
      <c r="AB25" s="42"/>
      <c r="AC25" s="42"/>
      <c r="AD25" s="42"/>
      <c r="AE25" s="42"/>
      <c r="AF25" s="42"/>
      <c r="AG25" s="42"/>
      <c r="AH25" s="83"/>
      <c r="AI25" s="88">
        <f t="shared" si="0"/>
        <v>30</v>
      </c>
      <c r="AJ25" s="89">
        <f t="shared" si="5"/>
        <v>13</v>
      </c>
      <c r="AK25" s="89">
        <f t="shared" si="6"/>
        <v>2</v>
      </c>
      <c r="AL25" s="90">
        <f t="shared" si="7"/>
        <v>1</v>
      </c>
    </row>
    <row r="26" spans="1:38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78">
        <f>SUM(AI7:AI25)</f>
        <v>570</v>
      </c>
      <c r="AJ26" s="70">
        <f>SUM(AJ7:AJ22)</f>
        <v>229</v>
      </c>
      <c r="AK26" s="70">
        <f>SUM(AK7:AK22)</f>
        <v>131</v>
      </c>
      <c r="AL26" s="76">
        <f>SUM(AL7:AL22)</f>
        <v>22</v>
      </c>
    </row>
    <row r="27" spans="1:38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/>
      <c r="AC27" s="35"/>
      <c r="AD27" s="35"/>
      <c r="AE27" s="35"/>
      <c r="AF27" s="35"/>
      <c r="AG27" s="35"/>
      <c r="AH27" s="35"/>
      <c r="AI27" s="73">
        <f t="shared" ref="AI27:AI33" si="8">АХД</f>
        <v>30</v>
      </c>
      <c r="AJ27" s="17">
        <f t="shared" ref="AJ27:AJ33" si="9">COUNTIF(E27:AH27,1)</f>
        <v>19</v>
      </c>
      <c r="AK27" s="17">
        <f t="shared" ref="AK27:AK33" si="10">COUNTIF(E27:AH27,"тр")</f>
        <v>0</v>
      </c>
      <c r="AL27" s="18">
        <f t="shared" ref="AL27:AL33" si="11">COUNTIF(E27:AH27,"бв")</f>
        <v>4</v>
      </c>
    </row>
    <row r="28" spans="1:38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73">
        <f t="shared" si="8"/>
        <v>30</v>
      </c>
      <c r="AJ28" s="54">
        <f t="shared" si="9"/>
        <v>0</v>
      </c>
      <c r="AK28" s="54">
        <f t="shared" si="10"/>
        <v>30</v>
      </c>
      <c r="AL28" s="55">
        <f t="shared" si="11"/>
        <v>0</v>
      </c>
    </row>
    <row r="29" spans="1:38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/>
      <c r="AC29" s="5"/>
      <c r="AD29" s="5"/>
      <c r="AE29" s="5"/>
      <c r="AF29" s="5"/>
      <c r="AG29" s="5"/>
      <c r="AH29" s="5"/>
      <c r="AI29" s="73">
        <f t="shared" si="8"/>
        <v>30</v>
      </c>
      <c r="AJ29" s="54">
        <f t="shared" si="9"/>
        <v>21</v>
      </c>
      <c r="AK29" s="54">
        <f t="shared" si="10"/>
        <v>2</v>
      </c>
      <c r="AL29" s="55">
        <f t="shared" si="11"/>
        <v>0</v>
      </c>
    </row>
    <row r="30" spans="1:38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/>
      <c r="AC30" s="5"/>
      <c r="AD30" s="5"/>
      <c r="AE30" s="5"/>
      <c r="AF30" s="5"/>
      <c r="AG30" s="5"/>
      <c r="AH30" s="5"/>
      <c r="AI30" s="73">
        <f t="shared" si="8"/>
        <v>30</v>
      </c>
      <c r="AJ30" s="54">
        <f t="shared" si="9"/>
        <v>18</v>
      </c>
      <c r="AK30" s="54">
        <f t="shared" si="10"/>
        <v>0</v>
      </c>
      <c r="AL30" s="55">
        <f t="shared" si="11"/>
        <v>5</v>
      </c>
    </row>
    <row r="31" spans="1:38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/>
      <c r="AC31" s="5"/>
      <c r="AD31" s="5"/>
      <c r="AE31" s="5"/>
      <c r="AF31" s="5"/>
      <c r="AG31" s="5"/>
      <c r="AH31" s="5"/>
      <c r="AI31" s="73">
        <f t="shared" si="8"/>
        <v>30</v>
      </c>
      <c r="AJ31" s="54">
        <f t="shared" si="9"/>
        <v>4</v>
      </c>
      <c r="AK31" s="54">
        <f t="shared" si="10"/>
        <v>8</v>
      </c>
      <c r="AL31" s="55">
        <f t="shared" si="11"/>
        <v>11</v>
      </c>
    </row>
    <row r="32" spans="1:38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/>
      <c r="AC32" s="5"/>
      <c r="AD32" s="5"/>
      <c r="AE32" s="5"/>
      <c r="AF32" s="5"/>
      <c r="AG32" s="5"/>
      <c r="AH32" s="5"/>
      <c r="AI32" s="73">
        <f t="shared" si="8"/>
        <v>30</v>
      </c>
      <c r="AJ32" s="54">
        <f t="shared" si="9"/>
        <v>17</v>
      </c>
      <c r="AK32" s="54">
        <f t="shared" si="10"/>
        <v>3</v>
      </c>
      <c r="AL32" s="55">
        <f t="shared" si="11"/>
        <v>3</v>
      </c>
    </row>
    <row r="33" spans="1:38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/>
      <c r="AC33" s="42"/>
      <c r="AD33" s="42"/>
      <c r="AE33" s="42"/>
      <c r="AF33" s="42"/>
      <c r="AG33" s="42"/>
      <c r="AH33" s="42"/>
      <c r="AI33" s="73">
        <f t="shared" si="8"/>
        <v>30</v>
      </c>
      <c r="AJ33" s="56">
        <f t="shared" si="9"/>
        <v>20</v>
      </c>
      <c r="AK33" s="56">
        <f t="shared" si="10"/>
        <v>1</v>
      </c>
      <c r="AL33" s="57">
        <f t="shared" si="11"/>
        <v>2</v>
      </c>
    </row>
    <row r="34" spans="1:38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78">
        <f>SUM(AI27:AI33)</f>
        <v>210</v>
      </c>
      <c r="AJ34" s="70">
        <f>SUM(AJ27:AJ33)</f>
        <v>99</v>
      </c>
      <c r="AK34" s="70">
        <f>SUM(AK27:AK33)</f>
        <v>44</v>
      </c>
      <c r="AL34" s="76">
        <f>SUM(AL27:AL33)</f>
        <v>25</v>
      </c>
    </row>
    <row r="35" spans="1:38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/>
      <c r="AC35" s="35"/>
      <c r="AD35" s="35"/>
      <c r="AE35" s="35"/>
      <c r="AF35" s="35"/>
      <c r="AG35" s="35"/>
      <c r="AH35" s="35"/>
      <c r="AI35" s="73">
        <f>АХД</f>
        <v>30</v>
      </c>
      <c r="AJ35" s="17">
        <f>COUNTIF(E35:AH35,1)</f>
        <v>22</v>
      </c>
      <c r="AK35" s="17">
        <f>COUNTIF(E35:AH35,"тр")</f>
        <v>0</v>
      </c>
      <c r="AL35" s="18">
        <f>COUNTIF(E35:AH35,"бв")</f>
        <v>1</v>
      </c>
    </row>
    <row r="36" spans="1:38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/>
      <c r="AC36" s="5"/>
      <c r="AD36" s="5"/>
      <c r="AE36" s="5"/>
      <c r="AF36" s="5"/>
      <c r="AG36" s="5"/>
      <c r="AH36" s="5"/>
      <c r="AI36" s="73">
        <f>АХД</f>
        <v>30</v>
      </c>
      <c r="AJ36" s="54">
        <f>COUNTIF(E36:AH36,1)</f>
        <v>16</v>
      </c>
      <c r="AK36" s="54">
        <f>COUNTIF(E36:AH36,"тр")</f>
        <v>0</v>
      </c>
      <c r="AL36" s="55">
        <f>COUNTIF(E36:AH36,"бв")</f>
        <v>7</v>
      </c>
    </row>
    <row r="37" spans="1:38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73">
        <f>АХД</f>
        <v>30</v>
      </c>
      <c r="AJ37" s="56">
        <f>COUNTIF(E37:AH37,1)</f>
        <v>0</v>
      </c>
      <c r="AK37" s="56">
        <f>COUNTIF(E37:AH37,"тр")</f>
        <v>30</v>
      </c>
      <c r="AL37" s="57">
        <f>COUNTIF(E37:AH37,"бв")</f>
        <v>0</v>
      </c>
    </row>
    <row r="38" spans="1:38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78">
        <f>SUM(AI35:AI37)</f>
        <v>90</v>
      </c>
      <c r="AJ38" s="70">
        <f>SUM(AJ35:AJ37)</f>
        <v>38</v>
      </c>
      <c r="AK38" s="70">
        <f>SUM(AK35:AK37)</f>
        <v>30</v>
      </c>
      <c r="AL38" s="76">
        <f>SUM(AL35:AL37)</f>
        <v>8</v>
      </c>
    </row>
    <row r="39" spans="1:38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73">
        <f>АХД</f>
        <v>30</v>
      </c>
      <c r="AJ39" s="17">
        <f>COUNTIF(E39:AH39,1)</f>
        <v>0</v>
      </c>
      <c r="AK39" s="17">
        <f>COUNTIF(E39:AH39,"тр")</f>
        <v>30</v>
      </c>
      <c r="AL39" s="18">
        <f>COUNTIF(E39:AH39,"бв")</f>
        <v>0</v>
      </c>
    </row>
    <row r="40" spans="1:38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73">
        <f>АХД</f>
        <v>30</v>
      </c>
      <c r="AJ40" s="56">
        <f>COUNTIF(E40:AH40,1)</f>
        <v>0</v>
      </c>
      <c r="AK40" s="56">
        <f>COUNTIF(E40:AH40,"тр")</f>
        <v>30</v>
      </c>
      <c r="AL40" s="57">
        <f>COUNTIF(E40:AH40,"бв")</f>
        <v>0</v>
      </c>
    </row>
    <row r="41" spans="1:38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78">
        <f>SUM(AI39:AI40)</f>
        <v>60</v>
      </c>
      <c r="AJ41" s="70">
        <f>SUM(AJ39:AJ40)</f>
        <v>0</v>
      </c>
      <c r="AK41" s="70">
        <f>SUM(AK39:AK40)</f>
        <v>60</v>
      </c>
      <c r="AL41" s="76">
        <f>SUM(AL39:AL40)</f>
        <v>0</v>
      </c>
    </row>
    <row r="42" spans="1:38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73">
        <f>АХД</f>
        <v>30</v>
      </c>
      <c r="AJ42" s="19">
        <f>COUNTIF(E42:AH42,1)</f>
        <v>0</v>
      </c>
      <c r="AK42" s="19">
        <f>COUNTIF(E42:AH42,"тр")</f>
        <v>30</v>
      </c>
      <c r="AL42" s="20">
        <f>COUNTIF(E42:AH42,"бв")</f>
        <v>0</v>
      </c>
    </row>
    <row r="43" spans="1:38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78">
        <f>SUM(AI42)</f>
        <v>30</v>
      </c>
      <c r="AJ43" s="70">
        <f>SUM(AJ42)</f>
        <v>0</v>
      </c>
      <c r="AK43" s="70">
        <f>SUM(AK42)</f>
        <v>30</v>
      </c>
      <c r="AL43" s="76">
        <f>SUM(AL42)</f>
        <v>0</v>
      </c>
    </row>
    <row r="44" spans="1:38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73">
        <f>АХД</f>
        <v>30</v>
      </c>
      <c r="AJ44" s="17">
        <f>COUNTIF(E44:AH44,1)</f>
        <v>0</v>
      </c>
      <c r="AK44" s="17">
        <f>COUNTIF(E44:AH44,"тр")</f>
        <v>30</v>
      </c>
      <c r="AL44" s="18">
        <f>COUNTIF(E44:AH44,"бв")</f>
        <v>0</v>
      </c>
    </row>
    <row r="45" spans="1:38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/>
      <c r="AC45" s="5"/>
      <c r="AD45" s="5"/>
      <c r="AE45" s="5"/>
      <c r="AF45" s="5"/>
      <c r="AG45" s="5"/>
      <c r="AH45" s="5"/>
      <c r="AI45" s="73">
        <f>АХД</f>
        <v>30</v>
      </c>
      <c r="AJ45" s="54">
        <f>COUNTIF(E45:AH45,1)</f>
        <v>20</v>
      </c>
      <c r="AK45" s="54">
        <f>COUNTIF(E45:AH45,"тр")</f>
        <v>0</v>
      </c>
      <c r="AL45" s="55">
        <f>COUNTIF(E45:AH45,"бв")</f>
        <v>3</v>
      </c>
    </row>
    <row r="46" spans="1:38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/>
      <c r="AC46" s="42"/>
      <c r="AD46" s="42"/>
      <c r="AE46" s="42"/>
      <c r="AF46" s="42"/>
      <c r="AG46" s="42"/>
      <c r="AH46" s="42"/>
      <c r="AI46" s="73">
        <f>АХД</f>
        <v>30</v>
      </c>
      <c r="AJ46" s="56">
        <f>COUNTIF(E46:AH46,1)</f>
        <v>17</v>
      </c>
      <c r="AK46" s="56">
        <f>COUNTIF(E46:AH46,"тр")</f>
        <v>2</v>
      </c>
      <c r="AL46" s="57">
        <f>COUNTIF(E46:AH46,"бв")</f>
        <v>4</v>
      </c>
    </row>
    <row r="47" spans="1:38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78">
        <f>SUM(AI44:AI46)</f>
        <v>90</v>
      </c>
      <c r="AJ47" s="70">
        <f>SUM(AJ44:AJ46)</f>
        <v>37</v>
      </c>
      <c r="AK47" s="70">
        <f>SUM(AK44:AK46)</f>
        <v>32</v>
      </c>
      <c r="AL47" s="76">
        <f>SUM(AL44:AL46)</f>
        <v>7</v>
      </c>
    </row>
    <row r="48" spans="1:38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/>
      <c r="AC48" s="35"/>
      <c r="AD48" s="35"/>
      <c r="AE48" s="35"/>
      <c r="AF48" s="35"/>
      <c r="AG48" s="35"/>
      <c r="AH48" s="35"/>
      <c r="AI48" s="73">
        <f t="shared" ref="AI48:AI54" si="12">АХД</f>
        <v>30</v>
      </c>
      <c r="AJ48" s="17">
        <f t="shared" ref="AJ48:AJ54" si="13">COUNTIF(E48:AH48,1)</f>
        <v>23</v>
      </c>
      <c r="AK48" s="17">
        <f t="shared" ref="AK48:AK54" si="14">COUNTIF(E48:AH48,"тр")</f>
        <v>0</v>
      </c>
      <c r="AL48" s="18">
        <f t="shared" ref="AL48:AL54" si="15">COUNTIF(E48:AH48,"бв")</f>
        <v>0</v>
      </c>
    </row>
    <row r="49" spans="1:38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/>
      <c r="AC49" s="5"/>
      <c r="AD49" s="5"/>
      <c r="AE49" s="5"/>
      <c r="AF49" s="5"/>
      <c r="AG49" s="5"/>
      <c r="AH49" s="5"/>
      <c r="AI49" s="73">
        <f t="shared" si="12"/>
        <v>30</v>
      </c>
      <c r="AJ49" s="54">
        <f t="shared" si="13"/>
        <v>21</v>
      </c>
      <c r="AK49" s="54">
        <f t="shared" si="14"/>
        <v>1</v>
      </c>
      <c r="AL49" s="55">
        <f t="shared" si="15"/>
        <v>1</v>
      </c>
    </row>
    <row r="50" spans="1:38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/>
      <c r="AC50" s="5"/>
      <c r="AD50" s="5"/>
      <c r="AE50" s="5"/>
      <c r="AF50" s="5"/>
      <c r="AG50" s="5"/>
      <c r="AH50" s="5"/>
      <c r="AI50" s="73">
        <f t="shared" si="12"/>
        <v>30</v>
      </c>
      <c r="AJ50" s="54">
        <f t="shared" si="13"/>
        <v>21</v>
      </c>
      <c r="AK50" s="54">
        <f t="shared" si="14"/>
        <v>2</v>
      </c>
      <c r="AL50" s="55">
        <f t="shared" si="15"/>
        <v>0</v>
      </c>
    </row>
    <row r="51" spans="1:38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/>
      <c r="AC51" s="5"/>
      <c r="AD51" s="5"/>
      <c r="AE51" s="5"/>
      <c r="AF51" s="5"/>
      <c r="AG51" s="5"/>
      <c r="AH51" s="5"/>
      <c r="AI51" s="73">
        <f t="shared" si="12"/>
        <v>30</v>
      </c>
      <c r="AJ51" s="54">
        <f t="shared" si="13"/>
        <v>20</v>
      </c>
      <c r="AK51" s="54">
        <f t="shared" si="14"/>
        <v>2</v>
      </c>
      <c r="AL51" s="55">
        <f t="shared" si="15"/>
        <v>1</v>
      </c>
    </row>
    <row r="52" spans="1:38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/>
      <c r="AC52" s="5"/>
      <c r="AD52" s="5"/>
      <c r="AE52" s="5"/>
      <c r="AF52" s="5"/>
      <c r="AG52" s="5"/>
      <c r="AH52" s="5"/>
      <c r="AI52" s="73">
        <f t="shared" si="12"/>
        <v>30</v>
      </c>
      <c r="AJ52" s="54">
        <f t="shared" si="13"/>
        <v>18</v>
      </c>
      <c r="AK52" s="54">
        <f t="shared" si="14"/>
        <v>0</v>
      </c>
      <c r="AL52" s="55">
        <f t="shared" si="15"/>
        <v>5</v>
      </c>
    </row>
    <row r="53" spans="1:38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/>
      <c r="AC53" s="5"/>
      <c r="AD53" s="5"/>
      <c r="AE53" s="5"/>
      <c r="AF53" s="5"/>
      <c r="AG53" s="5"/>
      <c r="AH53" s="5"/>
      <c r="AI53" s="73">
        <f t="shared" si="12"/>
        <v>30</v>
      </c>
      <c r="AJ53" s="54">
        <f t="shared" si="13"/>
        <v>21</v>
      </c>
      <c r="AK53" s="54">
        <f t="shared" si="14"/>
        <v>0</v>
      </c>
      <c r="AL53" s="55">
        <f t="shared" si="15"/>
        <v>2</v>
      </c>
    </row>
    <row r="54" spans="1:38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/>
      <c r="AC54" s="42"/>
      <c r="AD54" s="42"/>
      <c r="AE54" s="42"/>
      <c r="AF54" s="42"/>
      <c r="AG54" s="42"/>
      <c r="AH54" s="42"/>
      <c r="AI54" s="73">
        <f t="shared" si="12"/>
        <v>30</v>
      </c>
      <c r="AJ54" s="56">
        <f t="shared" si="13"/>
        <v>17</v>
      </c>
      <c r="AK54" s="56">
        <f t="shared" si="14"/>
        <v>6</v>
      </c>
      <c r="AL54" s="57">
        <f t="shared" si="15"/>
        <v>0</v>
      </c>
    </row>
    <row r="55" spans="1:38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78">
        <f>SUM(AI48:AI54)</f>
        <v>210</v>
      </c>
      <c r="AJ55" s="70">
        <f>SUM(AJ48:AJ54)</f>
        <v>141</v>
      </c>
      <c r="AK55" s="70">
        <f>SUM(AK48:AK54)</f>
        <v>11</v>
      </c>
      <c r="AL55" s="76">
        <f>SUM(AL48:AL54)</f>
        <v>9</v>
      </c>
    </row>
    <row r="56" spans="1:38" x14ac:dyDescent="0.25">
      <c r="A56" s="8">
        <f>A54+1</f>
        <v>45</v>
      </c>
      <c r="B56" s="9" t="s">
        <v>43</v>
      </c>
      <c r="C56" s="10" t="s">
        <v>44</v>
      </c>
      <c r="D56" s="21">
        <v>1250</v>
      </c>
      <c r="E56" s="6" t="s">
        <v>57</v>
      </c>
      <c r="F56" s="35">
        <v>1</v>
      </c>
      <c r="G56" s="35">
        <v>1</v>
      </c>
      <c r="H56" s="35">
        <v>1</v>
      </c>
      <c r="I56" s="35" t="s">
        <v>57</v>
      </c>
      <c r="J56" s="35" t="s">
        <v>57</v>
      </c>
      <c r="K56" s="35" t="s">
        <v>57</v>
      </c>
      <c r="L56" s="35">
        <v>1</v>
      </c>
      <c r="M56" s="35">
        <v>1</v>
      </c>
      <c r="N56" s="35">
        <v>1</v>
      </c>
      <c r="O56" s="35">
        <v>1</v>
      </c>
      <c r="P56" s="35" t="s">
        <v>57</v>
      </c>
      <c r="Q56" s="35" t="s">
        <v>57</v>
      </c>
      <c r="R56" s="35" t="s">
        <v>57</v>
      </c>
      <c r="S56" s="35" t="s">
        <v>57</v>
      </c>
      <c r="T56" s="35" t="s">
        <v>57</v>
      </c>
      <c r="U56" s="35">
        <v>1</v>
      </c>
      <c r="V56" s="35">
        <v>1</v>
      </c>
      <c r="W56" s="35">
        <v>1</v>
      </c>
      <c r="X56" s="35">
        <v>1</v>
      </c>
      <c r="Y56" s="35">
        <v>1</v>
      </c>
      <c r="Z56" s="35">
        <v>1</v>
      </c>
      <c r="AA56" s="35">
        <v>1</v>
      </c>
      <c r="AB56" s="35"/>
      <c r="AC56" s="35"/>
      <c r="AD56" s="35"/>
      <c r="AE56" s="35"/>
      <c r="AF56" s="35"/>
      <c r="AG56" s="35"/>
      <c r="AH56" s="35"/>
      <c r="AI56" s="73">
        <f>АХД</f>
        <v>30</v>
      </c>
      <c r="AJ56" s="17">
        <f>COUNTIF(E56:AH56,1)</f>
        <v>14</v>
      </c>
      <c r="AK56" s="17">
        <f>COUNTIF(E56:AH56,"тр")</f>
        <v>0</v>
      </c>
      <c r="AL56" s="18">
        <f>COUNTIF(E56:AH56,"бв")</f>
        <v>9</v>
      </c>
    </row>
    <row r="57" spans="1:38" ht="16.3" thickBot="1" x14ac:dyDescent="0.3">
      <c r="A57" s="44">
        <f t="shared" si="4"/>
        <v>46</v>
      </c>
      <c r="B57" s="39" t="s">
        <v>43</v>
      </c>
      <c r="C57" s="40" t="s">
        <v>45</v>
      </c>
      <c r="D57" s="41">
        <v>1252</v>
      </c>
      <c r="E57" s="43" t="s">
        <v>58</v>
      </c>
      <c r="F57" s="42" t="s">
        <v>58</v>
      </c>
      <c r="G57" s="42" t="s">
        <v>58</v>
      </c>
      <c r="H57" s="42" t="s">
        <v>58</v>
      </c>
      <c r="I57" s="42" t="s">
        <v>58</v>
      </c>
      <c r="J57" s="42" t="s">
        <v>58</v>
      </c>
      <c r="K57" s="42" t="s">
        <v>58</v>
      </c>
      <c r="L57" s="42" t="s">
        <v>58</v>
      </c>
      <c r="M57" s="42" t="s">
        <v>58</v>
      </c>
      <c r="N57" s="42" t="s">
        <v>58</v>
      </c>
      <c r="O57" s="42" t="s">
        <v>58</v>
      </c>
      <c r="P57" s="42" t="s">
        <v>57</v>
      </c>
      <c r="Q57" s="42">
        <v>1</v>
      </c>
      <c r="R57" s="42">
        <v>1</v>
      </c>
      <c r="S57" s="42">
        <v>1</v>
      </c>
      <c r="T57" s="42">
        <v>1</v>
      </c>
      <c r="U57" s="42" t="s">
        <v>58</v>
      </c>
      <c r="V57" s="42" t="s">
        <v>58</v>
      </c>
      <c r="W57" s="42">
        <v>1</v>
      </c>
      <c r="X57" s="42" t="s">
        <v>58</v>
      </c>
      <c r="Y57" s="42" t="s">
        <v>58</v>
      </c>
      <c r="Z57" s="42">
        <v>1</v>
      </c>
      <c r="AA57" s="42" t="s">
        <v>58</v>
      </c>
      <c r="AB57" s="42"/>
      <c r="AC57" s="42"/>
      <c r="AD57" s="42"/>
      <c r="AE57" s="42"/>
      <c r="AF57" s="42"/>
      <c r="AG57" s="42"/>
      <c r="AH57" s="42"/>
      <c r="AI57" s="73">
        <f>АХД</f>
        <v>30</v>
      </c>
      <c r="AJ57" s="56">
        <f>COUNTIF(E57:AH57,1)</f>
        <v>6</v>
      </c>
      <c r="AK57" s="56">
        <f>COUNTIF(E57:AH57,"тр")</f>
        <v>16</v>
      </c>
      <c r="AL57" s="57">
        <f>COUNTIF(E57:AH57,"бв")</f>
        <v>1</v>
      </c>
    </row>
    <row r="58" spans="1:38" s="33" customFormat="1" ht="16.3" thickBot="1" x14ac:dyDescent="0.3">
      <c r="A58" s="63"/>
      <c r="B58" s="66" t="s">
        <v>63</v>
      </c>
      <c r="C58" s="64"/>
      <c r="D58" s="64"/>
      <c r="E58" s="65"/>
      <c r="F58" s="65"/>
      <c r="G58" s="65"/>
      <c r="H58" s="65"/>
      <c r="I58" s="65"/>
      <c r="J58" s="65"/>
      <c r="K58" s="65"/>
      <c r="L58" s="65"/>
      <c r="M58" s="65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5"/>
      <c r="AC58" s="65"/>
      <c r="AD58" s="65"/>
      <c r="AE58" s="65"/>
      <c r="AF58" s="65"/>
      <c r="AG58" s="65"/>
      <c r="AH58" s="65"/>
      <c r="AI58" s="78">
        <f>SUM(AI56:AI57)</f>
        <v>60</v>
      </c>
      <c r="AJ58" s="70">
        <f>SUM(AJ56:AJ57)</f>
        <v>20</v>
      </c>
      <c r="AK58" s="70">
        <f>SUM(AK56:AK57)</f>
        <v>16</v>
      </c>
      <c r="AL58" s="76">
        <f>SUM(AL56:AL57)</f>
        <v>10</v>
      </c>
    </row>
    <row r="59" spans="1:38" x14ac:dyDescent="0.25">
      <c r="A59" s="8">
        <f>A57+1</f>
        <v>47</v>
      </c>
      <c r="B59" s="9" t="s">
        <v>64</v>
      </c>
      <c r="C59" s="10" t="s">
        <v>65</v>
      </c>
      <c r="D59" s="21" t="s">
        <v>59</v>
      </c>
      <c r="E59" s="6">
        <v>1</v>
      </c>
      <c r="F59" s="35">
        <v>1</v>
      </c>
      <c r="G59" s="35">
        <v>1</v>
      </c>
      <c r="H59" s="35">
        <v>1</v>
      </c>
      <c r="I59" s="35">
        <v>1</v>
      </c>
      <c r="J59" s="35">
        <v>1</v>
      </c>
      <c r="K59" s="35">
        <v>1</v>
      </c>
      <c r="L59" s="35">
        <v>1</v>
      </c>
      <c r="M59" s="35">
        <v>1</v>
      </c>
      <c r="N59" s="35">
        <v>1</v>
      </c>
      <c r="O59" s="35">
        <v>1</v>
      </c>
      <c r="P59" s="35">
        <v>1</v>
      </c>
      <c r="Q59" s="35">
        <v>1</v>
      </c>
      <c r="R59" s="35">
        <v>1</v>
      </c>
      <c r="S59" s="35">
        <v>1</v>
      </c>
      <c r="T59" s="35">
        <v>1</v>
      </c>
      <c r="U59" s="35">
        <v>1</v>
      </c>
      <c r="V59" s="35">
        <v>1</v>
      </c>
      <c r="W59" s="35">
        <v>1</v>
      </c>
      <c r="X59" s="35">
        <v>1</v>
      </c>
      <c r="Y59" s="35">
        <v>1</v>
      </c>
      <c r="Z59" s="35">
        <v>1</v>
      </c>
      <c r="AA59" s="35">
        <v>1</v>
      </c>
      <c r="AB59" s="35"/>
      <c r="AC59" s="35"/>
      <c r="AD59" s="35"/>
      <c r="AE59" s="35"/>
      <c r="AF59" s="35"/>
      <c r="AG59" s="35"/>
      <c r="AH59" s="35"/>
      <c r="AI59" s="73">
        <f>АХД</f>
        <v>30</v>
      </c>
      <c r="AJ59" s="17">
        <f>COUNTIF(E59:AH59,1)</f>
        <v>23</v>
      </c>
      <c r="AK59" s="17">
        <f>COUNTIF(E59:AH59,"тр")</f>
        <v>0</v>
      </c>
      <c r="AL59" s="18">
        <f>COUNTIF(E59:AH59,"бв")</f>
        <v>0</v>
      </c>
    </row>
    <row r="60" spans="1:38" ht="16.3" thickBot="1" x14ac:dyDescent="0.3">
      <c r="A60" s="58">
        <f t="shared" si="4"/>
        <v>48</v>
      </c>
      <c r="B60" s="39" t="s">
        <v>64</v>
      </c>
      <c r="C60" s="40" t="s">
        <v>66</v>
      </c>
      <c r="D60" s="41" t="s">
        <v>60</v>
      </c>
      <c r="E60" s="43">
        <v>1</v>
      </c>
      <c r="F60" s="42">
        <v>1</v>
      </c>
      <c r="G60" s="42">
        <v>1</v>
      </c>
      <c r="H60" s="42">
        <v>1</v>
      </c>
      <c r="I60" s="42">
        <v>1</v>
      </c>
      <c r="J60" s="42">
        <v>1</v>
      </c>
      <c r="K60" s="42">
        <v>1</v>
      </c>
      <c r="L60" s="42">
        <v>1</v>
      </c>
      <c r="M60" s="42">
        <v>1</v>
      </c>
      <c r="N60" s="42">
        <v>1</v>
      </c>
      <c r="O60" s="42">
        <v>1</v>
      </c>
      <c r="P60" s="42">
        <v>1</v>
      </c>
      <c r="Q60" s="42">
        <v>1</v>
      </c>
      <c r="R60" s="42">
        <v>1</v>
      </c>
      <c r="S60" s="42">
        <v>1</v>
      </c>
      <c r="T60" s="42">
        <v>1</v>
      </c>
      <c r="U60" s="42">
        <v>1</v>
      </c>
      <c r="V60" s="42">
        <v>1</v>
      </c>
      <c r="W60" s="42">
        <v>1</v>
      </c>
      <c r="X60" s="42">
        <v>1</v>
      </c>
      <c r="Y60" s="42">
        <v>1</v>
      </c>
      <c r="Z60" s="42">
        <v>1</v>
      </c>
      <c r="AA60" s="42">
        <v>1</v>
      </c>
      <c r="AB60" s="42"/>
      <c r="AC60" s="42"/>
      <c r="AD60" s="42"/>
      <c r="AE60" s="42"/>
      <c r="AF60" s="42"/>
      <c r="AG60" s="42"/>
      <c r="AH60" s="42"/>
      <c r="AI60" s="73">
        <f>АХД</f>
        <v>30</v>
      </c>
      <c r="AJ60" s="56">
        <f>COUNTIF(E60:AH60,1)</f>
        <v>23</v>
      </c>
      <c r="AK60" s="56">
        <f>COUNTIF(E60:AH60,"тр")</f>
        <v>0</v>
      </c>
      <c r="AL60" s="57">
        <f>COUNTIF(E60:AH60,"бв")</f>
        <v>0</v>
      </c>
    </row>
    <row r="61" spans="1:38" s="33" customFormat="1" ht="16.3" thickBot="1" x14ac:dyDescent="0.3">
      <c r="A61" s="63"/>
      <c r="B61" s="66" t="s">
        <v>63</v>
      </c>
      <c r="C61" s="64"/>
      <c r="D61" s="64"/>
      <c r="E61" s="65"/>
      <c r="F61" s="65"/>
      <c r="G61" s="65"/>
      <c r="H61" s="65"/>
      <c r="I61" s="65"/>
      <c r="J61" s="65"/>
      <c r="K61" s="65"/>
      <c r="L61" s="65"/>
      <c r="M61" s="65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5"/>
      <c r="AC61" s="65"/>
      <c r="AD61" s="65"/>
      <c r="AE61" s="65"/>
      <c r="AF61" s="65"/>
      <c r="AG61" s="65"/>
      <c r="AH61" s="65"/>
      <c r="AI61" s="78">
        <f>SUM(AI59:AI60)</f>
        <v>60</v>
      </c>
      <c r="AJ61" s="70">
        <f>SUM(AJ59:AJ60)</f>
        <v>46</v>
      </c>
      <c r="AK61" s="70">
        <f>SUM(AK59:AK60)</f>
        <v>0</v>
      </c>
      <c r="AL61" s="76">
        <f>SUM(AL59:AL60)</f>
        <v>0</v>
      </c>
    </row>
    <row r="62" spans="1:38" s="33" customFormat="1" x14ac:dyDescent="0.25">
      <c r="A62" s="36"/>
      <c r="B62" s="49"/>
      <c r="C62" s="50"/>
      <c r="D62" s="50"/>
      <c r="E62" s="52"/>
      <c r="F62" s="52"/>
      <c r="G62" s="52"/>
      <c r="H62" s="52"/>
      <c r="I62" s="52"/>
      <c r="J62" s="52"/>
      <c r="K62" s="52"/>
      <c r="L62" s="52"/>
      <c r="M62" s="52"/>
      <c r="N62" s="52"/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1" t="s">
        <v>67</v>
      </c>
      <c r="Z62" s="52"/>
      <c r="AA62" s="52"/>
      <c r="AB62" s="52"/>
      <c r="AC62" s="52"/>
      <c r="AD62" s="52"/>
      <c r="AE62" s="52"/>
      <c r="AF62" s="52"/>
      <c r="AG62" s="52"/>
      <c r="AH62" s="52"/>
      <c r="AI62" s="53">
        <f>AI6+AI26+AI34+AI38+AI41+AI43+AI47+AI55+AI58+AI61</f>
        <v>1440</v>
      </c>
      <c r="AJ62" s="53"/>
      <c r="AK62" s="53"/>
      <c r="AL62" s="53"/>
    </row>
    <row r="63" spans="1:38" x14ac:dyDescent="0.25">
      <c r="A63" s="37"/>
      <c r="B63" s="1"/>
      <c r="C63" s="2"/>
      <c r="D63" s="2"/>
      <c r="E63" s="47"/>
      <c r="F63" s="47"/>
      <c r="G63" s="47"/>
      <c r="H63" s="47"/>
      <c r="I63" s="47"/>
      <c r="J63" s="47"/>
      <c r="K63" s="47"/>
      <c r="L63" s="47"/>
      <c r="M63" s="47"/>
      <c r="N63" s="47"/>
      <c r="O63" s="47"/>
      <c r="P63" s="47"/>
      <c r="Q63" s="47"/>
      <c r="R63" s="47"/>
      <c r="S63" s="47"/>
      <c r="T63" s="47"/>
      <c r="U63" s="47"/>
      <c r="V63" s="47"/>
      <c r="W63" s="47"/>
      <c r="X63" s="47"/>
      <c r="Y63" s="47"/>
      <c r="Z63" s="47"/>
      <c r="AA63" s="47"/>
      <c r="AB63" s="47"/>
      <c r="AC63" s="47"/>
      <c r="AD63" s="47"/>
      <c r="AE63" s="47"/>
      <c r="AF63" s="47"/>
      <c r="AG63" s="47"/>
      <c r="AH63" s="47"/>
      <c r="AI63" s="47"/>
      <c r="AJ63" s="48"/>
      <c r="AK63" s="48"/>
      <c r="AL63" s="48"/>
    </row>
    <row r="64" spans="1:38" ht="16.3" thickBot="1" x14ac:dyDescent="0.3">
      <c r="A64" s="91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Январь 2019 автоколонны № 2 г. Смолевичи</v>
      </c>
      <c r="B64" s="91"/>
      <c r="C64" s="91"/>
      <c r="D64" s="91"/>
      <c r="E64" s="91"/>
      <c r="F64" s="91"/>
      <c r="G64" s="91"/>
      <c r="H64" s="91"/>
      <c r="I64" s="91"/>
      <c r="J64" s="91"/>
      <c r="K64" s="91"/>
      <c r="L64" s="91"/>
      <c r="M64" s="91"/>
      <c r="N64" s="91"/>
      <c r="O64" s="91"/>
      <c r="P64" s="91"/>
      <c r="Q64" s="91"/>
      <c r="R64" s="91"/>
      <c r="S64" s="91"/>
      <c r="T64" s="91"/>
      <c r="U64" s="91"/>
      <c r="V64" s="91"/>
      <c r="W64" s="91"/>
      <c r="X64" s="91"/>
      <c r="Y64" s="91"/>
      <c r="Z64" s="91"/>
      <c r="AA64" s="91"/>
      <c r="AB64" s="91"/>
      <c r="AC64" s="91"/>
      <c r="AD64" s="91"/>
      <c r="AE64" s="91"/>
      <c r="AF64" s="91"/>
      <c r="AG64" s="91"/>
      <c r="AH64" s="91"/>
      <c r="AI64" s="91"/>
      <c r="AJ64" s="91"/>
      <c r="AK64" s="91"/>
      <c r="AL64" s="91"/>
    </row>
    <row r="65" spans="1:38" s="33" customFormat="1" ht="16.3" thickBot="1" x14ac:dyDescent="0.3">
      <c r="A65" s="27" t="s">
        <v>56</v>
      </c>
      <c r="B65" s="28" t="s">
        <v>46</v>
      </c>
      <c r="C65" s="28" t="s">
        <v>48</v>
      </c>
      <c r="D65" s="29" t="s">
        <v>47</v>
      </c>
      <c r="E65" s="30">
        <v>1</v>
      </c>
      <c r="F65" s="30">
        <v>2</v>
      </c>
      <c r="G65" s="30">
        <v>3</v>
      </c>
      <c r="H65" s="30">
        <v>4</v>
      </c>
      <c r="I65" s="30">
        <v>5</v>
      </c>
      <c r="J65" s="30">
        <v>6</v>
      </c>
      <c r="K65" s="30">
        <v>7</v>
      </c>
      <c r="L65" s="30">
        <v>8</v>
      </c>
      <c r="M65" s="30">
        <v>9</v>
      </c>
      <c r="N65" s="30">
        <v>10</v>
      </c>
      <c r="O65" s="30">
        <v>11</v>
      </c>
      <c r="P65" s="30">
        <v>12</v>
      </c>
      <c r="Q65" s="30">
        <v>13</v>
      </c>
      <c r="R65" s="30">
        <v>14</v>
      </c>
      <c r="S65" s="30">
        <v>15</v>
      </c>
      <c r="T65" s="30">
        <v>16</v>
      </c>
      <c r="U65" s="30">
        <v>17</v>
      </c>
      <c r="V65" s="30">
        <v>18</v>
      </c>
      <c r="W65" s="30">
        <v>19</v>
      </c>
      <c r="X65" s="30">
        <v>20</v>
      </c>
      <c r="Y65" s="30">
        <v>21</v>
      </c>
      <c r="Z65" s="30">
        <v>22</v>
      </c>
      <c r="AA65" s="30">
        <v>23</v>
      </c>
      <c r="AB65" s="30">
        <v>24</v>
      </c>
      <c r="AC65" s="30">
        <v>25</v>
      </c>
      <c r="AD65" s="30">
        <v>26</v>
      </c>
      <c r="AE65" s="30">
        <v>27</v>
      </c>
      <c r="AF65" s="30">
        <v>28</v>
      </c>
      <c r="AG65" s="30">
        <v>29</v>
      </c>
      <c r="AH65" s="30">
        <v>30</v>
      </c>
      <c r="AI65" s="27" t="s">
        <v>62</v>
      </c>
      <c r="AJ65" s="31" t="s">
        <v>61</v>
      </c>
      <c r="AK65" s="31" t="s">
        <v>58</v>
      </c>
      <c r="AL65" s="32" t="s">
        <v>57</v>
      </c>
    </row>
    <row r="66" spans="1:38" x14ac:dyDescent="0.25">
      <c r="A66" s="8">
        <v>1</v>
      </c>
      <c r="B66" s="9" t="s">
        <v>54</v>
      </c>
      <c r="C66" s="69">
        <v>176</v>
      </c>
      <c r="D66" s="21">
        <v>6172</v>
      </c>
      <c r="E66" s="6">
        <v>1</v>
      </c>
      <c r="F66" s="35">
        <v>1</v>
      </c>
      <c r="G66" s="35">
        <v>1</v>
      </c>
      <c r="H66" s="35">
        <v>1</v>
      </c>
      <c r="I66" s="35">
        <v>1</v>
      </c>
      <c r="J66" s="35">
        <v>1</v>
      </c>
      <c r="K66" s="35">
        <v>1</v>
      </c>
      <c r="L66" s="35">
        <v>1</v>
      </c>
      <c r="M66" s="35">
        <v>1</v>
      </c>
      <c r="N66" s="35">
        <v>1</v>
      </c>
      <c r="O66" s="35">
        <v>1</v>
      </c>
      <c r="P66" s="35">
        <v>1</v>
      </c>
      <c r="Q66" s="35">
        <v>1</v>
      </c>
      <c r="R66" s="35">
        <v>1</v>
      </c>
      <c r="S66" s="35">
        <v>1</v>
      </c>
      <c r="T66" s="35">
        <v>1</v>
      </c>
      <c r="U66" s="35">
        <v>1</v>
      </c>
      <c r="V66" s="35">
        <v>1</v>
      </c>
      <c r="W66" s="35">
        <v>1</v>
      </c>
      <c r="X66" s="35">
        <v>1</v>
      </c>
      <c r="Y66" s="35">
        <v>1</v>
      </c>
      <c r="Z66" s="35">
        <v>1</v>
      </c>
      <c r="AA66" s="35">
        <v>1</v>
      </c>
      <c r="AB66" s="35"/>
      <c r="AC66" s="35"/>
      <c r="AD66" s="35"/>
      <c r="AE66" s="35"/>
      <c r="AF66" s="35"/>
      <c r="AG66" s="35"/>
      <c r="AH66" s="35"/>
      <c r="AI66" s="73">
        <f>АХД</f>
        <v>30</v>
      </c>
      <c r="AJ66" s="17">
        <f>COUNTIF(E66:AH66,1)</f>
        <v>23</v>
      </c>
      <c r="AK66" s="17">
        <f>COUNTIF(E66:AH66,"тр")</f>
        <v>0</v>
      </c>
      <c r="AL66" s="18">
        <f>COUNTIF(E66:AH66,"бв")</f>
        <v>0</v>
      </c>
    </row>
    <row r="67" spans="1:38" ht="16.3" thickBot="1" x14ac:dyDescent="0.3">
      <c r="A67" s="44">
        <v>2</v>
      </c>
      <c r="B67" s="39" t="s">
        <v>54</v>
      </c>
      <c r="C67" s="68">
        <v>177</v>
      </c>
      <c r="D67" s="41">
        <v>6173</v>
      </c>
      <c r="E67" s="43">
        <v>1</v>
      </c>
      <c r="F67" s="42">
        <v>1</v>
      </c>
      <c r="G67" s="42">
        <v>1</v>
      </c>
      <c r="H67" s="42">
        <v>1</v>
      </c>
      <c r="I67" s="42">
        <v>1</v>
      </c>
      <c r="J67" s="42">
        <v>1</v>
      </c>
      <c r="K67" s="42">
        <v>1</v>
      </c>
      <c r="L67" s="42">
        <v>1</v>
      </c>
      <c r="M67" s="42">
        <v>1</v>
      </c>
      <c r="N67" s="42">
        <v>1</v>
      </c>
      <c r="O67" s="42">
        <v>1</v>
      </c>
      <c r="P67" s="42">
        <v>1</v>
      </c>
      <c r="Q67" s="42">
        <v>1</v>
      </c>
      <c r="R67" s="42">
        <v>1</v>
      </c>
      <c r="S67" s="42">
        <v>1</v>
      </c>
      <c r="T67" s="42">
        <v>1</v>
      </c>
      <c r="U67" s="42">
        <v>1</v>
      </c>
      <c r="V67" s="42">
        <v>1</v>
      </c>
      <c r="W67" s="42">
        <v>1</v>
      </c>
      <c r="X67" s="42">
        <v>1</v>
      </c>
      <c r="Y67" s="42">
        <v>1</v>
      </c>
      <c r="Z67" s="42">
        <v>1</v>
      </c>
      <c r="AA67" s="42">
        <v>1</v>
      </c>
      <c r="AB67" s="42"/>
      <c r="AC67" s="42"/>
      <c r="AD67" s="42"/>
      <c r="AE67" s="42"/>
      <c r="AF67" s="42"/>
      <c r="AG67" s="42"/>
      <c r="AH67" s="42"/>
      <c r="AI67" s="73">
        <f>АХД</f>
        <v>30</v>
      </c>
      <c r="AJ67" s="56">
        <f>COUNTIF(E67:AH67,1)</f>
        <v>23</v>
      </c>
      <c r="AK67" s="56">
        <f>COUNTIF(E67:AH67,"тр")</f>
        <v>0</v>
      </c>
      <c r="AL67" s="57">
        <f>COUNTIF(E67:AH67,"бв")</f>
        <v>0</v>
      </c>
    </row>
    <row r="68" spans="1:38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78">
        <f>SUM(AI66:AI67)</f>
        <v>60</v>
      </c>
      <c r="AJ68" s="70">
        <f t="shared" ref="AJ68:AL68" si="16">SUM(AJ66:AJ67)</f>
        <v>46</v>
      </c>
      <c r="AK68" s="70">
        <f t="shared" si="16"/>
        <v>0</v>
      </c>
      <c r="AL68" s="76">
        <f t="shared" si="16"/>
        <v>0</v>
      </c>
    </row>
    <row r="69" spans="1:38" s="33" customFormat="1" x14ac:dyDescent="0.25">
      <c r="A69" s="36"/>
      <c r="B69" s="49"/>
      <c r="C69" s="50"/>
      <c r="D69" s="50"/>
      <c r="Y69" s="51" t="s">
        <v>68</v>
      </c>
      <c r="AI69" s="77">
        <f>AI68</f>
        <v>60</v>
      </c>
    </row>
  </sheetData>
  <autoFilter ref="E2:AL62"/>
  <mergeCells count="2">
    <mergeCell ref="A1:AL1"/>
    <mergeCell ref="A64:AL64"/>
  </mergeCells>
  <conditionalFormatting sqref="AI68:AL68 E66:AH67 AJ6:AL6 AI26:AL26 AI34:AL34 AI38:AL38 AI41:AL41 AI43:AL43 AI47:AL47 AI55:AL55 AI58:AL58 AI61:AL61 AI4:AI61 AI66:AI68 E27:AH33 E35:AH37 E39:AH40 E48:AH54 E56:AH57 E59:AH60 E42:AH42 E4:AH5 E7:AH25 E44:AH46">
    <cfRule type="containsBlanks" dxfId="0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I58:AL58 AI55:AL55 AI47:AL47 AI43:AL43 AI41:AL41 AI38:AL38 AI34:AL34 AJ26:AL26 AI6:AL6" formula="1"/>
    <ignoredError sqref="AJ15:AL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>
      <selection activeCell="A6" sqref="A6"/>
    </sheetView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1</vt:i4>
      </vt:variant>
    </vt:vector>
  </HeadingPairs>
  <TitlesOfParts>
    <vt:vector size="3" baseType="lpstr">
      <vt:lpstr>Январь 2019</vt:lpstr>
      <vt:lpstr>Данные</vt:lpstr>
      <vt:lpstr>АХД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2019-01-08T08:24:39Z</cp:lastPrinted>
  <dcterms:created xsi:type="dcterms:W3CDTF">2018-09-27T18:15:43Z</dcterms:created>
  <dcterms:modified xsi:type="dcterms:W3CDTF">2019-01-23T08:14:40Z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