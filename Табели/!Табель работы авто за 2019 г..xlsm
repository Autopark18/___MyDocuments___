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1" activeTab="5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Данные" sheetId="5" state="hidden" r:id="rId7"/>
  </sheets>
  <functionGroups builtInGroupCount="18"/>
  <definedNames>
    <definedName name="_xlnm._FilterDatabase" localSheetId="3" hidden="1">'Апрель 2019'!$E$2:$AL$57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4" i="11" l="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L66" i="11" l="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J33" i="11" s="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L33" i="11" l="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<sst xmlns="http://schemas.openxmlformats.org/spreadsheetml/2006/main" count="3708" uniqueCount="87">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</sst>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8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7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3" s="168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6" priority="2">
      <formula>LEN(TRIM(E4))=0</formula>
    </cfRule>
  </conditionalFormatting>
  <conditionalFormatting sqref="AJ38:AM38">
    <cfRule type="containsBlanks" dxfId="5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59" s="168"/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  <c r="AA59" s="168"/>
      <c r="AB59" s="168"/>
      <c r="AC59" s="168"/>
      <c r="AD59" s="168"/>
      <c r="AE59" s="168"/>
      <c r="AF59" s="168"/>
      <c r="AG59" s="168"/>
      <c r="AH59" s="168"/>
      <c r="AI59" s="168"/>
      <c r="AJ59" s="168"/>
      <c r="AK59" s="168"/>
      <c r="AL59" s="168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4" priority="2">
      <formula>LEN(TRIM(E4))=0</formula>
    </cfRule>
  </conditionalFormatting>
  <conditionalFormatting sqref="E65:AI65">
    <cfRule type="containsBlanks" dxfId="3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2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4" sqref="S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/>
      <c r="U4" s="92"/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52">
        <f t="shared" ref="AI4:AI23" si="0">COUNTA(E4:AH4)</f>
        <v>16</v>
      </c>
      <c r="AJ4" s="80">
        <f t="shared" ref="AJ4:AJ23" si="1">COUNTIF(E4:AH4,1)</f>
        <v>4</v>
      </c>
      <c r="AK4" s="80">
        <f t="shared" ref="AK4:AK23" si="2">COUNTIF(E4:AH4,"тр")</f>
        <v>0</v>
      </c>
      <c r="AL4" s="81">
        <f t="shared" ref="AL4:AL23" si="3">COUNTIF(E4:AH4,"бв")</f>
        <v>12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153">
        <f t="shared" si="0"/>
        <v>18</v>
      </c>
      <c r="AJ5" s="54">
        <f t="shared" si="1"/>
        <v>17</v>
      </c>
      <c r="AK5" s="54">
        <f t="shared" si="2"/>
        <v>0</v>
      </c>
      <c r="AL5" s="55">
        <f t="shared" si="3"/>
        <v>1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/>
      <c r="U6" s="5"/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153">
        <f t="shared" si="0"/>
        <v>16</v>
      </c>
      <c r="AJ6" s="54">
        <f t="shared" si="1"/>
        <v>1</v>
      </c>
      <c r="AK6" s="54">
        <f t="shared" si="2"/>
        <v>15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153">
        <f t="shared" si="0"/>
        <v>18</v>
      </c>
      <c r="AJ7" s="54">
        <f t="shared" si="1"/>
        <v>10</v>
      </c>
      <c r="AK7" s="54">
        <f t="shared" si="2"/>
        <v>0</v>
      </c>
      <c r="AL7" s="55">
        <f t="shared" si="3"/>
        <v>8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153">
        <f t="shared" si="0"/>
        <v>15</v>
      </c>
      <c r="AJ8" s="54">
        <f t="shared" si="1"/>
        <v>10</v>
      </c>
      <c r="AK8" s="54">
        <f t="shared" si="2"/>
        <v>0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153">
        <f t="shared" si="0"/>
        <v>18</v>
      </c>
      <c r="AJ9" s="54">
        <f t="shared" si="1"/>
        <v>15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153">
        <f t="shared" si="0"/>
        <v>18</v>
      </c>
      <c r="AJ10" s="54">
        <f t="shared" si="1"/>
        <v>15</v>
      </c>
      <c r="AK10" s="54">
        <f t="shared" si="2"/>
        <v>0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153">
        <f t="shared" si="0"/>
        <v>18</v>
      </c>
      <c r="AJ11" s="54">
        <f t="shared" si="1"/>
        <v>18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153">
        <f t="shared" si="0"/>
        <v>18</v>
      </c>
      <c r="AJ12" s="54">
        <f t="shared" si="1"/>
        <v>15</v>
      </c>
      <c r="AK12" s="54">
        <f t="shared" si="2"/>
        <v>2</v>
      </c>
      <c r="AL12" s="55">
        <f t="shared" si="3"/>
        <v>1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153">
        <f t="shared" si="0"/>
        <v>18</v>
      </c>
      <c r="AJ13" s="54">
        <f t="shared" si="1"/>
        <v>18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153">
        <f t="shared" si="0"/>
        <v>18</v>
      </c>
      <c r="AJ14" s="54">
        <f t="shared" si="1"/>
        <v>18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/>
      <c r="U15" s="5">
        <v>1</v>
      </c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153">
        <f t="shared" si="0"/>
        <v>17</v>
      </c>
      <c r="AJ15" s="54">
        <f t="shared" si="1"/>
        <v>14</v>
      </c>
      <c r="AK15" s="54">
        <f t="shared" si="2"/>
        <v>0</v>
      </c>
      <c r="AL15" s="55">
        <f t="shared" si="3"/>
        <v>3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/>
      <c r="U16" s="5">
        <v>1</v>
      </c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153">
        <f t="shared" si="0"/>
        <v>17</v>
      </c>
      <c r="AJ16" s="54">
        <f t="shared" si="1"/>
        <v>16</v>
      </c>
      <c r="AK16" s="54">
        <f t="shared" si="2"/>
        <v>0</v>
      </c>
      <c r="AL16" s="55">
        <f t="shared" si="3"/>
        <v>1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153">
        <f t="shared" si="0"/>
        <v>18</v>
      </c>
      <c r="AJ17" s="54">
        <f t="shared" si="1"/>
        <v>18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/>
      <c r="U18" s="5">
        <v>1</v>
      </c>
      <c r="V18" s="5">
        <v>1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153">
        <f t="shared" si="0"/>
        <v>17</v>
      </c>
      <c r="AJ18" s="54">
        <f t="shared" si="1"/>
        <v>13</v>
      </c>
      <c r="AK18" s="54">
        <f t="shared" si="2"/>
        <v>0</v>
      </c>
      <c r="AL18" s="55">
        <f t="shared" si="3"/>
        <v>4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153">
        <f t="shared" si="0"/>
        <v>15</v>
      </c>
      <c r="AJ19" s="54">
        <f t="shared" si="1"/>
        <v>9</v>
      </c>
      <c r="AK19" s="54">
        <f t="shared" si="2"/>
        <v>4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153">
        <f t="shared" si="0"/>
        <v>17</v>
      </c>
      <c r="AJ20" s="54">
        <f t="shared" si="1"/>
        <v>16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153">
        <f t="shared" si="0"/>
        <v>17</v>
      </c>
      <c r="AJ21" s="54">
        <f t="shared" si="1"/>
        <v>16</v>
      </c>
      <c r="AK21" s="54">
        <f t="shared" si="2"/>
        <v>0</v>
      </c>
      <c r="AL21" s="55">
        <f t="shared" si="3"/>
        <v>1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53">
        <f t="shared" si="0"/>
        <v>18</v>
      </c>
      <c r="AJ22" s="54">
        <f t="shared" si="1"/>
        <v>16</v>
      </c>
      <c r="AK22" s="54">
        <f t="shared" si="2"/>
        <v>0</v>
      </c>
      <c r="AL22" s="55">
        <f t="shared" si="3"/>
        <v>2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153">
        <f t="shared" si="0"/>
        <v>18</v>
      </c>
      <c r="AJ23" s="54">
        <f t="shared" si="1"/>
        <v>16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156">
        <f t="shared" ref="AI24" si="5">COUNTA(E24:AH24)</f>
        <v>18</v>
      </c>
      <c r="AJ24" s="56">
        <f t="shared" ref="AJ24" si="6">COUNTIF(E24:AH24,1)</f>
        <v>12</v>
      </c>
      <c r="AK24" s="56">
        <f t="shared" ref="AK24" si="7">COUNTIF(E24:AH24,"тр")</f>
        <v>0</v>
      </c>
      <c r="AL24" s="57">
        <f t="shared" ref="AL24" si="8">COUNTIF(E24:AH24,"бв")</f>
        <v>6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363</v>
      </c>
      <c r="AJ25" s="69">
        <f t="shared" ref="AJ25:AL25" si="9">SUM(AJ4:AJ24)</f>
        <v>287</v>
      </c>
      <c r="AK25" s="69">
        <f t="shared" si="9"/>
        <v>21</v>
      </c>
      <c r="AL25" s="75">
        <f t="shared" si="9"/>
        <v>55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152">
        <f t="shared" ref="AI26:AI32" si="10">COUNTA(E26:AH26)</f>
        <v>17</v>
      </c>
      <c r="AJ26" s="80">
        <f t="shared" ref="AJ26:AJ32" si="11">COUNTIF(E26:AH26,1)</f>
        <v>17</v>
      </c>
      <c r="AK26" s="80">
        <f t="shared" ref="AK26:AK32" si="12">COUNTIF(E26:AH26,"тр")</f>
        <v>0</v>
      </c>
      <c r="AL26" s="81">
        <f t="shared" ref="AL26:AL32" si="13">COUNTIF(E26:AH26,"бв")</f>
        <v>0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10"/>
        <v>15</v>
      </c>
      <c r="AJ27" s="54">
        <f t="shared" si="11"/>
        <v>0</v>
      </c>
      <c r="AK27" s="54">
        <f t="shared" si="12"/>
        <v>15</v>
      </c>
      <c r="AL27" s="55">
        <f t="shared" si="13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53">
        <f t="shared" si="10"/>
        <v>18</v>
      </c>
      <c r="AJ28" s="54">
        <f t="shared" si="11"/>
        <v>17</v>
      </c>
      <c r="AK28" s="54">
        <f t="shared" si="12"/>
        <v>0</v>
      </c>
      <c r="AL28" s="55">
        <f t="shared" si="13"/>
        <v>1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10"/>
        <v>15</v>
      </c>
      <c r="AJ29" s="54">
        <f t="shared" si="11"/>
        <v>0</v>
      </c>
      <c r="AK29" s="54">
        <f t="shared" si="12"/>
        <v>15</v>
      </c>
      <c r="AL29" s="55">
        <f t="shared" si="13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10"/>
        <v>17</v>
      </c>
      <c r="AJ30" s="54">
        <f t="shared" si="11"/>
        <v>15</v>
      </c>
      <c r="AK30" s="54">
        <f t="shared" si="12"/>
        <v>0</v>
      </c>
      <c r="AL30" s="55">
        <f t="shared" si="13"/>
        <v>2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53">
        <f t="shared" si="10"/>
        <v>18</v>
      </c>
      <c r="AJ31" s="54">
        <f t="shared" si="11"/>
        <v>13</v>
      </c>
      <c r="AK31" s="54">
        <f t="shared" si="12"/>
        <v>2</v>
      </c>
      <c r="AL31" s="55">
        <f t="shared" si="13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154">
        <f t="shared" si="10"/>
        <v>18</v>
      </c>
      <c r="AJ32" s="84">
        <f t="shared" si="11"/>
        <v>8</v>
      </c>
      <c r="AK32" s="84">
        <f t="shared" si="12"/>
        <v>10</v>
      </c>
      <c r="AL32" s="85">
        <f t="shared" si="13"/>
        <v>0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118</v>
      </c>
      <c r="AJ33" s="135">
        <f>SUM(AJ26:AJ32)</f>
        <v>70</v>
      </c>
      <c r="AK33" s="135">
        <f>SUM(AK26:AK32)</f>
        <v>42</v>
      </c>
      <c r="AL33" s="136">
        <f>SUM(AL26:AL32)</f>
        <v>6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155">
        <f>COUNTA(E34:AH34)</f>
        <v>15</v>
      </c>
      <c r="AJ34" s="17">
        <f>COUNTIF(E34:AH34,1)</f>
        <v>0</v>
      </c>
      <c r="AK34" s="17">
        <f>COUNTIF(E34:AH34,"тр")</f>
        <v>0</v>
      </c>
      <c r="AL34" s="18">
        <f>COUNTIF(E34:AH34,"бв")</f>
        <v>15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55">
        <f>COUNTA(E35:AH35)</f>
        <v>15</v>
      </c>
      <c r="AJ35" s="54">
        <f>COUNTIF(E35:AH35,1)</f>
        <v>5</v>
      </c>
      <c r="AK35" s="54">
        <f>COUNTIF(E35:AH35,"тр")</f>
        <v>2</v>
      </c>
      <c r="AL35" s="55">
        <f>COUNTIF(E35:AH35,"бв")</f>
        <v>8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155">
        <f>COUNTA(E36:AH36)</f>
        <v>15</v>
      </c>
      <c r="AJ36" s="56">
        <f>COUNTIF(E36:AH36,1)</f>
        <v>0</v>
      </c>
      <c r="AK36" s="56">
        <f>COUNTIF(E36:AH36,"тр")</f>
        <v>15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45</v>
      </c>
      <c r="AJ37" s="69">
        <f>SUM(AJ34:AJ36)</f>
        <v>5</v>
      </c>
      <c r="AK37" s="69">
        <f>SUM(AK34:AK36)</f>
        <v>17</v>
      </c>
      <c r="AL37" s="75">
        <f>SUM(AL34:AL36)</f>
        <v>23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155">
        <f>COUNTA(E38:AH38)</f>
        <v>15</v>
      </c>
      <c r="AJ38" s="19">
        <f>COUNTIF(E38:AH38,1)</f>
        <v>0</v>
      </c>
      <c r="AK38" s="19">
        <f>COUNTIF(E38:AH38,"тр")</f>
        <v>15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15</v>
      </c>
      <c r="AJ39" s="69">
        <f>SUM(AJ38)</f>
        <v>0</v>
      </c>
      <c r="AK39" s="69">
        <f>SUM(AK38)</f>
        <v>15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155">
        <f>COUNTA(E40:AH40)</f>
        <v>17</v>
      </c>
      <c r="AJ40" s="17">
        <f>COUNTIF(E40:AH40,1)</f>
        <v>14</v>
      </c>
      <c r="AK40" s="17">
        <f>COUNTIF(E40:AH40,"тр")</f>
        <v>0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/>
      <c r="U41" s="5">
        <v>1</v>
      </c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55">
        <f>COUNTA(E41:AH41)</f>
        <v>17</v>
      </c>
      <c r="AJ41" s="54">
        <f>COUNTIF(E41:AH41,1)</f>
        <v>16</v>
      </c>
      <c r="AK41" s="54">
        <f>COUNTIF(E41:AH41,"тр")</f>
        <v>0</v>
      </c>
      <c r="AL41" s="55">
        <f>COUNTIF(E41:AH41,"бв")</f>
        <v>1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155">
        <f>COUNTA(E42:AH42)</f>
        <v>15</v>
      </c>
      <c r="AJ42" s="56">
        <f>COUNTIF(E42:AH42,1)</f>
        <v>2</v>
      </c>
      <c r="AK42" s="56">
        <f>COUNTIF(E42:AH42,"тр")</f>
        <v>13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49</v>
      </c>
      <c r="AJ43" s="69">
        <f>SUM(AJ40:AJ42)</f>
        <v>32</v>
      </c>
      <c r="AK43" s="69">
        <f>SUM(AK40:AK42)</f>
        <v>13</v>
      </c>
      <c r="AL43" s="75">
        <f>SUM(AL40:AL42)</f>
        <v>4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155">
        <f t="shared" ref="AI44:AI50" si="14">COUNTA(E44:AH44)</f>
        <v>18</v>
      </c>
      <c r="AJ44" s="17">
        <f t="shared" ref="AJ44:AJ50" si="15">COUNTIF(E44:AH44,1)</f>
        <v>16</v>
      </c>
      <c r="AK44" s="17">
        <f t="shared" ref="AK44:AK50" si="16">COUNTIF(E44:AH44,"тр")</f>
        <v>2</v>
      </c>
      <c r="AL44" s="18">
        <f t="shared" ref="AL44:AL50" si="17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/>
      <c r="U45" s="5"/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14"/>
        <v>16</v>
      </c>
      <c r="AJ45" s="54">
        <f t="shared" si="15"/>
        <v>16</v>
      </c>
      <c r="AK45" s="54">
        <f t="shared" si="16"/>
        <v>0</v>
      </c>
      <c r="AL45" s="55">
        <f t="shared" si="17"/>
        <v>0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14"/>
        <v>18</v>
      </c>
      <c r="AJ46" s="54">
        <f t="shared" si="15"/>
        <v>16</v>
      </c>
      <c r="AK46" s="54">
        <f t="shared" si="16"/>
        <v>0</v>
      </c>
      <c r="AL46" s="55">
        <f t="shared" si="17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/>
      <c r="U47" s="5">
        <v>1</v>
      </c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14"/>
        <v>17</v>
      </c>
      <c r="AJ47" s="54">
        <f t="shared" si="15"/>
        <v>13</v>
      </c>
      <c r="AK47" s="54">
        <f t="shared" si="16"/>
        <v>1</v>
      </c>
      <c r="AL47" s="55">
        <f t="shared" si="17"/>
        <v>3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14"/>
        <v>17</v>
      </c>
      <c r="AJ48" s="54">
        <f t="shared" si="15"/>
        <v>10</v>
      </c>
      <c r="AK48" s="54">
        <f t="shared" si="16"/>
        <v>7</v>
      </c>
      <c r="AL48" s="55">
        <f t="shared" si="17"/>
        <v>0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55">
        <f t="shared" si="14"/>
        <v>15</v>
      </c>
      <c r="AJ49" s="54">
        <f t="shared" si="15"/>
        <v>10</v>
      </c>
      <c r="AK49" s="54">
        <f t="shared" si="16"/>
        <v>4</v>
      </c>
      <c r="AL49" s="55">
        <f t="shared" si="17"/>
        <v>1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/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155">
        <f t="shared" si="14"/>
        <v>17</v>
      </c>
      <c r="AJ50" s="56">
        <f t="shared" si="15"/>
        <v>10</v>
      </c>
      <c r="AK50" s="56">
        <f t="shared" si="16"/>
        <v>7</v>
      </c>
      <c r="AL50" s="57">
        <f t="shared" si="17"/>
        <v>0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118</v>
      </c>
      <c r="AJ51" s="69">
        <f>SUM(AJ44:AJ50)</f>
        <v>91</v>
      </c>
      <c r="AK51" s="69">
        <f>SUM(AK44:AK50)</f>
        <v>21</v>
      </c>
      <c r="AL51" s="75">
        <f>SUM(AL44:AL50)</f>
        <v>6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/>
      <c r="U52" s="42"/>
      <c r="V52" s="42">
        <v>1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155">
        <f>COUNTA(E52:AH52)</f>
        <v>16</v>
      </c>
      <c r="AJ52" s="56">
        <f>COUNTIF(E52:AH52,1)</f>
        <v>14</v>
      </c>
      <c r="AK52" s="56">
        <f>COUNTIF(E52:AH52,"тр")</f>
        <v>0</v>
      </c>
      <c r="AL52" s="57">
        <f>COUNTIF(E52:AH52,"бв")</f>
        <v>2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16</v>
      </c>
      <c r="AJ53" s="69">
        <f>SUM(AJ52:AJ52)</f>
        <v>14</v>
      </c>
      <c r="AK53" s="69">
        <f>SUM(AK52:AK52)</f>
        <v>0</v>
      </c>
      <c r="AL53" s="75">
        <f>SUM(AL52:AL52)</f>
        <v>2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152">
        <f>COUNTA(E54:AH54)</f>
        <v>18</v>
      </c>
      <c r="AJ54" s="80">
        <f>COUNTIF(E54:AH54,1)</f>
        <v>16</v>
      </c>
      <c r="AK54" s="80">
        <f>COUNTIF(E54:AH54,"тр")</f>
        <v>1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/>
      <c r="U55" s="42">
        <v>1</v>
      </c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155">
        <f>COUNTA(E55:AH55)</f>
        <v>17</v>
      </c>
      <c r="AJ55" s="56">
        <f>COUNTIF(E55:AH55,1)</f>
        <v>17</v>
      </c>
      <c r="AK55" s="56">
        <f>COUNTIF(E55:AH55,"тр")</f>
        <v>0</v>
      </c>
      <c r="AL55" s="57">
        <f>COUNTIF(E55:AH55,"бв")</f>
        <v>0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/>
      <c r="U56" s="97">
        <v>1</v>
      </c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157">
        <f>COUNTA(E56:AH56)</f>
        <v>17</v>
      </c>
      <c r="AJ56" s="84">
        <f>COUNTIF(E56:AH56,1)</f>
        <v>9</v>
      </c>
      <c r="AK56" s="84">
        <f>COUNTIF(E56:AH56,"тр")</f>
        <v>7</v>
      </c>
      <c r="AL56" s="85">
        <f>COUNTIF(E56:AH56,"бв")</f>
        <v>1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52</v>
      </c>
      <c r="AJ57" s="69">
        <f>SUM(AJ54:AJ56)</f>
        <v>42</v>
      </c>
      <c r="AK57" s="69">
        <f>SUM(AK54:AK56)</f>
        <v>8</v>
      </c>
      <c r="AL57" s="75">
        <f>SUM(AL54:AL56)</f>
        <v>2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776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Июнь 2019 автоколонны № 2 г. Смолевичи</v>
      </c>
      <c r="B60" s="168"/>
      <c r="C60" s="168"/>
      <c r="D60" s="168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155">
        <f>COUNTA(E62:AH62)</f>
        <v>18</v>
      </c>
      <c r="AJ62" s="17">
        <f>COUNTIF(E62:AH62,1)</f>
        <v>18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18</v>
      </c>
      <c r="AJ63" s="54">
        <f>COUNTIF(E63:AH63,1)</f>
        <v>18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8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53">
        <f>COUNTA(E64:AH64)</f>
        <v>15</v>
      </c>
      <c r="AJ64" s="54">
        <f>COUNTIF(E64:AH64,1)</f>
        <v>7</v>
      </c>
      <c r="AK64" s="54">
        <f>COUNTIF(E64:AH64,"тр")</f>
        <v>2</v>
      </c>
      <c r="AL64" s="55">
        <f>COUNTIF(E64:AH64,"бв")</f>
        <v>6</v>
      </c>
    </row>
    <row r="65" spans="1:38" x14ac:dyDescent="0.25">
      <c r="A65" s="11">
        <f t="shared" si="18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53">
        <f>COUNTA(E65:AH65)</f>
        <v>15</v>
      </c>
      <c r="AJ65" s="54">
        <f>COUNTIF(E65:AH65,1)</f>
        <v>0</v>
      </c>
      <c r="AK65" s="54">
        <f>COUNTIF(E65:AH65,"тр")</f>
        <v>15</v>
      </c>
      <c r="AL65" s="55">
        <f>COUNTIF(E65:AH65,"бв")</f>
        <v>0</v>
      </c>
    </row>
    <row r="66" spans="1:38" ht="16.3" thickBot="1" x14ac:dyDescent="0.3">
      <c r="A66" s="44">
        <f t="shared" si="18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/>
      <c r="U66" s="42">
        <v>1</v>
      </c>
      <c r="V66" s="42">
        <v>1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156">
        <f>COUNTA(E66:AH66)</f>
        <v>17</v>
      </c>
      <c r="AJ66" s="56">
        <f>COUNTIF(E66:AH66,1)</f>
        <v>2</v>
      </c>
      <c r="AK66" s="56">
        <f>COUNTIF(E66:AH66,"тр")</f>
        <v>15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83</v>
      </c>
      <c r="AJ67" s="69">
        <f t="shared" ref="AJ67:AL67" si="19">SUM(AJ62:AJ66)</f>
        <v>45</v>
      </c>
      <c r="AK67" s="69">
        <f t="shared" si="19"/>
        <v>32</v>
      </c>
      <c r="AL67" s="75">
        <f t="shared" si="19"/>
        <v>6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83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1" priority="3">
      <formula>LEN(TRIM(E4))=0</formula>
    </cfRule>
  </conditionalFormatting>
  <conditionalFormatting sqref="E24:AH24">
    <cfRule type="containsBlanks" dxfId="0" priority="1">
      <formula>LEN(TRIM(E24))=0</formula>
    </cfRule>
  </conditionalFormatting>
  <pageMargins left="0.23622047244094491" right="0.23622047244094491" top="0.74803149606299213" bottom="0.77" header="0.31496062992125984" footer="0.31496062992125984"/>
  <pageSetup paperSize="9" scale="78" fitToHeight="0" orientation="landscape" verticalDpi="0" r:id="rId1"/>
  <ignoredErrors>
    <ignoredError sqref="AI25:AL2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6</vt:i4>
      </vt:variant>
    </vt:vector>
  </HeadingPairs>
  <TitlesOfParts>
    <vt:vector size="13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Данные</vt:lpstr>
      <vt:lpstr>АХД</vt:lpstr>
      <vt:lpstr>'Апрель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2019-06-05T11:39:58Z</cp:lastPrinted>
  <dcterms:created xsi:type="dcterms:W3CDTF">2018-09-27T18:15:43Z</dcterms:created>
  <dcterms:modified xsi:type="dcterms:W3CDTF">2019-06-18T10:16:25Z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