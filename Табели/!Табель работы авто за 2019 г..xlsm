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1" activeTab="5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Данные" sheetId="5" state="hidden" r:id="rId7"/>
  </sheets>
  <functionGroups builtInGroupCount="18"/>
  <definedNames>
    <definedName name="_xlnm._FilterDatabase" localSheetId="3" hidden="1">'Апрель 2019'!$E$2:$AL$57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3">'Апрель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24" i="11" l="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L66" i="11" l="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J33" i="11" s="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L33" i="11" l="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<sst xmlns="http://schemas.openxmlformats.org/spreadsheetml/2006/main" count="3872" uniqueCount="87">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</sst>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69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9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  <c r="AM1" s="168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63" s="168"/>
      <c r="C63" s="168"/>
      <c r="D63" s="168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168"/>
      <c r="Z63" s="168"/>
      <c r="AA63" s="168"/>
      <c r="AB63" s="168"/>
      <c r="AC63" s="168"/>
      <c r="AD63" s="168"/>
      <c r="AE63" s="168"/>
      <c r="AF63" s="168"/>
      <c r="AG63" s="168"/>
      <c r="AH63" s="168"/>
      <c r="AI63" s="168"/>
      <c r="AJ63" s="168"/>
      <c r="AK63" s="168"/>
      <c r="AL63" s="168"/>
      <c r="AM63" s="168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8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63" s="168"/>
      <c r="C63" s="168"/>
      <c r="D63" s="168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168"/>
      <c r="Z63" s="168"/>
      <c r="AA63" s="168"/>
      <c r="AB63" s="168"/>
      <c r="AC63" s="168"/>
      <c r="AD63" s="168"/>
      <c r="AE63" s="168"/>
      <c r="AF63" s="168"/>
      <c r="AG63" s="168"/>
      <c r="AH63" s="168"/>
      <c r="AI63" s="168"/>
      <c r="AJ63" s="168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7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  <c r="AM1" s="168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63" s="168"/>
      <c r="C63" s="168"/>
      <c r="D63" s="168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168"/>
      <c r="Z63" s="168"/>
      <c r="AA63" s="168"/>
      <c r="AB63" s="168"/>
      <c r="AC63" s="168"/>
      <c r="AD63" s="168"/>
      <c r="AE63" s="168"/>
      <c r="AF63" s="168"/>
      <c r="AG63" s="168"/>
      <c r="AH63" s="168"/>
      <c r="AI63" s="168"/>
      <c r="AJ63" s="168"/>
      <c r="AK63" s="168"/>
      <c r="AL63" s="168"/>
      <c r="AM63" s="168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6" priority="2">
      <formula>LEN(TRIM(E4))=0</formula>
    </cfRule>
  </conditionalFormatting>
  <conditionalFormatting sqref="AJ38:AM38">
    <cfRule type="containsBlanks" dxfId="5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59" s="168"/>
      <c r="C59" s="168"/>
      <c r="D59" s="168"/>
      <c r="E59" s="168"/>
      <c r="F59" s="168"/>
      <c r="G59" s="168"/>
      <c r="H59" s="168"/>
      <c r="I59" s="168"/>
      <c r="J59" s="168"/>
      <c r="K59" s="168"/>
      <c r="L59" s="168"/>
      <c r="M59" s="168"/>
      <c r="N59" s="168"/>
      <c r="O59" s="168"/>
      <c r="P59" s="168"/>
      <c r="Q59" s="168"/>
      <c r="R59" s="168"/>
      <c r="S59" s="168"/>
      <c r="T59" s="168"/>
      <c r="U59" s="168"/>
      <c r="V59" s="168"/>
      <c r="W59" s="168"/>
      <c r="X59" s="168"/>
      <c r="Y59" s="168"/>
      <c r="Z59" s="168"/>
      <c r="AA59" s="168"/>
      <c r="AB59" s="168"/>
      <c r="AC59" s="168"/>
      <c r="AD59" s="168"/>
      <c r="AE59" s="168"/>
      <c r="AF59" s="168"/>
      <c r="AG59" s="168"/>
      <c r="AH59" s="168"/>
      <c r="AI59" s="168"/>
      <c r="AJ59" s="168"/>
      <c r="AK59" s="168"/>
      <c r="AL59" s="168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4" priority="2">
      <formula>LEN(TRIM(E4))=0</formula>
    </cfRule>
  </conditionalFormatting>
  <conditionalFormatting sqref="E65:AI65">
    <cfRule type="containsBlanks" dxfId="3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  <c r="AM1" s="168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60" s="168"/>
      <c r="C60" s="168"/>
      <c r="D60" s="168"/>
      <c r="E60" s="168"/>
      <c r="F60" s="168"/>
      <c r="G60" s="168"/>
      <c r="H60" s="168"/>
      <c r="I60" s="168"/>
      <c r="J60" s="168"/>
      <c r="K60" s="168"/>
      <c r="L60" s="168"/>
      <c r="M60" s="168"/>
      <c r="N60" s="168"/>
      <c r="O60" s="168"/>
      <c r="P60" s="168"/>
      <c r="Q60" s="168"/>
      <c r="R60" s="168"/>
      <c r="S60" s="168"/>
      <c r="T60" s="168"/>
      <c r="U60" s="168"/>
      <c r="V60" s="168"/>
      <c r="W60" s="168"/>
      <c r="X60" s="168"/>
      <c r="Y60" s="168"/>
      <c r="Z60" s="168"/>
      <c r="AA60" s="168"/>
      <c r="AB60" s="168"/>
      <c r="AC60" s="168"/>
      <c r="AD60" s="168"/>
      <c r="AE60" s="168"/>
      <c r="AF60" s="168"/>
      <c r="AG60" s="168"/>
      <c r="AH60" s="168"/>
      <c r="AI60" s="168"/>
      <c r="AJ60" s="168"/>
      <c r="AK60" s="168"/>
      <c r="AL60" s="168"/>
      <c r="AM60" s="168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2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B4" sqref="AB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/>
      <c r="AD4" s="92"/>
      <c r="AE4" s="92"/>
      <c r="AF4" s="92"/>
      <c r="AG4" s="92"/>
      <c r="AH4" s="101"/>
      <c r="AI4" s="152">
        <f>COUNTA(E4:AH4)</f>
        <v>24</v>
      </c>
      <c r="AJ4" s="80">
        <f>COUNTIF(E4:AH4,1)</f>
        <v>9</v>
      </c>
      <c r="AK4" s="80">
        <f>COUNTIF(E4:AH4,"тр")</f>
        <v>0</v>
      </c>
      <c r="AL4" s="81">
        <f>COUNTIF(E4:AH4,"бв")</f>
        <v>15</v>
      </c>
    </row>
    <row r="5" spans="1:38" x14ac:dyDescent="0.25">
      <c r="A5" s="11">
        <f t="shared" ref="A5:A56" si="0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/>
      <c r="AD5" s="5"/>
      <c r="AE5" s="5"/>
      <c r="AF5" s="5"/>
      <c r="AG5" s="5"/>
      <c r="AH5" s="78"/>
      <c r="AI5" s="153">
        <f>COUNTA(E5:AH5)</f>
        <v>24</v>
      </c>
      <c r="AJ5" s="54">
        <f>COUNTIF(E5:AH5,1)</f>
        <v>22</v>
      </c>
      <c r="AK5" s="54">
        <f>COUNTIF(E5:AH5,"тр")</f>
        <v>0</v>
      </c>
      <c r="AL5" s="55">
        <f>COUNTIF(E5:AH5,"бв")</f>
        <v>2</v>
      </c>
    </row>
    <row r="6" spans="1:38" x14ac:dyDescent="0.25">
      <c r="A6" s="11">
        <f t="shared" si="0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/>
      <c r="AD6" s="5"/>
      <c r="AE6" s="5"/>
      <c r="AF6" s="5"/>
      <c r="AG6" s="5"/>
      <c r="AH6" s="78"/>
      <c r="AI6" s="153">
        <f>COUNTA(E6:AH6)</f>
        <v>24</v>
      </c>
      <c r="AJ6" s="54">
        <f>COUNTIF(E6:AH6,1)</f>
        <v>7</v>
      </c>
      <c r="AK6" s="54">
        <f>COUNTIF(E6:AH6,"тр")</f>
        <v>17</v>
      </c>
      <c r="AL6" s="55">
        <f>COUNTIF(E6:AH6,"бв")</f>
        <v>0</v>
      </c>
    </row>
    <row r="7" spans="1:38" x14ac:dyDescent="0.25">
      <c r="A7" s="11">
        <f t="shared" si="0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/>
      <c r="AD7" s="5"/>
      <c r="AE7" s="5"/>
      <c r="AF7" s="5"/>
      <c r="AG7" s="5"/>
      <c r="AH7" s="78"/>
      <c r="AI7" s="153">
        <f>COUNTA(E7:AH7)</f>
        <v>24</v>
      </c>
      <c r="AJ7" s="54">
        <f>COUNTIF(E7:AH7,1)</f>
        <v>15</v>
      </c>
      <c r="AK7" s="54">
        <f>COUNTIF(E7:AH7,"тр")</f>
        <v>0</v>
      </c>
      <c r="AL7" s="55">
        <f>COUNTIF(E7:AH7,"бв")</f>
        <v>9</v>
      </c>
    </row>
    <row r="8" spans="1:38" x14ac:dyDescent="0.25">
      <c r="A8" s="11">
        <f t="shared" si="0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/>
      <c r="AD8" s="5"/>
      <c r="AE8" s="5"/>
      <c r="AF8" s="5"/>
      <c r="AG8" s="5"/>
      <c r="AH8" s="78"/>
      <c r="AI8" s="153">
        <f>COUNTA(E8:AH8)</f>
        <v>24</v>
      </c>
      <c r="AJ8" s="54">
        <f>COUNTIF(E8:AH8,1)</f>
        <v>16</v>
      </c>
      <c r="AK8" s="54">
        <f>COUNTIF(E8:AH8,"тр")</f>
        <v>0</v>
      </c>
      <c r="AL8" s="55">
        <f>COUNTIF(E8:AH8,"бв")</f>
        <v>8</v>
      </c>
    </row>
    <row r="9" spans="1:38" x14ac:dyDescent="0.25">
      <c r="A9" s="11">
        <f t="shared" si="0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/>
      <c r="AD9" s="5"/>
      <c r="AE9" s="5"/>
      <c r="AF9" s="5"/>
      <c r="AG9" s="5"/>
      <c r="AH9" s="78"/>
      <c r="AI9" s="153">
        <f>COUNTA(E9:AH9)</f>
        <v>24</v>
      </c>
      <c r="AJ9" s="54">
        <f>COUNTIF(E9:AH9,1)</f>
        <v>19</v>
      </c>
      <c r="AK9" s="54">
        <f>COUNTIF(E9:AH9,"тр")</f>
        <v>0</v>
      </c>
      <c r="AL9" s="55">
        <f>COUNTIF(E9:AH9,"бв")</f>
        <v>5</v>
      </c>
    </row>
    <row r="10" spans="1:38" x14ac:dyDescent="0.25">
      <c r="A10" s="11">
        <f t="shared" si="0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/>
      <c r="AD10" s="5"/>
      <c r="AE10" s="5"/>
      <c r="AF10" s="5"/>
      <c r="AG10" s="5"/>
      <c r="AH10" s="78"/>
      <c r="AI10" s="153">
        <f>COUNTA(E10:AH10)</f>
        <v>24</v>
      </c>
      <c r="AJ10" s="54">
        <f>COUNTIF(E10:AH10,1)</f>
        <v>20</v>
      </c>
      <c r="AK10" s="54">
        <f>COUNTIF(E10:AH10,"тр")</f>
        <v>0</v>
      </c>
      <c r="AL10" s="55">
        <f>COUNTIF(E10:AH10,"бв")</f>
        <v>4</v>
      </c>
    </row>
    <row r="11" spans="1:38" x14ac:dyDescent="0.25">
      <c r="A11" s="11">
        <f t="shared" si="0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/>
      <c r="AD11" s="5"/>
      <c r="AE11" s="5"/>
      <c r="AF11" s="5"/>
      <c r="AG11" s="5"/>
      <c r="AH11" s="78"/>
      <c r="AI11" s="153">
        <f>COUNTA(E11:AH11)</f>
        <v>24</v>
      </c>
      <c r="AJ11" s="54">
        <f>COUNTIF(E11:AH11,1)</f>
        <v>24</v>
      </c>
      <c r="AK11" s="54">
        <f>COUNTIF(E11:AH11,"тр")</f>
        <v>0</v>
      </c>
      <c r="AL11" s="55">
        <f>COUNTIF(E11:AH11,"бв")</f>
        <v>0</v>
      </c>
    </row>
    <row r="12" spans="1:38" x14ac:dyDescent="0.25">
      <c r="A12" s="11">
        <f t="shared" si="0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/>
      <c r="AD12" s="5"/>
      <c r="AE12" s="5"/>
      <c r="AF12" s="5"/>
      <c r="AG12" s="5"/>
      <c r="AH12" s="78"/>
      <c r="AI12" s="153">
        <f>COUNTA(E12:AH12)</f>
        <v>24</v>
      </c>
      <c r="AJ12" s="54">
        <f>COUNTIF(E12:AH12,1)</f>
        <v>20</v>
      </c>
      <c r="AK12" s="54">
        <f>COUNTIF(E12:AH12,"тр")</f>
        <v>2</v>
      </c>
      <c r="AL12" s="55">
        <f>COUNTIF(E12:AH12,"бв")</f>
        <v>2</v>
      </c>
    </row>
    <row r="13" spans="1:38" x14ac:dyDescent="0.25">
      <c r="A13" s="11">
        <f t="shared" si="0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/>
      <c r="AD13" s="5"/>
      <c r="AE13" s="5"/>
      <c r="AF13" s="5"/>
      <c r="AG13" s="5"/>
      <c r="AH13" s="78"/>
      <c r="AI13" s="153">
        <f>COUNTA(E13:AH13)</f>
        <v>24</v>
      </c>
      <c r="AJ13" s="54">
        <f>COUNTIF(E13:AH13,1)</f>
        <v>24</v>
      </c>
      <c r="AK13" s="54">
        <f>COUNTIF(E13:AH13,"тр")</f>
        <v>0</v>
      </c>
      <c r="AL13" s="55">
        <f>COUNTIF(E13:AH13,"бв")</f>
        <v>0</v>
      </c>
    </row>
    <row r="14" spans="1:38" x14ac:dyDescent="0.25">
      <c r="A14" s="11">
        <f t="shared" si="0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/>
      <c r="AD14" s="5"/>
      <c r="AE14" s="5"/>
      <c r="AF14" s="5"/>
      <c r="AG14" s="5"/>
      <c r="AH14" s="78"/>
      <c r="AI14" s="153">
        <f>COUNTA(E14:AH14)</f>
        <v>24</v>
      </c>
      <c r="AJ14" s="54">
        <f>COUNTIF(E14:AH14,1)</f>
        <v>24</v>
      </c>
      <c r="AK14" s="54">
        <f>COUNTIF(E14:AH14,"тр")</f>
        <v>0</v>
      </c>
      <c r="AL14" s="55">
        <f>COUNTIF(E14:AH14,"бв")</f>
        <v>0</v>
      </c>
    </row>
    <row r="15" spans="1:38" x14ac:dyDescent="0.25">
      <c r="A15" s="11">
        <f t="shared" si="0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/>
      <c r="AD15" s="5"/>
      <c r="AE15" s="5"/>
      <c r="AF15" s="5"/>
      <c r="AG15" s="5"/>
      <c r="AH15" s="78"/>
      <c r="AI15" s="153">
        <f>COUNTA(E15:AH15)</f>
        <v>24</v>
      </c>
      <c r="AJ15" s="54">
        <f>COUNTIF(E15:AH15,1)</f>
        <v>19</v>
      </c>
      <c r="AK15" s="54">
        <f>COUNTIF(E15:AH15,"тр")</f>
        <v>0</v>
      </c>
      <c r="AL15" s="55">
        <f>COUNTIF(E15:AH15,"бв")</f>
        <v>5</v>
      </c>
    </row>
    <row r="16" spans="1:38" x14ac:dyDescent="0.25">
      <c r="A16" s="11">
        <f t="shared" si="0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/>
      <c r="AD16" s="5"/>
      <c r="AE16" s="5"/>
      <c r="AF16" s="5"/>
      <c r="AG16" s="5"/>
      <c r="AH16" s="78"/>
      <c r="AI16" s="153">
        <f>COUNTA(E16:AH16)</f>
        <v>24</v>
      </c>
      <c r="AJ16" s="54">
        <f>COUNTIF(E16:AH16,1)</f>
        <v>21</v>
      </c>
      <c r="AK16" s="54">
        <f>COUNTIF(E16:AH16,"тр")</f>
        <v>0</v>
      </c>
      <c r="AL16" s="55">
        <f>COUNTIF(E16:AH16,"бв")</f>
        <v>3</v>
      </c>
    </row>
    <row r="17" spans="1:38" x14ac:dyDescent="0.25">
      <c r="A17" s="11">
        <f t="shared" si="0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/>
      <c r="AD17" s="5"/>
      <c r="AE17" s="5"/>
      <c r="AF17" s="5"/>
      <c r="AG17" s="5"/>
      <c r="AH17" s="78"/>
      <c r="AI17" s="153">
        <f>COUNTA(E17:AH17)</f>
        <v>24</v>
      </c>
      <c r="AJ17" s="54">
        <f>COUNTIF(E17:AH17,1)</f>
        <v>24</v>
      </c>
      <c r="AK17" s="54">
        <f>COUNTIF(E17:AH17,"тр")</f>
        <v>0</v>
      </c>
      <c r="AL17" s="55">
        <f>COUNTIF(E17:AH17,"бв")</f>
        <v>0</v>
      </c>
    </row>
    <row r="18" spans="1:38" x14ac:dyDescent="0.25">
      <c r="A18" s="11">
        <f t="shared" si="0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/>
      <c r="AD18" s="5"/>
      <c r="AE18" s="5"/>
      <c r="AF18" s="5"/>
      <c r="AG18" s="5"/>
      <c r="AH18" s="78"/>
      <c r="AI18" s="153">
        <f>COUNTA(E18:AH18)</f>
        <v>24</v>
      </c>
      <c r="AJ18" s="54">
        <f>COUNTIF(E18:AH18,1)</f>
        <v>19</v>
      </c>
      <c r="AK18" s="54">
        <f>COUNTIF(E18:AH18,"тр")</f>
        <v>0</v>
      </c>
      <c r="AL18" s="55">
        <f>COUNTIF(E18:AH18,"бв")</f>
        <v>5</v>
      </c>
    </row>
    <row r="19" spans="1:38" x14ac:dyDescent="0.25">
      <c r="A19" s="11">
        <f t="shared" si="0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/>
      <c r="AD19" s="5"/>
      <c r="AE19" s="5"/>
      <c r="AF19" s="5"/>
      <c r="AG19" s="5"/>
      <c r="AH19" s="78"/>
      <c r="AI19" s="153">
        <f>COUNTA(E19:AH19)</f>
        <v>24</v>
      </c>
      <c r="AJ19" s="54">
        <f>COUNTIF(E19:AH19,1)</f>
        <v>9</v>
      </c>
      <c r="AK19" s="54">
        <f>COUNTIF(E19:AH19,"тр")</f>
        <v>13</v>
      </c>
      <c r="AL19" s="55">
        <f>COUNTIF(E19:AH19,"бв")</f>
        <v>2</v>
      </c>
    </row>
    <row r="20" spans="1:38" x14ac:dyDescent="0.25">
      <c r="A20" s="11">
        <f t="shared" si="0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/>
      <c r="AD20" s="5"/>
      <c r="AE20" s="5"/>
      <c r="AF20" s="5"/>
      <c r="AG20" s="5"/>
      <c r="AH20" s="78"/>
      <c r="AI20" s="153">
        <f>COUNTA(E20:AH20)</f>
        <v>24</v>
      </c>
      <c r="AJ20" s="54">
        <f>COUNTIF(E20:AH20,1)</f>
        <v>16</v>
      </c>
      <c r="AK20" s="54">
        <f>COUNTIF(E20:AH20,"тр")</f>
        <v>7</v>
      </c>
      <c r="AL20" s="55">
        <f>COUNTIF(E20:AH20,"бв")</f>
        <v>1</v>
      </c>
    </row>
    <row r="21" spans="1:38" x14ac:dyDescent="0.25">
      <c r="A21" s="11">
        <f t="shared" si="0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/>
      <c r="AD21" s="5"/>
      <c r="AE21" s="5"/>
      <c r="AF21" s="5"/>
      <c r="AG21" s="5"/>
      <c r="AH21" s="78"/>
      <c r="AI21" s="153">
        <f>COUNTA(E21:AH21)</f>
        <v>24</v>
      </c>
      <c r="AJ21" s="54">
        <f>COUNTIF(E21:AH21,1)</f>
        <v>20</v>
      </c>
      <c r="AK21" s="54">
        <f>COUNTIF(E21:AH21,"тр")</f>
        <v>3</v>
      </c>
      <c r="AL21" s="55">
        <f>COUNTIF(E21:AH21,"бв")</f>
        <v>1</v>
      </c>
    </row>
    <row r="22" spans="1:38" x14ac:dyDescent="0.25">
      <c r="A22" s="44">
        <f t="shared" si="0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/>
      <c r="AD22" s="42"/>
      <c r="AE22" s="42"/>
      <c r="AF22" s="42"/>
      <c r="AG22" s="42"/>
      <c r="AH22" s="126"/>
      <c r="AI22" s="153">
        <f>COUNTA(E22:AH22)</f>
        <v>24</v>
      </c>
      <c r="AJ22" s="54">
        <f>COUNTIF(E22:AH22,1)</f>
        <v>22</v>
      </c>
      <c r="AK22" s="54">
        <f>COUNTIF(E22:AH22,"тр")</f>
        <v>0</v>
      </c>
      <c r="AL22" s="55">
        <f>COUNTIF(E22:AH22,"бв")</f>
        <v>2</v>
      </c>
    </row>
    <row r="23" spans="1:38" x14ac:dyDescent="0.25">
      <c r="A23" s="11">
        <f t="shared" si="0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/>
      <c r="AD23" s="5"/>
      <c r="AE23" s="5"/>
      <c r="AF23" s="5"/>
      <c r="AG23" s="5"/>
      <c r="AH23" s="78"/>
      <c r="AI23" s="153">
        <f>COUNTA(E23:AH23)</f>
        <v>24</v>
      </c>
      <c r="AJ23" s="54">
        <f>COUNTIF(E23:AH23,1)</f>
        <v>22</v>
      </c>
      <c r="AK23" s="54">
        <f>COUNTIF(E23:AH23,"тр")</f>
        <v>0</v>
      </c>
      <c r="AL23" s="55">
        <f>COUNTIF(E23:AH23,"бв")</f>
        <v>2</v>
      </c>
    </row>
    <row r="24" spans="1:38" ht="16.3" thickBot="1" x14ac:dyDescent="0.3">
      <c r="A24" s="107">
        <f t="shared" si="0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/>
      <c r="AD24" s="5"/>
      <c r="AE24" s="5"/>
      <c r="AF24" s="5"/>
      <c r="AG24" s="5"/>
      <c r="AH24" s="5"/>
      <c r="AI24" s="156">
        <f>COUNTA(E24:AH24)</f>
        <v>24</v>
      </c>
      <c r="AJ24" s="56">
        <f>COUNTIF(E24:AH24,1)</f>
        <v>16</v>
      </c>
      <c r="AK24" s="56">
        <f>COUNTIF(E24:AH24,"тр")</f>
        <v>0</v>
      </c>
      <c r="AL24" s="57">
        <f>COUNTIF(E24:AH24,"бв")</f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504</v>
      </c>
      <c r="AJ25" s="69">
        <f>SUM(AJ4:AJ24)</f>
        <v>388</v>
      </c>
      <c r="AK25" s="69">
        <f>SUM(AK4:AK24)</f>
        <v>42</v>
      </c>
      <c r="AL25" s="75">
        <f>SUM(AL4:AL24)</f>
        <v>74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/>
      <c r="AD26" s="35"/>
      <c r="AE26" s="35"/>
      <c r="AF26" s="35"/>
      <c r="AG26" s="35"/>
      <c r="AH26" s="35"/>
      <c r="AI26" s="152">
        <f>COUNTA(E26:AH26)</f>
        <v>24</v>
      </c>
      <c r="AJ26" s="80">
        <f>COUNTIF(E26:AH26,1)</f>
        <v>22</v>
      </c>
      <c r="AK26" s="80">
        <f>COUNTIF(E26:AH26,"тр")</f>
        <v>0</v>
      </c>
      <c r="AL26" s="81">
        <f>COUNTIF(E26:AH26,"бв")</f>
        <v>2</v>
      </c>
    </row>
    <row r="27" spans="1:38" x14ac:dyDescent="0.25">
      <c r="A27" s="11">
        <f t="shared" si="0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/>
      <c r="AD27" s="5"/>
      <c r="AE27" s="5"/>
      <c r="AF27" s="5"/>
      <c r="AG27" s="5"/>
      <c r="AH27" s="5"/>
      <c r="AI27" s="153">
        <f>COUNTA(E27:AH27)</f>
        <v>24</v>
      </c>
      <c r="AJ27" s="54">
        <f>COUNTIF(E27:AH27,1)</f>
        <v>0</v>
      </c>
      <c r="AK27" s="54">
        <f>COUNTIF(E27:AH27,"тр")</f>
        <v>24</v>
      </c>
      <c r="AL27" s="55">
        <f>COUNTIF(E27:AH27,"бв")</f>
        <v>0</v>
      </c>
    </row>
    <row r="28" spans="1:38" x14ac:dyDescent="0.25">
      <c r="A28" s="11">
        <f t="shared" si="0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/>
      <c r="AD28" s="5"/>
      <c r="AE28" s="5"/>
      <c r="AF28" s="5"/>
      <c r="AG28" s="5"/>
      <c r="AH28" s="5"/>
      <c r="AI28" s="153">
        <f>COUNTA(E28:AH28)</f>
        <v>24</v>
      </c>
      <c r="AJ28" s="54">
        <f>COUNTIF(E28:AH28,1)</f>
        <v>21</v>
      </c>
      <c r="AK28" s="54">
        <f>COUNTIF(E28:AH28,"тр")</f>
        <v>0</v>
      </c>
      <c r="AL28" s="55">
        <f>COUNTIF(E28:AH28,"бв")</f>
        <v>3</v>
      </c>
    </row>
    <row r="29" spans="1:38" x14ac:dyDescent="0.25">
      <c r="A29" s="11">
        <f t="shared" si="0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/>
      <c r="AD29" s="5"/>
      <c r="AE29" s="5"/>
      <c r="AF29" s="5"/>
      <c r="AG29" s="5"/>
      <c r="AH29" s="5"/>
      <c r="AI29" s="153">
        <f>COUNTA(E29:AH29)</f>
        <v>24</v>
      </c>
      <c r="AJ29" s="54">
        <f>COUNTIF(E29:AH29,1)</f>
        <v>0</v>
      </c>
      <c r="AK29" s="54">
        <f>COUNTIF(E29:AH29,"тр")</f>
        <v>24</v>
      </c>
      <c r="AL29" s="55">
        <f>COUNTIF(E29:AH29,"бв")</f>
        <v>0</v>
      </c>
    </row>
    <row r="30" spans="1:38" x14ac:dyDescent="0.25">
      <c r="A30" s="11">
        <f t="shared" si="0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/>
      <c r="AD30" s="5"/>
      <c r="AE30" s="5"/>
      <c r="AF30" s="5"/>
      <c r="AG30" s="5"/>
      <c r="AH30" s="5"/>
      <c r="AI30" s="153">
        <f>COUNTA(E30:AH30)</f>
        <v>24</v>
      </c>
      <c r="AJ30" s="54">
        <f>COUNTIF(E30:AH30,1)</f>
        <v>17</v>
      </c>
      <c r="AK30" s="54">
        <f>COUNTIF(E30:AH30,"тр")</f>
        <v>0</v>
      </c>
      <c r="AL30" s="55">
        <f>COUNTIF(E30:AH30,"бв")</f>
        <v>7</v>
      </c>
    </row>
    <row r="31" spans="1:38" x14ac:dyDescent="0.25">
      <c r="A31" s="11">
        <f t="shared" si="0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/>
      <c r="AD31" s="5"/>
      <c r="AE31" s="5"/>
      <c r="AF31" s="5"/>
      <c r="AG31" s="5"/>
      <c r="AH31" s="5"/>
      <c r="AI31" s="153">
        <f>COUNTA(E31:AH31)</f>
        <v>24</v>
      </c>
      <c r="AJ31" s="54">
        <f>COUNTIF(E31:AH31,1)</f>
        <v>16</v>
      </c>
      <c r="AK31" s="54">
        <f>COUNTIF(E31:AH31,"тр")</f>
        <v>5</v>
      </c>
      <c r="AL31" s="55">
        <f>COUNTIF(E31:AH31,"бв")</f>
        <v>3</v>
      </c>
    </row>
    <row r="32" spans="1:38" ht="16.3" thickBot="1" x14ac:dyDescent="0.3">
      <c r="A32" s="44">
        <f t="shared" si="0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/>
      <c r="AD32" s="42"/>
      <c r="AE32" s="42"/>
      <c r="AF32" s="42"/>
      <c r="AG32" s="42"/>
      <c r="AH32" s="42"/>
      <c r="AI32" s="154">
        <f>COUNTA(E32:AH32)</f>
        <v>24</v>
      </c>
      <c r="AJ32" s="84">
        <f>COUNTIF(E32:AH32,1)</f>
        <v>13</v>
      </c>
      <c r="AK32" s="84">
        <f>COUNTIF(E32:AH32,"тр")</f>
        <v>10</v>
      </c>
      <c r="AL32" s="85">
        <f>COUNTIF(E32:AH32,"бв")</f>
        <v>1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168</v>
      </c>
      <c r="AJ33" s="135">
        <f>SUM(AJ26:AJ32)</f>
        <v>89</v>
      </c>
      <c r="AK33" s="135">
        <f>SUM(AK26:AK32)</f>
        <v>63</v>
      </c>
      <c r="AL33" s="136">
        <f>SUM(AL26:AL32)</f>
        <v>16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/>
      <c r="AD34" s="35"/>
      <c r="AE34" s="35"/>
      <c r="AF34" s="35"/>
      <c r="AG34" s="35"/>
      <c r="AH34" s="35"/>
      <c r="AI34" s="155">
        <f>COUNTA(E34:AH34)</f>
        <v>24</v>
      </c>
      <c r="AJ34" s="17">
        <f>COUNTIF(E34:AH34,1)</f>
        <v>0</v>
      </c>
      <c r="AK34" s="17">
        <f>COUNTIF(E34:AH34,"тр")</f>
        <v>0</v>
      </c>
      <c r="AL34" s="18">
        <f>COUNTIF(E34:AH34,"бв")</f>
        <v>24</v>
      </c>
    </row>
    <row r="35" spans="1:38" x14ac:dyDescent="0.25">
      <c r="A35" s="11">
        <f t="shared" si="0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/>
      <c r="AD35" s="5"/>
      <c r="AE35" s="5"/>
      <c r="AF35" s="5"/>
      <c r="AG35" s="5"/>
      <c r="AH35" s="5"/>
      <c r="AI35" s="155">
        <f>COUNTA(E35:AH35)</f>
        <v>24</v>
      </c>
      <c r="AJ35" s="54">
        <f>COUNTIF(E35:AH35,1)</f>
        <v>6</v>
      </c>
      <c r="AK35" s="54">
        <f>COUNTIF(E35:AH35,"тр")</f>
        <v>2</v>
      </c>
      <c r="AL35" s="55">
        <f>COUNTIF(E35:AH35,"бв")</f>
        <v>16</v>
      </c>
    </row>
    <row r="36" spans="1:38" ht="16.3" thickBot="1" x14ac:dyDescent="0.3">
      <c r="A36" s="44">
        <f t="shared" si="0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/>
      <c r="AD36" s="42"/>
      <c r="AE36" s="42"/>
      <c r="AF36" s="42"/>
      <c r="AG36" s="42"/>
      <c r="AH36" s="42"/>
      <c r="AI36" s="155">
        <f>COUNTA(E36:AH36)</f>
        <v>24</v>
      </c>
      <c r="AJ36" s="56">
        <f>COUNTIF(E36:AH36,1)</f>
        <v>0</v>
      </c>
      <c r="AK36" s="56">
        <f>COUNTIF(E36:AH36,"тр")</f>
        <v>24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72</v>
      </c>
      <c r="AJ37" s="69">
        <f>SUM(AJ34:AJ36)</f>
        <v>6</v>
      </c>
      <c r="AK37" s="69">
        <f>SUM(AK34:AK36)</f>
        <v>26</v>
      </c>
      <c r="AL37" s="75">
        <f>SUM(AL34:AL36)</f>
        <v>40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/>
      <c r="AD38" s="62"/>
      <c r="AE38" s="62"/>
      <c r="AF38" s="62"/>
      <c r="AG38" s="62"/>
      <c r="AH38" s="62"/>
      <c r="AI38" s="155">
        <f>COUNTA(E38:AH38)</f>
        <v>24</v>
      </c>
      <c r="AJ38" s="19">
        <f>COUNTIF(E38:AH38,1)</f>
        <v>0</v>
      </c>
      <c r="AK38" s="19">
        <f>COUNTIF(E38:AH38,"тр")</f>
        <v>24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24</v>
      </c>
      <c r="AJ39" s="69">
        <f>SUM(AJ38)</f>
        <v>0</v>
      </c>
      <c r="AK39" s="69">
        <f>SUM(AK38)</f>
        <v>24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/>
      <c r="AD40" s="35"/>
      <c r="AE40" s="35"/>
      <c r="AF40" s="35"/>
      <c r="AG40" s="35"/>
      <c r="AH40" s="35"/>
      <c r="AI40" s="155">
        <f>COUNTA(E40:AH40)</f>
        <v>24</v>
      </c>
      <c r="AJ40" s="17">
        <f>COUNTIF(E40:AH40,1)</f>
        <v>14</v>
      </c>
      <c r="AK40" s="17">
        <f>COUNTIF(E40:AH40,"тр")</f>
        <v>7</v>
      </c>
      <c r="AL40" s="18">
        <f>COUNTIF(E40:AH40,"бв")</f>
        <v>3</v>
      </c>
    </row>
    <row r="41" spans="1:38" x14ac:dyDescent="0.25">
      <c r="A41" s="11">
        <f t="shared" si="0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/>
      <c r="AD41" s="5"/>
      <c r="AE41" s="5"/>
      <c r="AF41" s="5"/>
      <c r="AG41" s="5"/>
      <c r="AH41" s="5"/>
      <c r="AI41" s="155">
        <f>COUNTA(E41:AH41)</f>
        <v>24</v>
      </c>
      <c r="AJ41" s="54">
        <f>COUNTIF(E41:AH41,1)</f>
        <v>22</v>
      </c>
      <c r="AK41" s="54">
        <f>COUNTIF(E41:AH41,"тр")</f>
        <v>0</v>
      </c>
      <c r="AL41" s="55">
        <f>COUNTIF(E41:AH41,"бв")</f>
        <v>2</v>
      </c>
    </row>
    <row r="42" spans="1:38" ht="16.3" thickBot="1" x14ac:dyDescent="0.3">
      <c r="A42" s="44">
        <f t="shared" si="0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/>
      <c r="AD42" s="42"/>
      <c r="AE42" s="42"/>
      <c r="AF42" s="42"/>
      <c r="AG42" s="42"/>
      <c r="AH42" s="42"/>
      <c r="AI42" s="155">
        <f>COUNTA(E42:AH42)</f>
        <v>24</v>
      </c>
      <c r="AJ42" s="56">
        <f>COUNTIF(E42:AH42,1)</f>
        <v>3</v>
      </c>
      <c r="AK42" s="56">
        <f>COUNTIF(E42:AH42,"тр")</f>
        <v>21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72</v>
      </c>
      <c r="AJ43" s="69">
        <f>SUM(AJ40:AJ42)</f>
        <v>39</v>
      </c>
      <c r="AK43" s="69">
        <f>SUM(AK40:AK42)</f>
        <v>28</v>
      </c>
      <c r="AL43" s="75">
        <f>SUM(AL40:AL42)</f>
        <v>5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/>
      <c r="AD44" s="35"/>
      <c r="AE44" s="35"/>
      <c r="AF44" s="35"/>
      <c r="AG44" s="35"/>
      <c r="AH44" s="35"/>
      <c r="AI44" s="155">
        <f>COUNTA(E44:AH44)</f>
        <v>24</v>
      </c>
      <c r="AJ44" s="17">
        <f>COUNTIF(E44:AH44,1)</f>
        <v>22</v>
      </c>
      <c r="AK44" s="17">
        <f>COUNTIF(E44:AH44,"тр")</f>
        <v>2</v>
      </c>
      <c r="AL44" s="18">
        <f>COUNTIF(E44:AH44,"бв")</f>
        <v>0</v>
      </c>
    </row>
    <row r="45" spans="1:38" x14ac:dyDescent="0.25">
      <c r="A45" s="11">
        <f t="shared" si="0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/>
      <c r="AD45" s="5"/>
      <c r="AE45" s="5"/>
      <c r="AF45" s="5"/>
      <c r="AG45" s="5"/>
      <c r="AH45" s="5"/>
      <c r="AI45" s="155">
        <f>COUNTA(E45:AH45)</f>
        <v>24</v>
      </c>
      <c r="AJ45" s="54">
        <f>COUNTIF(E45:AH45,1)</f>
        <v>22</v>
      </c>
      <c r="AK45" s="54">
        <f>COUNTIF(E45:AH45,"тр")</f>
        <v>1</v>
      </c>
      <c r="AL45" s="55">
        <f>COUNTIF(E45:AH45,"бв")</f>
        <v>1</v>
      </c>
    </row>
    <row r="46" spans="1:38" x14ac:dyDescent="0.25">
      <c r="A46" s="11">
        <f t="shared" si="0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/>
      <c r="AD46" s="5"/>
      <c r="AE46" s="5"/>
      <c r="AF46" s="5"/>
      <c r="AG46" s="5"/>
      <c r="AH46" s="5"/>
      <c r="AI46" s="155">
        <f>COUNTA(E46:AH46)</f>
        <v>24</v>
      </c>
      <c r="AJ46" s="54">
        <f>COUNTIF(E46:AH46,1)</f>
        <v>22</v>
      </c>
      <c r="AK46" s="54">
        <f>COUNTIF(E46:AH46,"тр")</f>
        <v>0</v>
      </c>
      <c r="AL46" s="55">
        <f>COUNTIF(E46:AH46,"бв")</f>
        <v>2</v>
      </c>
    </row>
    <row r="47" spans="1:38" x14ac:dyDescent="0.25">
      <c r="A47" s="11">
        <f t="shared" si="0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/>
      <c r="AD47" s="5"/>
      <c r="AE47" s="5"/>
      <c r="AF47" s="5"/>
      <c r="AG47" s="5"/>
      <c r="AH47" s="5"/>
      <c r="AI47" s="155">
        <f>COUNTA(E47:AH47)</f>
        <v>24</v>
      </c>
      <c r="AJ47" s="54">
        <f>COUNTIF(E47:AH47,1)</f>
        <v>19</v>
      </c>
      <c r="AK47" s="54">
        <f>COUNTIF(E47:AH47,"тр")</f>
        <v>1</v>
      </c>
      <c r="AL47" s="55">
        <f>COUNTIF(E47:AH47,"бв")</f>
        <v>4</v>
      </c>
    </row>
    <row r="48" spans="1:38" x14ac:dyDescent="0.25">
      <c r="A48" s="11">
        <f t="shared" si="0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/>
      <c r="AD48" s="5"/>
      <c r="AE48" s="5"/>
      <c r="AF48" s="5"/>
      <c r="AG48" s="5"/>
      <c r="AH48" s="5"/>
      <c r="AI48" s="155">
        <f>COUNTA(E48:AH48)</f>
        <v>24</v>
      </c>
      <c r="AJ48" s="54">
        <f>COUNTIF(E48:AH48,1)</f>
        <v>16</v>
      </c>
      <c r="AK48" s="54">
        <f>COUNTIF(E48:AH48,"тр")</f>
        <v>7</v>
      </c>
      <c r="AL48" s="55">
        <f>COUNTIF(E48:AH48,"бв")</f>
        <v>1</v>
      </c>
    </row>
    <row r="49" spans="1:38" x14ac:dyDescent="0.25">
      <c r="A49" s="11">
        <f t="shared" si="0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/>
      <c r="AD49" s="5"/>
      <c r="AE49" s="5"/>
      <c r="AF49" s="5"/>
      <c r="AG49" s="5"/>
      <c r="AH49" s="5"/>
      <c r="AI49" s="155">
        <f>COUNTA(E49:AH49)</f>
        <v>24</v>
      </c>
      <c r="AJ49" s="54">
        <f>COUNTIF(E49:AH49,1)</f>
        <v>14</v>
      </c>
      <c r="AK49" s="54">
        <f>COUNTIF(E49:AH49,"тр")</f>
        <v>8</v>
      </c>
      <c r="AL49" s="55">
        <f>COUNTIF(E49:AH49,"бв")</f>
        <v>2</v>
      </c>
    </row>
    <row r="50" spans="1:38" ht="16.3" thickBot="1" x14ac:dyDescent="0.3">
      <c r="A50" s="44">
        <f t="shared" si="0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/>
      <c r="AD50" s="42"/>
      <c r="AE50" s="42"/>
      <c r="AF50" s="42"/>
      <c r="AG50" s="42"/>
      <c r="AH50" s="42"/>
      <c r="AI50" s="155">
        <f>COUNTA(E50:AH50)</f>
        <v>24</v>
      </c>
      <c r="AJ50" s="56">
        <f>COUNTIF(E50:AH50,1)</f>
        <v>16</v>
      </c>
      <c r="AK50" s="56">
        <f>COUNTIF(E50:AH50,"тр")</f>
        <v>8</v>
      </c>
      <c r="AL50" s="57">
        <f>COUNTIF(E50:AH50,"бв")</f>
        <v>0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168</v>
      </c>
      <c r="AJ51" s="69">
        <f>SUM(AJ44:AJ50)</f>
        <v>131</v>
      </c>
      <c r="AK51" s="69">
        <f>SUM(AK44:AK50)</f>
        <v>27</v>
      </c>
      <c r="AL51" s="75">
        <f>SUM(AL44:AL50)</f>
        <v>10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/>
      <c r="AD52" s="42"/>
      <c r="AE52" s="42"/>
      <c r="AF52" s="42"/>
      <c r="AG52" s="42"/>
      <c r="AH52" s="42"/>
      <c r="AI52" s="155">
        <f>COUNTA(E52:AH52)</f>
        <v>24</v>
      </c>
      <c r="AJ52" s="56">
        <f>COUNTIF(E52:AH52,1)</f>
        <v>20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24</v>
      </c>
      <c r="AJ53" s="69">
        <f>SUM(AJ52:AJ52)</f>
        <v>20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/>
      <c r="AD54" s="92"/>
      <c r="AE54" s="92"/>
      <c r="AF54" s="92"/>
      <c r="AG54" s="92"/>
      <c r="AH54" s="92"/>
      <c r="AI54" s="152">
        <f>COUNTA(E54:AH54)</f>
        <v>24</v>
      </c>
      <c r="AJ54" s="80">
        <f>COUNTIF(E54:AH54,1)</f>
        <v>22</v>
      </c>
      <c r="AK54" s="80">
        <f>COUNTIF(E54:AH54,"тр")</f>
        <v>1</v>
      </c>
      <c r="AL54" s="81">
        <f>COUNTIF(E54:AH54,"бв")</f>
        <v>1</v>
      </c>
    </row>
    <row r="55" spans="1:38" x14ac:dyDescent="0.25">
      <c r="A55" s="58">
        <f t="shared" si="0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/>
      <c r="AD55" s="42"/>
      <c r="AE55" s="42"/>
      <c r="AF55" s="42"/>
      <c r="AG55" s="42"/>
      <c r="AH55" s="42"/>
      <c r="AI55" s="155">
        <f>COUNTA(E55:AH55)</f>
        <v>24</v>
      </c>
      <c r="AJ55" s="56">
        <f>COUNTIF(E55:AH55,1)</f>
        <v>23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0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/>
      <c r="AD56" s="97"/>
      <c r="AE56" s="97"/>
      <c r="AF56" s="97"/>
      <c r="AG56" s="97"/>
      <c r="AH56" s="97"/>
      <c r="AI56" s="157">
        <f>COUNTA(E56:AH56)</f>
        <v>24</v>
      </c>
      <c r="AJ56" s="84">
        <f>COUNTIF(E56:AH56,1)</f>
        <v>14</v>
      </c>
      <c r="AK56" s="84">
        <f>COUNTIF(E56:AH56,"тр")</f>
        <v>7</v>
      </c>
      <c r="AL56" s="85">
        <f>COUNTIF(E56:AH56,"бв")</f>
        <v>3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72</v>
      </c>
      <c r="AJ57" s="69">
        <f>SUM(AJ54:AJ56)</f>
        <v>59</v>
      </c>
      <c r="AK57" s="69">
        <f>SUM(AK54:AK56)</f>
        <v>8</v>
      </c>
      <c r="AL57" s="75">
        <f>SUM(AL54:AL56)</f>
        <v>5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1104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60" s="168"/>
      <c r="C60" s="168"/>
      <c r="D60" s="168"/>
      <c r="E60" s="168"/>
      <c r="F60" s="168"/>
      <c r="G60" s="168"/>
      <c r="H60" s="168"/>
      <c r="I60" s="168"/>
      <c r="J60" s="168"/>
      <c r="K60" s="168"/>
      <c r="L60" s="168"/>
      <c r="M60" s="168"/>
      <c r="N60" s="168"/>
      <c r="O60" s="168"/>
      <c r="P60" s="168"/>
      <c r="Q60" s="168"/>
      <c r="R60" s="168"/>
      <c r="S60" s="168"/>
      <c r="T60" s="168"/>
      <c r="U60" s="168"/>
      <c r="V60" s="168"/>
      <c r="W60" s="168"/>
      <c r="X60" s="168"/>
      <c r="Y60" s="168"/>
      <c r="Z60" s="168"/>
      <c r="AA60" s="168"/>
      <c r="AB60" s="168"/>
      <c r="AC60" s="168"/>
      <c r="AD60" s="168"/>
      <c r="AE60" s="168"/>
      <c r="AF60" s="168"/>
      <c r="AG60" s="168"/>
      <c r="AH60" s="168"/>
      <c r="AI60" s="168"/>
      <c r="AJ60" s="168"/>
      <c r="AK60" s="168"/>
      <c r="AL60" s="168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/>
      <c r="AD62" s="35"/>
      <c r="AE62" s="35"/>
      <c r="AF62" s="35"/>
      <c r="AG62" s="35"/>
      <c r="AH62" s="35"/>
      <c r="AI62" s="155">
        <f>COUNTA(E62:AH62)</f>
        <v>24</v>
      </c>
      <c r="AJ62" s="17">
        <f>COUNTIF(E62:AH62,1)</f>
        <v>24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/>
      <c r="AD63" s="5"/>
      <c r="AE63" s="5"/>
      <c r="AF63" s="5"/>
      <c r="AG63" s="5"/>
      <c r="AH63" s="5"/>
      <c r="AI63" s="153">
        <f>COUNTA(E63:AH63)</f>
        <v>24</v>
      </c>
      <c r="AJ63" s="54">
        <f>COUNTIF(E63:AH63,1)</f>
        <v>24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/>
      <c r="AD64" s="5"/>
      <c r="AE64" s="5"/>
      <c r="AF64" s="5"/>
      <c r="AG64" s="5"/>
      <c r="AH64" s="5"/>
      <c r="AI64" s="153">
        <f>COUNTA(E64:AH64)</f>
        <v>24</v>
      </c>
      <c r="AJ64" s="54">
        <f>COUNTIF(E64:AH64,1)</f>
        <v>7</v>
      </c>
      <c r="AK64" s="54">
        <f>COUNTIF(E64:AH64,"тр")</f>
        <v>2</v>
      </c>
      <c r="AL64" s="55">
        <f>COUNTIF(E64:AH64,"бв")</f>
        <v>15</v>
      </c>
    </row>
    <row r="65" spans="1:38" x14ac:dyDescent="0.25">
      <c r="A65" s="11">
        <f t="shared" si="1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/>
      <c r="AD65" s="5"/>
      <c r="AE65" s="5"/>
      <c r="AF65" s="5"/>
      <c r="AG65" s="5"/>
      <c r="AH65" s="5"/>
      <c r="AI65" s="153">
        <f>COUNTA(E65:AH65)</f>
        <v>24</v>
      </c>
      <c r="AJ65" s="54">
        <f>COUNTIF(E65:AH65,1)</f>
        <v>0</v>
      </c>
      <c r="AK65" s="54">
        <f>COUNTIF(E65:AH65,"тр")</f>
        <v>24</v>
      </c>
      <c r="AL65" s="55">
        <f>COUNTIF(E65:AH65,"бв")</f>
        <v>0</v>
      </c>
    </row>
    <row r="66" spans="1:38" ht="16.3" thickBot="1" x14ac:dyDescent="0.3">
      <c r="A66" s="44">
        <f t="shared" si="1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/>
      <c r="AD66" s="42"/>
      <c r="AE66" s="42"/>
      <c r="AF66" s="42"/>
      <c r="AG66" s="42"/>
      <c r="AH66" s="42"/>
      <c r="AI66" s="156">
        <f>COUNTA(E66:AH66)</f>
        <v>24</v>
      </c>
      <c r="AJ66" s="56">
        <f>COUNTIF(E66:AH66,1)</f>
        <v>0</v>
      </c>
      <c r="AK66" s="56">
        <f>COUNTIF(E66:AH66,"тр")</f>
        <v>24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120</v>
      </c>
      <c r="AJ67" s="69">
        <f t="shared" ref="AJ67:AL67" si="2">SUM(AJ62:AJ66)</f>
        <v>55</v>
      </c>
      <c r="AK67" s="69">
        <f t="shared" si="2"/>
        <v>50</v>
      </c>
      <c r="AL67" s="75">
        <f t="shared" si="2"/>
        <v>15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120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1" priority="3">
      <formula>LEN(TRIM(E4))=0</formula>
    </cfRule>
  </conditionalFormatting>
  <conditionalFormatting sqref="E24:AH24">
    <cfRule type="containsBlanks" dxfId="0" priority="1">
      <formula>LEN(TRIM(E24))=0</formula>
    </cfRule>
  </conditionalFormatting>
  <pageMargins left="0.23622047244094491" right="0.23622047244094491" top="0.74803149606299213" bottom="0.77" header="0.31496062992125984" footer="0.31496062992125984"/>
  <pageSetup paperSize="9" scale="78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6</vt:i4>
      </vt:variant>
    </vt:vector>
  </HeadingPairs>
  <TitlesOfParts>
    <vt:vector size="13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Данные</vt:lpstr>
      <vt:lpstr>АХД</vt:lpstr>
      <vt:lpstr>'Апрель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2019-06-05T11:39:58Z</cp:lastPrinted>
  <dcterms:created xsi:type="dcterms:W3CDTF">2018-09-27T18:15:43Z</dcterms:created>
  <dcterms:modified xsi:type="dcterms:W3CDTF">2019-06-24T09:53:59Z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