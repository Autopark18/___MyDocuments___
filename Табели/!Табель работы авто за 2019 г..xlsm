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<sst xmlns="http://schemas.openxmlformats.org/spreadsheetml/2006/main" count="1433" uniqueCount="81">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</sst>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8" sqref="AF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9">
        <v>1</v>
      </c>
      <c r="AG8" s="83">
        <f t="shared" ref="AG8:AG60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9">
        <v>1</v>
      </c>
      <c r="AG10" s="83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9">
        <v>1</v>
      </c>
      <c r="AG11" s="83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9">
        <v>1</v>
      </c>
      <c r="AG12" s="83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9">
        <v>1</v>
      </c>
      <c r="AG13" s="83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9">
        <v>1</v>
      </c>
      <c r="AG14" s="83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9" t="s">
        <v>58</v>
      </c>
      <c r="AG15" s="83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9">
        <v>1</v>
      </c>
      <c r="AG16" s="83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9">
        <v>1</v>
      </c>
      <c r="AG17" s="83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9">
        <v>1</v>
      </c>
      <c r="AG18" s="83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9">
        <v>1</v>
      </c>
      <c r="AG19" s="83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9">
        <v>1</v>
      </c>
      <c r="AG20" s="83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9">
        <v>1</v>
      </c>
      <c r="AG21" s="83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9">
        <v>1</v>
      </c>
      <c r="AG22" s="83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9">
        <v>1</v>
      </c>
      <c r="AG24" s="83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>
        <v>1</v>
      </c>
      <c r="Z25" s="98">
        <v>1</v>
      </c>
      <c r="AA25" s="98" t="s">
        <v>58</v>
      </c>
      <c r="AB25" s="98" t="s">
        <v>58</v>
      </c>
      <c r="AC25" s="98" t="s">
        <v>58</v>
      </c>
      <c r="AD25" s="98" t="s">
        <v>58</v>
      </c>
      <c r="AE25" s="98">
        <v>1</v>
      </c>
      <c r="AF25" s="103">
        <v>1</v>
      </c>
      <c r="AG25" s="84">
        <f t="shared" si="4"/>
        <v>28</v>
      </c>
      <c r="AH25" s="85">
        <f t="shared" si="0"/>
        <v>23</v>
      </c>
      <c r="AI25" s="85">
        <f t="shared" si="1"/>
        <v>4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532</v>
      </c>
      <c r="AH26" s="142">
        <f t="shared" ref="AH26:AJ26" si="5">SUM(AH7:AH25)</f>
        <v>389</v>
      </c>
      <c r="AI26" s="142">
        <f t="shared" si="5"/>
        <v>100</v>
      </c>
      <c r="AJ26" s="143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6">
        <v>1</v>
      </c>
      <c r="AG27" s="80">
        <f t="shared" si="4"/>
        <v>28</v>
      </c>
      <c r="AH27" s="81">
        <f t="shared" ref="AH27:AH33" si="6">COUNTIF(E27:AF27,1)</f>
        <v>8</v>
      </c>
      <c r="AI27" s="81">
        <f t="shared" ref="AI27:AI33" si="7">COUNTIF(E27:AF27,"тр")</f>
        <v>18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9">
        <v>1</v>
      </c>
      <c r="AG29" s="83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9" t="s">
        <v>58</v>
      </c>
      <c r="AG30" s="83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9">
        <v>1</v>
      </c>
      <c r="AG31" s="83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9">
        <v>1</v>
      </c>
      <c r="AG32" s="83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7">
        <v>1</v>
      </c>
      <c r="AG33" s="84">
        <f t="shared" si="4"/>
        <v>28</v>
      </c>
      <c r="AH33" s="85">
        <f t="shared" si="6"/>
        <v>22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196</v>
      </c>
      <c r="AH34" s="136">
        <f>SUM(AH27:AH33)</f>
        <v>102</v>
      </c>
      <c r="AI34" s="136">
        <f>SUM(AI27:AI33)</f>
        <v>67</v>
      </c>
      <c r="AJ34" s="137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3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3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84</v>
      </c>
      <c r="AH38" s="70">
        <f>SUM(AH35:AH37)</f>
        <v>32</v>
      </c>
      <c r="AI38" s="70">
        <f>SUM(AI35:AI37)</f>
        <v>44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>
        <v>1</v>
      </c>
      <c r="AF44" s="35" t="s">
        <v>58</v>
      </c>
      <c r="AG44" s="73">
        <f t="shared" si="4"/>
        <v>28</v>
      </c>
      <c r="AH44" s="17">
        <f>COUNTIF(E44:AF44,1)</f>
        <v>17</v>
      </c>
      <c r="AI44" s="17">
        <f>COUNTIF(E44:AF44,"тр")</f>
        <v>10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 t="s">
        <v>58</v>
      </c>
      <c r="Z45" s="5">
        <v>1</v>
      </c>
      <c r="AA45" s="5">
        <v>1</v>
      </c>
      <c r="AB45" s="5" t="s">
        <v>57</v>
      </c>
      <c r="AC45" s="5">
        <v>1</v>
      </c>
      <c r="AD45" s="5" t="s">
        <v>58</v>
      </c>
      <c r="AE45" s="5" t="s">
        <v>58</v>
      </c>
      <c r="AF45" s="5" t="s">
        <v>58</v>
      </c>
      <c r="AG45" s="73">
        <f t="shared" si="4"/>
        <v>28</v>
      </c>
      <c r="AH45" s="54">
        <f>COUNTIF(E45:AF45,1)</f>
        <v>9</v>
      </c>
      <c r="AI45" s="54">
        <f>COUNTIF(E45:AF45,"тр")</f>
        <v>9</v>
      </c>
      <c r="AJ45" s="55">
        <f>COUNTIF(E45:AF45,"бв")</f>
        <v>10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 t="s">
        <v>58</v>
      </c>
      <c r="Z46" s="42" t="s">
        <v>58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73">
        <f t="shared" si="4"/>
        <v>28</v>
      </c>
      <c r="AH46" s="56">
        <f>COUNTIF(E46:AF46,1)</f>
        <v>0</v>
      </c>
      <c r="AI46" s="56">
        <f>COUNTIF(E46:AF46,"тр")</f>
        <v>28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84</v>
      </c>
      <c r="AH47" s="70">
        <f>SUM(AH44:AH46)</f>
        <v>26</v>
      </c>
      <c r="AI47" s="70">
        <f>SUM(AI44:AI46)</f>
        <v>47</v>
      </c>
      <c r="AJ47" s="76">
        <f>SUM(AJ44:AJ46)</f>
        <v>11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 t="s">
        <v>58</v>
      </c>
      <c r="AE48" s="35">
        <v>1</v>
      </c>
      <c r="AF48" s="35">
        <v>1</v>
      </c>
      <c r="AG48" s="73">
        <f t="shared" si="4"/>
        <v>28</v>
      </c>
      <c r="AH48" s="17">
        <f t="shared" ref="AH48:AH54" si="9">COUNTIF(E48:AF48,1)</f>
        <v>25</v>
      </c>
      <c r="AI48" s="17">
        <f t="shared" ref="AI48:AI54" si="10">COUNTIF(E48:AF48,"тр")</f>
        <v>3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58</v>
      </c>
      <c r="AG49" s="73">
        <f t="shared" si="4"/>
        <v>28</v>
      </c>
      <c r="AH49" s="54">
        <f t="shared" si="9"/>
        <v>27</v>
      </c>
      <c r="AI49" s="54">
        <f t="shared" si="10"/>
        <v>1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>
        <v>1</v>
      </c>
      <c r="AG50" s="73">
        <f t="shared" si="4"/>
        <v>28</v>
      </c>
      <c r="AH50" s="54">
        <f t="shared" si="9"/>
        <v>26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 t="s">
        <v>58</v>
      </c>
      <c r="AG51" s="73">
        <f t="shared" si="4"/>
        <v>28</v>
      </c>
      <c r="AH51" s="54">
        <f t="shared" si="9"/>
        <v>27</v>
      </c>
      <c r="AI51" s="54">
        <f t="shared" si="10"/>
        <v>1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 t="s">
        <v>57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3">
        <f t="shared" si="4"/>
        <v>28</v>
      </c>
      <c r="AH52" s="54">
        <f t="shared" si="9"/>
        <v>26</v>
      </c>
      <c r="AI52" s="54">
        <f t="shared" si="10"/>
        <v>0</v>
      </c>
      <c r="AJ52" s="55">
        <f t="shared" si="11"/>
        <v>2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73">
        <f t="shared" si="4"/>
        <v>28</v>
      </c>
      <c r="AH53" s="54">
        <f t="shared" si="9"/>
        <v>28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 t="s">
        <v>58</v>
      </c>
      <c r="AG54" s="73">
        <f t="shared" si="4"/>
        <v>28</v>
      </c>
      <c r="AH54" s="56">
        <f t="shared" si="9"/>
        <v>23</v>
      </c>
      <c r="AI54" s="56">
        <f t="shared" si="10"/>
        <v>5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196</v>
      </c>
      <c r="AH55" s="70">
        <f>SUM(AH48:AH54)</f>
        <v>182</v>
      </c>
      <c r="AI55" s="70">
        <f>SUM(AI48:AI54)</f>
        <v>10</v>
      </c>
      <c r="AJ55" s="76">
        <f>SUM(AJ48:AJ54)</f>
        <v>4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>
        <v>1</v>
      </c>
      <c r="Z56" s="42">
        <v>1</v>
      </c>
      <c r="AA56" s="42">
        <v>1</v>
      </c>
      <c r="AB56" s="42">
        <v>1</v>
      </c>
      <c r="AC56" s="42">
        <v>1</v>
      </c>
      <c r="AD56" s="42">
        <v>1</v>
      </c>
      <c r="AE56" s="42" t="s">
        <v>58</v>
      </c>
      <c r="AF56" s="42">
        <v>1</v>
      </c>
      <c r="AG56" s="73">
        <f t="shared" si="4"/>
        <v>28</v>
      </c>
      <c r="AH56" s="56">
        <f>COUNTIF(E56:AF56,1)</f>
        <v>19</v>
      </c>
      <c r="AI56" s="56">
        <f>COUNTIF(E56:AF56,"тр")</f>
        <v>8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28</v>
      </c>
      <c r="AH57" s="70">
        <f>SUM(AH56:AH56)</f>
        <v>19</v>
      </c>
      <c r="AI57" s="70">
        <f>SUM(AI56:AI56)</f>
        <v>8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 t="s">
        <v>58</v>
      </c>
      <c r="Z58" s="93" t="s">
        <v>58</v>
      </c>
      <c r="AA58" s="93" t="s">
        <v>58</v>
      </c>
      <c r="AB58" s="93" t="s">
        <v>58</v>
      </c>
      <c r="AC58" s="93" t="s">
        <v>58</v>
      </c>
      <c r="AD58" s="93" t="s">
        <v>58</v>
      </c>
      <c r="AE58" s="93" t="s">
        <v>58</v>
      </c>
      <c r="AF58" s="102" t="s">
        <v>58</v>
      </c>
      <c r="AG58" s="80">
        <f t="shared" si="4"/>
        <v>28</v>
      </c>
      <c r="AH58" s="81">
        <f>COUNTIF(E58:AF58,1)</f>
        <v>10</v>
      </c>
      <c r="AI58" s="81">
        <f>COUNTIF(E58:AF58,"тр")</f>
        <v>16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 t="s">
        <v>57</v>
      </c>
      <c r="AC59" s="42">
        <v>1</v>
      </c>
      <c r="AD59" s="42">
        <v>1</v>
      </c>
      <c r="AE59" s="42">
        <v>1</v>
      </c>
      <c r="AF59" s="127">
        <v>1</v>
      </c>
      <c r="AG59" s="73">
        <f t="shared" si="4"/>
        <v>28</v>
      </c>
      <c r="AH59" s="56">
        <f>COUNTIF(E59:AF59,1)</f>
        <v>26</v>
      </c>
      <c r="AI59" s="56">
        <f>COUNTIF(E59:AF59,"тр")</f>
        <v>0</v>
      </c>
      <c r="AJ59" s="57">
        <f>COUNTIF(E59:AF59,"бв")</f>
        <v>2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 t="s">
        <v>58</v>
      </c>
      <c r="Z60" s="98" t="s">
        <v>58</v>
      </c>
      <c r="AA60" s="98" t="s">
        <v>58</v>
      </c>
      <c r="AB60" s="98" t="s">
        <v>58</v>
      </c>
      <c r="AC60" s="98" t="s">
        <v>58</v>
      </c>
      <c r="AD60" s="98">
        <v>1</v>
      </c>
      <c r="AE60" s="98">
        <v>1</v>
      </c>
      <c r="AF60" s="103">
        <v>1</v>
      </c>
      <c r="AG60" s="128">
        <f t="shared" si="4"/>
        <v>28</v>
      </c>
      <c r="AH60" s="85">
        <f>COUNTIF(E60:AF60,1)</f>
        <v>15</v>
      </c>
      <c r="AI60" s="85">
        <f>COUNTIF(E60:AF60,"тр")</f>
        <v>5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84</v>
      </c>
      <c r="AH61" s="70">
        <f t="shared" ref="AH61:AJ61" si="12">SUM(AH58:AH60)</f>
        <v>51</v>
      </c>
      <c r="AI61" s="70">
        <f t="shared" si="12"/>
        <v>21</v>
      </c>
      <c r="AJ61" s="76">
        <f t="shared" si="12"/>
        <v>12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1344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>
        <v>1</v>
      </c>
      <c r="Z66" s="93">
        <v>1</v>
      </c>
      <c r="AA66" s="93">
        <v>1</v>
      </c>
      <c r="AB66" s="93">
        <v>1</v>
      </c>
      <c r="AC66" s="93">
        <v>1</v>
      </c>
      <c r="AD66" s="93">
        <v>1</v>
      </c>
      <c r="AE66" s="93">
        <v>1</v>
      </c>
      <c r="AF66" s="102">
        <v>1</v>
      </c>
      <c r="AG66" s="80">
        <f t="shared" ref="AG66:AG68" si="13">COUNTA(E66:AF66)</f>
        <v>28</v>
      </c>
      <c r="AH66" s="81">
        <f>COUNTIF(E66:AF66,1)</f>
        <v>21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>
        <v>1</v>
      </c>
      <c r="AE67" s="5">
        <v>1</v>
      </c>
      <c r="AF67" s="79">
        <v>1</v>
      </c>
      <c r="AG67" s="83">
        <f t="shared" si="13"/>
        <v>28</v>
      </c>
      <c r="AH67" s="54">
        <f>COUNTIF(E67:AF67,1)</f>
        <v>28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>
        <v>1</v>
      </c>
      <c r="Z68" s="98">
        <v>1</v>
      </c>
      <c r="AA68" s="98" t="s">
        <v>57</v>
      </c>
      <c r="AB68" s="98" t="s">
        <v>57</v>
      </c>
      <c r="AC68" s="98">
        <v>1</v>
      </c>
      <c r="AD68" s="98">
        <v>1</v>
      </c>
      <c r="AE68" s="98">
        <v>1</v>
      </c>
      <c r="AF68" s="103">
        <v>1</v>
      </c>
      <c r="AG68" s="84">
        <f t="shared" si="13"/>
        <v>28</v>
      </c>
      <c r="AH68" s="85">
        <f>COUNTIF(E68:AF68,1)</f>
        <v>20</v>
      </c>
      <c r="AI68" s="85">
        <f>COUNTIF(E68:AF68,"тр")</f>
        <v>0</v>
      </c>
      <c r="AJ68" s="86">
        <f>COUNTIF(E68:AF68,"бв")</f>
        <v>8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84</v>
      </c>
      <c r="AH69" s="136">
        <f t="shared" ref="AH69:AJ69" si="14">SUM(AH66:AH68)</f>
        <v>69</v>
      </c>
      <c r="AI69" s="136">
        <f t="shared" si="14"/>
        <v>5</v>
      </c>
      <c r="AJ69" s="137">
        <f t="shared" si="14"/>
        <v>9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84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2019-02-28T09:20:17Z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