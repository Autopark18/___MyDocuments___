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<sst xmlns="http://schemas.openxmlformats.org/spreadsheetml/2006/main" count="578" uniqueCount="72">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</sst>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63" sqref="R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5</v>
      </c>
      <c r="AK8" s="54">
        <f t="shared" si="2"/>
        <v>5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 t="s">
        <v>58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58</v>
      </c>
      <c r="AD10" s="5" t="s">
        <v>58</v>
      </c>
      <c r="AE10" s="5" t="s">
        <v>58</v>
      </c>
      <c r="AF10" s="5" t="s">
        <v>58</v>
      </c>
      <c r="AG10" s="5" t="s">
        <v>58</v>
      </c>
      <c r="AH10" s="82" t="s">
        <v>58</v>
      </c>
      <c r="AI10" s="73">
        <f t="shared" si="0"/>
        <v>30</v>
      </c>
      <c r="AJ10" s="54">
        <f t="shared" si="1"/>
        <v>0</v>
      </c>
      <c r="AK10" s="54">
        <f t="shared" si="2"/>
        <v>30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10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8</v>
      </c>
      <c r="AK12" s="54">
        <f t="shared" si="2"/>
        <v>0</v>
      </c>
      <c r="AL12" s="55">
        <f t="shared" si="3"/>
        <v>6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11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11</v>
      </c>
      <c r="AK14" s="54">
        <f t="shared" si="2"/>
        <v>3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14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14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13</v>
      </c>
      <c r="AK17" s="54">
        <f t="shared" si="2"/>
        <v>0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14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1</v>
      </c>
      <c r="AK19" s="54">
        <f t="shared" si="2"/>
        <v>12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14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14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10</v>
      </c>
      <c r="AK22" s="54">
        <f t="shared" si="2"/>
        <v>0</v>
      </c>
      <c r="AL22" s="55">
        <f t="shared" si="3"/>
        <v>4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7</v>
      </c>
      <c r="AL23" s="55">
        <f t="shared" ref="AL23:AL25" si="7">COUNTIF(E23:AH23,"бв")</f>
        <v>0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6</v>
      </c>
      <c r="AK24" s="54">
        <f t="shared" si="6"/>
        <v>0</v>
      </c>
      <c r="AL24" s="55">
        <f t="shared" si="7"/>
        <v>1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5</v>
      </c>
      <c r="AK25" s="89">
        <f t="shared" si="6"/>
        <v>2</v>
      </c>
      <c r="AL25" s="90">
        <f t="shared" si="7"/>
        <v>0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139</v>
      </c>
      <c r="AK26" s="70">
        <f>SUM(AK7:AK22)</f>
        <v>116</v>
      </c>
      <c r="AL26" s="76">
        <f>SUM(AL7:AL22)</f>
        <v>17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12</v>
      </c>
      <c r="AK27" s="17">
        <f t="shared" ref="AK27:AK33" si="10">COUNTIF(E27:AH27,"тр")</f>
        <v>0</v>
      </c>
      <c r="AL27" s="18">
        <f t="shared" ref="AL27:AL33" si="11">COUNTIF(E27:AH27,"бв")</f>
        <v>2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12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10</v>
      </c>
      <c r="AK30" s="54">
        <f t="shared" si="10"/>
        <v>0</v>
      </c>
      <c r="AL30" s="55">
        <f t="shared" si="11"/>
        <v>4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2</v>
      </c>
      <c r="AK31" s="54">
        <f t="shared" si="10"/>
        <v>1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11</v>
      </c>
      <c r="AK32" s="54">
        <f t="shared" si="10"/>
        <v>1</v>
      </c>
      <c r="AL32" s="55">
        <f t="shared" si="11"/>
        <v>2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12</v>
      </c>
      <c r="AK33" s="56">
        <f t="shared" si="10"/>
        <v>0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59</v>
      </c>
      <c r="AK34" s="70">
        <f>SUM(AK27:AK33)</f>
        <v>34</v>
      </c>
      <c r="AL34" s="76">
        <f>SUM(AL27:AL33)</f>
        <v>21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13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12</v>
      </c>
      <c r="AK36" s="54">
        <f>COUNTIF(E36:AH36,"тр")</f>
        <v>0</v>
      </c>
      <c r="AL36" s="55">
        <f>COUNTIF(E36:AH36,"бв")</f>
        <v>2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25</v>
      </c>
      <c r="AK38" s="70">
        <f>SUM(AK35:AK37)</f>
        <v>30</v>
      </c>
      <c r="AL38" s="76">
        <f>SUM(AL35:AL37)</f>
        <v>3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11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10</v>
      </c>
      <c r="AK46" s="56">
        <f>COUNTIF(E46:AH46,"тр")</f>
        <v>1</v>
      </c>
      <c r="AL46" s="57">
        <f>COUNTIF(E46:AH46,"бв")</f>
        <v>3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21</v>
      </c>
      <c r="AK47" s="70">
        <f>SUM(AK44:AK46)</f>
        <v>31</v>
      </c>
      <c r="AL47" s="76">
        <f>SUM(AL44:AL46)</f>
        <v>6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14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13</v>
      </c>
      <c r="AK49" s="54">
        <f t="shared" si="14"/>
        <v>0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12</v>
      </c>
      <c r="AK50" s="54">
        <f t="shared" si="14"/>
        <v>2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11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11</v>
      </c>
      <c r="AK52" s="54">
        <f t="shared" si="14"/>
        <v>0</v>
      </c>
      <c r="AL52" s="55">
        <f t="shared" si="15"/>
        <v>3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12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14</v>
      </c>
      <c r="AK54" s="56">
        <f t="shared" si="14"/>
        <v>0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87</v>
      </c>
      <c r="AK55" s="70">
        <f>SUM(AK48:AK54)</f>
        <v>4</v>
      </c>
      <c r="AL55" s="76">
        <f>SUM(AL48:AL54)</f>
        <v>7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7</v>
      </c>
      <c r="AK56" s="17">
        <f>COUNTIF(E56:AH56,"тр")</f>
        <v>0</v>
      </c>
      <c r="AL56" s="18">
        <f>COUNTIF(E56:AH56,"бв")</f>
        <v>7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2</v>
      </c>
      <c r="AK57" s="56">
        <f>COUNTIF(E57:AH57,"тр")</f>
        <v>11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9</v>
      </c>
      <c r="AK58" s="70">
        <f>SUM(AK56:AK57)</f>
        <v>11</v>
      </c>
      <c r="AL58" s="76">
        <f>SUM(AL56:AL57)</f>
        <v>8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14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14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28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14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14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28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2019-01-14T10:30:38Z</dcterms:modified>
</cp:coreProperties>
</file>