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2019'!$E$2:$AM$57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8" l="1"/>
  <c r="AM64" i="8" l="1"/>
  <c r="AL64" i="8"/>
  <c r="AK64" i="8"/>
  <c r="AJ64" i="8"/>
  <c r="AM63" i="8"/>
  <c r="AL63" i="8"/>
  <c r="AK63" i="8"/>
  <c r="AJ63" i="8"/>
  <c r="AM62" i="8"/>
  <c r="AL62" i="8"/>
  <c r="AK62" i="8"/>
  <c r="AJ62" i="8"/>
  <c r="A62" i="8"/>
  <c r="A63" i="8" s="1"/>
  <c r="A64" i="8" s="1"/>
  <c r="AM61" i="8"/>
  <c r="AL61" i="8"/>
  <c r="AK61" i="8"/>
  <c r="AJ61" i="8"/>
  <c r="A59" i="8"/>
  <c r="AM55" i="8"/>
  <c r="AL55" i="8"/>
  <c r="AK55" i="8"/>
  <c r="AJ55" i="8"/>
  <c r="AM54" i="8"/>
  <c r="AL54" i="8"/>
  <c r="AK54" i="8"/>
  <c r="AJ54" i="8"/>
  <c r="AM53" i="8"/>
  <c r="AM56" i="8" s="1"/>
  <c r="AL53" i="8"/>
  <c r="AK53" i="8"/>
  <c r="AK56" i="8" s="1"/>
  <c r="AJ53" i="8"/>
  <c r="AM51" i="8"/>
  <c r="AM52" i="8" s="1"/>
  <c r="AL51" i="8"/>
  <c r="AL52" i="8" s="1"/>
  <c r="AK51" i="8"/>
  <c r="AK52" i="8" s="1"/>
  <c r="AJ51" i="8"/>
  <c r="AJ52" i="8" s="1"/>
  <c r="AM49" i="8"/>
  <c r="AL49" i="8"/>
  <c r="AK49" i="8"/>
  <c r="AJ49" i="8"/>
  <c r="AM48" i="8"/>
  <c r="AL48" i="8"/>
  <c r="AK48" i="8"/>
  <c r="AJ48" i="8"/>
  <c r="AM47" i="8"/>
  <c r="AL47" i="8"/>
  <c r="AK47" i="8"/>
  <c r="AJ47" i="8"/>
  <c r="AM46" i="8"/>
  <c r="AL46" i="8"/>
  <c r="AK46" i="8"/>
  <c r="AJ46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L41" i="8"/>
  <c r="AK41" i="8"/>
  <c r="AJ41" i="8"/>
  <c r="AM40" i="8"/>
  <c r="AL40" i="8"/>
  <c r="AK40" i="8"/>
  <c r="AJ40" i="8"/>
  <c r="AM39" i="8"/>
  <c r="AL39" i="8"/>
  <c r="AK39" i="8"/>
  <c r="AJ39" i="8"/>
  <c r="AM37" i="8"/>
  <c r="AM38" i="8" s="1"/>
  <c r="AL37" i="8"/>
  <c r="AL38" i="8" s="1"/>
  <c r="AK37" i="8"/>
  <c r="AK38" i="8" s="1"/>
  <c r="AJ37" i="8"/>
  <c r="AJ38" i="8" s="1"/>
  <c r="AM35" i="8"/>
  <c r="AL35" i="8"/>
  <c r="AK35" i="8"/>
  <c r="AJ35" i="8"/>
  <c r="AM34" i="8"/>
  <c r="AL34" i="8"/>
  <c r="AK34" i="8"/>
  <c r="AJ34" i="8"/>
  <c r="AM33" i="8"/>
  <c r="AL33" i="8"/>
  <c r="AK33" i="8"/>
  <c r="AJ33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6" i="8"/>
  <c r="AL26" i="8"/>
  <c r="AK26" i="8"/>
  <c r="AJ26" i="8"/>
  <c r="AM25" i="8"/>
  <c r="AL25" i="8"/>
  <c r="AK25" i="8"/>
  <c r="AJ25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L7" i="8"/>
  <c r="AK7" i="8"/>
  <c r="AJ7" i="8"/>
  <c r="AM6" i="8"/>
  <c r="AL6" i="8"/>
  <c r="AK6" i="8"/>
  <c r="AJ6" i="8"/>
  <c r="AM4" i="8"/>
  <c r="AL4" i="8"/>
  <c r="AK4" i="8"/>
  <c r="AJ4" i="8"/>
  <c r="A7" i="8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5" i="8" s="1"/>
  <c r="A26" i="8" s="1"/>
  <c r="A27" i="8" s="1"/>
  <c r="A28" i="8" s="1"/>
  <c r="A29" i="8" s="1"/>
  <c r="A30" i="8" s="1"/>
  <c r="A31" i="8" s="1"/>
  <c r="A33" i="8" s="1"/>
  <c r="A34" i="8" s="1"/>
  <c r="A35" i="8" s="1"/>
  <c r="A1" i="8"/>
  <c r="A59" i="7"/>
  <c r="A55" i="7"/>
  <c r="A39" i="7"/>
  <c r="A67" i="7"/>
  <c r="A68" i="7"/>
  <c r="A66" i="7"/>
  <c r="AJ56" i="8" l="1"/>
  <c r="AL56" i="8"/>
  <c r="A37" i="8"/>
  <c r="A39" i="8" s="1"/>
  <c r="A40" i="8" s="1"/>
  <c r="A41" i="8" s="1"/>
  <c r="A43" i="8" s="1"/>
  <c r="A44" i="8" s="1"/>
  <c r="A45" i="8" s="1"/>
  <c r="A46" i="8" s="1"/>
  <c r="A47" i="8" s="1"/>
  <c r="A48" i="8" s="1"/>
  <c r="A49" i="8" s="1"/>
  <c r="A51" i="8" s="1"/>
  <c r="A53" i="8" s="1"/>
  <c r="A54" i="8" s="1"/>
  <c r="A55" i="8" s="1"/>
  <c r="AJ5" i="8"/>
  <c r="AJ24" i="8" s="1"/>
  <c r="AJ32" i="8" s="1"/>
  <c r="AL5" i="8"/>
  <c r="AL24" i="8" s="1"/>
  <c r="AL32" i="8" s="1"/>
  <c r="AM5" i="8"/>
  <c r="AM24" i="8" s="1"/>
  <c r="AM32" i="8" s="1"/>
  <c r="AK5" i="8"/>
  <c r="AK24" i="8" s="1"/>
  <c r="AK32" i="8" s="1"/>
  <c r="AJ65" i="8"/>
  <c r="AJ66" i="8" s="1"/>
  <c r="AL65" i="8"/>
  <c r="AK65" i="8"/>
  <c r="AM65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36" i="8" l="1"/>
  <c r="AL42" i="8" s="1"/>
  <c r="AL50" i="8" s="1"/>
  <c r="AJ36" i="8"/>
  <c r="AJ42" i="8" s="1"/>
  <c r="AJ50" i="8" s="1"/>
  <c r="AJ57" i="8" s="1"/>
  <c r="AK36" i="8"/>
  <c r="AK42" i="8" s="1"/>
  <c r="AK50" i="8" s="1"/>
  <c r="AM36" i="8"/>
  <c r="AM42" i="8" s="1"/>
  <c r="AM50" i="8" s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<sst xmlns="http://schemas.openxmlformats.org/spreadsheetml/2006/main" count="2024" uniqueCount="80">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</sst>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D6" sqref="AD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42" t="s">
        <v>58</v>
      </c>
      <c r="AJ4" s="156">
        <f>COUNTA(E4:AI4)</f>
        <v>31</v>
      </c>
      <c r="AK4" s="56">
        <f>COUNTIF(E4:AI4,1)</f>
        <v>0</v>
      </c>
      <c r="AL4" s="56">
        <f>COUNTIF(E4:AI4,"тр")</f>
        <v>31</v>
      </c>
      <c r="AM4" s="57">
        <f>COUNTIF(E4:AI4,"бв")</f>
        <v>0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31</v>
      </c>
      <c r="AK5" s="70">
        <f>SUM(AK4:AK4)</f>
        <v>0</v>
      </c>
      <c r="AL5" s="70">
        <f>SUM(AL4:AL4)</f>
        <v>31</v>
      </c>
      <c r="AM5" s="71">
        <f>SUM(AM4:AM4)</f>
        <v>0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4">
        <v>1</v>
      </c>
      <c r="F6" s="5">
        <v>1</v>
      </c>
      <c r="G6" s="5">
        <v>1</v>
      </c>
      <c r="H6" s="5">
        <v>1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 t="s">
        <v>58</v>
      </c>
      <c r="W6" s="5" t="s">
        <v>58</v>
      </c>
      <c r="X6" s="5" t="s">
        <v>58</v>
      </c>
      <c r="Y6" s="5" t="s">
        <v>58</v>
      </c>
      <c r="Z6" s="5" t="s">
        <v>58</v>
      </c>
      <c r="AA6" s="5" t="s">
        <v>58</v>
      </c>
      <c r="AB6" s="5" t="s">
        <v>58</v>
      </c>
      <c r="AC6" s="5" t="s">
        <v>58</v>
      </c>
      <c r="AD6" s="5" t="s">
        <v>58</v>
      </c>
      <c r="AE6" s="5"/>
      <c r="AF6" s="5"/>
      <c r="AG6" s="5"/>
      <c r="AH6" s="5"/>
      <c r="AI6" s="78"/>
      <c r="AJ6" s="155">
        <f t="shared" ref="AJ6:AJ23" si="0">COUNTA(E6:AI6)</f>
        <v>26</v>
      </c>
      <c r="AK6" s="17">
        <f t="shared" ref="AK6:AK23" si="1">COUNTIF(E6:AI6,1)</f>
        <v>4</v>
      </c>
      <c r="AL6" s="17">
        <f t="shared" ref="AL6:AL23" si="2">COUNTIF(E6:AI6,"тр")</f>
        <v>22</v>
      </c>
      <c r="AM6" s="18">
        <f t="shared" ref="AM6:AM23" si="3">COUNTIF(E6:AI6,"бв")</f>
        <v>0</v>
      </c>
    </row>
    <row r="7" spans="1:39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>
        <v>1</v>
      </c>
      <c r="AE7" s="5"/>
      <c r="AF7" s="5"/>
      <c r="AG7" s="5"/>
      <c r="AH7" s="5"/>
      <c r="AI7" s="78"/>
      <c r="AJ7" s="153">
        <f t="shared" si="0"/>
        <v>26</v>
      </c>
      <c r="AK7" s="54">
        <f t="shared" si="1"/>
        <v>7</v>
      </c>
      <c r="AL7" s="54">
        <f t="shared" si="2"/>
        <v>19</v>
      </c>
      <c r="AM7" s="55">
        <f t="shared" si="3"/>
        <v>0</v>
      </c>
    </row>
    <row r="8" spans="1:39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>
        <v>1</v>
      </c>
      <c r="F8" s="7">
        <v>1</v>
      </c>
      <c r="G8" s="7" t="s">
        <v>58</v>
      </c>
      <c r="H8" s="5">
        <v>1</v>
      </c>
      <c r="I8" s="5" t="s">
        <v>57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57</v>
      </c>
      <c r="AB8" s="5">
        <v>1</v>
      </c>
      <c r="AC8" s="5">
        <v>1</v>
      </c>
      <c r="AD8" s="5">
        <v>1</v>
      </c>
      <c r="AE8" s="5"/>
      <c r="AF8" s="5"/>
      <c r="AG8" s="5"/>
      <c r="AH8" s="5"/>
      <c r="AI8" s="78"/>
      <c r="AJ8" s="153">
        <f t="shared" si="0"/>
        <v>26</v>
      </c>
      <c r="AK8" s="54">
        <f t="shared" si="1"/>
        <v>22</v>
      </c>
      <c r="AL8" s="54">
        <f t="shared" si="2"/>
        <v>1</v>
      </c>
      <c r="AM8" s="55">
        <f t="shared" si="3"/>
        <v>3</v>
      </c>
    </row>
    <row r="9" spans="1:39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/>
      <c r="AF9" s="5"/>
      <c r="AG9" s="5"/>
      <c r="AH9" s="5"/>
      <c r="AI9" s="78"/>
      <c r="AJ9" s="153">
        <f t="shared" si="0"/>
        <v>26</v>
      </c>
      <c r="AK9" s="54">
        <f t="shared" si="1"/>
        <v>26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 t="s">
        <v>58</v>
      </c>
      <c r="F10" s="7" t="s">
        <v>58</v>
      </c>
      <c r="G10" s="5" t="s">
        <v>58</v>
      </c>
      <c r="H10" s="5" t="s">
        <v>57</v>
      </c>
      <c r="I10" s="5">
        <v>1</v>
      </c>
      <c r="J10" s="5">
        <v>1</v>
      </c>
      <c r="K10" s="5" t="s">
        <v>58</v>
      </c>
      <c r="L10" s="5" t="s">
        <v>57</v>
      </c>
      <c r="M10" s="5" t="s">
        <v>57</v>
      </c>
      <c r="N10" s="5" t="s">
        <v>57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 t="s">
        <v>57</v>
      </c>
      <c r="AC10" s="5">
        <v>1</v>
      </c>
      <c r="AD10" s="5">
        <v>1</v>
      </c>
      <c r="AE10" s="5"/>
      <c r="AF10" s="5"/>
      <c r="AG10" s="5"/>
      <c r="AH10" s="5"/>
      <c r="AI10" s="78"/>
      <c r="AJ10" s="153">
        <f t="shared" si="0"/>
        <v>26</v>
      </c>
      <c r="AK10" s="54">
        <f t="shared" si="1"/>
        <v>14</v>
      </c>
      <c r="AL10" s="54">
        <f t="shared" si="2"/>
        <v>4</v>
      </c>
      <c r="AM10" s="55">
        <f t="shared" si="3"/>
        <v>8</v>
      </c>
    </row>
    <row r="11" spans="1:39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>
        <v>1</v>
      </c>
      <c r="G11" s="5" t="s">
        <v>57</v>
      </c>
      <c r="H11" s="5">
        <v>1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/>
      <c r="AF11" s="5"/>
      <c r="AG11" s="5"/>
      <c r="AH11" s="5"/>
      <c r="AI11" s="78"/>
      <c r="AJ11" s="153">
        <f t="shared" si="0"/>
        <v>26</v>
      </c>
      <c r="AK11" s="54">
        <f t="shared" si="1"/>
        <v>23</v>
      </c>
      <c r="AL11" s="54">
        <f t="shared" si="2"/>
        <v>0</v>
      </c>
      <c r="AM11" s="55">
        <f t="shared" si="3"/>
        <v>3</v>
      </c>
    </row>
    <row r="12" spans="1:39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58</v>
      </c>
      <c r="M12" s="5" t="s">
        <v>58</v>
      </c>
      <c r="N12" s="5" t="s">
        <v>58</v>
      </c>
      <c r="O12" s="5" t="s">
        <v>58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>
        <v>1</v>
      </c>
      <c r="Z12" s="5">
        <v>1</v>
      </c>
      <c r="AA12" s="5" t="s">
        <v>58</v>
      </c>
      <c r="AB12" s="5" t="s">
        <v>58</v>
      </c>
      <c r="AC12" s="5" t="s">
        <v>58</v>
      </c>
      <c r="AD12" s="5" t="s">
        <v>58</v>
      </c>
      <c r="AE12" s="5"/>
      <c r="AF12" s="5"/>
      <c r="AG12" s="5"/>
      <c r="AH12" s="5"/>
      <c r="AI12" s="78"/>
      <c r="AJ12" s="153">
        <f t="shared" si="0"/>
        <v>26</v>
      </c>
      <c r="AK12" s="54">
        <f t="shared" si="1"/>
        <v>17</v>
      </c>
      <c r="AL12" s="54">
        <f t="shared" si="2"/>
        <v>9</v>
      </c>
      <c r="AM12" s="55">
        <f t="shared" si="3"/>
        <v>0</v>
      </c>
    </row>
    <row r="13" spans="1:39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/>
      <c r="AF13" s="5"/>
      <c r="AG13" s="5"/>
      <c r="AH13" s="5"/>
      <c r="AI13" s="78"/>
      <c r="AJ13" s="153">
        <f t="shared" si="0"/>
        <v>26</v>
      </c>
      <c r="AK13" s="54">
        <f t="shared" si="1"/>
        <v>26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 t="s">
        <v>57</v>
      </c>
      <c r="R14" s="5" t="s">
        <v>57</v>
      </c>
      <c r="S14" s="5">
        <v>1</v>
      </c>
      <c r="T14" s="5" t="s">
        <v>57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/>
      <c r="AF14" s="5"/>
      <c r="AG14" s="5"/>
      <c r="AH14" s="5"/>
      <c r="AI14" s="78"/>
      <c r="AJ14" s="153">
        <f t="shared" si="0"/>
        <v>26</v>
      </c>
      <c r="AK14" s="54">
        <f t="shared" si="1"/>
        <v>23</v>
      </c>
      <c r="AL14" s="54">
        <f t="shared" si="2"/>
        <v>0</v>
      </c>
      <c r="AM14" s="55">
        <f t="shared" si="3"/>
        <v>3</v>
      </c>
    </row>
    <row r="15" spans="1:39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 t="s">
        <v>58</v>
      </c>
      <c r="Q15" s="5">
        <v>1</v>
      </c>
      <c r="R15" s="5">
        <v>1</v>
      </c>
      <c r="S15" s="5">
        <v>1</v>
      </c>
      <c r="T15" s="5" t="s">
        <v>57</v>
      </c>
      <c r="U15" s="5" t="s">
        <v>57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/>
      <c r="AF15" s="5"/>
      <c r="AG15" s="5"/>
      <c r="AH15" s="5"/>
      <c r="AI15" s="78"/>
      <c r="AJ15" s="153">
        <f t="shared" si="0"/>
        <v>26</v>
      </c>
      <c r="AK15" s="54">
        <f t="shared" si="1"/>
        <v>23</v>
      </c>
      <c r="AL15" s="54">
        <f t="shared" si="2"/>
        <v>1</v>
      </c>
      <c r="AM15" s="55">
        <f t="shared" si="3"/>
        <v>2</v>
      </c>
    </row>
    <row r="16" spans="1:39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/>
      <c r="AF16" s="5"/>
      <c r="AG16" s="5"/>
      <c r="AH16" s="5"/>
      <c r="AI16" s="78"/>
      <c r="AJ16" s="153">
        <f t="shared" si="0"/>
        <v>26</v>
      </c>
      <c r="AK16" s="54">
        <f t="shared" si="1"/>
        <v>25</v>
      </c>
      <c r="AL16" s="54">
        <f t="shared" si="2"/>
        <v>0</v>
      </c>
      <c r="AM16" s="55">
        <f t="shared" si="3"/>
        <v>1</v>
      </c>
    </row>
    <row r="17" spans="1:39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 t="s">
        <v>57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 t="s">
        <v>57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 t="s">
        <v>57</v>
      </c>
      <c r="AC17" s="5">
        <v>1</v>
      </c>
      <c r="AD17" s="5">
        <v>1</v>
      </c>
      <c r="AE17" s="5"/>
      <c r="AF17" s="5"/>
      <c r="AG17" s="5"/>
      <c r="AH17" s="5"/>
      <c r="AI17" s="78"/>
      <c r="AJ17" s="153">
        <f t="shared" si="0"/>
        <v>26</v>
      </c>
      <c r="AK17" s="54">
        <f t="shared" si="1"/>
        <v>23</v>
      </c>
      <c r="AL17" s="54">
        <f t="shared" si="2"/>
        <v>0</v>
      </c>
      <c r="AM17" s="55">
        <f t="shared" si="3"/>
        <v>3</v>
      </c>
    </row>
    <row r="18" spans="1:39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 t="s">
        <v>57</v>
      </c>
      <c r="G18" s="5" t="s">
        <v>57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 t="s">
        <v>57</v>
      </c>
      <c r="N18" s="5" t="s">
        <v>57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/>
      <c r="AF18" s="5"/>
      <c r="AG18" s="5"/>
      <c r="AH18" s="5"/>
      <c r="AI18" s="78"/>
      <c r="AJ18" s="153">
        <f t="shared" si="0"/>
        <v>26</v>
      </c>
      <c r="AK18" s="54">
        <f t="shared" si="1"/>
        <v>22</v>
      </c>
      <c r="AL18" s="54">
        <f t="shared" si="2"/>
        <v>0</v>
      </c>
      <c r="AM18" s="55">
        <f t="shared" si="3"/>
        <v>4</v>
      </c>
    </row>
    <row r="19" spans="1:39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/>
      <c r="AF19" s="5"/>
      <c r="AG19" s="5"/>
      <c r="AH19" s="5"/>
      <c r="AI19" s="78"/>
      <c r="AJ19" s="153">
        <f t="shared" si="0"/>
        <v>26</v>
      </c>
      <c r="AK19" s="54">
        <f t="shared" si="1"/>
        <v>25</v>
      </c>
      <c r="AL19" s="54">
        <f t="shared" si="2"/>
        <v>0</v>
      </c>
      <c r="AM19" s="55">
        <f t="shared" si="3"/>
        <v>1</v>
      </c>
    </row>
    <row r="20" spans="1:39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 t="s">
        <v>57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 t="s">
        <v>57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/>
      <c r="AF20" s="5"/>
      <c r="AG20" s="5"/>
      <c r="AH20" s="5"/>
      <c r="AI20" s="78"/>
      <c r="AJ20" s="153">
        <f t="shared" si="0"/>
        <v>26</v>
      </c>
      <c r="AK20" s="54">
        <f t="shared" si="1"/>
        <v>19</v>
      </c>
      <c r="AL20" s="54">
        <f t="shared" si="2"/>
        <v>0</v>
      </c>
      <c r="AM20" s="55">
        <f t="shared" si="3"/>
        <v>7</v>
      </c>
    </row>
    <row r="21" spans="1:39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>
        <v>1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/>
      <c r="AF21" s="5"/>
      <c r="AG21" s="5"/>
      <c r="AH21" s="5"/>
      <c r="AI21" s="78"/>
      <c r="AJ21" s="153">
        <f t="shared" si="0"/>
        <v>26</v>
      </c>
      <c r="AK21" s="54">
        <f t="shared" si="1"/>
        <v>1</v>
      </c>
      <c r="AL21" s="54">
        <f t="shared" si="2"/>
        <v>25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 t="s">
        <v>57</v>
      </c>
      <c r="W22" s="5" t="s">
        <v>58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/>
      <c r="AF22" s="5"/>
      <c r="AG22" s="5"/>
      <c r="AH22" s="5"/>
      <c r="AI22" s="78"/>
      <c r="AJ22" s="153">
        <f t="shared" si="0"/>
        <v>26</v>
      </c>
      <c r="AK22" s="54">
        <f t="shared" si="1"/>
        <v>23</v>
      </c>
      <c r="AL22" s="54">
        <f t="shared" si="2"/>
        <v>1</v>
      </c>
      <c r="AM22" s="55">
        <f t="shared" si="3"/>
        <v>2</v>
      </c>
    </row>
    <row r="23" spans="1:39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 t="s">
        <v>57</v>
      </c>
      <c r="G23" s="97" t="s">
        <v>57</v>
      </c>
      <c r="H23" s="97">
        <v>1</v>
      </c>
      <c r="I23" s="97">
        <v>1</v>
      </c>
      <c r="J23" s="97">
        <v>1</v>
      </c>
      <c r="K23" s="97">
        <v>1</v>
      </c>
      <c r="L23" s="97" t="s">
        <v>57</v>
      </c>
      <c r="M23" s="97">
        <v>1</v>
      </c>
      <c r="N23" s="97" t="s">
        <v>58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 t="s">
        <v>57</v>
      </c>
      <c r="V23" s="97">
        <v>1</v>
      </c>
      <c r="W23" s="97">
        <v>1</v>
      </c>
      <c r="X23" s="97">
        <v>1</v>
      </c>
      <c r="Y23" s="97">
        <v>1</v>
      </c>
      <c r="Z23" s="97">
        <v>1</v>
      </c>
      <c r="AA23" s="97">
        <v>1</v>
      </c>
      <c r="AB23" s="97">
        <v>1</v>
      </c>
      <c r="AC23" s="97">
        <v>1</v>
      </c>
      <c r="AD23" s="97">
        <v>1</v>
      </c>
      <c r="AE23" s="97"/>
      <c r="AF23" s="97"/>
      <c r="AG23" s="97"/>
      <c r="AH23" s="97"/>
      <c r="AI23" s="102"/>
      <c r="AJ23" s="154">
        <f t="shared" si="0"/>
        <v>26</v>
      </c>
      <c r="AK23" s="84">
        <f t="shared" si="1"/>
        <v>21</v>
      </c>
      <c r="AL23" s="84">
        <f t="shared" si="2"/>
        <v>1</v>
      </c>
      <c r="AM23" s="85">
        <f t="shared" si="3"/>
        <v>4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468</v>
      </c>
      <c r="AK24" s="141">
        <f>SUM(AK6:AK23)</f>
        <v>344</v>
      </c>
      <c r="AL24" s="141">
        <f>SUM(AL6:AL23)</f>
        <v>83</v>
      </c>
      <c r="AM24" s="142">
        <f>SUM(AM6:AM23)</f>
        <v>41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 t="s">
        <v>57</v>
      </c>
      <c r="G25" s="35" t="s">
        <v>57</v>
      </c>
      <c r="H25" s="35">
        <v>1</v>
      </c>
      <c r="I25" s="35" t="s">
        <v>58</v>
      </c>
      <c r="J25" s="35" t="s">
        <v>58</v>
      </c>
      <c r="K25" s="35" t="s">
        <v>58</v>
      </c>
      <c r="L25" s="35" t="s">
        <v>58</v>
      </c>
      <c r="M25" s="35">
        <v>1</v>
      </c>
      <c r="N25" s="35" t="s">
        <v>58</v>
      </c>
      <c r="O25" s="35" t="s">
        <v>58</v>
      </c>
      <c r="P25" s="35" t="s">
        <v>58</v>
      </c>
      <c r="Q25" s="35">
        <v>1</v>
      </c>
      <c r="R25" s="35">
        <v>1</v>
      </c>
      <c r="S25" s="35" t="s">
        <v>58</v>
      </c>
      <c r="T25" s="35">
        <v>1</v>
      </c>
      <c r="U25" s="35">
        <v>1</v>
      </c>
      <c r="V25" s="35">
        <v>1</v>
      </c>
      <c r="W25" s="35" t="s">
        <v>57</v>
      </c>
      <c r="X25" s="35" t="s">
        <v>57</v>
      </c>
      <c r="Y25" s="35">
        <v>1</v>
      </c>
      <c r="Z25" s="35">
        <v>1</v>
      </c>
      <c r="AA25" s="35">
        <v>1</v>
      </c>
      <c r="AB25" s="35">
        <v>1</v>
      </c>
      <c r="AC25" s="35">
        <v>1</v>
      </c>
      <c r="AD25" s="35">
        <v>1</v>
      </c>
      <c r="AE25" s="35"/>
      <c r="AF25" s="35"/>
      <c r="AG25" s="35"/>
      <c r="AH25" s="35"/>
      <c r="AI25" s="125"/>
      <c r="AJ25" s="152">
        <f t="shared" ref="AJ25:AJ31" si="5">COUNTA(E25:AI25)</f>
        <v>26</v>
      </c>
      <c r="AK25" s="80">
        <f t="shared" ref="AK25:AK31" si="6">COUNTIF(E25:AI25,1)</f>
        <v>14</v>
      </c>
      <c r="AL25" s="80">
        <f t="shared" ref="AL25:AL31" si="7">COUNTIF(E25:AI25,"тр")</f>
        <v>8</v>
      </c>
      <c r="AM25" s="81">
        <f t="shared" ref="AM25:AM31" si="8">COUNTIF(E25:AI25,"бв")</f>
        <v>4</v>
      </c>
    </row>
    <row r="26" spans="1:39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 t="s">
        <v>57</v>
      </c>
      <c r="I26" s="5">
        <v>1</v>
      </c>
      <c r="J26" s="5">
        <v>1</v>
      </c>
      <c r="K26" s="5">
        <v>1</v>
      </c>
      <c r="L26" s="5" t="s">
        <v>57</v>
      </c>
      <c r="M26" s="5" t="s">
        <v>57</v>
      </c>
      <c r="N26" s="5" t="s">
        <v>57</v>
      </c>
      <c r="O26" s="5" t="s">
        <v>57</v>
      </c>
      <c r="P26" s="5" t="s">
        <v>57</v>
      </c>
      <c r="Q26" s="5" t="s">
        <v>58</v>
      </c>
      <c r="R26" s="5">
        <v>1</v>
      </c>
      <c r="S26" s="5">
        <v>1</v>
      </c>
      <c r="T26" s="5">
        <v>1</v>
      </c>
      <c r="U26" s="5">
        <v>1</v>
      </c>
      <c r="V26" s="5">
        <v>1</v>
      </c>
      <c r="W26" s="5" t="s">
        <v>57</v>
      </c>
      <c r="X26" s="5" t="s">
        <v>57</v>
      </c>
      <c r="Y26" s="5">
        <v>1</v>
      </c>
      <c r="Z26" s="5">
        <v>1</v>
      </c>
      <c r="AA26" s="5">
        <v>1</v>
      </c>
      <c r="AB26" s="5">
        <v>1</v>
      </c>
      <c r="AC26" s="5">
        <v>1</v>
      </c>
      <c r="AD26" s="5">
        <v>1</v>
      </c>
      <c r="AE26" s="5"/>
      <c r="AF26" s="5"/>
      <c r="AG26" s="5"/>
      <c r="AH26" s="5"/>
      <c r="AI26" s="78"/>
      <c r="AJ26" s="153">
        <f t="shared" si="5"/>
        <v>26</v>
      </c>
      <c r="AK26" s="54">
        <f t="shared" si="6"/>
        <v>17</v>
      </c>
      <c r="AL26" s="54">
        <f t="shared" si="7"/>
        <v>1</v>
      </c>
      <c r="AM26" s="55">
        <f t="shared" si="8"/>
        <v>8</v>
      </c>
    </row>
    <row r="27" spans="1:39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 t="s">
        <v>57</v>
      </c>
      <c r="H27" s="5" t="s">
        <v>57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 t="s">
        <v>57</v>
      </c>
      <c r="U27" s="5" t="s">
        <v>57</v>
      </c>
      <c r="V27" s="5" t="s">
        <v>58</v>
      </c>
      <c r="W27" s="5" t="s">
        <v>58</v>
      </c>
      <c r="X27" s="5">
        <v>1</v>
      </c>
      <c r="Y27" s="5">
        <v>1</v>
      </c>
      <c r="Z27" s="5">
        <v>1</v>
      </c>
      <c r="AA27" s="5">
        <v>1</v>
      </c>
      <c r="AB27" s="5" t="s">
        <v>57</v>
      </c>
      <c r="AC27" s="5" t="s">
        <v>57</v>
      </c>
      <c r="AD27" s="5">
        <v>1</v>
      </c>
      <c r="AE27" s="5"/>
      <c r="AF27" s="5"/>
      <c r="AG27" s="5"/>
      <c r="AH27" s="5"/>
      <c r="AI27" s="78"/>
      <c r="AJ27" s="153">
        <f t="shared" si="5"/>
        <v>26</v>
      </c>
      <c r="AK27" s="54">
        <f t="shared" si="6"/>
        <v>18</v>
      </c>
      <c r="AL27" s="54">
        <f t="shared" si="7"/>
        <v>2</v>
      </c>
      <c r="AM27" s="55">
        <f t="shared" si="8"/>
        <v>6</v>
      </c>
    </row>
    <row r="28" spans="1:39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/>
      <c r="AF28" s="5"/>
      <c r="AG28" s="5"/>
      <c r="AH28" s="5"/>
      <c r="AI28" s="78"/>
      <c r="AJ28" s="153">
        <f t="shared" si="5"/>
        <v>26</v>
      </c>
      <c r="AK28" s="54">
        <f t="shared" si="6"/>
        <v>0</v>
      </c>
      <c r="AL28" s="54">
        <f t="shared" si="7"/>
        <v>26</v>
      </c>
      <c r="AM28" s="55">
        <f t="shared" si="8"/>
        <v>0</v>
      </c>
    </row>
    <row r="29" spans="1:39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 t="s">
        <v>58</v>
      </c>
      <c r="F29" s="7">
        <v>1</v>
      </c>
      <c r="G29" s="5">
        <v>1</v>
      </c>
      <c r="H29" s="5">
        <v>1</v>
      </c>
      <c r="I29" s="5">
        <v>1</v>
      </c>
      <c r="J29" s="5" t="s">
        <v>57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57</v>
      </c>
      <c r="Z29" s="5" t="s">
        <v>57</v>
      </c>
      <c r="AA29" s="5">
        <v>1</v>
      </c>
      <c r="AB29" s="5">
        <v>1</v>
      </c>
      <c r="AC29" s="5">
        <v>1</v>
      </c>
      <c r="AD29" s="5" t="s">
        <v>57</v>
      </c>
      <c r="AE29" s="5"/>
      <c r="AF29" s="5"/>
      <c r="AG29" s="5"/>
      <c r="AH29" s="5"/>
      <c r="AI29" s="78"/>
      <c r="AJ29" s="153">
        <f t="shared" si="5"/>
        <v>26</v>
      </c>
      <c r="AK29" s="54">
        <f t="shared" si="6"/>
        <v>21</v>
      </c>
      <c r="AL29" s="54">
        <f t="shared" si="7"/>
        <v>1</v>
      </c>
      <c r="AM29" s="55">
        <f t="shared" si="8"/>
        <v>4</v>
      </c>
    </row>
    <row r="30" spans="1:39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>
        <v>1</v>
      </c>
      <c r="H30" s="5" t="s">
        <v>57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 t="s">
        <v>58</v>
      </c>
      <c r="AD30" s="5">
        <v>1</v>
      </c>
      <c r="AE30" s="5"/>
      <c r="AF30" s="5"/>
      <c r="AG30" s="5"/>
      <c r="AH30" s="5"/>
      <c r="AI30" s="78"/>
      <c r="AJ30" s="153">
        <f t="shared" si="5"/>
        <v>26</v>
      </c>
      <c r="AK30" s="54">
        <f t="shared" si="6"/>
        <v>22</v>
      </c>
      <c r="AL30" s="54">
        <f t="shared" si="7"/>
        <v>1</v>
      </c>
      <c r="AM30" s="55">
        <f t="shared" si="8"/>
        <v>3</v>
      </c>
    </row>
    <row r="31" spans="1:39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 t="s">
        <v>58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57</v>
      </c>
      <c r="N31" s="42">
        <v>1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 t="s">
        <v>58</v>
      </c>
      <c r="W31" s="42" t="s">
        <v>58</v>
      </c>
      <c r="X31" s="42">
        <v>1</v>
      </c>
      <c r="Y31" s="42">
        <v>1</v>
      </c>
      <c r="Z31" s="42">
        <v>1</v>
      </c>
      <c r="AA31" s="42">
        <v>1</v>
      </c>
      <c r="AB31" s="42" t="s">
        <v>57</v>
      </c>
      <c r="AC31" s="42" t="s">
        <v>57</v>
      </c>
      <c r="AD31" s="42">
        <v>1</v>
      </c>
      <c r="AE31" s="42"/>
      <c r="AF31" s="42"/>
      <c r="AG31" s="42"/>
      <c r="AH31" s="42"/>
      <c r="AI31" s="126"/>
      <c r="AJ31" s="154">
        <f t="shared" si="5"/>
        <v>26</v>
      </c>
      <c r="AK31" s="84">
        <f t="shared" si="6"/>
        <v>20</v>
      </c>
      <c r="AL31" s="84">
        <f t="shared" si="7"/>
        <v>3</v>
      </c>
      <c r="AM31" s="85">
        <f t="shared" si="8"/>
        <v>3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182</v>
      </c>
      <c r="AK32" s="135">
        <f>SUM(AK25:AK31)</f>
        <v>112</v>
      </c>
      <c r="AL32" s="135">
        <f>SUM(AL25:AL31)</f>
        <v>42</v>
      </c>
      <c r="AM32" s="136">
        <f>SUM(AM25:AM31)</f>
        <v>28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 t="s">
        <v>57</v>
      </c>
      <c r="N33" s="35" t="s">
        <v>57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 t="s">
        <v>57</v>
      </c>
      <c r="AB33" s="35" t="s">
        <v>57</v>
      </c>
      <c r="AC33" s="35">
        <v>1</v>
      </c>
      <c r="AD33" s="35">
        <v>1</v>
      </c>
      <c r="AE33" s="35"/>
      <c r="AF33" s="35"/>
      <c r="AG33" s="35"/>
      <c r="AH33" s="35"/>
      <c r="AI33" s="35"/>
      <c r="AJ33" s="155">
        <f>COUNTA(E33:AI33)</f>
        <v>26</v>
      </c>
      <c r="AK33" s="17">
        <f>COUNTIF(E33:AI33,1)</f>
        <v>22</v>
      </c>
      <c r="AL33" s="17">
        <f>COUNTIF(E33:AI33,"тр")</f>
        <v>0</v>
      </c>
      <c r="AM33" s="18">
        <f>COUNTIF(E33:AI33,"бв")</f>
        <v>4</v>
      </c>
    </row>
    <row r="34" spans="1:39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 t="s">
        <v>57</v>
      </c>
      <c r="J34" s="5">
        <v>1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 t="s">
        <v>58</v>
      </c>
      <c r="S34" s="5" t="s">
        <v>58</v>
      </c>
      <c r="T34" s="5" t="s">
        <v>58</v>
      </c>
      <c r="U34" s="5" t="s">
        <v>58</v>
      </c>
      <c r="V34" s="5" t="s">
        <v>58</v>
      </c>
      <c r="W34" s="5">
        <v>1</v>
      </c>
      <c r="X34" s="5" t="s">
        <v>58</v>
      </c>
      <c r="Y34" s="5" t="s">
        <v>58</v>
      </c>
      <c r="Z34" s="5" t="s">
        <v>58</v>
      </c>
      <c r="AA34" s="5" t="s">
        <v>58</v>
      </c>
      <c r="AB34" s="5" t="s">
        <v>58</v>
      </c>
      <c r="AC34" s="5" t="s">
        <v>58</v>
      </c>
      <c r="AD34" s="5" t="s">
        <v>58</v>
      </c>
      <c r="AE34" s="5"/>
      <c r="AF34" s="5"/>
      <c r="AG34" s="5"/>
      <c r="AH34" s="5"/>
      <c r="AI34" s="5"/>
      <c r="AJ34" s="155">
        <f>COUNTA(E34:AI34)</f>
        <v>26</v>
      </c>
      <c r="AK34" s="54">
        <f>COUNTIF(E34:AI34,1)</f>
        <v>13</v>
      </c>
      <c r="AL34" s="54">
        <f>COUNTIF(E34:AI34,"тр")</f>
        <v>12</v>
      </c>
      <c r="AM34" s="55">
        <f>COUNTIF(E34:AI34,"бв")</f>
        <v>1</v>
      </c>
    </row>
    <row r="35" spans="1:39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83</v>
      </c>
      <c r="AK36" s="69">
        <f>SUM(AK33:AK35)</f>
        <v>35</v>
      </c>
      <c r="AL36" s="69">
        <f>SUM(AL33:AL35)</f>
        <v>43</v>
      </c>
      <c r="AM36" s="75">
        <f>SUM(AM33:AM35)</f>
        <v>5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/>
      <c r="AF39" s="35"/>
      <c r="AG39" s="35"/>
      <c r="AH39" s="35"/>
      <c r="AI39" s="35"/>
      <c r="AJ39" s="155">
        <f>COUNTA(E39:AI39)</f>
        <v>26</v>
      </c>
      <c r="AK39" s="17">
        <f>COUNTIF(E39:AI39,1)</f>
        <v>0</v>
      </c>
      <c r="AL39" s="17">
        <f>COUNTIF(E39:AI39,"тр")</f>
        <v>26</v>
      </c>
      <c r="AM39" s="18">
        <f>COUNTIF(E39:AI39,"бв")</f>
        <v>0</v>
      </c>
    </row>
    <row r="40" spans="1:39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 t="s">
        <v>58</v>
      </c>
      <c r="F40" s="7">
        <v>1</v>
      </c>
      <c r="G40" s="7">
        <v>1</v>
      </c>
      <c r="H40" s="5">
        <v>1</v>
      </c>
      <c r="I40" s="5">
        <v>1</v>
      </c>
      <c r="J40" s="5">
        <v>1</v>
      </c>
      <c r="K40" s="5">
        <v>1</v>
      </c>
      <c r="L40" s="5" t="s">
        <v>58</v>
      </c>
      <c r="M40" s="5" t="s">
        <v>58</v>
      </c>
      <c r="N40" s="5" t="s">
        <v>58</v>
      </c>
      <c r="O40" s="5" t="s">
        <v>58</v>
      </c>
      <c r="P40" s="5" t="s">
        <v>58</v>
      </c>
      <c r="Q40" s="5">
        <v>1</v>
      </c>
      <c r="R40" s="5" t="s">
        <v>58</v>
      </c>
      <c r="S40" s="5" t="s">
        <v>58</v>
      </c>
      <c r="T40" s="5">
        <v>1</v>
      </c>
      <c r="U40" s="5" t="s">
        <v>57</v>
      </c>
      <c r="V40" s="5">
        <v>1</v>
      </c>
      <c r="W40" s="5">
        <v>1</v>
      </c>
      <c r="X40" s="5">
        <v>1</v>
      </c>
      <c r="Y40" s="5" t="s">
        <v>57</v>
      </c>
      <c r="Z40" s="5">
        <v>1</v>
      </c>
      <c r="AA40" s="5">
        <v>1</v>
      </c>
      <c r="AB40" s="5" t="s">
        <v>57</v>
      </c>
      <c r="AC40" s="5">
        <v>1</v>
      </c>
      <c r="AD40" s="5">
        <v>1</v>
      </c>
      <c r="AE40" s="5"/>
      <c r="AF40" s="5"/>
      <c r="AG40" s="5"/>
      <c r="AH40" s="5"/>
      <c r="AI40" s="5"/>
      <c r="AJ40" s="155">
        <f>COUNTA(E40:AI40)</f>
        <v>26</v>
      </c>
      <c r="AK40" s="54">
        <f>COUNTIF(E40:AI40,1)</f>
        <v>15</v>
      </c>
      <c r="AL40" s="54">
        <f>COUNTIF(E40:AI40,"тр")</f>
        <v>8</v>
      </c>
      <c r="AM40" s="55">
        <f>COUNTIF(E40:AI40,"бв")</f>
        <v>3</v>
      </c>
    </row>
    <row r="41" spans="1:39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 t="s">
        <v>58</v>
      </c>
      <c r="F41" s="43" t="s">
        <v>58</v>
      </c>
      <c r="G41" s="43" t="s">
        <v>58</v>
      </c>
      <c r="H41" s="42">
        <v>1</v>
      </c>
      <c r="I41" s="42" t="s">
        <v>58</v>
      </c>
      <c r="J41" s="42" t="s">
        <v>58</v>
      </c>
      <c r="K41" s="42">
        <v>1</v>
      </c>
      <c r="L41" s="42">
        <v>1</v>
      </c>
      <c r="M41" s="42" t="s">
        <v>57</v>
      </c>
      <c r="N41" s="42" t="s">
        <v>57</v>
      </c>
      <c r="O41" s="42" t="s">
        <v>57</v>
      </c>
      <c r="P41" s="42" t="s">
        <v>58</v>
      </c>
      <c r="Q41" s="42" t="s">
        <v>58</v>
      </c>
      <c r="R41" s="42" t="s">
        <v>58</v>
      </c>
      <c r="S41" s="42" t="s">
        <v>58</v>
      </c>
      <c r="T41" s="42" t="s">
        <v>58</v>
      </c>
      <c r="U41" s="42" t="s">
        <v>58</v>
      </c>
      <c r="V41" s="42" t="s">
        <v>58</v>
      </c>
      <c r="W41" s="42" t="s">
        <v>58</v>
      </c>
      <c r="X41" s="42" t="s">
        <v>58</v>
      </c>
      <c r="Y41" s="42" t="s">
        <v>58</v>
      </c>
      <c r="Z41" s="42" t="s">
        <v>58</v>
      </c>
      <c r="AA41" s="42" t="s">
        <v>58</v>
      </c>
      <c r="AB41" s="42" t="s">
        <v>58</v>
      </c>
      <c r="AC41" s="42" t="s">
        <v>58</v>
      </c>
      <c r="AD41" s="42" t="s">
        <v>58</v>
      </c>
      <c r="AE41" s="42"/>
      <c r="AF41" s="42"/>
      <c r="AG41" s="42"/>
      <c r="AH41" s="42"/>
      <c r="AI41" s="42"/>
      <c r="AJ41" s="155">
        <f>COUNTA(E41:AI41)</f>
        <v>26</v>
      </c>
      <c r="AK41" s="56">
        <f>COUNTIF(E41:AI41,1)</f>
        <v>3</v>
      </c>
      <c r="AL41" s="56">
        <f>COUNTIF(E41:AI41,"тр")</f>
        <v>20</v>
      </c>
      <c r="AM41" s="57">
        <f>COUNTIF(E41:AI41,"бв")</f>
        <v>3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78</v>
      </c>
      <c r="AK42" s="69">
        <f>SUM(AK39:AK41)</f>
        <v>18</v>
      </c>
      <c r="AL42" s="69">
        <f>SUM(AL39:AL41)</f>
        <v>54</v>
      </c>
      <c r="AM42" s="75">
        <f>SUM(AM39:AM41)</f>
        <v>6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/>
      <c r="AF43" s="35"/>
      <c r="AG43" s="35"/>
      <c r="AH43" s="35"/>
      <c r="AI43" s="35"/>
      <c r="AJ43" s="155">
        <f t="shared" ref="AJ43:AJ49" si="9">COUNTA(E43:AI43)</f>
        <v>26</v>
      </c>
      <c r="AK43" s="17">
        <f t="shared" ref="AK43:AK49" si="10">COUNTIF(E43:AI43,1)</f>
        <v>26</v>
      </c>
      <c r="AL43" s="17">
        <f t="shared" ref="AL43:AL49" si="11">COUNTIF(E43:AI43,"тр")</f>
        <v>0</v>
      </c>
      <c r="AM43" s="18">
        <f t="shared" ref="AM43:AM49" si="12">COUNTIF(E43:AI43,"бв")</f>
        <v>0</v>
      </c>
    </row>
    <row r="44" spans="1:39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 t="s">
        <v>58</v>
      </c>
      <c r="F44" s="5" t="s">
        <v>58</v>
      </c>
      <c r="G44" s="5" t="s">
        <v>58</v>
      </c>
      <c r="H44" s="5" t="s">
        <v>58</v>
      </c>
      <c r="I44" s="5" t="s">
        <v>58</v>
      </c>
      <c r="J44" s="5">
        <v>1</v>
      </c>
      <c r="K44" s="5" t="s">
        <v>58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>
        <v>1</v>
      </c>
      <c r="AD44" s="5">
        <v>1</v>
      </c>
      <c r="AE44" s="5"/>
      <c r="AF44" s="5"/>
      <c r="AG44" s="5"/>
      <c r="AH44" s="5"/>
      <c r="AI44" s="5"/>
      <c r="AJ44" s="155">
        <f t="shared" si="9"/>
        <v>26</v>
      </c>
      <c r="AK44" s="54">
        <f t="shared" si="10"/>
        <v>20</v>
      </c>
      <c r="AL44" s="54">
        <f t="shared" si="11"/>
        <v>6</v>
      </c>
      <c r="AM44" s="55">
        <f t="shared" si="12"/>
        <v>0</v>
      </c>
    </row>
    <row r="45" spans="1:39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/>
      <c r="AF45" s="5"/>
      <c r="AG45" s="5"/>
      <c r="AH45" s="5"/>
      <c r="AI45" s="5"/>
      <c r="AJ45" s="155">
        <f t="shared" si="9"/>
        <v>26</v>
      </c>
      <c r="AK45" s="54">
        <f t="shared" si="10"/>
        <v>26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 t="s">
        <v>57</v>
      </c>
      <c r="G46" s="5" t="s">
        <v>58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 t="s">
        <v>57</v>
      </c>
      <c r="U46" s="5" t="s">
        <v>57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 t="s">
        <v>57</v>
      </c>
      <c r="AB46" s="5">
        <v>1</v>
      </c>
      <c r="AC46" s="5">
        <v>1</v>
      </c>
      <c r="AD46" s="5">
        <v>1</v>
      </c>
      <c r="AE46" s="5"/>
      <c r="AF46" s="5"/>
      <c r="AG46" s="5"/>
      <c r="AH46" s="5"/>
      <c r="AI46" s="5"/>
      <c r="AJ46" s="155">
        <f t="shared" si="9"/>
        <v>26</v>
      </c>
      <c r="AK46" s="54">
        <f t="shared" si="10"/>
        <v>19</v>
      </c>
      <c r="AL46" s="54">
        <f t="shared" si="11"/>
        <v>1</v>
      </c>
      <c r="AM46" s="55">
        <f t="shared" si="12"/>
        <v>6</v>
      </c>
    </row>
    <row r="47" spans="1:39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 t="s">
        <v>58</v>
      </c>
      <c r="F47" s="5" t="s">
        <v>58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/>
      <c r="AF47" s="5"/>
      <c r="AG47" s="5"/>
      <c r="AH47" s="5"/>
      <c r="AI47" s="5"/>
      <c r="AJ47" s="155">
        <f t="shared" si="9"/>
        <v>26</v>
      </c>
      <c r="AK47" s="54">
        <f t="shared" si="10"/>
        <v>23</v>
      </c>
      <c r="AL47" s="54">
        <f t="shared" si="11"/>
        <v>2</v>
      </c>
      <c r="AM47" s="55">
        <f t="shared" si="12"/>
        <v>1</v>
      </c>
    </row>
    <row r="48" spans="1:39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/>
      <c r="AF48" s="5"/>
      <c r="AG48" s="5"/>
      <c r="AH48" s="5"/>
      <c r="AI48" s="5"/>
      <c r="AJ48" s="155">
        <f t="shared" si="9"/>
        <v>26</v>
      </c>
      <c r="AK48" s="54">
        <f t="shared" si="10"/>
        <v>26</v>
      </c>
      <c r="AL48" s="54">
        <f t="shared" si="11"/>
        <v>0</v>
      </c>
      <c r="AM48" s="55">
        <f t="shared" si="12"/>
        <v>0</v>
      </c>
    </row>
    <row r="49" spans="1:39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 t="s">
        <v>58</v>
      </c>
      <c r="F49" s="42" t="s">
        <v>58</v>
      </c>
      <c r="G49" s="42" t="s">
        <v>58</v>
      </c>
      <c r="H49" s="42" t="s">
        <v>58</v>
      </c>
      <c r="I49" s="42" t="s">
        <v>58</v>
      </c>
      <c r="J49" s="42" t="s">
        <v>58</v>
      </c>
      <c r="K49" s="42" t="s">
        <v>58</v>
      </c>
      <c r="L49" s="42" t="s">
        <v>58</v>
      </c>
      <c r="M49" s="42" t="s">
        <v>58</v>
      </c>
      <c r="N49" s="42" t="s">
        <v>58</v>
      </c>
      <c r="O49" s="42" t="s">
        <v>58</v>
      </c>
      <c r="P49" s="42" t="s">
        <v>58</v>
      </c>
      <c r="Q49" s="42" t="s">
        <v>58</v>
      </c>
      <c r="R49" s="42" t="s">
        <v>58</v>
      </c>
      <c r="S49" s="42" t="s">
        <v>58</v>
      </c>
      <c r="T49" s="42" t="s">
        <v>58</v>
      </c>
      <c r="U49" s="42" t="s">
        <v>58</v>
      </c>
      <c r="V49" s="42" t="s">
        <v>58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/>
      <c r="AF49" s="42"/>
      <c r="AG49" s="42"/>
      <c r="AH49" s="42"/>
      <c r="AI49" s="42"/>
      <c r="AJ49" s="155">
        <f t="shared" si="9"/>
        <v>26</v>
      </c>
      <c r="AK49" s="56">
        <f t="shared" si="10"/>
        <v>8</v>
      </c>
      <c r="AL49" s="56">
        <f t="shared" si="11"/>
        <v>18</v>
      </c>
      <c r="AM49" s="57">
        <f t="shared" si="12"/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182</v>
      </c>
      <c r="AK50" s="69">
        <f>SUM(AK43:AK49)</f>
        <v>148</v>
      </c>
      <c r="AL50" s="69">
        <f>SUM(AL43:AL49)</f>
        <v>27</v>
      </c>
      <c r="AM50" s="75">
        <f>SUM(AM43:AM49)</f>
        <v>7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>
        <v>1</v>
      </c>
      <c r="F51" s="42">
        <v>1</v>
      </c>
      <c r="G51" s="42" t="s">
        <v>57</v>
      </c>
      <c r="H51" s="42">
        <v>1</v>
      </c>
      <c r="I51" s="42">
        <v>1</v>
      </c>
      <c r="J51" s="42" t="s">
        <v>58</v>
      </c>
      <c r="K51" s="42">
        <v>1</v>
      </c>
      <c r="L51" s="42" t="s">
        <v>57</v>
      </c>
      <c r="M51" s="42" t="s">
        <v>57</v>
      </c>
      <c r="N51" s="42" t="s">
        <v>57</v>
      </c>
      <c r="O51" s="42">
        <v>1</v>
      </c>
      <c r="P51" s="42">
        <v>1</v>
      </c>
      <c r="Q51" s="42">
        <v>1</v>
      </c>
      <c r="R51" s="42" t="s">
        <v>57</v>
      </c>
      <c r="S51" s="42">
        <v>1</v>
      </c>
      <c r="T51" s="42">
        <v>1</v>
      </c>
      <c r="U51" s="42" t="s">
        <v>58</v>
      </c>
      <c r="V51" s="42" t="s">
        <v>58</v>
      </c>
      <c r="W51" s="42" t="s">
        <v>58</v>
      </c>
      <c r="X51" s="42" t="s">
        <v>58</v>
      </c>
      <c r="Y51" s="42" t="s">
        <v>58</v>
      </c>
      <c r="Z51" s="42" t="s">
        <v>58</v>
      </c>
      <c r="AA51" s="42" t="s">
        <v>58</v>
      </c>
      <c r="AB51" s="42" t="s">
        <v>58</v>
      </c>
      <c r="AC51" s="42" t="s">
        <v>58</v>
      </c>
      <c r="AD51" s="42">
        <v>1</v>
      </c>
      <c r="AE51" s="42"/>
      <c r="AF51" s="42"/>
      <c r="AG51" s="42"/>
      <c r="AH51" s="42"/>
      <c r="AI51" s="42"/>
      <c r="AJ51" s="155">
        <f>COUNTA(E51:AI51)</f>
        <v>26</v>
      </c>
      <c r="AK51" s="56">
        <f>COUNTIF(E51:AI51,1)</f>
        <v>11</v>
      </c>
      <c r="AL51" s="56">
        <f>COUNTIF(E51:AI51,"тр")</f>
        <v>10</v>
      </c>
      <c r="AM51" s="57">
        <f>COUNTIF(E51:AI51,"бв")</f>
        <v>5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26</v>
      </c>
      <c r="AK52" s="69">
        <f>SUM(AK51:AK51)</f>
        <v>11</v>
      </c>
      <c r="AL52" s="69">
        <f>SUM(AL51:AL51)</f>
        <v>10</v>
      </c>
      <c r="AM52" s="75">
        <f>SUM(AM51:AM51)</f>
        <v>5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 t="s">
        <v>57</v>
      </c>
      <c r="H53" s="92" t="s">
        <v>57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/>
      <c r="AF53" s="92"/>
      <c r="AG53" s="92"/>
      <c r="AH53" s="92"/>
      <c r="AI53" s="101"/>
      <c r="AJ53" s="152">
        <f>COUNTA(E53:AI53)</f>
        <v>26</v>
      </c>
      <c r="AK53" s="80">
        <f>COUNTIF(E53:AI53,1)</f>
        <v>24</v>
      </c>
      <c r="AL53" s="80">
        <f>COUNTIF(E53:AI53,"тр")</f>
        <v>0</v>
      </c>
      <c r="AM53" s="81">
        <f>COUNTIF(E53:AI53,"бв")</f>
        <v>2</v>
      </c>
    </row>
    <row r="54" spans="1:39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 t="s">
        <v>57</v>
      </c>
      <c r="H54" s="42">
        <v>1</v>
      </c>
      <c r="I54" s="42">
        <v>1</v>
      </c>
      <c r="J54" s="42" t="s">
        <v>58</v>
      </c>
      <c r="K54" s="42">
        <v>1</v>
      </c>
      <c r="L54" s="42">
        <v>1</v>
      </c>
      <c r="M54" s="42" t="s">
        <v>57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/>
      <c r="AF54" s="42"/>
      <c r="AG54" s="42"/>
      <c r="AH54" s="42"/>
      <c r="AI54" s="126"/>
      <c r="AJ54" s="155">
        <f>COUNTA(E54:AI54)</f>
        <v>26</v>
      </c>
      <c r="AK54" s="56">
        <f>COUNTIF(E54:AI54,1)</f>
        <v>23</v>
      </c>
      <c r="AL54" s="56">
        <f>COUNTIF(E54:AI54,"тр")</f>
        <v>1</v>
      </c>
      <c r="AM54" s="57">
        <f>COUNTIF(E54:AI54,"бв")</f>
        <v>2</v>
      </c>
    </row>
    <row r="55" spans="1:39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 t="s">
        <v>57</v>
      </c>
      <c r="N55" s="97" t="s">
        <v>57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>
        <v>1</v>
      </c>
      <c r="V55" s="97" t="s">
        <v>57</v>
      </c>
      <c r="W55" s="97" t="s">
        <v>57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>
        <v>1</v>
      </c>
      <c r="AD55" s="97">
        <v>1</v>
      </c>
      <c r="AE55" s="97"/>
      <c r="AF55" s="97"/>
      <c r="AG55" s="97"/>
      <c r="AH55" s="97"/>
      <c r="AI55" s="102"/>
      <c r="AJ55" s="157">
        <f>COUNTA(E55:AI55)</f>
        <v>26</v>
      </c>
      <c r="AK55" s="84">
        <f>COUNTIF(E55:AI55,1)</f>
        <v>22</v>
      </c>
      <c r="AL55" s="84">
        <f>COUNTIF(E55:AI55,"тр")</f>
        <v>0</v>
      </c>
      <c r="AM55" s="85">
        <f>COUNTIF(E55:AI55,"бв")</f>
        <v>4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124"/>
      <c r="AJ56" s="77">
        <f>SUM(AJ53:AJ55)</f>
        <v>78</v>
      </c>
      <c r="AK56" s="69">
        <f>SUM(AK53:AK55)</f>
        <v>69</v>
      </c>
      <c r="AL56" s="69">
        <f>SUM(AL53:AL55)</f>
        <v>1</v>
      </c>
      <c r="AM56" s="75">
        <f>SUM(AM53:AM55)</f>
        <v>8</v>
      </c>
    </row>
    <row r="57" spans="1:39" s="33" customFormat="1" x14ac:dyDescent="0.25">
      <c r="A57" s="14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1159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30">
        <v>31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>
        <v>1</v>
      </c>
      <c r="X61" s="92">
        <v>1</v>
      </c>
      <c r="Y61" s="92">
        <v>1</v>
      </c>
      <c r="Z61" s="92">
        <v>1</v>
      </c>
      <c r="AA61" s="92">
        <v>1</v>
      </c>
      <c r="AB61" s="92">
        <v>1</v>
      </c>
      <c r="AC61" s="92">
        <v>1</v>
      </c>
      <c r="AD61" s="92">
        <v>1</v>
      </c>
      <c r="AE61" s="92"/>
      <c r="AF61" s="92"/>
      <c r="AG61" s="92"/>
      <c r="AH61" s="92"/>
      <c r="AI61" s="101"/>
      <c r="AJ61" s="152">
        <f t="shared" ref="AJ61:AJ63" si="13">COUNTA(E61:AI61)</f>
        <v>26</v>
      </c>
      <c r="AK61" s="80">
        <f>COUNTIF(E61:AI61,1)</f>
        <v>26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 t="s">
        <v>58</v>
      </c>
      <c r="Q62" s="5" t="s">
        <v>58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/>
      <c r="AF62" s="5"/>
      <c r="AG62" s="5"/>
      <c r="AH62" s="5"/>
      <c r="AI62" s="78"/>
      <c r="AJ62" s="153">
        <f t="shared" si="13"/>
        <v>26</v>
      </c>
      <c r="AK62" s="54">
        <f>COUNTIF(E62:AI62,1)</f>
        <v>24</v>
      </c>
      <c r="AL62" s="54">
        <f>COUNTIF(E62:AI62,"тр")</f>
        <v>2</v>
      </c>
      <c r="AM62" s="55">
        <f>COUNTIF(E62:AI62,"бв")</f>
        <v>0</v>
      </c>
    </row>
    <row r="63" spans="1:39" x14ac:dyDescent="0.25">
      <c r="A63" s="11">
        <f t="shared" ref="A63:A64" si="14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 t="s">
        <v>57</v>
      </c>
      <c r="H63" s="5">
        <v>1</v>
      </c>
      <c r="I63" s="5">
        <v>1</v>
      </c>
      <c r="J63" s="5">
        <v>1</v>
      </c>
      <c r="K63" s="5" t="s">
        <v>58</v>
      </c>
      <c r="L63" s="5">
        <v>1</v>
      </c>
      <c r="M63" s="5">
        <v>1</v>
      </c>
      <c r="N63" s="5">
        <v>1</v>
      </c>
      <c r="O63" s="5" t="s">
        <v>57</v>
      </c>
      <c r="P63" s="5">
        <v>1</v>
      </c>
      <c r="Q63" s="5">
        <v>1</v>
      </c>
      <c r="R63" s="5">
        <v>1</v>
      </c>
      <c r="S63" s="5">
        <v>1</v>
      </c>
      <c r="T63" s="5" t="s">
        <v>57</v>
      </c>
      <c r="U63" s="5" t="s">
        <v>57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 t="s">
        <v>57</v>
      </c>
      <c r="AB63" s="5" t="s">
        <v>57</v>
      </c>
      <c r="AC63" s="5">
        <v>1</v>
      </c>
      <c r="AD63" s="5">
        <v>1</v>
      </c>
      <c r="AE63" s="5"/>
      <c r="AF63" s="5"/>
      <c r="AG63" s="5"/>
      <c r="AH63" s="5"/>
      <c r="AI63" s="78"/>
      <c r="AJ63" s="153">
        <f t="shared" si="13"/>
        <v>26</v>
      </c>
      <c r="AK63" s="54">
        <f>COUNTIF(E63:AI63,1)</f>
        <v>19</v>
      </c>
      <c r="AL63" s="54">
        <f>COUNTIF(E63:AI63,"тр")</f>
        <v>1</v>
      </c>
      <c r="AM63" s="55">
        <f>COUNTIF(E63:AI63,"бв")</f>
        <v>6</v>
      </c>
    </row>
    <row r="64" spans="1:39" ht="16.3" thickBot="1" x14ac:dyDescent="0.3">
      <c r="A64" s="107">
        <f t="shared" si="14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02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109</v>
      </c>
      <c r="AK65" s="135">
        <f t="shared" ref="AK65:AM65" si="15">SUM(AK61:AK64)</f>
        <v>69</v>
      </c>
      <c r="AL65" s="135">
        <f t="shared" si="15"/>
        <v>34</v>
      </c>
      <c r="AM65" s="136">
        <f t="shared" si="15"/>
        <v>6</v>
      </c>
    </row>
    <row r="66" spans="1:39" s="33" customFormat="1" x14ac:dyDescent="0.25">
      <c r="A66" s="145"/>
      <c r="B66" s="49"/>
      <c r="C66" s="50"/>
      <c r="D66" s="50"/>
      <c r="Y66" s="51" t="s">
        <v>68</v>
      </c>
      <c r="AJ66" s="76">
        <f>AJ65</f>
        <v>109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25:AJ31 E43:AJ49 E51:AJ51 E53:AJ55 E33:AJ35 E37:AJ37 E39:AJ41 E61:AJ64 E6:AJ23 E4:AI4 AJ4:AJ5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2019-03-26T07:24:01Z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