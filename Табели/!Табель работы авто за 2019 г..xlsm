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K22" i="10" s="1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30" i="10" l="1"/>
  <c r="AK48" i="10"/>
  <c r="AM34" i="10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<sst xmlns="http://schemas.openxmlformats.org/spreadsheetml/2006/main" count="3129" uniqueCount="80">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</sst>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8">
    <dxf>
      <fill>
        <patternFill patternType="solid">
          <fgColor rgb="FFF2F2F2"/>
          <bgColor rgb="FF0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7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6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5" priority="2">
      <formula>LEN(TRIM(E4))=0</formula>
    </cfRule>
  </conditionalFormatting>
  <conditionalFormatting sqref="AJ38:AM38">
    <cfRule type="containsBlanks" dxfId="4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3" priority="2">
      <formula>LEN(TRIM(E4))=0</formula>
    </cfRule>
  </conditionalFormatting>
  <conditionalFormatting sqref="E65:AI65">
    <cfRule type="containsBlanks" dxfId="2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 filterMode="1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56" sqref="U5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hidden="1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idden="1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>
        <v>1</v>
      </c>
      <c r="T4" s="5">
        <v>1</v>
      </c>
      <c r="U4" s="5">
        <v>1</v>
      </c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155">
        <f t="shared" ref="AJ4:AJ21" si="0">COUNTA(E4:AI4)</f>
        <v>17</v>
      </c>
      <c r="AK4" s="17">
        <f t="shared" ref="AK4:AK21" si="1">COUNTIF(E4:AI4,1)</f>
        <v>17</v>
      </c>
      <c r="AL4" s="17">
        <f t="shared" ref="AL4:AL21" si="2">COUNTIF(E4:AI4,"тр")</f>
        <v>0</v>
      </c>
      <c r="AM4" s="18">
        <f t="shared" ref="AM4:AM21" si="3">COUNTIF(E4:AI4,"бв")</f>
        <v>0</v>
      </c>
    </row>
    <row r="5" spans="1:39" hidden="1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153">
        <f t="shared" si="0"/>
        <v>17</v>
      </c>
      <c r="AK5" s="54">
        <f t="shared" si="1"/>
        <v>15</v>
      </c>
      <c r="AL5" s="54">
        <f t="shared" si="2"/>
        <v>0</v>
      </c>
      <c r="AM5" s="55">
        <f t="shared" si="3"/>
        <v>2</v>
      </c>
    </row>
    <row r="6" spans="1:39" hidden="1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53">
        <f t="shared" si="0"/>
        <v>17</v>
      </c>
      <c r="AK6" s="54">
        <f t="shared" si="1"/>
        <v>14</v>
      </c>
      <c r="AL6" s="54">
        <f t="shared" si="2"/>
        <v>3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17</v>
      </c>
      <c r="AK7" s="54">
        <f t="shared" si="1"/>
        <v>9</v>
      </c>
      <c r="AL7" s="54">
        <f t="shared" si="2"/>
        <v>6</v>
      </c>
      <c r="AM7" s="55">
        <f t="shared" si="3"/>
        <v>2</v>
      </c>
    </row>
    <row r="8" spans="1:39" hidden="1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17</v>
      </c>
      <c r="AK8" s="54">
        <f t="shared" si="1"/>
        <v>15</v>
      </c>
      <c r="AL8" s="54">
        <f t="shared" si="2"/>
        <v>0</v>
      </c>
      <c r="AM8" s="55">
        <f t="shared" si="3"/>
        <v>2</v>
      </c>
    </row>
    <row r="9" spans="1:39" hidden="1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17</v>
      </c>
      <c r="AK9" s="54">
        <f t="shared" si="1"/>
        <v>13</v>
      </c>
      <c r="AL9" s="54">
        <f t="shared" si="2"/>
        <v>4</v>
      </c>
      <c r="AM9" s="55">
        <f t="shared" si="3"/>
        <v>0</v>
      </c>
    </row>
    <row r="10" spans="1:39" hidden="1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17</v>
      </c>
      <c r="AK10" s="54">
        <f t="shared" si="1"/>
        <v>8</v>
      </c>
      <c r="AL10" s="54">
        <f t="shared" si="2"/>
        <v>9</v>
      </c>
      <c r="AM10" s="55">
        <f t="shared" si="3"/>
        <v>0</v>
      </c>
    </row>
    <row r="11" spans="1:39" hidden="1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17</v>
      </c>
      <c r="AK11" s="54">
        <f t="shared" si="1"/>
        <v>6</v>
      </c>
      <c r="AL11" s="54">
        <f t="shared" si="2"/>
        <v>11</v>
      </c>
      <c r="AM11" s="55">
        <f t="shared" si="3"/>
        <v>0</v>
      </c>
    </row>
    <row r="12" spans="1:39" hidden="1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17</v>
      </c>
      <c r="AK12" s="54">
        <f t="shared" si="1"/>
        <v>11</v>
      </c>
      <c r="AL12" s="54">
        <f t="shared" si="2"/>
        <v>6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17</v>
      </c>
      <c r="AK13" s="54">
        <f t="shared" si="1"/>
        <v>16</v>
      </c>
      <c r="AL13" s="54">
        <f t="shared" si="2"/>
        <v>1</v>
      </c>
      <c r="AM13" s="55">
        <f t="shared" si="3"/>
        <v>0</v>
      </c>
    </row>
    <row r="14" spans="1:39" hidden="1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17</v>
      </c>
      <c r="AK14" s="54">
        <f t="shared" si="1"/>
        <v>17</v>
      </c>
      <c r="AL14" s="54">
        <f t="shared" si="2"/>
        <v>0</v>
      </c>
      <c r="AM14" s="55">
        <f t="shared" si="3"/>
        <v>0</v>
      </c>
    </row>
    <row r="15" spans="1:39" hidden="1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17</v>
      </c>
      <c r="AK15" s="54">
        <f t="shared" si="1"/>
        <v>17</v>
      </c>
      <c r="AL15" s="54">
        <f t="shared" si="2"/>
        <v>0</v>
      </c>
      <c r="AM15" s="55">
        <f t="shared" si="3"/>
        <v>0</v>
      </c>
    </row>
    <row r="16" spans="1:39" hidden="1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17</v>
      </c>
      <c r="AK16" s="54">
        <f t="shared" si="1"/>
        <v>17</v>
      </c>
      <c r="AL16" s="54">
        <f t="shared" si="2"/>
        <v>0</v>
      </c>
      <c r="AM16" s="55">
        <f t="shared" si="3"/>
        <v>0</v>
      </c>
    </row>
    <row r="17" spans="1:39" hidden="1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17</v>
      </c>
      <c r="AK17" s="54">
        <f t="shared" si="1"/>
        <v>16</v>
      </c>
      <c r="AL17" s="54">
        <f t="shared" si="2"/>
        <v>1</v>
      </c>
      <c r="AM17" s="55">
        <f t="shared" si="3"/>
        <v>0</v>
      </c>
    </row>
    <row r="18" spans="1:39" hidden="1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17</v>
      </c>
      <c r="AK18" s="54">
        <f t="shared" si="1"/>
        <v>13</v>
      </c>
      <c r="AL18" s="54">
        <f t="shared" si="2"/>
        <v>0</v>
      </c>
      <c r="AM18" s="55">
        <f t="shared" si="3"/>
        <v>4</v>
      </c>
    </row>
    <row r="19" spans="1:39" hidden="1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153">
        <f t="shared" si="0"/>
        <v>17</v>
      </c>
      <c r="AK19" s="54">
        <f t="shared" si="1"/>
        <v>4</v>
      </c>
      <c r="AL19" s="54">
        <f t="shared" si="2"/>
        <v>13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17</v>
      </c>
      <c r="AK20" s="54">
        <f t="shared" si="1"/>
        <v>15</v>
      </c>
      <c r="AL20" s="54">
        <f t="shared" si="2"/>
        <v>2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5" t="s">
        <v>58</v>
      </c>
      <c r="T21" s="97" t="s">
        <v>58</v>
      </c>
      <c r="U21" s="97" t="s">
        <v>58</v>
      </c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154">
        <f t="shared" si="0"/>
        <v>17</v>
      </c>
      <c r="AK21" s="84">
        <f t="shared" si="1"/>
        <v>13</v>
      </c>
      <c r="AL21" s="84">
        <f t="shared" si="2"/>
        <v>4</v>
      </c>
      <c r="AM21" s="85">
        <f t="shared" si="3"/>
        <v>0</v>
      </c>
    </row>
    <row r="22" spans="1:39" s="33" customFormat="1" ht="16.3" hidden="1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306</v>
      </c>
      <c r="AK22" s="141">
        <f>SUM(AK4:AK21)</f>
        <v>236</v>
      </c>
      <c r="AL22" s="141">
        <f>SUM(AL4:AL21)</f>
        <v>60</v>
      </c>
      <c r="AM22" s="142">
        <f>SUM(AM4:AM21)</f>
        <v>10</v>
      </c>
    </row>
    <row r="23" spans="1:39" hidden="1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>
        <v>1</v>
      </c>
      <c r="T23" s="35">
        <v>1</v>
      </c>
      <c r="U23" s="35">
        <v>1</v>
      </c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17</v>
      </c>
      <c r="AK23" s="80">
        <f t="shared" ref="AK23:AK29" si="6">COUNTIF(E23:AI23,1)</f>
        <v>6</v>
      </c>
      <c r="AL23" s="80">
        <f t="shared" ref="AL23:AL29" si="7">COUNTIF(E23:AI23,"тр")</f>
        <v>11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 t="s">
        <v>58</v>
      </c>
      <c r="T24" s="5" t="s">
        <v>58</v>
      </c>
      <c r="U24" s="5" t="s">
        <v>58</v>
      </c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3">
        <f t="shared" si="5"/>
        <v>17</v>
      </c>
      <c r="AK24" s="54">
        <f t="shared" si="6"/>
        <v>10</v>
      </c>
      <c r="AL24" s="54">
        <f t="shared" si="7"/>
        <v>6</v>
      </c>
      <c r="AM24" s="55">
        <f t="shared" si="8"/>
        <v>1</v>
      </c>
    </row>
    <row r="25" spans="1:39" hidden="1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153">
        <f t="shared" si="5"/>
        <v>17</v>
      </c>
      <c r="AK25" s="54">
        <f t="shared" si="6"/>
        <v>15</v>
      </c>
      <c r="AL25" s="54">
        <f t="shared" si="7"/>
        <v>1</v>
      </c>
      <c r="AM25" s="55">
        <f t="shared" si="8"/>
        <v>1</v>
      </c>
    </row>
    <row r="26" spans="1:39" hidden="1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hidden="1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17</v>
      </c>
      <c r="AK27" s="54">
        <f t="shared" si="6"/>
        <v>14</v>
      </c>
      <c r="AL27" s="54">
        <f t="shared" si="7"/>
        <v>0</v>
      </c>
      <c r="AM27" s="55">
        <f t="shared" si="8"/>
        <v>3</v>
      </c>
    </row>
    <row r="28" spans="1:39" hidden="1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>
        <v>1</v>
      </c>
      <c r="T28" s="5">
        <v>1</v>
      </c>
      <c r="U28" s="5">
        <v>1</v>
      </c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17</v>
      </c>
      <c r="AK28" s="54">
        <f t="shared" si="6"/>
        <v>5</v>
      </c>
      <c r="AL28" s="54">
        <f t="shared" si="7"/>
        <v>12</v>
      </c>
      <c r="AM28" s="55">
        <f t="shared" si="8"/>
        <v>0</v>
      </c>
    </row>
    <row r="29" spans="1:39" ht="16.3" hidden="1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>
        <v>1</v>
      </c>
      <c r="T29" s="42">
        <v>1</v>
      </c>
      <c r="U29" s="42">
        <v>1</v>
      </c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54">
        <f t="shared" si="5"/>
        <v>17</v>
      </c>
      <c r="AK29" s="84">
        <f t="shared" si="6"/>
        <v>4</v>
      </c>
      <c r="AL29" s="84">
        <f t="shared" si="7"/>
        <v>0</v>
      </c>
      <c r="AM29" s="85">
        <f t="shared" si="8"/>
        <v>13</v>
      </c>
    </row>
    <row r="30" spans="1:39" s="33" customFormat="1" ht="16.3" hidden="1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133</v>
      </c>
      <c r="AK30" s="135">
        <f>SUM(AK23:AK29)</f>
        <v>54</v>
      </c>
      <c r="AL30" s="135">
        <f>SUM(AL23:AL29)</f>
        <v>61</v>
      </c>
      <c r="AM30" s="136">
        <f>SUM(AM23:AM29)</f>
        <v>18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 t="s">
        <v>57</v>
      </c>
      <c r="T31" s="35" t="s">
        <v>57</v>
      </c>
      <c r="U31" s="35" t="s">
        <v>57</v>
      </c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155">
        <f>COUNTA(E31:AI31)</f>
        <v>17</v>
      </c>
      <c r="AK31" s="17">
        <f>COUNTIF(E31:AI31,1)</f>
        <v>8</v>
      </c>
      <c r="AL31" s="17">
        <f>COUNTIF(E31:AI31,"тр")</f>
        <v>0</v>
      </c>
      <c r="AM31" s="18">
        <f>COUNTIF(E31:AI31,"бв")</f>
        <v>9</v>
      </c>
    </row>
    <row r="32" spans="1:39" hidden="1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 t="s">
        <v>57</v>
      </c>
      <c r="T32" s="5">
        <v>1</v>
      </c>
      <c r="U32" s="5">
        <v>1</v>
      </c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155">
        <f>COUNTA(E32:AI32)</f>
        <v>17</v>
      </c>
      <c r="AK32" s="54">
        <f>COUNTIF(E32:AI32,1)</f>
        <v>14</v>
      </c>
      <c r="AL32" s="54">
        <f>COUNTIF(E32:AI32,"тр")</f>
        <v>0</v>
      </c>
      <c r="AM32" s="55">
        <f>COUNTIF(E32:AI32,"бв")</f>
        <v>3</v>
      </c>
    </row>
    <row r="33" spans="1:39" hidden="1" x14ac:dyDescent="0.25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hidden="1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65</v>
      </c>
      <c r="AK34" s="69">
        <f>SUM(AK31:AK33)</f>
        <v>22</v>
      </c>
      <c r="AL34" s="69">
        <f>SUM(AL31:AL33)</f>
        <v>31</v>
      </c>
      <c r="AM34" s="75">
        <f>SUM(AM31:AM33)</f>
        <v>12</v>
      </c>
    </row>
    <row r="35" spans="1:39" hidden="1" x14ac:dyDescent="0.25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hidden="1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hidden="1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 t="s">
        <v>57</v>
      </c>
      <c r="T37" s="35" t="s">
        <v>57</v>
      </c>
      <c r="U37" s="35">
        <v>1</v>
      </c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155">
        <f>COUNTA(E37:AI37)</f>
        <v>17</v>
      </c>
      <c r="AK37" s="17">
        <f>COUNTIF(E37:AI37,1)</f>
        <v>12</v>
      </c>
      <c r="AL37" s="17">
        <f>COUNTIF(E37:AI37,"тр")</f>
        <v>0</v>
      </c>
      <c r="AM37" s="18">
        <f>COUNTIF(E37:AI37,"бв")</f>
        <v>5</v>
      </c>
    </row>
    <row r="38" spans="1:39" hidden="1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 t="s">
        <v>58</v>
      </c>
      <c r="T38" s="5" t="s">
        <v>58</v>
      </c>
      <c r="U38" s="5">
        <v>1</v>
      </c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155">
        <f>COUNTA(E38:AI38)</f>
        <v>17</v>
      </c>
      <c r="AK38" s="54">
        <f>COUNTIF(E38:AI38,1)</f>
        <v>4</v>
      </c>
      <c r="AL38" s="54">
        <f>COUNTIF(E38:AI38,"тр")</f>
        <v>13</v>
      </c>
      <c r="AM38" s="55">
        <f>COUNTIF(E38:AI38,"бв")</f>
        <v>0</v>
      </c>
    </row>
    <row r="39" spans="1:39" hidden="1" x14ac:dyDescent="0.25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>
        <v>1</v>
      </c>
      <c r="T39" s="42">
        <v>1</v>
      </c>
      <c r="U39" s="42">
        <v>1</v>
      </c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155">
        <f>COUNTA(E39:AI39)</f>
        <v>17</v>
      </c>
      <c r="AK39" s="56">
        <f>COUNTIF(E39:AI39,1)</f>
        <v>14</v>
      </c>
      <c r="AL39" s="56">
        <f>COUNTIF(E39:AI39,"тр")</f>
        <v>0</v>
      </c>
      <c r="AM39" s="57">
        <f>COUNTIF(E39:AI39,"бв")</f>
        <v>3</v>
      </c>
    </row>
    <row r="40" spans="1:39" s="33" customFormat="1" ht="16.3" hidden="1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51</v>
      </c>
      <c r="AK40" s="69">
        <f>SUM(AK37:AK39)</f>
        <v>30</v>
      </c>
      <c r="AL40" s="69">
        <f>SUM(AL37:AL39)</f>
        <v>13</v>
      </c>
      <c r="AM40" s="75">
        <f>SUM(AM37:AM39)</f>
        <v>8</v>
      </c>
    </row>
    <row r="41" spans="1:39" hidden="1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>
        <v>1</v>
      </c>
      <c r="T41" s="35">
        <v>1</v>
      </c>
      <c r="U41" s="35">
        <v>1</v>
      </c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17</v>
      </c>
      <c r="AK41" s="17">
        <f t="shared" ref="AK41:AK47" si="10">COUNTIF(E41:AI41,1)</f>
        <v>16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hidden="1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>
        <v>1</v>
      </c>
      <c r="T42" s="5">
        <v>1</v>
      </c>
      <c r="U42" s="5">
        <v>1</v>
      </c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155">
        <f t="shared" si="9"/>
        <v>17</v>
      </c>
      <c r="AK42" s="54">
        <f t="shared" si="10"/>
        <v>15</v>
      </c>
      <c r="AL42" s="54">
        <f t="shared" si="11"/>
        <v>0</v>
      </c>
      <c r="AM42" s="55">
        <f t="shared" si="12"/>
        <v>2</v>
      </c>
    </row>
    <row r="43" spans="1:39" hidden="1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>
        <v>1</v>
      </c>
      <c r="T43" s="5">
        <v>1</v>
      </c>
      <c r="U43" s="5">
        <v>1</v>
      </c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155">
        <f t="shared" si="9"/>
        <v>17</v>
      </c>
      <c r="AK43" s="54">
        <f t="shared" si="10"/>
        <v>16</v>
      </c>
      <c r="AL43" s="54">
        <f t="shared" si="11"/>
        <v>0</v>
      </c>
      <c r="AM43" s="55">
        <f t="shared" si="12"/>
        <v>1</v>
      </c>
    </row>
    <row r="44" spans="1:39" hidden="1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17</v>
      </c>
      <c r="AK44" s="54">
        <f t="shared" si="10"/>
        <v>15</v>
      </c>
      <c r="AL44" s="54">
        <f t="shared" si="11"/>
        <v>0</v>
      </c>
      <c r="AM44" s="55">
        <f t="shared" si="12"/>
        <v>2</v>
      </c>
    </row>
    <row r="45" spans="1:39" hidden="1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17</v>
      </c>
      <c r="AK45" s="54">
        <f t="shared" si="10"/>
        <v>15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 t="s">
        <v>58</v>
      </c>
      <c r="T46" s="5" t="s">
        <v>58</v>
      </c>
      <c r="U46" s="5" t="s">
        <v>58</v>
      </c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17</v>
      </c>
      <c r="AK46" s="54">
        <f t="shared" si="10"/>
        <v>0</v>
      </c>
      <c r="AL46" s="54">
        <f t="shared" si="11"/>
        <v>17</v>
      </c>
      <c r="AM46" s="55">
        <f t="shared" si="12"/>
        <v>0</v>
      </c>
    </row>
    <row r="47" spans="1:39" hidden="1" x14ac:dyDescent="0.25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>
        <v>1</v>
      </c>
      <c r="T47" s="42">
        <v>1</v>
      </c>
      <c r="U47" s="42">
        <v>1</v>
      </c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155">
        <f t="shared" si="9"/>
        <v>17</v>
      </c>
      <c r="AK47" s="56">
        <f t="shared" si="10"/>
        <v>16</v>
      </c>
      <c r="AL47" s="56">
        <f t="shared" si="11"/>
        <v>0</v>
      </c>
      <c r="AM47" s="57">
        <f t="shared" si="12"/>
        <v>1</v>
      </c>
    </row>
    <row r="48" spans="1:39" s="33" customFormat="1" ht="16.3" hidden="1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119</v>
      </c>
      <c r="AK48" s="69">
        <f>SUM(AK41:AK47)</f>
        <v>93</v>
      </c>
      <c r="AL48" s="69">
        <f>SUM(AL41:AL47)</f>
        <v>18</v>
      </c>
      <c r="AM48" s="75">
        <f>SUM(AM41:AM47)</f>
        <v>8</v>
      </c>
    </row>
    <row r="49" spans="1:39" hidden="1" x14ac:dyDescent="0.25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17</v>
      </c>
      <c r="AK49" s="56">
        <f>COUNTIF(E49:AI49,1)</f>
        <v>15</v>
      </c>
      <c r="AL49" s="56">
        <f>COUNTIF(E49:AI49,"тр")</f>
        <v>0</v>
      </c>
      <c r="AM49" s="57">
        <f>COUNTIF(E49:AI49,"бв")</f>
        <v>2</v>
      </c>
    </row>
    <row r="50" spans="1:39" s="33" customFormat="1" ht="16.3" hidden="1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17</v>
      </c>
      <c r="AK50" s="69">
        <f>SUM(AK49:AK49)</f>
        <v>15</v>
      </c>
      <c r="AL50" s="69">
        <f>SUM(AL49:AL49)</f>
        <v>0</v>
      </c>
      <c r="AM50" s="75">
        <f>SUM(AM49:AM49)</f>
        <v>2</v>
      </c>
    </row>
    <row r="51" spans="1:39" hidden="1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5" t="s">
        <v>58</v>
      </c>
      <c r="T51" s="92">
        <v>1</v>
      </c>
      <c r="U51" s="92">
        <v>1</v>
      </c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152">
        <f>COUNTA(E51:AI51)</f>
        <v>17</v>
      </c>
      <c r="AK51" s="80">
        <f>COUNTIF(E51:AI51,1)</f>
        <v>13</v>
      </c>
      <c r="AL51" s="80">
        <f>COUNTIF(E51:AI51,"тр")</f>
        <v>2</v>
      </c>
      <c r="AM51" s="81">
        <f>COUNTIF(E51:AI51,"бв")</f>
        <v>2</v>
      </c>
    </row>
    <row r="52" spans="1:39" hidden="1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17</v>
      </c>
      <c r="AK52" s="56">
        <f>COUNTIF(E52:AI52,1)</f>
        <v>14</v>
      </c>
      <c r="AL52" s="56">
        <f>COUNTIF(E52:AI52,"тр")</f>
        <v>0</v>
      </c>
      <c r="AM52" s="57">
        <f>COUNTIF(E52:AI52,"бв")</f>
        <v>3</v>
      </c>
    </row>
    <row r="53" spans="1:39" ht="16.3" hidden="1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>
        <v>1</v>
      </c>
      <c r="T53" s="97">
        <v>1</v>
      </c>
      <c r="U53" s="97">
        <v>1</v>
      </c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157">
        <f>COUNTA(E53:AI53)</f>
        <v>17</v>
      </c>
      <c r="AK53" s="84">
        <f>COUNTIF(E53:AI53,1)</f>
        <v>14</v>
      </c>
      <c r="AL53" s="84">
        <f>COUNTIF(E53:AI53,"тр")</f>
        <v>1</v>
      </c>
      <c r="AM53" s="85">
        <f>COUNTIF(E53:AI53,"бв")</f>
        <v>2</v>
      </c>
    </row>
    <row r="54" spans="1:39" s="33" customFormat="1" ht="16.3" hidden="1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51</v>
      </c>
      <c r="AK54" s="69">
        <f>SUM(AK51:AK53)</f>
        <v>41</v>
      </c>
      <c r="AL54" s="69">
        <f>SUM(AL51:AL53)</f>
        <v>3</v>
      </c>
      <c r="AM54" s="75">
        <f>SUM(AM51:AM53)</f>
        <v>7</v>
      </c>
    </row>
    <row r="55" spans="1:39" s="33" customFormat="1" hidden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773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125"/>
      <c r="AJ59" s="155">
        <f>COUNTA(E59:AI59)</f>
        <v>17</v>
      </c>
      <c r="AK59" s="17">
        <f>COUNTIF(E59:AI59,1)</f>
        <v>17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>
        <v>1</v>
      </c>
      <c r="U60" s="5">
        <v>1</v>
      </c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78"/>
      <c r="AJ60" s="153">
        <f>COUNTA(E60:AI60)</f>
        <v>17</v>
      </c>
      <c r="AK60" s="54">
        <f>COUNTIF(E60:AI60,1)</f>
        <v>17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>
        <v>1</v>
      </c>
      <c r="T61" s="5">
        <v>1</v>
      </c>
      <c r="U61" s="5">
        <v>1</v>
      </c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78"/>
      <c r="AJ61" s="153">
        <f>COUNTA(E61:AI61)</f>
        <v>17</v>
      </c>
      <c r="AK61" s="54">
        <f>COUNTIF(E61:AI61,1)</f>
        <v>10</v>
      </c>
      <c r="AL61" s="54">
        <f>COUNTIF(E61:AI61,"тр")</f>
        <v>0</v>
      </c>
      <c r="AM61" s="55">
        <f>COUNTIF(E61:AI61,"бв")</f>
        <v>7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 t="s">
        <v>58</v>
      </c>
      <c r="T63" s="42" t="s">
        <v>57</v>
      </c>
      <c r="U63" s="42">
        <v>1</v>
      </c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126"/>
      <c r="AJ63" s="156">
        <f>COUNTA(E63:AI63)</f>
        <v>17</v>
      </c>
      <c r="AK63" s="56">
        <f>COUNTIF(E63:AI63,1)</f>
        <v>7</v>
      </c>
      <c r="AL63" s="56">
        <f>COUNTIF(E63:AI63,"тр")</f>
        <v>7</v>
      </c>
      <c r="AM63" s="57">
        <f>COUNTIF(E63:AI63,"бв")</f>
        <v>3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99</v>
      </c>
      <c r="AK64" s="69">
        <f t="shared" ref="AK64:AM64" si="14">SUM(AK59:AK63)</f>
        <v>51</v>
      </c>
      <c r="AL64" s="69">
        <f t="shared" si="14"/>
        <v>38</v>
      </c>
      <c r="AM64" s="75">
        <f t="shared" si="14"/>
        <v>10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99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>
    <filterColumn colId="16">
      <colorFilter dxfId="0"/>
    </filterColumn>
  </autoFilter>
  <mergeCells count="2">
    <mergeCell ref="A1:AM1"/>
    <mergeCell ref="A57:AM57"/>
  </mergeCells>
  <conditionalFormatting sqref="AJ22:AM22 AJ30:AM30 AJ34:AM34 AJ36:AM36 AJ40:AM40 AJ48:AM48 AJ50:AM50 AJ54:AM54 AJ64:AM64 E49:AJ49 E31:AJ33 E35:AJ35 E59:AJ63 E4:AJ21 E23:AJ29 E37:AJ39 E41:AJ47 E51:AJ53">
    <cfRule type="containsBlanks" dxfId="1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2019-05-20T13:26:14Z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