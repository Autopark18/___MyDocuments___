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3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Данные" sheetId="5" state="hidden" r:id="rId5"/>
  </sheets>
  <functionGroups builtInGroupCount="18"/>
  <definedNames>
    <definedName name="_xlnm._FilterDatabase" localSheetId="3" hidden="1">'Апрель 2019'!$E$2:$AL$57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1" i="8" l="1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L42" i="9" s="1"/>
  <c r="AK39" i="9"/>
  <c r="AK42" i="9" s="1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I36" i="9" s="1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K36" i="9" l="1"/>
  <c r="AI56" i="9"/>
  <c r="AJ42" i="9"/>
  <c r="AJ50" i="9"/>
  <c r="AJ32" i="9"/>
  <c r="AI50" i="9"/>
  <c r="AK56" i="9"/>
  <c r="AI32" i="9"/>
  <c r="AL50" i="9"/>
  <c r="AL32" i="9"/>
  <c r="AK32" i="9"/>
  <c r="AK50" i="9"/>
  <c r="AJ56" i="9"/>
  <c r="AI65" i="9"/>
  <c r="AI66" i="9" s="1"/>
  <c r="AK65" i="9"/>
  <c r="AJ65" i="9"/>
  <c r="AL65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<sst xmlns="http://schemas.openxmlformats.org/spreadsheetml/2006/main" count="2484" uniqueCount="80">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</sst>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66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63" s="165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165"/>
      <c r="AL63" s="165"/>
      <c r="AM63" s="165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4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63" s="165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3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63" s="165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165"/>
      <c r="AL63" s="165"/>
      <c r="AM63" s="165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2" priority="2">
      <formula>LEN(TRIM(E4))=0</formula>
    </cfRule>
  </conditionalFormatting>
  <conditionalFormatting sqref="AJ38:AM38">
    <cfRule type="containsBlanks" dxfId="1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8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P58" sqref="P58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 t="s">
        <v>58</v>
      </c>
      <c r="N4" s="42">
        <v>1</v>
      </c>
      <c r="O4" s="42">
        <v>1</v>
      </c>
      <c r="P4" s="42">
        <v>1</v>
      </c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12</v>
      </c>
      <c r="AJ4" s="56">
        <f>COUNTIF(E4:AH4,1)</f>
        <v>3</v>
      </c>
      <c r="AK4" s="56">
        <f>COUNTIF(E4:AH4,"тр")</f>
        <v>9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12</v>
      </c>
      <c r="AJ5" s="70">
        <f>SUM(AJ4:AJ4)</f>
        <v>3</v>
      </c>
      <c r="AK5" s="70">
        <f>SUM(AK4:AK4)</f>
        <v>9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155">
        <f t="shared" ref="AI6:AI23" si="0">COUNTA(E6:AH6)</f>
        <v>12</v>
      </c>
      <c r="AJ6" s="17">
        <f t="shared" ref="AJ6:AJ23" si="1">COUNTIF(E6:AH6,1)</f>
        <v>10</v>
      </c>
      <c r="AK6" s="17">
        <f t="shared" ref="AK6:AK23" si="2">COUNTIF(E6:AH6,"тр")</f>
        <v>1</v>
      </c>
      <c r="AL6" s="18">
        <f t="shared" ref="AL6:AL23" si="3">COUNTIF(E6:AH6,"бв")</f>
        <v>1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153">
        <f t="shared" si="0"/>
        <v>12</v>
      </c>
      <c r="AJ7" s="54">
        <f t="shared" si="1"/>
        <v>8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153">
        <f t="shared" si="0"/>
        <v>12</v>
      </c>
      <c r="AJ8" s="54">
        <f t="shared" si="1"/>
        <v>5</v>
      </c>
      <c r="AK8" s="54">
        <f t="shared" si="2"/>
        <v>4</v>
      </c>
      <c r="AL8" s="55">
        <f t="shared" si="3"/>
        <v>3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153">
        <f t="shared" si="0"/>
        <v>12</v>
      </c>
      <c r="AJ9" s="54">
        <f t="shared" si="1"/>
        <v>8</v>
      </c>
      <c r="AK9" s="54">
        <f t="shared" si="2"/>
        <v>4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153">
        <f t="shared" si="0"/>
        <v>12</v>
      </c>
      <c r="AJ10" s="54">
        <f t="shared" si="1"/>
        <v>8</v>
      </c>
      <c r="AK10" s="54">
        <f t="shared" si="2"/>
        <v>2</v>
      </c>
      <c r="AL10" s="55">
        <f t="shared" si="3"/>
        <v>2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153">
        <f t="shared" si="0"/>
        <v>12</v>
      </c>
      <c r="AJ11" s="54">
        <f t="shared" si="1"/>
        <v>8</v>
      </c>
      <c r="AK11" s="54">
        <f t="shared" si="2"/>
        <v>3</v>
      </c>
      <c r="AL11" s="55">
        <f t="shared" si="3"/>
        <v>1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153">
        <f t="shared" si="0"/>
        <v>12</v>
      </c>
      <c r="AJ12" s="54">
        <f t="shared" si="1"/>
        <v>10</v>
      </c>
      <c r="AK12" s="54">
        <f t="shared" si="2"/>
        <v>0</v>
      </c>
      <c r="AL12" s="55">
        <f t="shared" si="3"/>
        <v>2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153">
        <f t="shared" si="0"/>
        <v>12</v>
      </c>
      <c r="AJ13" s="54">
        <f t="shared" si="1"/>
        <v>12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153">
        <f t="shared" si="0"/>
        <v>12</v>
      </c>
      <c r="AJ14" s="54">
        <f t="shared" si="1"/>
        <v>12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153">
        <f t="shared" si="0"/>
        <v>12</v>
      </c>
      <c r="AJ15" s="54">
        <f t="shared" si="1"/>
        <v>12</v>
      </c>
      <c r="AK15" s="54">
        <f t="shared" si="2"/>
        <v>0</v>
      </c>
      <c r="AL15" s="55">
        <f t="shared" si="3"/>
        <v>0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153">
        <f t="shared" si="0"/>
        <v>12</v>
      </c>
      <c r="AJ16" s="54">
        <f t="shared" si="1"/>
        <v>12</v>
      </c>
      <c r="AK16" s="54">
        <f t="shared" si="2"/>
        <v>0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153">
        <f t="shared" si="0"/>
        <v>12</v>
      </c>
      <c r="AJ17" s="54">
        <f t="shared" si="1"/>
        <v>10</v>
      </c>
      <c r="AK17" s="54">
        <f t="shared" si="2"/>
        <v>0</v>
      </c>
      <c r="AL17" s="55">
        <f t="shared" si="3"/>
        <v>2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153">
        <f t="shared" si="0"/>
        <v>12</v>
      </c>
      <c r="AJ18" s="54">
        <f t="shared" si="1"/>
        <v>12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153">
        <f t="shared" si="0"/>
        <v>12</v>
      </c>
      <c r="AJ19" s="54">
        <f t="shared" si="1"/>
        <v>12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153">
        <f t="shared" si="0"/>
        <v>12</v>
      </c>
      <c r="AJ20" s="54">
        <f t="shared" si="1"/>
        <v>11</v>
      </c>
      <c r="AK20" s="54">
        <f t="shared" si="2"/>
        <v>0</v>
      </c>
      <c r="AL20" s="55">
        <f t="shared" si="3"/>
        <v>1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153">
        <f t="shared" si="0"/>
        <v>12</v>
      </c>
      <c r="AJ22" s="54">
        <f t="shared" si="1"/>
        <v>12</v>
      </c>
      <c r="AK22" s="54">
        <f t="shared" si="2"/>
        <v>0</v>
      </c>
      <c r="AL22" s="55">
        <f t="shared" si="3"/>
        <v>0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/>
      <c r="R23" s="97"/>
      <c r="S23" s="97"/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154">
        <f t="shared" si="0"/>
        <v>12</v>
      </c>
      <c r="AJ23" s="84">
        <f t="shared" si="1"/>
        <v>9</v>
      </c>
      <c r="AK23" s="84">
        <f t="shared" si="2"/>
        <v>0</v>
      </c>
      <c r="AL23" s="85">
        <f t="shared" si="3"/>
        <v>3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234</v>
      </c>
      <c r="AJ24" s="141">
        <f>SUM(AJ6:AJ23)</f>
        <v>171</v>
      </c>
      <c r="AK24" s="141">
        <f>SUM(AK6:AK23)</f>
        <v>48</v>
      </c>
      <c r="AL24" s="142">
        <f>SUM(AL6:AL23)</f>
        <v>15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152">
        <f t="shared" ref="AI25:AI31" si="5">COUNTA(E25:AH25)</f>
        <v>12</v>
      </c>
      <c r="AJ25" s="80">
        <f t="shared" ref="AJ25:AJ31" si="6">COUNTIF(E25:AH25,1)</f>
        <v>10</v>
      </c>
      <c r="AK25" s="80">
        <f t="shared" ref="AK25:AK31" si="7">COUNTIF(E25:AH25,"тр")</f>
        <v>0</v>
      </c>
      <c r="AL25" s="81">
        <f t="shared" ref="AL25:AL31" si="8">COUNTIF(E25:AH25,"бв")</f>
        <v>2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153">
        <f t="shared" si="5"/>
        <v>12</v>
      </c>
      <c r="AJ26" s="54">
        <f t="shared" si="6"/>
        <v>8</v>
      </c>
      <c r="AK26" s="54">
        <f t="shared" si="7"/>
        <v>0</v>
      </c>
      <c r="AL26" s="55">
        <f t="shared" si="8"/>
        <v>4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153">
        <f t="shared" si="5"/>
        <v>12</v>
      </c>
      <c r="AJ27" s="54">
        <f t="shared" si="6"/>
        <v>9</v>
      </c>
      <c r="AK27" s="54">
        <f t="shared" si="7"/>
        <v>0</v>
      </c>
      <c r="AL27" s="55">
        <f t="shared" si="8"/>
        <v>3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153">
        <f t="shared" si="5"/>
        <v>12</v>
      </c>
      <c r="AJ29" s="54">
        <f t="shared" si="6"/>
        <v>8</v>
      </c>
      <c r="AK29" s="54">
        <f t="shared" si="7"/>
        <v>2</v>
      </c>
      <c r="AL29" s="55">
        <f t="shared" si="8"/>
        <v>2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153">
        <f t="shared" si="5"/>
        <v>12</v>
      </c>
      <c r="AJ30" s="54">
        <f t="shared" si="6"/>
        <v>0</v>
      </c>
      <c r="AK30" s="54">
        <f t="shared" si="7"/>
        <v>12</v>
      </c>
      <c r="AL30" s="55">
        <f t="shared" si="8"/>
        <v>0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154">
        <f t="shared" si="5"/>
        <v>12</v>
      </c>
      <c r="AJ31" s="84">
        <f t="shared" si="6"/>
        <v>10</v>
      </c>
      <c r="AK31" s="84">
        <f t="shared" si="7"/>
        <v>2</v>
      </c>
      <c r="AL31" s="85">
        <f t="shared" si="8"/>
        <v>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102</v>
      </c>
      <c r="AJ32" s="135">
        <f>SUM(AJ25:AJ31)</f>
        <v>45</v>
      </c>
      <c r="AK32" s="135">
        <f>SUM(AK25:AK31)</f>
        <v>46</v>
      </c>
      <c r="AL32" s="136">
        <f>SUM(AL25:AL31)</f>
        <v>11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155">
        <f>COUNTA(E33:AH33)</f>
        <v>12</v>
      </c>
      <c r="AJ33" s="17">
        <f>COUNTIF(E33:AH33,1)</f>
        <v>12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155">
        <f>COUNTA(E34:AH34)</f>
        <v>12</v>
      </c>
      <c r="AJ34" s="54">
        <f>COUNTIF(E34:AH34,1)</f>
        <v>6</v>
      </c>
      <c r="AK34" s="54">
        <f>COUNTIF(E34:AH34,"тр")</f>
        <v>0</v>
      </c>
      <c r="AL34" s="55">
        <f>COUNTIF(E34:AH34,"бв")</f>
        <v>6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54</v>
      </c>
      <c r="AJ36" s="69">
        <f>SUM(AJ33:AJ35)</f>
        <v>18</v>
      </c>
      <c r="AK36" s="69">
        <f>SUM(AK33:AK35)</f>
        <v>30</v>
      </c>
      <c r="AL36" s="75">
        <f>SUM(AL33:AL35)</f>
        <v>6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155">
        <f>COUNTA(E39:AH39)</f>
        <v>12</v>
      </c>
      <c r="AJ39" s="17">
        <f>COUNTIF(E39:AH39,1)</f>
        <v>9</v>
      </c>
      <c r="AK39" s="17">
        <f>COUNTIF(E39:AH39,"тр")</f>
        <v>1</v>
      </c>
      <c r="AL39" s="18">
        <f>COUNTIF(E39:AH39,"бв")</f>
        <v>2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155">
        <f>COUNTA(E40:AH40)</f>
        <v>12</v>
      </c>
      <c r="AJ40" s="54">
        <f>COUNTIF(E40:AH40,1)</f>
        <v>11</v>
      </c>
      <c r="AK40" s="54">
        <f>COUNTIF(E40:AH40,"тр")</f>
        <v>0</v>
      </c>
      <c r="AL40" s="55">
        <f>COUNTIF(E40:AH40,"бв")</f>
        <v>1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155">
        <f>COUNTA(E41:AH41)</f>
        <v>12</v>
      </c>
      <c r="AJ41" s="56">
        <f>COUNTIF(E41:AH41,1)</f>
        <v>5</v>
      </c>
      <c r="AK41" s="56">
        <f>COUNTIF(E41:AH41,"тр")</f>
        <v>3</v>
      </c>
      <c r="AL41" s="57">
        <f>COUNTIF(E41:AH41,"бв")</f>
        <v>4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36</v>
      </c>
      <c r="AJ42" s="69">
        <f>SUM(AJ39:AJ41)</f>
        <v>25</v>
      </c>
      <c r="AK42" s="69">
        <f>SUM(AK39:AK41)</f>
        <v>4</v>
      </c>
      <c r="AL42" s="75">
        <f>SUM(AL39:AL41)</f>
        <v>7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155">
        <f t="shared" ref="AI43:AI49" si="9">COUNTA(E43:AH43)</f>
        <v>12</v>
      </c>
      <c r="AJ43" s="17">
        <f t="shared" ref="AJ43:AJ49" si="10">COUNTIF(E43:AH43,1)</f>
        <v>12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155">
        <f t="shared" si="9"/>
        <v>12</v>
      </c>
      <c r="AJ44" s="54">
        <f t="shared" si="10"/>
        <v>10</v>
      </c>
      <c r="AK44" s="54">
        <f t="shared" si="11"/>
        <v>0</v>
      </c>
      <c r="AL44" s="55">
        <f t="shared" si="12"/>
        <v>2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155">
        <f t="shared" si="9"/>
        <v>12</v>
      </c>
      <c r="AJ45" s="54">
        <f t="shared" si="10"/>
        <v>12</v>
      </c>
      <c r="AK45" s="54">
        <f t="shared" si="11"/>
        <v>0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155">
        <f t="shared" si="9"/>
        <v>12</v>
      </c>
      <c r="AJ46" s="54">
        <f t="shared" si="10"/>
        <v>10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155">
        <f t="shared" si="9"/>
        <v>12</v>
      </c>
      <c r="AJ47" s="54">
        <f t="shared" si="10"/>
        <v>8</v>
      </c>
      <c r="AK47" s="54">
        <f t="shared" si="11"/>
        <v>1</v>
      </c>
      <c r="AL47" s="55">
        <f t="shared" si="12"/>
        <v>3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155">
        <f t="shared" si="9"/>
        <v>12</v>
      </c>
      <c r="AJ48" s="54">
        <f t="shared" si="10"/>
        <v>12</v>
      </c>
      <c r="AK48" s="54">
        <f t="shared" si="11"/>
        <v>0</v>
      </c>
      <c r="AL48" s="55">
        <f t="shared" si="12"/>
        <v>0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155">
        <f t="shared" si="9"/>
        <v>12</v>
      </c>
      <c r="AJ49" s="56">
        <f t="shared" si="10"/>
        <v>9</v>
      </c>
      <c r="AK49" s="56">
        <f t="shared" si="11"/>
        <v>0</v>
      </c>
      <c r="AL49" s="57">
        <f t="shared" si="12"/>
        <v>3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84</v>
      </c>
      <c r="AJ50" s="69">
        <f>SUM(AJ43:AJ49)</f>
        <v>73</v>
      </c>
      <c r="AK50" s="69">
        <f>SUM(AK43:AK49)</f>
        <v>1</v>
      </c>
      <c r="AL50" s="75">
        <f>SUM(AL43:AL49)</f>
        <v>10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155">
        <f>COUNTA(E51:AH51)</f>
        <v>12</v>
      </c>
      <c r="AJ51" s="56">
        <f>COUNTIF(E51:AH51,1)</f>
        <v>2</v>
      </c>
      <c r="AK51" s="56">
        <f>COUNTIF(E51:AH51,"тр")</f>
        <v>1</v>
      </c>
      <c r="AL51" s="57">
        <f>COUNTIF(E51:AH51,"бв")</f>
        <v>9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12</v>
      </c>
      <c r="AJ52" s="69">
        <f>SUM(AJ51:AJ51)</f>
        <v>2</v>
      </c>
      <c r="AK52" s="69">
        <f>SUM(AK51:AK51)</f>
        <v>1</v>
      </c>
      <c r="AL52" s="75">
        <f>SUM(AL51:AL51)</f>
        <v>9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152">
        <f>COUNTA(E53:AH53)</f>
        <v>12</v>
      </c>
      <c r="AJ53" s="80">
        <f>COUNTIF(E53:AH53,1)</f>
        <v>11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155">
        <f>COUNTA(E54:AH54)</f>
        <v>12</v>
      </c>
      <c r="AJ54" s="56">
        <f>COUNTIF(E54:AH54,1)</f>
        <v>12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/>
      <c r="R55" s="97"/>
      <c r="S55" s="97"/>
      <c r="T55" s="97"/>
      <c r="U55" s="97"/>
      <c r="V55" s="97"/>
      <c r="W55" s="97"/>
      <c r="X55" s="97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157">
        <f>COUNTA(E55:AH55)</f>
        <v>12</v>
      </c>
      <c r="AJ55" s="84">
        <f>COUNTIF(E55:AH55,1)</f>
        <v>12</v>
      </c>
      <c r="AK55" s="84">
        <f>COUNTIF(E55:AH55,"тр")</f>
        <v>0</v>
      </c>
      <c r="AL55" s="85">
        <f>COUNTIF(E55:AH55,"бв")</f>
        <v>0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36</v>
      </c>
      <c r="AJ56" s="69">
        <f>SUM(AJ53:AJ55)</f>
        <v>35</v>
      </c>
      <c r="AK56" s="69">
        <f>SUM(AK53:AK55)</f>
        <v>1</v>
      </c>
      <c r="AL56" s="75">
        <f>SUM(AL53:AL55)</f>
        <v>0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600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59" s="165"/>
      <c r="C59" s="165"/>
      <c r="D59" s="165"/>
      <c r="E59" s="165"/>
      <c r="F59" s="165"/>
      <c r="G59" s="165"/>
      <c r="H59" s="165"/>
      <c r="I59" s="165"/>
      <c r="J59" s="165"/>
      <c r="K59" s="165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5"/>
      <c r="W59" s="165"/>
      <c r="X59" s="165"/>
      <c r="Y59" s="165"/>
      <c r="Z59" s="165"/>
      <c r="AA59" s="165"/>
      <c r="AB59" s="165"/>
      <c r="AC59" s="165"/>
      <c r="AD59" s="165"/>
      <c r="AE59" s="165"/>
      <c r="AF59" s="165"/>
      <c r="AG59" s="165"/>
      <c r="AH59" s="165"/>
      <c r="AI59" s="165"/>
      <c r="AJ59" s="165"/>
      <c r="AK59" s="165"/>
      <c r="AL59" s="165"/>
    </row>
    <row r="60" spans="1:38" s="33" customFormat="1" ht="16.3" thickBot="1" x14ac:dyDescent="0.3">
      <c r="A60" s="131" t="s">
        <v>56</v>
      </c>
      <c r="B60" s="146" t="s">
        <v>46</v>
      </c>
      <c r="C60" s="146" t="s">
        <v>48</v>
      </c>
      <c r="D60" s="147" t="s">
        <v>47</v>
      </c>
      <c r="E60" s="151">
        <v>1</v>
      </c>
      <c r="F60" s="148">
        <v>2</v>
      </c>
      <c r="G60" s="148">
        <v>3</v>
      </c>
      <c r="H60" s="148">
        <v>4</v>
      </c>
      <c r="I60" s="148">
        <v>5</v>
      </c>
      <c r="J60" s="148">
        <v>6</v>
      </c>
      <c r="K60" s="148">
        <v>7</v>
      </c>
      <c r="L60" s="148">
        <v>8</v>
      </c>
      <c r="M60" s="148">
        <v>9</v>
      </c>
      <c r="N60" s="148">
        <v>10</v>
      </c>
      <c r="O60" s="148">
        <v>11</v>
      </c>
      <c r="P60" s="148">
        <v>12</v>
      </c>
      <c r="Q60" s="148">
        <v>13</v>
      </c>
      <c r="R60" s="148">
        <v>14</v>
      </c>
      <c r="S60" s="148">
        <v>15</v>
      </c>
      <c r="T60" s="148">
        <v>16</v>
      </c>
      <c r="U60" s="148">
        <v>17</v>
      </c>
      <c r="V60" s="148">
        <v>18</v>
      </c>
      <c r="W60" s="148">
        <v>19</v>
      </c>
      <c r="X60" s="148">
        <v>20</v>
      </c>
      <c r="Y60" s="148">
        <v>21</v>
      </c>
      <c r="Z60" s="148">
        <v>22</v>
      </c>
      <c r="AA60" s="148">
        <v>23</v>
      </c>
      <c r="AB60" s="148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30">
        <v>30</v>
      </c>
      <c r="AI60" s="131" t="s">
        <v>62</v>
      </c>
      <c r="AJ60" s="132" t="s">
        <v>61</v>
      </c>
      <c r="AK60" s="132" t="s">
        <v>58</v>
      </c>
      <c r="AL60" s="133" t="s">
        <v>57</v>
      </c>
    </row>
    <row r="61" spans="1:38" x14ac:dyDescent="0.25">
      <c r="A61" s="103">
        <v>1</v>
      </c>
      <c r="B61" s="104" t="s">
        <v>54</v>
      </c>
      <c r="C61" s="111">
        <v>176</v>
      </c>
      <c r="D61" s="106">
        <v>6172</v>
      </c>
      <c r="E61" s="143">
        <v>1</v>
      </c>
      <c r="F61" s="92">
        <v>1</v>
      </c>
      <c r="G61" s="92">
        <v>1</v>
      </c>
      <c r="H61" s="92">
        <v>1</v>
      </c>
      <c r="I61" s="92">
        <v>1</v>
      </c>
      <c r="J61" s="92">
        <v>1</v>
      </c>
      <c r="K61" s="92">
        <v>1</v>
      </c>
      <c r="L61" s="92">
        <v>1</v>
      </c>
      <c r="M61" s="92">
        <v>1</v>
      </c>
      <c r="N61" s="92">
        <v>1</v>
      </c>
      <c r="O61" s="92">
        <v>1</v>
      </c>
      <c r="P61" s="92">
        <v>1</v>
      </c>
      <c r="Q61" s="92"/>
      <c r="R61" s="92"/>
      <c r="S61" s="92"/>
      <c r="T61" s="92"/>
      <c r="U61" s="92"/>
      <c r="V61" s="92"/>
      <c r="W61" s="92"/>
      <c r="X61" s="92"/>
      <c r="Y61" s="92"/>
      <c r="Z61" s="92"/>
      <c r="AA61" s="92"/>
      <c r="AB61" s="92"/>
      <c r="AC61" s="92"/>
      <c r="AD61" s="92"/>
      <c r="AE61" s="92"/>
      <c r="AF61" s="92"/>
      <c r="AG61" s="92"/>
      <c r="AH61" s="92"/>
      <c r="AI61" s="152">
        <f>COUNTA(E61:AH61)</f>
        <v>12</v>
      </c>
      <c r="AJ61" s="80">
        <f>COUNTIF(E61:AH61,1)</f>
        <v>12</v>
      </c>
      <c r="AK61" s="80">
        <f>COUNTIF(E61:AH61,"тр")</f>
        <v>0</v>
      </c>
      <c r="AL61" s="81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22">
        <v>6173</v>
      </c>
      <c r="E62" s="7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153">
        <f>COUNTA(E62:AH62)</f>
        <v>12</v>
      </c>
      <c r="AJ62" s="54">
        <f>COUNTIF(E62:AH62,1)</f>
        <v>12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22">
        <v>1250</v>
      </c>
      <c r="E63" s="7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153">
        <f>COUNTA(E63:AH63)</f>
        <v>12</v>
      </c>
      <c r="AJ63" s="54">
        <f>COUNTIF(E63:AH63,1)</f>
        <v>10</v>
      </c>
      <c r="AK63" s="54">
        <f>COUNTIF(E63:AH63,"тр")</f>
        <v>0</v>
      </c>
      <c r="AL63" s="55">
        <f>COUNTIF(E63:AH63,"бв")</f>
        <v>2</v>
      </c>
    </row>
    <row r="64" spans="1:38" ht="16.3" thickBot="1" x14ac:dyDescent="0.3">
      <c r="A64" s="107">
        <f t="shared" si="13"/>
        <v>4</v>
      </c>
      <c r="B64" s="108" t="s">
        <v>55</v>
      </c>
      <c r="C64" s="109" t="s">
        <v>28</v>
      </c>
      <c r="D64" s="110">
        <v>3810</v>
      </c>
      <c r="E64" s="144" t="s">
        <v>58</v>
      </c>
      <c r="F64" s="97" t="s">
        <v>58</v>
      </c>
      <c r="G64" s="97" t="s">
        <v>58</v>
      </c>
      <c r="H64" s="97" t="s">
        <v>58</v>
      </c>
      <c r="I64" s="97" t="s">
        <v>58</v>
      </c>
      <c r="J64" s="97" t="s">
        <v>58</v>
      </c>
      <c r="K64" s="97" t="s">
        <v>58</v>
      </c>
      <c r="L64" s="97" t="s">
        <v>58</v>
      </c>
      <c r="M64" s="97" t="s">
        <v>58</v>
      </c>
      <c r="N64" s="97" t="s">
        <v>58</v>
      </c>
      <c r="O64" s="97" t="s">
        <v>58</v>
      </c>
      <c r="P64" s="97" t="s">
        <v>58</v>
      </c>
      <c r="Q64" s="97" t="s">
        <v>58</v>
      </c>
      <c r="R64" s="97" t="s">
        <v>58</v>
      </c>
      <c r="S64" s="97" t="s">
        <v>58</v>
      </c>
      <c r="T64" s="97" t="s">
        <v>58</v>
      </c>
      <c r="U64" s="97" t="s">
        <v>58</v>
      </c>
      <c r="V64" s="97" t="s">
        <v>58</v>
      </c>
      <c r="W64" s="97" t="s">
        <v>58</v>
      </c>
      <c r="X64" s="97" t="s">
        <v>58</v>
      </c>
      <c r="Y64" s="97" t="s">
        <v>58</v>
      </c>
      <c r="Z64" s="97" t="s">
        <v>58</v>
      </c>
      <c r="AA64" s="97" t="s">
        <v>58</v>
      </c>
      <c r="AB64" s="97" t="s">
        <v>58</v>
      </c>
      <c r="AC64" s="97" t="s">
        <v>58</v>
      </c>
      <c r="AD64" s="97" t="s">
        <v>58</v>
      </c>
      <c r="AE64" s="97" t="s">
        <v>58</v>
      </c>
      <c r="AF64" s="97" t="s">
        <v>58</v>
      </c>
      <c r="AG64" s="97" t="s">
        <v>58</v>
      </c>
      <c r="AH64" s="97" t="s">
        <v>58</v>
      </c>
      <c r="AI64" s="154">
        <f>COUNTA(E64:AH64)</f>
        <v>30</v>
      </c>
      <c r="AJ64" s="84">
        <f>COUNTIF(E64:AH64,1)</f>
        <v>0</v>
      </c>
      <c r="AK64" s="84">
        <f>COUNTIF(E64:AH64,"тр")</f>
        <v>30</v>
      </c>
      <c r="AL64" s="85">
        <f>COUNTIF(E64:AH64,"бв")</f>
        <v>0</v>
      </c>
    </row>
    <row r="65" spans="1:38" s="33" customFormat="1" ht="16.3" thickBot="1" x14ac:dyDescent="0.3">
      <c r="A65" s="121"/>
      <c r="B65" s="122" t="s">
        <v>63</v>
      </c>
      <c r="C65" s="123"/>
      <c r="D65" s="123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149"/>
      <c r="AC65" s="149"/>
      <c r="AD65" s="149"/>
      <c r="AE65" s="149"/>
      <c r="AF65" s="149"/>
      <c r="AG65" s="149"/>
      <c r="AH65" s="149"/>
      <c r="AI65" s="134">
        <f>SUM(AI61:AI64)</f>
        <v>66</v>
      </c>
      <c r="AJ65" s="135">
        <f t="shared" ref="AJ65:AL65" si="14">SUM(AJ61:AJ64)</f>
        <v>34</v>
      </c>
      <c r="AK65" s="135">
        <f t="shared" si="14"/>
        <v>30</v>
      </c>
      <c r="AL65" s="136">
        <f t="shared" si="14"/>
        <v>2</v>
      </c>
    </row>
    <row r="66" spans="1:38" s="33" customFormat="1" x14ac:dyDescent="0.25">
      <c r="A66" s="158"/>
      <c r="B66" s="49"/>
      <c r="C66" s="50"/>
      <c r="D66" s="50"/>
      <c r="Y66" s="51" t="s">
        <v>68</v>
      </c>
      <c r="AI66" s="76">
        <f>AI65</f>
        <v>66</v>
      </c>
    </row>
    <row r="68" spans="1:38" x14ac:dyDescent="0.25">
      <c r="B68" s="3" t="s">
        <v>75</v>
      </c>
      <c r="E68" s="88"/>
      <c r="F68" s="88"/>
      <c r="G68" s="88"/>
      <c r="H68" s="88"/>
      <c r="I68" s="88"/>
      <c r="J68" s="88"/>
      <c r="K68" s="88"/>
      <c r="L68" s="88"/>
      <c r="S68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5:AL65 E4:AH4 AI4:AI5 E25:AI31 E43:AI49 E51:AI51 E53:AI55 E33:AI35 E37:AI37 E39:AI41 E61:AI64 E6:AI23">
    <cfRule type="containsBlanks" dxfId="0" priority="1">
      <formula>LEN(TRIM(E4))=0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4</vt:i4>
      </vt:variant>
    </vt:vector>
  </HeadingPairs>
  <TitlesOfParts>
    <vt:vector size="9" baseType="lpstr">
      <vt:lpstr>Январь 2019</vt:lpstr>
      <vt:lpstr>Февраль 2019</vt:lpstr>
      <vt:lpstr>Март 2019</vt:lpstr>
      <vt:lpstr>Апрель 2019</vt:lpstr>
      <vt:lpstr>Данные</vt:lpstr>
      <vt:lpstr>АХД</vt:lpstr>
      <vt:lpstr>'Апрель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2019-04-01T09:29:13Z</cp:lastPrinted>
  <dcterms:created xsi:type="dcterms:W3CDTF">2018-09-27T18:15:43Z</dcterms:created>
  <dcterms:modified xsi:type="dcterms:W3CDTF">2019-04-12T06:35:07Z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