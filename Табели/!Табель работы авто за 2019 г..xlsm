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<sst xmlns="http://schemas.openxmlformats.org/spreadsheetml/2006/main" count="1928" uniqueCount="80">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</sst>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V6" sqref="V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78"/>
      <c r="AJ6" s="155">
        <f t="shared" ref="AJ6:AJ23" si="0">COUNTA(E6:AI6)</f>
        <v>18</v>
      </c>
      <c r="AK6" s="17">
        <f t="shared" ref="AK6:AK23" si="1">COUNTIF(E6:AI6,1)</f>
        <v>4</v>
      </c>
      <c r="AL6" s="17">
        <f t="shared" ref="AL6:AL23" si="2">COUNTIF(E6:AI6,"тр")</f>
        <v>14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78"/>
      <c r="AJ7" s="153">
        <f t="shared" si="0"/>
        <v>18</v>
      </c>
      <c r="AK7" s="54">
        <f t="shared" si="1"/>
        <v>6</v>
      </c>
      <c r="AL7" s="54">
        <f t="shared" si="2"/>
        <v>12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si="0"/>
        <v>18</v>
      </c>
      <c r="AK8" s="54">
        <f t="shared" si="1"/>
        <v>15</v>
      </c>
      <c r="AL8" s="54">
        <f t="shared" si="2"/>
        <v>1</v>
      </c>
      <c r="AM8" s="55">
        <f t="shared" si="3"/>
        <v>2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0"/>
        <v>18</v>
      </c>
      <c r="AK9" s="54">
        <f t="shared" si="1"/>
        <v>18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0"/>
        <v>18</v>
      </c>
      <c r="AK10" s="54">
        <f t="shared" si="1"/>
        <v>8</v>
      </c>
      <c r="AL10" s="54">
        <f t="shared" si="2"/>
        <v>4</v>
      </c>
      <c r="AM10" s="55">
        <f t="shared" si="3"/>
        <v>6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0"/>
        <v>18</v>
      </c>
      <c r="AK11" s="54">
        <f t="shared" si="1"/>
        <v>15</v>
      </c>
      <c r="AL11" s="54">
        <f t="shared" si="2"/>
        <v>0</v>
      </c>
      <c r="AM11" s="55">
        <f t="shared" si="3"/>
        <v>3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0"/>
        <v>18</v>
      </c>
      <c r="AK12" s="54">
        <f t="shared" si="1"/>
        <v>14</v>
      </c>
      <c r="AL12" s="54">
        <f t="shared" si="2"/>
        <v>4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0"/>
        <v>18</v>
      </c>
      <c r="AK13" s="54">
        <f t="shared" si="1"/>
        <v>18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0"/>
        <v>18</v>
      </c>
      <c r="AK14" s="54">
        <f t="shared" si="1"/>
        <v>15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0"/>
        <v>18</v>
      </c>
      <c r="AK15" s="54">
        <f t="shared" si="1"/>
        <v>15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0"/>
        <v>18</v>
      </c>
      <c r="AK16" s="54">
        <f t="shared" si="1"/>
        <v>18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0"/>
        <v>18</v>
      </c>
      <c r="AK17" s="54">
        <f t="shared" si="1"/>
        <v>16</v>
      </c>
      <c r="AL17" s="54">
        <f t="shared" si="2"/>
        <v>0</v>
      </c>
      <c r="AM17" s="55">
        <f t="shared" si="3"/>
        <v>2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0"/>
        <v>18</v>
      </c>
      <c r="AK18" s="54">
        <f t="shared" si="1"/>
        <v>14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0"/>
        <v>18</v>
      </c>
      <c r="AK19" s="54">
        <f t="shared" si="1"/>
        <v>17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0"/>
        <v>18</v>
      </c>
      <c r="AK20" s="54">
        <f t="shared" si="1"/>
        <v>13</v>
      </c>
      <c r="AL20" s="54">
        <f t="shared" si="2"/>
        <v>0</v>
      </c>
      <c r="AM20" s="55">
        <f t="shared" si="3"/>
        <v>5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 t="shared" si="0"/>
        <v>18</v>
      </c>
      <c r="AK21" s="54">
        <f t="shared" si="1"/>
        <v>1</v>
      </c>
      <c r="AL21" s="54">
        <f t="shared" si="2"/>
        <v>17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0"/>
        <v>18</v>
      </c>
      <c r="AK22" s="54">
        <f t="shared" si="1"/>
        <v>16</v>
      </c>
      <c r="AL22" s="54">
        <f t="shared" si="2"/>
        <v>0</v>
      </c>
      <c r="AM22" s="55">
        <f t="shared" si="3"/>
        <v>2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 t="shared" si="0"/>
        <v>18</v>
      </c>
      <c r="AK23" s="84">
        <f t="shared" si="1"/>
        <v>13</v>
      </c>
      <c r="AL23" s="84">
        <f t="shared" si="2"/>
        <v>1</v>
      </c>
      <c r="AM23" s="85">
        <f t="shared" si="3"/>
        <v>4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324</v>
      </c>
      <c r="AK24" s="141">
        <f>SUM(AK6:AK23)</f>
        <v>236</v>
      </c>
      <c r="AL24" s="141">
        <f>SUM(AL6:AL23)</f>
        <v>54</v>
      </c>
      <c r="AM24" s="142">
        <f>SUM(AM6:AM23)</f>
        <v>34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 t="shared" ref="AJ25:AJ31" si="5">COUNTA(E25:AI25)</f>
        <v>18</v>
      </c>
      <c r="AK25" s="80">
        <f t="shared" ref="AK25:AK31" si="6">COUNTIF(E25:AI25,1)</f>
        <v>8</v>
      </c>
      <c r="AL25" s="80">
        <f t="shared" ref="AL25:AL31" si="7">COUNTIF(E25:AI25,"тр")</f>
        <v>8</v>
      </c>
      <c r="AM25" s="81">
        <f t="shared" ref="AM25:AM31" si="8">COUNTIF(E25:AI25,"бв")</f>
        <v>2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8"/>
      <c r="AJ26" s="153">
        <f t="shared" si="5"/>
        <v>18</v>
      </c>
      <c r="AK26" s="54">
        <f t="shared" si="6"/>
        <v>11</v>
      </c>
      <c r="AL26" s="54">
        <f t="shared" si="7"/>
        <v>1</v>
      </c>
      <c r="AM26" s="55">
        <f t="shared" si="8"/>
        <v>6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8"/>
      <c r="AJ27" s="153">
        <f t="shared" si="5"/>
        <v>18</v>
      </c>
      <c r="AK27" s="54">
        <f t="shared" si="6"/>
        <v>13</v>
      </c>
      <c r="AL27" s="54">
        <f t="shared" si="7"/>
        <v>1</v>
      </c>
      <c r="AM27" s="55">
        <f t="shared" si="8"/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5"/>
        <v>18</v>
      </c>
      <c r="AK28" s="54">
        <f t="shared" si="6"/>
        <v>0</v>
      </c>
      <c r="AL28" s="54">
        <f t="shared" si="7"/>
        <v>18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5"/>
        <v>18</v>
      </c>
      <c r="AK29" s="54">
        <f t="shared" si="6"/>
        <v>16</v>
      </c>
      <c r="AL29" s="54">
        <f t="shared" si="7"/>
        <v>1</v>
      </c>
      <c r="AM29" s="55">
        <f t="shared" si="8"/>
        <v>1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5"/>
        <v>18</v>
      </c>
      <c r="AK30" s="54">
        <f t="shared" si="6"/>
        <v>15</v>
      </c>
      <c r="AL30" s="54">
        <f t="shared" si="7"/>
        <v>0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 t="shared" si="5"/>
        <v>18</v>
      </c>
      <c r="AK31" s="84">
        <f t="shared" si="6"/>
        <v>15</v>
      </c>
      <c r="AL31" s="84">
        <f t="shared" si="7"/>
        <v>2</v>
      </c>
      <c r="AM31" s="85">
        <f t="shared" si="8"/>
        <v>1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126</v>
      </c>
      <c r="AK32" s="135">
        <f>SUM(AK25:AK31)</f>
        <v>78</v>
      </c>
      <c r="AL32" s="135">
        <f>SUM(AL25:AL31)</f>
        <v>31</v>
      </c>
      <c r="AM32" s="136">
        <f>SUM(AM25:AM31)</f>
        <v>17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18</v>
      </c>
      <c r="AK33" s="17">
        <f>COUNTIF(E33:AI33,1)</f>
        <v>16</v>
      </c>
      <c r="AL33" s="17">
        <f>COUNTIF(E33:AI33,"тр")</f>
        <v>0</v>
      </c>
      <c r="AM33" s="18">
        <f>COUNTIF(E33:AI33,"бв")</f>
        <v>2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18</v>
      </c>
      <c r="AK34" s="54">
        <f>COUNTIF(E34:AI34,1)</f>
        <v>12</v>
      </c>
      <c r="AL34" s="54">
        <f>COUNTIF(E34:AI34,"тр")</f>
        <v>5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67</v>
      </c>
      <c r="AK36" s="69">
        <f>SUM(AK33:AK35)</f>
        <v>28</v>
      </c>
      <c r="AL36" s="69">
        <f>SUM(AL33:AL35)</f>
        <v>36</v>
      </c>
      <c r="AM36" s="75">
        <f>SUM(AM33:AM35)</f>
        <v>3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18</v>
      </c>
      <c r="AK39" s="17">
        <f>COUNTIF(E39:AI39,1)</f>
        <v>0</v>
      </c>
      <c r="AL39" s="17">
        <f>COUNTIF(E39:AI39,"тр")</f>
        <v>18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18</v>
      </c>
      <c r="AK40" s="54">
        <f>COUNTIF(E40:AI40,1)</f>
        <v>9</v>
      </c>
      <c r="AL40" s="54">
        <f>COUNTIF(E40:AI40,"тр")</f>
        <v>8</v>
      </c>
      <c r="AM40" s="55">
        <f>COUNTIF(E40:AI40,"бв")</f>
        <v>1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18</v>
      </c>
      <c r="AK41" s="56">
        <f>COUNTIF(E41:AI41,1)</f>
        <v>3</v>
      </c>
      <c r="AL41" s="56">
        <f>COUNTIF(E41:AI41,"тр")</f>
        <v>12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54</v>
      </c>
      <c r="AK42" s="69">
        <f>SUM(AK39:AK41)</f>
        <v>12</v>
      </c>
      <c r="AL42" s="69">
        <f>SUM(AL39:AL41)</f>
        <v>38</v>
      </c>
      <c r="AM42" s="75">
        <f>SUM(AM39:AM41)</f>
        <v>4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ref="AJ43:AJ49" si="9">COUNTA(E43:AI43)</f>
        <v>18</v>
      </c>
      <c r="AK43" s="17">
        <f t="shared" ref="AK43:AK49" si="10">COUNTIF(E43:AI43,1)</f>
        <v>18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18</v>
      </c>
      <c r="AK44" s="54">
        <f t="shared" si="10"/>
        <v>12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18</v>
      </c>
      <c r="AK45" s="54">
        <f t="shared" si="10"/>
        <v>18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18</v>
      </c>
      <c r="AK46" s="54">
        <f t="shared" si="10"/>
        <v>12</v>
      </c>
      <c r="AL46" s="54">
        <f t="shared" si="11"/>
        <v>1</v>
      </c>
      <c r="AM46" s="55">
        <f t="shared" si="12"/>
        <v>5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18</v>
      </c>
      <c r="AK47" s="54">
        <f t="shared" si="10"/>
        <v>15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18</v>
      </c>
      <c r="AK48" s="54">
        <f t="shared" si="10"/>
        <v>18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9"/>
        <v>18</v>
      </c>
      <c r="AK49" s="56">
        <f t="shared" si="10"/>
        <v>0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126</v>
      </c>
      <c r="AK50" s="69">
        <f>SUM(AK43:AK49)</f>
        <v>93</v>
      </c>
      <c r="AL50" s="69">
        <f>SUM(AL43:AL49)</f>
        <v>27</v>
      </c>
      <c r="AM50" s="75">
        <f>SUM(AM43:AM49)</f>
        <v>6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18</v>
      </c>
      <c r="AK51" s="56">
        <f>COUNTIF(E51:AI51,1)</f>
        <v>10</v>
      </c>
      <c r="AL51" s="56">
        <f>COUNTIF(E51:AI51,"тр")</f>
        <v>3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18</v>
      </c>
      <c r="AK52" s="69">
        <f>SUM(AK51:AK51)</f>
        <v>10</v>
      </c>
      <c r="AL52" s="69">
        <f>SUM(AL51:AL51)</f>
        <v>3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>COUNTA(E53:AI53)</f>
        <v>18</v>
      </c>
      <c r="AK53" s="80">
        <f>COUNTIF(E53:AI53,1)</f>
        <v>16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>COUNTA(E54:AI54)</f>
        <v>18</v>
      </c>
      <c r="AK54" s="56">
        <f>COUNTIF(E54:AI54,1)</f>
        <v>15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>COUNTA(E55:AI55)</f>
        <v>18</v>
      </c>
      <c r="AK55" s="84">
        <f>COUNTIF(E55:AI55,1)</f>
        <v>15</v>
      </c>
      <c r="AL55" s="84">
        <f>COUNTIF(E55:AI55,"тр")</f>
        <v>0</v>
      </c>
      <c r="AM55" s="85">
        <f>COUNTIF(E55:AI55,"бв")</f>
        <v>3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54</v>
      </c>
      <c r="AK56" s="69">
        <f>SUM(AK53:AK55)</f>
        <v>46</v>
      </c>
      <c r="AL56" s="69">
        <f>SUM(AL53:AL55)</f>
        <v>1</v>
      </c>
      <c r="AM56" s="75">
        <f>SUM(AM53:AM55)</f>
        <v>7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831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3">COUNTA(E61:AI61)</f>
        <v>18</v>
      </c>
      <c r="AK61" s="80">
        <f>COUNTIF(E61:AI61,1)</f>
        <v>18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3"/>
        <v>18</v>
      </c>
      <c r="AK62" s="54">
        <f>COUNTIF(E62:AI62,1)</f>
        <v>16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3"/>
        <v>18</v>
      </c>
      <c r="AK63" s="54">
        <f>COUNTIF(E63:AI63,1)</f>
        <v>13</v>
      </c>
      <c r="AL63" s="54">
        <f>COUNTIF(E63:AI63,"тр")</f>
        <v>1</v>
      </c>
      <c r="AM63" s="55">
        <f>COUNTIF(E63:AI63,"бв")</f>
        <v>4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85</v>
      </c>
      <c r="AK65" s="135">
        <f t="shared" ref="AK65:AM65" si="15">SUM(AK61:AK64)</f>
        <v>47</v>
      </c>
      <c r="AL65" s="135">
        <f t="shared" si="15"/>
        <v>34</v>
      </c>
      <c r="AM65" s="136">
        <f t="shared" si="15"/>
        <v>4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85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2019-03-18T07:49:48Z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