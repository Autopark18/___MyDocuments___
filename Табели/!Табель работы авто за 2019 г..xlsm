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3"/>
  </bookViews>
  <sheets>
    <sheet name="Январь 2019" sheetId="6" r:id="rId1"/>
    <sheet name="Февраль 2019" sheetId="7" r:id="rId2"/>
    <sheet name="Март 2019" sheetId="8" r:id="rId3"/>
    <sheet name="Апрель 2019" sheetId="9" r:id="rId4"/>
    <sheet name="Данные" sheetId="5" state="hidden" r:id="rId5"/>
  </sheets>
  <functionGroups builtInGroupCount="18"/>
  <definedNames>
    <definedName name="_xlnm._FilterDatabase" localSheetId="3" hidden="1">'Апрель 2019'!$E$2:$AL$57</definedName>
    <definedName name="_xlnm._FilterDatabase" localSheetId="2" hidden="1">'Март 2019'!$E$2:$AM$61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3">'Апрель 2019'!$3:$3</definedName>
    <definedName name="_xlnm.Print_Titles" localSheetId="2">'Март 2019'!$3:$3</definedName>
    <definedName name="_xlnm.Print_Titles" localSheetId="1">'Февраль 2019'!$3:$3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1" i="8" l="1"/>
  <c r="A39" i="8"/>
  <c r="A9" i="8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8" i="8"/>
  <c r="A7" i="8"/>
  <c r="A5" i="8"/>
  <c r="AJ61" i="8"/>
  <c r="AK46" i="8"/>
  <c r="AL46" i="8"/>
  <c r="AM46" i="8"/>
  <c r="AJ46" i="8"/>
  <c r="AK40" i="8"/>
  <c r="AL40" i="8"/>
  <c r="AM40" i="8"/>
  <c r="AJ40" i="8"/>
  <c r="AM39" i="8"/>
  <c r="AL39" i="8"/>
  <c r="AK39" i="8"/>
  <c r="AJ39" i="8"/>
  <c r="AK38" i="8"/>
  <c r="AL38" i="8"/>
  <c r="AM38" i="8"/>
  <c r="AJ38" i="8"/>
  <c r="AK34" i="8"/>
  <c r="AL34" i="8"/>
  <c r="AM34" i="8"/>
  <c r="AK26" i="8"/>
  <c r="AL26" i="8"/>
  <c r="AM26" i="8"/>
  <c r="AJ8" i="8"/>
  <c r="AK8" i="8"/>
  <c r="AL8" i="8"/>
  <c r="AM8" i="8"/>
  <c r="AJ5" i="8"/>
  <c r="AK5" i="8"/>
  <c r="AL5" i="8"/>
  <c r="AM5" i="8"/>
  <c r="AL64" i="9"/>
  <c r="AK64" i="9"/>
  <c r="AJ64" i="9"/>
  <c r="AI64" i="9"/>
  <c r="AL63" i="9"/>
  <c r="AK63" i="9"/>
  <c r="AJ63" i="9"/>
  <c r="AI63" i="9"/>
  <c r="AL62" i="9"/>
  <c r="AK62" i="9"/>
  <c r="AJ62" i="9"/>
  <c r="AI62" i="9"/>
  <c r="A62" i="9"/>
  <c r="A63" i="9" s="1"/>
  <c r="A64" i="9" s="1"/>
  <c r="AL61" i="9"/>
  <c r="AK61" i="9"/>
  <c r="AJ61" i="9"/>
  <c r="AI61" i="9"/>
  <c r="A59" i="9"/>
  <c r="AL55" i="9"/>
  <c r="AK55" i="9"/>
  <c r="AJ55" i="9"/>
  <c r="AI55" i="9"/>
  <c r="AL54" i="9"/>
  <c r="AK54" i="9"/>
  <c r="AJ54" i="9"/>
  <c r="AI54" i="9"/>
  <c r="AL53" i="9"/>
  <c r="AL56" i="9" s="1"/>
  <c r="AK53" i="9"/>
  <c r="AJ53" i="9"/>
  <c r="AI53" i="9"/>
  <c r="AL51" i="9"/>
  <c r="AL52" i="9" s="1"/>
  <c r="AK51" i="9"/>
  <c r="AK52" i="9" s="1"/>
  <c r="AJ51" i="9"/>
  <c r="AJ52" i="9" s="1"/>
  <c r="AI51" i="9"/>
  <c r="AI52" i="9" s="1"/>
  <c r="AL49" i="9"/>
  <c r="AK49" i="9"/>
  <c r="AJ49" i="9"/>
  <c r="AI49" i="9"/>
  <c r="AL48" i="9"/>
  <c r="AK48" i="9"/>
  <c r="AJ48" i="9"/>
  <c r="AI48" i="9"/>
  <c r="AL47" i="9"/>
  <c r="AK47" i="9"/>
  <c r="AJ47" i="9"/>
  <c r="AI47" i="9"/>
  <c r="AL46" i="9"/>
  <c r="AK46" i="9"/>
  <c r="AJ46" i="9"/>
  <c r="AI46" i="9"/>
  <c r="AL45" i="9"/>
  <c r="AK45" i="9"/>
  <c r="AJ45" i="9"/>
  <c r="AI45" i="9"/>
  <c r="AL44" i="9"/>
  <c r="AK44" i="9"/>
  <c r="AJ44" i="9"/>
  <c r="AI44" i="9"/>
  <c r="AL43" i="9"/>
  <c r="AK43" i="9"/>
  <c r="AJ43" i="9"/>
  <c r="AI43" i="9"/>
  <c r="AL41" i="9"/>
  <c r="AK41" i="9"/>
  <c r="AJ41" i="9"/>
  <c r="AI41" i="9"/>
  <c r="AL40" i="9"/>
  <c r="AK40" i="9"/>
  <c r="AJ40" i="9"/>
  <c r="AI40" i="9"/>
  <c r="AL39" i="9"/>
  <c r="AL42" i="9" s="1"/>
  <c r="AK39" i="9"/>
  <c r="AJ39" i="9"/>
  <c r="AI39" i="9"/>
  <c r="AI42" i="9" s="1"/>
  <c r="AL37" i="9"/>
  <c r="AL38" i="9" s="1"/>
  <c r="AK37" i="9"/>
  <c r="AK38" i="9" s="1"/>
  <c r="AJ37" i="9"/>
  <c r="AJ38" i="9" s="1"/>
  <c r="AI37" i="9"/>
  <c r="AI38" i="9" s="1"/>
  <c r="AL35" i="9"/>
  <c r="AK35" i="9"/>
  <c r="AJ35" i="9"/>
  <c r="AI35" i="9"/>
  <c r="AL34" i="9"/>
  <c r="AK34" i="9"/>
  <c r="AJ34" i="9"/>
  <c r="AI34" i="9"/>
  <c r="AL33" i="9"/>
  <c r="AL36" i="9" s="1"/>
  <c r="AK33" i="9"/>
  <c r="AJ33" i="9"/>
  <c r="AJ36" i="9" s="1"/>
  <c r="AI33" i="9"/>
  <c r="AL31" i="9"/>
  <c r="AK31" i="9"/>
  <c r="AJ31" i="9"/>
  <c r="AI31" i="9"/>
  <c r="AL30" i="9"/>
  <c r="AK30" i="9"/>
  <c r="AJ30" i="9"/>
  <c r="AI30" i="9"/>
  <c r="AL29" i="9"/>
  <c r="AK29" i="9"/>
  <c r="AJ29" i="9"/>
  <c r="AI29" i="9"/>
  <c r="AL28" i="9"/>
  <c r="AK28" i="9"/>
  <c r="AJ28" i="9"/>
  <c r="AI28" i="9"/>
  <c r="AL27" i="9"/>
  <c r="AK27" i="9"/>
  <c r="AJ27" i="9"/>
  <c r="AI27" i="9"/>
  <c r="AL26" i="9"/>
  <c r="AK26" i="9"/>
  <c r="AJ26" i="9"/>
  <c r="AI26" i="9"/>
  <c r="AL25" i="9"/>
  <c r="AK25" i="9"/>
  <c r="AJ25" i="9"/>
  <c r="AI25" i="9"/>
  <c r="AL23" i="9"/>
  <c r="AK23" i="9"/>
  <c r="AJ23" i="9"/>
  <c r="AI23" i="9"/>
  <c r="AL22" i="9"/>
  <c r="AK22" i="9"/>
  <c r="AJ22" i="9"/>
  <c r="AI22" i="9"/>
  <c r="AL21" i="9"/>
  <c r="AK21" i="9"/>
  <c r="AJ21" i="9"/>
  <c r="AI21" i="9"/>
  <c r="AL20" i="9"/>
  <c r="AK20" i="9"/>
  <c r="AJ20" i="9"/>
  <c r="AI20" i="9"/>
  <c r="AL19" i="9"/>
  <c r="AK19" i="9"/>
  <c r="AJ19" i="9"/>
  <c r="AI19" i="9"/>
  <c r="AL18" i="9"/>
  <c r="AK18" i="9"/>
  <c r="AJ18" i="9"/>
  <c r="AI18" i="9"/>
  <c r="AL17" i="9"/>
  <c r="AK17" i="9"/>
  <c r="AJ17" i="9"/>
  <c r="AI17" i="9"/>
  <c r="AL16" i="9"/>
  <c r="AK16" i="9"/>
  <c r="AJ16" i="9"/>
  <c r="AI16" i="9"/>
  <c r="AL15" i="9"/>
  <c r="AK15" i="9"/>
  <c r="AJ15" i="9"/>
  <c r="AI15" i="9"/>
  <c r="AL14" i="9"/>
  <c r="AK14" i="9"/>
  <c r="AJ14" i="9"/>
  <c r="AI14" i="9"/>
  <c r="AL13" i="9"/>
  <c r="AK13" i="9"/>
  <c r="AJ13" i="9"/>
  <c r="AI13" i="9"/>
  <c r="AL12" i="9"/>
  <c r="AK12" i="9"/>
  <c r="AJ12" i="9"/>
  <c r="AI12" i="9"/>
  <c r="AL11" i="9"/>
  <c r="AK11" i="9"/>
  <c r="AJ11" i="9"/>
  <c r="AI11" i="9"/>
  <c r="AL10" i="9"/>
  <c r="AK10" i="9"/>
  <c r="AJ10" i="9"/>
  <c r="AI10" i="9"/>
  <c r="AL9" i="9"/>
  <c r="AK9" i="9"/>
  <c r="AJ9" i="9"/>
  <c r="AI9" i="9"/>
  <c r="AL8" i="9"/>
  <c r="AK8" i="9"/>
  <c r="AJ8" i="9"/>
  <c r="AI8" i="9"/>
  <c r="AL7" i="9"/>
  <c r="AK7" i="9"/>
  <c r="AJ7" i="9"/>
  <c r="AI7" i="9"/>
  <c r="AL6" i="9"/>
  <c r="AK6" i="9"/>
  <c r="AJ6" i="9"/>
  <c r="AI6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5" i="9" s="1"/>
  <c r="A26" i="9" s="1"/>
  <c r="A27" i="9" s="1"/>
  <c r="A28" i="9" s="1"/>
  <c r="A29" i="9" s="1"/>
  <c r="A30" i="9" s="1"/>
  <c r="A31" i="9" s="1"/>
  <c r="A33" i="9" s="1"/>
  <c r="A34" i="9" s="1"/>
  <c r="A35" i="9" s="1"/>
  <c r="A37" i="9" s="1"/>
  <c r="A39" i="9" s="1"/>
  <c r="A40" i="9" s="1"/>
  <c r="A41" i="9" s="1"/>
  <c r="A43" i="9" s="1"/>
  <c r="A44" i="9" s="1"/>
  <c r="A45" i="9" s="1"/>
  <c r="A46" i="9" s="1"/>
  <c r="A47" i="9" s="1"/>
  <c r="A48" i="9" s="1"/>
  <c r="A49" i="9" s="1"/>
  <c r="A51" i="9" s="1"/>
  <c r="A53" i="9" s="1"/>
  <c r="A54" i="9" s="1"/>
  <c r="A55" i="9" s="1"/>
  <c r="AL4" i="9"/>
  <c r="AL5" i="9" s="1"/>
  <c r="AK4" i="9"/>
  <c r="AK5" i="9" s="1"/>
  <c r="AJ4" i="9"/>
  <c r="AJ5" i="9" s="1"/>
  <c r="AI4" i="9"/>
  <c r="AI5" i="9" s="1"/>
  <c r="A1" i="9"/>
  <c r="AI36" i="9" l="1"/>
  <c r="AK42" i="9"/>
  <c r="AK36" i="9"/>
  <c r="AI56" i="9"/>
  <c r="AJ42" i="9"/>
  <c r="AJ50" i="9"/>
  <c r="AJ32" i="9"/>
  <c r="AI50" i="9"/>
  <c r="AK56" i="9"/>
  <c r="AI32" i="9"/>
  <c r="AL50" i="9"/>
  <c r="AL32" i="9"/>
  <c r="AK32" i="9"/>
  <c r="AK50" i="9"/>
  <c r="AJ56" i="9"/>
  <c r="AI65" i="9"/>
  <c r="AI66" i="9" s="1"/>
  <c r="AK65" i="9"/>
  <c r="AJ65" i="9"/>
  <c r="AL65" i="9"/>
  <c r="AJ24" i="9"/>
  <c r="AL24" i="9"/>
  <c r="AI24" i="9"/>
  <c r="AK24" i="9"/>
  <c r="AI57" i="9" l="1"/>
  <c r="AM68" i="8"/>
  <c r="AL68" i="8"/>
  <c r="AK68" i="8"/>
  <c r="AJ68" i="8"/>
  <c r="AM67" i="8"/>
  <c r="AL67" i="8"/>
  <c r="AK67" i="8"/>
  <c r="AJ67" i="8"/>
  <c r="AM66" i="8"/>
  <c r="AL66" i="8"/>
  <c r="AK66" i="8"/>
  <c r="AJ66" i="8"/>
  <c r="A66" i="8"/>
  <c r="A67" i="8" s="1"/>
  <c r="A68" i="8" s="1"/>
  <c r="AM65" i="8"/>
  <c r="AL65" i="8"/>
  <c r="AK65" i="8"/>
  <c r="AJ65" i="8"/>
  <c r="A63" i="8"/>
  <c r="AM59" i="8"/>
  <c r="AL59" i="8"/>
  <c r="AK59" i="8"/>
  <c r="AJ59" i="8"/>
  <c r="AM58" i="8"/>
  <c r="AL58" i="8"/>
  <c r="AK58" i="8"/>
  <c r="AJ58" i="8"/>
  <c r="AM57" i="8"/>
  <c r="AM60" i="8" s="1"/>
  <c r="AL57" i="8"/>
  <c r="AK57" i="8"/>
  <c r="AK60" i="8" s="1"/>
  <c r="AJ57" i="8"/>
  <c r="AM55" i="8"/>
  <c r="AM56" i="8" s="1"/>
  <c r="AL55" i="8"/>
  <c r="AL56" i="8" s="1"/>
  <c r="AK55" i="8"/>
  <c r="AK56" i="8" s="1"/>
  <c r="AJ55" i="8"/>
  <c r="AJ56" i="8" s="1"/>
  <c r="AM53" i="8"/>
  <c r="AL53" i="8"/>
  <c r="AK53" i="8"/>
  <c r="AJ53" i="8"/>
  <c r="AM52" i="8"/>
  <c r="AL52" i="8"/>
  <c r="AK52" i="8"/>
  <c r="AJ52" i="8"/>
  <c r="AM51" i="8"/>
  <c r="AL51" i="8"/>
  <c r="AK51" i="8"/>
  <c r="AJ51" i="8"/>
  <c r="AM50" i="8"/>
  <c r="AL50" i="8"/>
  <c r="AK50" i="8"/>
  <c r="AJ50" i="8"/>
  <c r="AM49" i="8"/>
  <c r="AL49" i="8"/>
  <c r="AK49" i="8"/>
  <c r="AJ49" i="8"/>
  <c r="AM48" i="8"/>
  <c r="AL48" i="8"/>
  <c r="AK48" i="8"/>
  <c r="AJ48" i="8"/>
  <c r="AM47" i="8"/>
  <c r="AL47" i="8"/>
  <c r="AK47" i="8"/>
  <c r="AJ47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M42" i="8" s="1"/>
  <c r="AL41" i="8"/>
  <c r="AL42" i="8" s="1"/>
  <c r="AK41" i="8"/>
  <c r="AK42" i="8" s="1"/>
  <c r="AJ41" i="8"/>
  <c r="AJ42" i="8" s="1"/>
  <c r="AM37" i="8"/>
  <c r="AL37" i="8"/>
  <c r="AK37" i="8"/>
  <c r="AJ37" i="8"/>
  <c r="AM36" i="8"/>
  <c r="AL36" i="8"/>
  <c r="AK36" i="8"/>
  <c r="AJ36" i="8"/>
  <c r="AM35" i="8"/>
  <c r="AL35" i="8"/>
  <c r="AK35" i="8"/>
  <c r="AJ35" i="8"/>
  <c r="AM33" i="8"/>
  <c r="AL33" i="8"/>
  <c r="AK33" i="8"/>
  <c r="AJ33" i="8"/>
  <c r="AM32" i="8"/>
  <c r="AL32" i="8"/>
  <c r="AK32" i="8"/>
  <c r="AJ32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5" i="8"/>
  <c r="AL25" i="8"/>
  <c r="AK25" i="8"/>
  <c r="AJ25" i="8"/>
  <c r="AM24" i="8"/>
  <c r="AL24" i="8"/>
  <c r="AK24" i="8"/>
  <c r="AJ24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7" i="8"/>
  <c r="AL7" i="8"/>
  <c r="AK7" i="8"/>
  <c r="AJ7" i="8"/>
  <c r="AM4" i="8"/>
  <c r="AM6" i="8" s="1"/>
  <c r="AL4" i="8"/>
  <c r="AL6" i="8" s="1"/>
  <c r="AK4" i="8"/>
  <c r="AK6" i="8" s="1"/>
  <c r="AJ4" i="8"/>
  <c r="AJ6" i="8" s="1"/>
  <c r="A27" i="8"/>
  <c r="A28" i="8" s="1"/>
  <c r="A29" i="8" s="1"/>
  <c r="A30" i="8" s="1"/>
  <c r="A31" i="8" s="1"/>
  <c r="A32" i="8" s="1"/>
  <c r="A33" i="8" s="1"/>
  <c r="A35" i="8" s="1"/>
  <c r="A36" i="8" s="1"/>
  <c r="A37" i="8" s="1"/>
  <c r="A1" i="8"/>
  <c r="A59" i="7"/>
  <c r="A55" i="7"/>
  <c r="A39" i="7"/>
  <c r="A67" i="7"/>
  <c r="A68" i="7"/>
  <c r="A66" i="7"/>
  <c r="AJ60" i="8" l="1"/>
  <c r="AL60" i="8"/>
  <c r="A43" i="8"/>
  <c r="A44" i="8" s="1"/>
  <c r="A45" i="8" s="1"/>
  <c r="A47" i="8" s="1"/>
  <c r="A48" i="8" s="1"/>
  <c r="A49" i="8" s="1"/>
  <c r="A50" i="8" s="1"/>
  <c r="A51" i="8" s="1"/>
  <c r="A52" i="8" s="1"/>
  <c r="A53" i="8" s="1"/>
  <c r="A55" i="8" s="1"/>
  <c r="A57" i="8" s="1"/>
  <c r="A58" i="8" s="1"/>
  <c r="A59" i="8" s="1"/>
  <c r="AJ26" i="8"/>
  <c r="AJ34" i="8" s="1"/>
  <c r="AJ69" i="8"/>
  <c r="AJ70" i="8" s="1"/>
  <c r="AL69" i="8"/>
  <c r="AK69" i="8"/>
  <c r="AM69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54" i="8" l="1"/>
  <c r="AJ54" i="8"/>
  <c r="AK54" i="8"/>
  <c r="AM54" i="8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<sst xmlns="http://schemas.openxmlformats.org/spreadsheetml/2006/main" count="2605" uniqueCount="80">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</sst>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66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3" borderId="52" xfId="0" applyFont="1" applyFill="1" applyBorder="1" applyAlignment="1">
      <alignment horizontal="center"/>
    </xf>
    <xf numFmtId="164" fontId="2" fillId="3" borderId="13" xfId="0" applyNumberFormat="1" applyFont="1" applyFill="1" applyBorder="1" applyAlignment="1">
      <alignment horizontal="center" vertical="center"/>
    </xf>
    <xf numFmtId="164" fontId="2" fillId="3" borderId="17" xfId="0" applyNumberFormat="1" applyFont="1" applyFill="1" applyBorder="1" applyAlignment="1">
      <alignment horizontal="center" vertical="center"/>
    </xf>
    <xf numFmtId="164" fontId="2" fillId="3" borderId="40" xfId="0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5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5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  <c r="AM1" s="165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5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Апрель 2019 автоколонны № 2 г. Смолевичи</v>
      </c>
      <c r="B63" s="165"/>
      <c r="C63" s="165"/>
      <c r="D63" s="165"/>
      <c r="E63" s="165"/>
      <c r="F63" s="165"/>
      <c r="G63" s="165"/>
      <c r="H63" s="165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5"/>
      <c r="W63" s="165"/>
      <c r="X63" s="165"/>
      <c r="Y63" s="165"/>
      <c r="Z63" s="165"/>
      <c r="AA63" s="165"/>
      <c r="AB63" s="165"/>
      <c r="AC63" s="165"/>
      <c r="AD63" s="165"/>
      <c r="AE63" s="165"/>
      <c r="AF63" s="165"/>
      <c r="AG63" s="165"/>
      <c r="AH63" s="165"/>
      <c r="AI63" s="165"/>
      <c r="AJ63" s="165"/>
      <c r="AK63" s="165"/>
      <c r="AL63" s="165"/>
      <c r="AM63" s="165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4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28" activePane="bottomRight" state="frozen"/>
      <selection pane="topRight" activeCell="E1" sqref="E1"/>
      <selection pane="bottomLeft" activeCell="A4" sqref="A4"/>
      <selection pane="bottomRight" activeCell="B39" sqref="B39:D39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65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65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Апрель 2019 автоколонны № 2 г. Смолевичи</v>
      </c>
      <c r="B63" s="165"/>
      <c r="C63" s="165"/>
      <c r="D63" s="165"/>
      <c r="E63" s="165"/>
      <c r="F63" s="165"/>
      <c r="G63" s="165"/>
      <c r="H63" s="165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5"/>
      <c r="W63" s="165"/>
      <c r="X63" s="165"/>
      <c r="Y63" s="165"/>
      <c r="Z63" s="165"/>
      <c r="AA63" s="165"/>
      <c r="AB63" s="165"/>
      <c r="AC63" s="165"/>
      <c r="AD63" s="165"/>
      <c r="AE63" s="165"/>
      <c r="AF63" s="165"/>
      <c r="AG63" s="165"/>
      <c r="AH63" s="165"/>
      <c r="AI63" s="165"/>
      <c r="AJ63" s="165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3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72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2" sqref="A42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5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  <c r="AM1" s="165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03">
        <v>1</v>
      </c>
      <c r="B4" s="104" t="s">
        <v>0</v>
      </c>
      <c r="C4" s="105" t="s">
        <v>2</v>
      </c>
      <c r="D4" s="106">
        <v>1637</v>
      </c>
      <c r="E4" s="91" t="s">
        <v>58</v>
      </c>
      <c r="F4" s="92" t="s">
        <v>58</v>
      </c>
      <c r="G4" s="92" t="s">
        <v>58</v>
      </c>
      <c r="H4" s="92" t="s">
        <v>58</v>
      </c>
      <c r="I4" s="92" t="s">
        <v>58</v>
      </c>
      <c r="J4" s="92" t="s">
        <v>58</v>
      </c>
      <c r="K4" s="92" t="s">
        <v>58</v>
      </c>
      <c r="L4" s="92" t="s">
        <v>58</v>
      </c>
      <c r="M4" s="92" t="s">
        <v>58</v>
      </c>
      <c r="N4" s="92" t="s">
        <v>58</v>
      </c>
      <c r="O4" s="92" t="s">
        <v>58</v>
      </c>
      <c r="P4" s="92" t="s">
        <v>58</v>
      </c>
      <c r="Q4" s="92" t="s">
        <v>58</v>
      </c>
      <c r="R4" s="92" t="s">
        <v>58</v>
      </c>
      <c r="S4" s="92" t="s">
        <v>58</v>
      </c>
      <c r="T4" s="92" t="s">
        <v>58</v>
      </c>
      <c r="U4" s="92" t="s">
        <v>58</v>
      </c>
      <c r="V4" s="92" t="s">
        <v>58</v>
      </c>
      <c r="W4" s="92" t="s">
        <v>58</v>
      </c>
      <c r="X4" s="92" t="s">
        <v>58</v>
      </c>
      <c r="Y4" s="92" t="s">
        <v>58</v>
      </c>
      <c r="Z4" s="92" t="s">
        <v>58</v>
      </c>
      <c r="AA4" s="92" t="s">
        <v>58</v>
      </c>
      <c r="AB4" s="92" t="s">
        <v>58</v>
      </c>
      <c r="AC4" s="92" t="s">
        <v>58</v>
      </c>
      <c r="AD4" s="92" t="s">
        <v>58</v>
      </c>
      <c r="AE4" s="92" t="s">
        <v>58</v>
      </c>
      <c r="AF4" s="92" t="s">
        <v>58</v>
      </c>
      <c r="AG4" s="92" t="s">
        <v>58</v>
      </c>
      <c r="AH4" s="92" t="s">
        <v>58</v>
      </c>
      <c r="AI4" s="93" t="s">
        <v>58</v>
      </c>
      <c r="AJ4" s="152">
        <f>COUNTA(E4:AI4)</f>
        <v>31</v>
      </c>
      <c r="AK4" s="80">
        <f>COUNTIF(E4:AI4,1)</f>
        <v>0</v>
      </c>
      <c r="AL4" s="80">
        <f>COUNTIF(E4:AI4,"тр")</f>
        <v>31</v>
      </c>
      <c r="AM4" s="81">
        <f>COUNTIF(E4:AI4,"бв")</f>
        <v>0</v>
      </c>
    </row>
    <row r="5" spans="1:39" ht="16.3" thickBot="1" x14ac:dyDescent="0.3">
      <c r="A5" s="107">
        <f>A4+1</f>
        <v>2</v>
      </c>
      <c r="B5" s="108" t="s">
        <v>0</v>
      </c>
      <c r="C5" s="109" t="s">
        <v>1</v>
      </c>
      <c r="D5" s="110">
        <v>7533</v>
      </c>
      <c r="E5" s="96" t="s">
        <v>58</v>
      </c>
      <c r="F5" s="97" t="s">
        <v>58</v>
      </c>
      <c r="G5" s="97" t="s">
        <v>58</v>
      </c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8"/>
      <c r="AJ5" s="154">
        <f>COUNTA(E5:AI5)</f>
        <v>3</v>
      </c>
      <c r="AK5" s="84">
        <f>COUNTIF(E5:AI5,1)</f>
        <v>0</v>
      </c>
      <c r="AL5" s="84">
        <f>COUNTIF(E5:AI5,"тр")</f>
        <v>3</v>
      </c>
      <c r="AM5" s="85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34</v>
      </c>
      <c r="AK6" s="70">
        <f t="shared" ref="AK6:AM6" si="0">SUM(AK4:AK5)</f>
        <v>0</v>
      </c>
      <c r="AL6" s="70">
        <f t="shared" si="0"/>
        <v>34</v>
      </c>
      <c r="AM6" s="71">
        <f t="shared" si="0"/>
        <v>0</v>
      </c>
    </row>
    <row r="7" spans="1:39" x14ac:dyDescent="0.25">
      <c r="A7" s="11">
        <f>A5+1</f>
        <v>3</v>
      </c>
      <c r="B7" s="12" t="s">
        <v>53</v>
      </c>
      <c r="C7" s="13" t="s">
        <v>4</v>
      </c>
      <c r="D7" s="89">
        <v>6982</v>
      </c>
      <c r="E7" s="94">
        <v>1</v>
      </c>
      <c r="F7" s="5">
        <v>1</v>
      </c>
      <c r="G7" s="5">
        <v>1</v>
      </c>
      <c r="H7" s="5">
        <v>1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5" t="s">
        <v>58</v>
      </c>
      <c r="AI7" s="78" t="s">
        <v>58</v>
      </c>
      <c r="AJ7" s="155">
        <f t="shared" ref="AJ7:AJ25" si="1">COUNTA(E7:AI7)</f>
        <v>31</v>
      </c>
      <c r="AK7" s="17">
        <f t="shared" ref="AK7:AK25" si="2">COUNTIF(E7:AI7,1)</f>
        <v>4</v>
      </c>
      <c r="AL7" s="17">
        <f t="shared" ref="AL7:AL25" si="3">COUNTIF(E7:AI7,"тр")</f>
        <v>27</v>
      </c>
      <c r="AM7" s="18">
        <f t="shared" ref="AM7:AM25" si="4">COUNTIF(E7:AI7,"бв")</f>
        <v>0</v>
      </c>
    </row>
    <row r="8" spans="1:39" x14ac:dyDescent="0.25">
      <c r="A8" s="11">
        <f>A7+1</f>
        <v>4</v>
      </c>
      <c r="B8" s="12" t="s">
        <v>53</v>
      </c>
      <c r="C8" s="13" t="s">
        <v>3</v>
      </c>
      <c r="D8" s="89">
        <v>6981</v>
      </c>
      <c r="E8" s="94" t="s">
        <v>58</v>
      </c>
      <c r="F8" s="7" t="s">
        <v>58</v>
      </c>
      <c r="G8" s="7" t="s">
        <v>58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5">
        <f t="shared" ref="AJ8" si="5">COUNTA(E8:AI8)</f>
        <v>3</v>
      </c>
      <c r="AK8" s="17">
        <f t="shared" ref="AK8" si="6">COUNTIF(E8:AI8,1)</f>
        <v>0</v>
      </c>
      <c r="AL8" s="17">
        <f t="shared" ref="AL8" si="7">COUNTIF(E8:AI8,"тр")</f>
        <v>3</v>
      </c>
      <c r="AM8" s="18">
        <f t="shared" ref="AM8" si="8">COUNTIF(E8:AI8,"бв")</f>
        <v>0</v>
      </c>
    </row>
    <row r="9" spans="1:39" x14ac:dyDescent="0.25">
      <c r="A9" s="11">
        <f t="shared" ref="A9:A25" si="9">A8+1</f>
        <v>5</v>
      </c>
      <c r="B9" s="12" t="s">
        <v>53</v>
      </c>
      <c r="C9" s="13" t="s">
        <v>5</v>
      </c>
      <c r="D9" s="89">
        <v>5721</v>
      </c>
      <c r="E9" s="94">
        <v>1</v>
      </c>
      <c r="F9" s="7">
        <v>1</v>
      </c>
      <c r="G9" s="7">
        <v>1</v>
      </c>
      <c r="H9" s="5">
        <v>1</v>
      </c>
      <c r="I9" s="5">
        <v>1</v>
      </c>
      <c r="J9" s="5">
        <v>1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>
        <v>1</v>
      </c>
      <c r="AJ9" s="153">
        <f t="shared" si="1"/>
        <v>31</v>
      </c>
      <c r="AK9" s="54">
        <f t="shared" si="2"/>
        <v>12</v>
      </c>
      <c r="AL9" s="54">
        <f t="shared" si="3"/>
        <v>19</v>
      </c>
      <c r="AM9" s="55">
        <f t="shared" si="4"/>
        <v>0</v>
      </c>
    </row>
    <row r="10" spans="1:39" x14ac:dyDescent="0.25">
      <c r="A10" s="11">
        <f t="shared" si="9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 t="s">
        <v>58</v>
      </c>
      <c r="H10" s="5">
        <v>1</v>
      </c>
      <c r="I10" s="5" t="s">
        <v>57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 t="s">
        <v>57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5" t="s">
        <v>57</v>
      </c>
      <c r="AI10" s="78" t="s">
        <v>57</v>
      </c>
      <c r="AJ10" s="153">
        <f t="shared" si="1"/>
        <v>31</v>
      </c>
      <c r="AK10" s="54">
        <f t="shared" si="2"/>
        <v>25</v>
      </c>
      <c r="AL10" s="54">
        <f t="shared" si="3"/>
        <v>1</v>
      </c>
      <c r="AM10" s="55">
        <f t="shared" si="4"/>
        <v>5</v>
      </c>
    </row>
    <row r="11" spans="1:39" x14ac:dyDescent="0.25">
      <c r="A11" s="11">
        <f t="shared" si="9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1"/>
        <v>31</v>
      </c>
      <c r="AK11" s="54">
        <f t="shared" si="2"/>
        <v>31</v>
      </c>
      <c r="AL11" s="54">
        <f t="shared" si="3"/>
        <v>0</v>
      </c>
      <c r="AM11" s="55">
        <f t="shared" si="4"/>
        <v>0</v>
      </c>
    </row>
    <row r="12" spans="1:39" x14ac:dyDescent="0.25">
      <c r="A12" s="11">
        <f t="shared" si="9"/>
        <v>8</v>
      </c>
      <c r="B12" s="12" t="s">
        <v>53</v>
      </c>
      <c r="C12" s="13" t="s">
        <v>8</v>
      </c>
      <c r="D12" s="89">
        <v>6850</v>
      </c>
      <c r="E12" s="94" t="s">
        <v>58</v>
      </c>
      <c r="F12" s="7" t="s">
        <v>58</v>
      </c>
      <c r="G12" s="5" t="s">
        <v>58</v>
      </c>
      <c r="H12" s="5" t="s">
        <v>57</v>
      </c>
      <c r="I12" s="5">
        <v>1</v>
      </c>
      <c r="J12" s="5">
        <v>1</v>
      </c>
      <c r="K12" s="5" t="s">
        <v>58</v>
      </c>
      <c r="L12" s="5" t="s">
        <v>57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57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 t="s">
        <v>57</v>
      </c>
      <c r="AI12" s="78" t="s">
        <v>57</v>
      </c>
      <c r="AJ12" s="153">
        <f t="shared" si="1"/>
        <v>31</v>
      </c>
      <c r="AK12" s="54">
        <f t="shared" si="2"/>
        <v>17</v>
      </c>
      <c r="AL12" s="54">
        <f t="shared" si="3"/>
        <v>4</v>
      </c>
      <c r="AM12" s="55">
        <f t="shared" si="4"/>
        <v>10</v>
      </c>
    </row>
    <row r="13" spans="1:39" x14ac:dyDescent="0.25">
      <c r="A13" s="11">
        <f t="shared" si="9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>
        <v>1</v>
      </c>
      <c r="G13" s="5" t="s">
        <v>57</v>
      </c>
      <c r="H13" s="5">
        <v>1</v>
      </c>
      <c r="I13" s="5" t="s">
        <v>57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 t="s">
        <v>57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 t="s">
        <v>57</v>
      </c>
      <c r="AF13" s="5">
        <v>1</v>
      </c>
      <c r="AG13" s="5">
        <v>1</v>
      </c>
      <c r="AH13" s="5">
        <v>1</v>
      </c>
      <c r="AI13" s="78" t="s">
        <v>57</v>
      </c>
      <c r="AJ13" s="153">
        <f t="shared" si="1"/>
        <v>31</v>
      </c>
      <c r="AK13" s="54">
        <f t="shared" si="2"/>
        <v>26</v>
      </c>
      <c r="AL13" s="54">
        <f t="shared" si="3"/>
        <v>0</v>
      </c>
      <c r="AM13" s="55">
        <f t="shared" si="4"/>
        <v>5</v>
      </c>
    </row>
    <row r="14" spans="1:39" x14ac:dyDescent="0.25">
      <c r="A14" s="11">
        <f t="shared" si="9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 t="s">
        <v>58</v>
      </c>
      <c r="M14" s="5" t="s">
        <v>58</v>
      </c>
      <c r="N14" s="5" t="s">
        <v>58</v>
      </c>
      <c r="O14" s="5" t="s">
        <v>58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 t="s">
        <v>58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 t="s">
        <v>58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1"/>
        <v>31</v>
      </c>
      <c r="AK14" s="54">
        <f t="shared" si="2"/>
        <v>22</v>
      </c>
      <c r="AL14" s="54">
        <f t="shared" si="3"/>
        <v>9</v>
      </c>
      <c r="AM14" s="55">
        <f t="shared" si="4"/>
        <v>0</v>
      </c>
    </row>
    <row r="15" spans="1:39" x14ac:dyDescent="0.25">
      <c r="A15" s="11">
        <f t="shared" si="9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1"/>
        <v>31</v>
      </c>
      <c r="AK15" s="54">
        <f t="shared" si="2"/>
        <v>31</v>
      </c>
      <c r="AL15" s="54">
        <f t="shared" si="3"/>
        <v>0</v>
      </c>
      <c r="AM15" s="55">
        <f t="shared" si="4"/>
        <v>0</v>
      </c>
    </row>
    <row r="16" spans="1:39" x14ac:dyDescent="0.25">
      <c r="A16" s="11">
        <f t="shared" si="9"/>
        <v>12</v>
      </c>
      <c r="B16" s="12" t="s">
        <v>53</v>
      </c>
      <c r="C16" s="13" t="s">
        <v>12</v>
      </c>
      <c r="D16" s="89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 t="s">
        <v>57</v>
      </c>
      <c r="R16" s="5" t="s">
        <v>57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78">
        <v>1</v>
      </c>
      <c r="AJ16" s="153">
        <f t="shared" si="1"/>
        <v>31</v>
      </c>
      <c r="AK16" s="54">
        <f t="shared" si="2"/>
        <v>28</v>
      </c>
      <c r="AL16" s="54">
        <f t="shared" si="3"/>
        <v>0</v>
      </c>
      <c r="AM16" s="55">
        <f t="shared" si="4"/>
        <v>3</v>
      </c>
    </row>
    <row r="17" spans="1:39" x14ac:dyDescent="0.25">
      <c r="A17" s="11">
        <f t="shared" si="9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 t="s">
        <v>58</v>
      </c>
      <c r="Q17" s="5">
        <v>1</v>
      </c>
      <c r="R17" s="5">
        <v>1</v>
      </c>
      <c r="S17" s="5">
        <v>1</v>
      </c>
      <c r="T17" s="5" t="s">
        <v>57</v>
      </c>
      <c r="U17" s="5" t="s">
        <v>57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1"/>
        <v>31</v>
      </c>
      <c r="AK17" s="54">
        <f t="shared" si="2"/>
        <v>28</v>
      </c>
      <c r="AL17" s="54">
        <f t="shared" si="3"/>
        <v>1</v>
      </c>
      <c r="AM17" s="55">
        <f t="shared" si="4"/>
        <v>2</v>
      </c>
    </row>
    <row r="18" spans="1:39" x14ac:dyDescent="0.25">
      <c r="A18" s="11">
        <f t="shared" si="9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 t="s">
        <v>57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1"/>
        <v>31</v>
      </c>
      <c r="AK18" s="54">
        <f t="shared" si="2"/>
        <v>30</v>
      </c>
      <c r="AL18" s="54">
        <f t="shared" si="3"/>
        <v>0</v>
      </c>
      <c r="AM18" s="55">
        <f t="shared" si="4"/>
        <v>1</v>
      </c>
    </row>
    <row r="19" spans="1:39" x14ac:dyDescent="0.25">
      <c r="A19" s="11">
        <f t="shared" si="9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 t="s">
        <v>57</v>
      </c>
      <c r="AJ19" s="153">
        <f t="shared" si="1"/>
        <v>31</v>
      </c>
      <c r="AK19" s="54">
        <f t="shared" si="2"/>
        <v>27</v>
      </c>
      <c r="AL19" s="54">
        <f t="shared" si="3"/>
        <v>0</v>
      </c>
      <c r="AM19" s="55">
        <f t="shared" si="4"/>
        <v>4</v>
      </c>
    </row>
    <row r="20" spans="1:39" x14ac:dyDescent="0.25">
      <c r="A20" s="11">
        <f t="shared" si="9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 t="s">
        <v>57</v>
      </c>
      <c r="G20" s="5" t="s">
        <v>57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 t="s">
        <v>57</v>
      </c>
      <c r="N20" s="5" t="s">
        <v>57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5">
        <v>1</v>
      </c>
      <c r="AI20" s="78">
        <v>1</v>
      </c>
      <c r="AJ20" s="153">
        <f t="shared" si="1"/>
        <v>31</v>
      </c>
      <c r="AK20" s="54">
        <f t="shared" si="2"/>
        <v>27</v>
      </c>
      <c r="AL20" s="54">
        <f t="shared" si="3"/>
        <v>0</v>
      </c>
      <c r="AM20" s="55">
        <f t="shared" si="4"/>
        <v>4</v>
      </c>
    </row>
    <row r="21" spans="1:39" x14ac:dyDescent="0.25">
      <c r="A21" s="11">
        <f t="shared" si="9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57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1"/>
        <v>31</v>
      </c>
      <c r="AK21" s="54">
        <f t="shared" si="2"/>
        <v>30</v>
      </c>
      <c r="AL21" s="54">
        <f t="shared" si="3"/>
        <v>0</v>
      </c>
      <c r="AM21" s="55">
        <f t="shared" si="4"/>
        <v>1</v>
      </c>
    </row>
    <row r="22" spans="1:39" x14ac:dyDescent="0.25">
      <c r="A22" s="11">
        <f t="shared" si="9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 t="s">
        <v>57</v>
      </c>
      <c r="N22" s="5">
        <v>1</v>
      </c>
      <c r="O22" s="5">
        <v>1</v>
      </c>
      <c r="P22" s="5">
        <v>1</v>
      </c>
      <c r="Q22" s="5" t="s">
        <v>57</v>
      </c>
      <c r="R22" s="5" t="s">
        <v>57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 t="s">
        <v>57</v>
      </c>
      <c r="AC22" s="5">
        <v>1</v>
      </c>
      <c r="AD22" s="5">
        <v>1</v>
      </c>
      <c r="AE22" s="5" t="s">
        <v>58</v>
      </c>
      <c r="AF22" s="5">
        <v>1</v>
      </c>
      <c r="AG22" s="5">
        <v>1</v>
      </c>
      <c r="AH22" s="5">
        <v>1</v>
      </c>
      <c r="AI22" s="78">
        <v>1</v>
      </c>
      <c r="AJ22" s="153">
        <f t="shared" si="1"/>
        <v>31</v>
      </c>
      <c r="AK22" s="54">
        <f t="shared" si="2"/>
        <v>23</v>
      </c>
      <c r="AL22" s="54">
        <f t="shared" si="3"/>
        <v>1</v>
      </c>
      <c r="AM22" s="55">
        <f t="shared" si="4"/>
        <v>7</v>
      </c>
    </row>
    <row r="23" spans="1:39" x14ac:dyDescent="0.25">
      <c r="A23" s="11">
        <f t="shared" si="9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>
        <v>1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58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5" t="s">
        <v>58</v>
      </c>
      <c r="AI23" s="78" t="s">
        <v>58</v>
      </c>
      <c r="AJ23" s="153">
        <f t="shared" si="1"/>
        <v>31</v>
      </c>
      <c r="AK23" s="54">
        <f t="shared" si="2"/>
        <v>1</v>
      </c>
      <c r="AL23" s="54">
        <f t="shared" si="3"/>
        <v>30</v>
      </c>
      <c r="AM23" s="55">
        <f t="shared" si="4"/>
        <v>0</v>
      </c>
    </row>
    <row r="24" spans="1:39" x14ac:dyDescent="0.25">
      <c r="A24" s="11">
        <f t="shared" si="9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 t="s">
        <v>58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 t="s">
        <v>57</v>
      </c>
      <c r="AI24" s="78">
        <v>1</v>
      </c>
      <c r="AJ24" s="153">
        <f t="shared" si="1"/>
        <v>31</v>
      </c>
      <c r="AK24" s="54">
        <f t="shared" si="2"/>
        <v>27</v>
      </c>
      <c r="AL24" s="54">
        <f t="shared" si="3"/>
        <v>1</v>
      </c>
      <c r="AM24" s="55">
        <f t="shared" si="4"/>
        <v>3</v>
      </c>
    </row>
    <row r="25" spans="1:39" ht="16.3" thickBot="1" x14ac:dyDescent="0.3">
      <c r="A25" s="44">
        <f t="shared" si="9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 t="s">
        <v>57</v>
      </c>
      <c r="G25" s="97" t="s">
        <v>57</v>
      </c>
      <c r="H25" s="97">
        <v>1</v>
      </c>
      <c r="I25" s="97">
        <v>1</v>
      </c>
      <c r="J25" s="97">
        <v>1</v>
      </c>
      <c r="K25" s="97">
        <v>1</v>
      </c>
      <c r="L25" s="97" t="s">
        <v>57</v>
      </c>
      <c r="M25" s="97">
        <v>1</v>
      </c>
      <c r="N25" s="97" t="s">
        <v>58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>
        <v>1</v>
      </c>
      <c r="AF25" s="97">
        <v>1</v>
      </c>
      <c r="AG25" s="97">
        <v>1</v>
      </c>
      <c r="AH25" s="97">
        <v>1</v>
      </c>
      <c r="AI25" s="102" t="s">
        <v>57</v>
      </c>
      <c r="AJ25" s="154">
        <f t="shared" si="1"/>
        <v>31</v>
      </c>
      <c r="AK25" s="84">
        <f t="shared" si="2"/>
        <v>25</v>
      </c>
      <c r="AL25" s="84">
        <f t="shared" si="3"/>
        <v>1</v>
      </c>
      <c r="AM25" s="85">
        <f t="shared" si="4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140">
        <f>SUM(AJ7:AJ25)</f>
        <v>561</v>
      </c>
      <c r="AK26" s="141">
        <f t="shared" ref="AK26:AM26" si="10">SUM(AK7:AK25)</f>
        <v>414</v>
      </c>
      <c r="AL26" s="141">
        <f t="shared" si="10"/>
        <v>97</v>
      </c>
      <c r="AM26" s="142">
        <f t="shared" si="10"/>
        <v>50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>
        <v>1</v>
      </c>
      <c r="N27" s="35" t="s">
        <v>58</v>
      </c>
      <c r="O27" s="35" t="s">
        <v>58</v>
      </c>
      <c r="P27" s="35" t="s">
        <v>58</v>
      </c>
      <c r="Q27" s="35">
        <v>1</v>
      </c>
      <c r="R27" s="35">
        <v>1</v>
      </c>
      <c r="S27" s="35" t="s">
        <v>58</v>
      </c>
      <c r="T27" s="35">
        <v>1</v>
      </c>
      <c r="U27" s="35">
        <v>1</v>
      </c>
      <c r="V27" s="35">
        <v>1</v>
      </c>
      <c r="W27" s="35" t="s">
        <v>57</v>
      </c>
      <c r="X27" s="35" t="s">
        <v>57</v>
      </c>
      <c r="Y27" s="35">
        <v>1</v>
      </c>
      <c r="Z27" s="35">
        <v>1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35" t="s">
        <v>57</v>
      </c>
      <c r="AG27" s="35" t="s">
        <v>57</v>
      </c>
      <c r="AH27" s="35">
        <v>1</v>
      </c>
      <c r="AI27" s="125">
        <v>1</v>
      </c>
      <c r="AJ27" s="152">
        <f t="shared" ref="AJ27:AJ33" si="11">COUNTA(E27:AI27)</f>
        <v>31</v>
      </c>
      <c r="AK27" s="80">
        <f t="shared" ref="AK27:AK33" si="12">COUNTIF(E27:AI27,1)</f>
        <v>17</v>
      </c>
      <c r="AL27" s="80">
        <f t="shared" ref="AL27:AL33" si="13">COUNTIF(E27:AI27,"тр")</f>
        <v>8</v>
      </c>
      <c r="AM27" s="81">
        <f t="shared" ref="AM27:AM33" si="14">COUNTIF(E27:AI27,"бв")</f>
        <v>6</v>
      </c>
    </row>
    <row r="28" spans="1:39" x14ac:dyDescent="0.25">
      <c r="A28" s="11">
        <f t="shared" ref="A28:A59" si="15">A27+1</f>
        <v>23</v>
      </c>
      <c r="B28" s="14" t="s">
        <v>19</v>
      </c>
      <c r="C28" s="13" t="s">
        <v>21</v>
      </c>
      <c r="D28" s="22">
        <v>2962</v>
      </c>
      <c r="E28" s="7">
        <v>1</v>
      </c>
      <c r="F28" s="5">
        <v>1</v>
      </c>
      <c r="G28" s="5">
        <v>1</v>
      </c>
      <c r="H28" s="5" t="s">
        <v>57</v>
      </c>
      <c r="I28" s="5">
        <v>1</v>
      </c>
      <c r="J28" s="5">
        <v>1</v>
      </c>
      <c r="K28" s="5">
        <v>1</v>
      </c>
      <c r="L28" s="5" t="s">
        <v>57</v>
      </c>
      <c r="M28" s="5" t="s">
        <v>57</v>
      </c>
      <c r="N28" s="5" t="s">
        <v>57</v>
      </c>
      <c r="O28" s="5" t="s">
        <v>57</v>
      </c>
      <c r="P28" s="5" t="s">
        <v>57</v>
      </c>
      <c r="Q28" s="5" t="s">
        <v>58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 t="s">
        <v>57</v>
      </c>
      <c r="X28" s="5" t="s">
        <v>57</v>
      </c>
      <c r="Y28" s="5">
        <v>1</v>
      </c>
      <c r="Z28" s="5">
        <v>1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78">
        <v>1</v>
      </c>
      <c r="AJ28" s="153">
        <f t="shared" si="11"/>
        <v>31</v>
      </c>
      <c r="AK28" s="54">
        <f t="shared" si="12"/>
        <v>22</v>
      </c>
      <c r="AL28" s="54">
        <f t="shared" si="13"/>
        <v>1</v>
      </c>
      <c r="AM28" s="55">
        <f t="shared" si="14"/>
        <v>8</v>
      </c>
    </row>
    <row r="29" spans="1:39" x14ac:dyDescent="0.25">
      <c r="A29" s="11">
        <f t="shared" si="15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 t="s">
        <v>57</v>
      </c>
      <c r="U29" s="5" t="s">
        <v>57</v>
      </c>
      <c r="V29" s="5" t="s">
        <v>58</v>
      </c>
      <c r="W29" s="5" t="s">
        <v>58</v>
      </c>
      <c r="X29" s="5">
        <v>1</v>
      </c>
      <c r="Y29" s="5">
        <v>1</v>
      </c>
      <c r="Z29" s="5">
        <v>1</v>
      </c>
      <c r="AA29" s="5">
        <v>1</v>
      </c>
      <c r="AB29" s="5" t="s">
        <v>57</v>
      </c>
      <c r="AC29" s="5" t="s">
        <v>57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78" t="s">
        <v>57</v>
      </c>
      <c r="AJ29" s="153">
        <f t="shared" si="11"/>
        <v>31</v>
      </c>
      <c r="AK29" s="54">
        <f t="shared" si="12"/>
        <v>22</v>
      </c>
      <c r="AL29" s="54">
        <f t="shared" si="13"/>
        <v>2</v>
      </c>
      <c r="AM29" s="55">
        <f t="shared" si="14"/>
        <v>7</v>
      </c>
    </row>
    <row r="30" spans="1:39" x14ac:dyDescent="0.25">
      <c r="A30" s="11">
        <f t="shared" si="15"/>
        <v>25</v>
      </c>
      <c r="B30" s="14" t="s">
        <v>19</v>
      </c>
      <c r="C30" s="13" t="s">
        <v>23</v>
      </c>
      <c r="D30" s="22">
        <v>4309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78" t="s">
        <v>58</v>
      </c>
      <c r="AJ30" s="153">
        <f t="shared" si="11"/>
        <v>31</v>
      </c>
      <c r="AK30" s="54">
        <f t="shared" si="12"/>
        <v>0</v>
      </c>
      <c r="AL30" s="54">
        <f t="shared" si="13"/>
        <v>31</v>
      </c>
      <c r="AM30" s="55">
        <f t="shared" si="14"/>
        <v>0</v>
      </c>
    </row>
    <row r="31" spans="1:39" x14ac:dyDescent="0.25">
      <c r="A31" s="11">
        <f t="shared" si="15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>
        <v>1</v>
      </c>
      <c r="H31" s="5">
        <v>1</v>
      </c>
      <c r="I31" s="5">
        <v>1</v>
      </c>
      <c r="J31" s="5" t="s">
        <v>57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57</v>
      </c>
      <c r="Z31" s="5" t="s">
        <v>57</v>
      </c>
      <c r="AA31" s="5">
        <v>1</v>
      </c>
      <c r="AB31" s="5">
        <v>1</v>
      </c>
      <c r="AC31" s="5">
        <v>1</v>
      </c>
      <c r="AD31" s="5" t="s">
        <v>57</v>
      </c>
      <c r="AE31" s="5">
        <v>1</v>
      </c>
      <c r="AF31" s="5">
        <v>1</v>
      </c>
      <c r="AG31" s="5">
        <v>1</v>
      </c>
      <c r="AH31" s="5">
        <v>1</v>
      </c>
      <c r="AI31" s="78" t="s">
        <v>57</v>
      </c>
      <c r="AJ31" s="153">
        <f t="shared" si="11"/>
        <v>31</v>
      </c>
      <c r="AK31" s="54">
        <f t="shared" si="12"/>
        <v>25</v>
      </c>
      <c r="AL31" s="54">
        <f t="shared" si="13"/>
        <v>1</v>
      </c>
      <c r="AM31" s="55">
        <f t="shared" si="14"/>
        <v>5</v>
      </c>
    </row>
    <row r="32" spans="1:39" x14ac:dyDescent="0.25">
      <c r="A32" s="11">
        <f t="shared" si="15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 t="s">
        <v>57</v>
      </c>
      <c r="I32" s="5">
        <v>1</v>
      </c>
      <c r="J32" s="5">
        <v>1</v>
      </c>
      <c r="K32" s="5">
        <v>1</v>
      </c>
      <c r="L32" s="5">
        <v>1</v>
      </c>
      <c r="M32" s="5" t="s">
        <v>57</v>
      </c>
      <c r="N32" s="5" t="s">
        <v>57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>
        <v>1</v>
      </c>
      <c r="U32" s="5">
        <v>1</v>
      </c>
      <c r="V32" s="5">
        <v>1</v>
      </c>
      <c r="W32" s="5">
        <v>1</v>
      </c>
      <c r="X32" s="5">
        <v>1</v>
      </c>
      <c r="Y32" s="5">
        <v>1</v>
      </c>
      <c r="Z32" s="5">
        <v>1</v>
      </c>
      <c r="AA32" s="5">
        <v>1</v>
      </c>
      <c r="AB32" s="5">
        <v>1</v>
      </c>
      <c r="AC32" s="5" t="s">
        <v>58</v>
      </c>
      <c r="AD32" s="5">
        <v>1</v>
      </c>
      <c r="AE32" s="5">
        <v>1</v>
      </c>
      <c r="AF32" s="5">
        <v>1</v>
      </c>
      <c r="AG32" s="5">
        <v>1</v>
      </c>
      <c r="AH32" s="5">
        <v>1</v>
      </c>
      <c r="AI32" s="78">
        <v>1</v>
      </c>
      <c r="AJ32" s="153">
        <f t="shared" si="11"/>
        <v>31</v>
      </c>
      <c r="AK32" s="54">
        <f t="shared" si="12"/>
        <v>27</v>
      </c>
      <c r="AL32" s="54">
        <f t="shared" si="13"/>
        <v>1</v>
      </c>
      <c r="AM32" s="55">
        <f t="shared" si="14"/>
        <v>3</v>
      </c>
    </row>
    <row r="33" spans="1:39" ht="16.3" thickBot="1" x14ac:dyDescent="0.3">
      <c r="A33" s="44">
        <f t="shared" si="15"/>
        <v>28</v>
      </c>
      <c r="B33" s="67" t="s">
        <v>19</v>
      </c>
      <c r="C33" s="40" t="s">
        <v>24</v>
      </c>
      <c r="D33" s="41">
        <v>1276</v>
      </c>
      <c r="E33" s="43" t="s">
        <v>58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>
        <v>1</v>
      </c>
      <c r="M33" s="42" t="s">
        <v>57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 t="s">
        <v>58</v>
      </c>
      <c r="W33" s="42" t="s">
        <v>58</v>
      </c>
      <c r="X33" s="42">
        <v>1</v>
      </c>
      <c r="Y33" s="42">
        <v>1</v>
      </c>
      <c r="Z33" s="42">
        <v>1</v>
      </c>
      <c r="AA33" s="42">
        <v>1</v>
      </c>
      <c r="AB33" s="42" t="s">
        <v>57</v>
      </c>
      <c r="AC33" s="42" t="s">
        <v>57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126">
        <v>1</v>
      </c>
      <c r="AJ33" s="154">
        <f t="shared" si="11"/>
        <v>31</v>
      </c>
      <c r="AK33" s="84">
        <f t="shared" si="12"/>
        <v>25</v>
      </c>
      <c r="AL33" s="84">
        <f t="shared" si="13"/>
        <v>3</v>
      </c>
      <c r="AM33" s="85">
        <f t="shared" si="14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134">
        <f>SUM(AJ27:AJ33)</f>
        <v>217</v>
      </c>
      <c r="AK34" s="135">
        <f t="shared" ref="AK34:AM34" si="16">SUM(AK27:AK33)</f>
        <v>138</v>
      </c>
      <c r="AL34" s="135">
        <f t="shared" si="16"/>
        <v>47</v>
      </c>
      <c r="AM34" s="136">
        <f t="shared" si="16"/>
        <v>32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>
        <v>1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57</v>
      </c>
      <c r="N35" s="35" t="s">
        <v>57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 t="s">
        <v>57</v>
      </c>
      <c r="AB35" s="35" t="s">
        <v>57</v>
      </c>
      <c r="AC35" s="35">
        <v>1</v>
      </c>
      <c r="AD35" s="35">
        <v>1</v>
      </c>
      <c r="AE35" s="35">
        <v>1</v>
      </c>
      <c r="AF35" s="35">
        <v>1</v>
      </c>
      <c r="AG35" s="35" t="s">
        <v>57</v>
      </c>
      <c r="AH35" s="35">
        <v>1</v>
      </c>
      <c r="AI35" s="35">
        <v>1</v>
      </c>
      <c r="AJ35" s="155">
        <f>COUNTA(E35:AI35)</f>
        <v>31</v>
      </c>
      <c r="AK35" s="17">
        <f>COUNTIF(E35:AI35,1)</f>
        <v>26</v>
      </c>
      <c r="AL35" s="17">
        <f>COUNTIF(E35:AI35,"тр")</f>
        <v>0</v>
      </c>
      <c r="AM35" s="18">
        <f>COUNTIF(E35:AI35,"бв")</f>
        <v>5</v>
      </c>
    </row>
    <row r="36" spans="1:39" x14ac:dyDescent="0.25">
      <c r="A36" s="11">
        <f t="shared" si="15"/>
        <v>30</v>
      </c>
      <c r="B36" s="16" t="s">
        <v>25</v>
      </c>
      <c r="C36" s="13" t="s">
        <v>27</v>
      </c>
      <c r="D36" s="22">
        <v>1290</v>
      </c>
      <c r="E36" s="7">
        <v>1</v>
      </c>
      <c r="F36" s="5">
        <v>1</v>
      </c>
      <c r="G36" s="5">
        <v>1</v>
      </c>
      <c r="H36" s="5">
        <v>1</v>
      </c>
      <c r="I36" s="5" t="s">
        <v>57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 t="s">
        <v>58</v>
      </c>
      <c r="S36" s="5" t="s">
        <v>58</v>
      </c>
      <c r="T36" s="5" t="s">
        <v>58</v>
      </c>
      <c r="U36" s="5" t="s">
        <v>58</v>
      </c>
      <c r="V36" s="5" t="s">
        <v>58</v>
      </c>
      <c r="W36" s="5">
        <v>1</v>
      </c>
      <c r="X36" s="5" t="s">
        <v>58</v>
      </c>
      <c r="Y36" s="5" t="s">
        <v>58</v>
      </c>
      <c r="Z36" s="5" t="s">
        <v>58</v>
      </c>
      <c r="AA36" s="5" t="s">
        <v>58</v>
      </c>
      <c r="AB36" s="5" t="s">
        <v>58</v>
      </c>
      <c r="AC36" s="5" t="s">
        <v>58</v>
      </c>
      <c r="AD36" s="5" t="s">
        <v>58</v>
      </c>
      <c r="AE36" s="5" t="s">
        <v>58</v>
      </c>
      <c r="AF36" s="5">
        <v>1</v>
      </c>
      <c r="AG36" s="5">
        <v>1</v>
      </c>
      <c r="AH36" s="5" t="s">
        <v>57</v>
      </c>
      <c r="AI36" s="5" t="s">
        <v>57</v>
      </c>
      <c r="AJ36" s="155">
        <f>COUNTA(E36:AI36)</f>
        <v>31</v>
      </c>
      <c r="AK36" s="54">
        <f>COUNTIF(E36:AI36,1)</f>
        <v>15</v>
      </c>
      <c r="AL36" s="54">
        <f>COUNTIF(E36:AI36,"тр")</f>
        <v>13</v>
      </c>
      <c r="AM36" s="55">
        <f>COUNTIF(E36:AI36,"бв")</f>
        <v>3</v>
      </c>
    </row>
    <row r="37" spans="1:39" ht="16.3" thickBot="1" x14ac:dyDescent="0.3">
      <c r="A37" s="44">
        <f t="shared" si="15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155">
        <f>COUNTA(E37:AI37)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 t="shared" ref="AK38:AM38" si="17">SUM(AK35:AK37)</f>
        <v>41</v>
      </c>
      <c r="AL38" s="69">
        <f t="shared" si="17"/>
        <v>44</v>
      </c>
      <c r="AM38" s="75">
        <f t="shared" si="17"/>
        <v>8</v>
      </c>
    </row>
    <row r="39" spans="1:39" ht="16.3" thickBot="1" x14ac:dyDescent="0.3">
      <c r="A39" s="159">
        <f>A37+1</f>
        <v>32</v>
      </c>
      <c r="B39" s="39" t="s">
        <v>55</v>
      </c>
      <c r="C39" s="40" t="s">
        <v>29</v>
      </c>
      <c r="D39" s="41">
        <v>3811</v>
      </c>
      <c r="E39" s="163" t="s">
        <v>58</v>
      </c>
      <c r="F39" s="117" t="s">
        <v>58</v>
      </c>
      <c r="G39" s="117" t="s">
        <v>58</v>
      </c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117"/>
      <c r="AI39" s="164"/>
      <c r="AJ39" s="160">
        <f>COUNTA(E39:AI39)</f>
        <v>3</v>
      </c>
      <c r="AK39" s="161">
        <f>COUNTIF(E39:AI39,1)</f>
        <v>0</v>
      </c>
      <c r="AL39" s="161">
        <f>COUNTIF(E39:AI39,"тр")</f>
        <v>3</v>
      </c>
      <c r="AM39" s="162">
        <f>COUNTIF(E39:AI39,"бв")</f>
        <v>0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SUM(AJ39)</f>
        <v>3</v>
      </c>
      <c r="AK40" s="69">
        <f t="shared" ref="AK40:AM40" si="18">SUM(AK39)</f>
        <v>0</v>
      </c>
      <c r="AL40" s="69">
        <f t="shared" si="18"/>
        <v>3</v>
      </c>
      <c r="AM40" s="75">
        <f t="shared" si="18"/>
        <v>0</v>
      </c>
    </row>
    <row r="41" spans="1:39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62" t="s">
        <v>58</v>
      </c>
      <c r="AH41" s="62" t="s">
        <v>58</v>
      </c>
      <c r="AI41" s="62" t="s">
        <v>58</v>
      </c>
      <c r="AJ41" s="155">
        <f>COUNTA(E41:AI41)</f>
        <v>31</v>
      </c>
      <c r="AK41" s="19">
        <f>COUNTIF(E41:AI41,1)</f>
        <v>0</v>
      </c>
      <c r="AL41" s="19">
        <f>COUNTIF(E41:AI41,"тр")</f>
        <v>31</v>
      </c>
      <c r="AM41" s="20">
        <f>COUNTIF(E41:AI41,"бв")</f>
        <v>0</v>
      </c>
    </row>
    <row r="42" spans="1:39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SUM(AJ41)</f>
        <v>31</v>
      </c>
      <c r="AK42" s="69">
        <f>SUM(AK41)</f>
        <v>0</v>
      </c>
      <c r="AL42" s="69">
        <f>SUM(AL41)</f>
        <v>31</v>
      </c>
      <c r="AM42" s="75">
        <f>SUM(AM41)</f>
        <v>0</v>
      </c>
    </row>
    <row r="43" spans="1:39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 t="s">
        <v>58</v>
      </c>
      <c r="G43" s="35" t="s">
        <v>58</v>
      </c>
      <c r="H43" s="35" t="s">
        <v>58</v>
      </c>
      <c r="I43" s="35" t="s">
        <v>58</v>
      </c>
      <c r="J43" s="35" t="s">
        <v>58</v>
      </c>
      <c r="K43" s="35" t="s">
        <v>58</v>
      </c>
      <c r="L43" s="35" t="s">
        <v>58</v>
      </c>
      <c r="M43" s="35" t="s">
        <v>58</v>
      </c>
      <c r="N43" s="35" t="s">
        <v>58</v>
      </c>
      <c r="O43" s="35" t="s">
        <v>58</v>
      </c>
      <c r="P43" s="35" t="s">
        <v>58</v>
      </c>
      <c r="Q43" s="35" t="s">
        <v>58</v>
      </c>
      <c r="R43" s="35" t="s">
        <v>58</v>
      </c>
      <c r="S43" s="35" t="s">
        <v>58</v>
      </c>
      <c r="T43" s="35" t="s">
        <v>58</v>
      </c>
      <c r="U43" s="35" t="s">
        <v>58</v>
      </c>
      <c r="V43" s="35" t="s">
        <v>58</v>
      </c>
      <c r="W43" s="35" t="s">
        <v>58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 t="s">
        <v>58</v>
      </c>
      <c r="AF43" s="35" t="s">
        <v>58</v>
      </c>
      <c r="AG43" s="35" t="s">
        <v>58</v>
      </c>
      <c r="AH43" s="35" t="s">
        <v>58</v>
      </c>
      <c r="AI43" s="35" t="s">
        <v>58</v>
      </c>
      <c r="AJ43" s="155">
        <f>COUNTA(E43:AI43)</f>
        <v>31</v>
      </c>
      <c r="AK43" s="17">
        <f>COUNTIF(E43:AI43,1)</f>
        <v>0</v>
      </c>
      <c r="AL43" s="17">
        <f>COUNTIF(E43:AI43,"тр")</f>
        <v>31</v>
      </c>
      <c r="AM43" s="18">
        <f>COUNTIF(E43:AI43,"бв")</f>
        <v>0</v>
      </c>
    </row>
    <row r="44" spans="1:39" x14ac:dyDescent="0.25">
      <c r="A44" s="11">
        <f t="shared" si="15"/>
        <v>35</v>
      </c>
      <c r="B44" s="12" t="s">
        <v>33</v>
      </c>
      <c r="C44" s="13" t="s">
        <v>34</v>
      </c>
      <c r="D44" s="22">
        <v>7945</v>
      </c>
      <c r="E44" s="7" t="s">
        <v>58</v>
      </c>
      <c r="F44" s="7">
        <v>1</v>
      </c>
      <c r="G44" s="7">
        <v>1</v>
      </c>
      <c r="H44" s="5">
        <v>1</v>
      </c>
      <c r="I44" s="5">
        <v>1</v>
      </c>
      <c r="J44" s="5">
        <v>1</v>
      </c>
      <c r="K44" s="5">
        <v>1</v>
      </c>
      <c r="L44" s="5" t="s">
        <v>58</v>
      </c>
      <c r="M44" s="5" t="s">
        <v>58</v>
      </c>
      <c r="N44" s="5" t="s">
        <v>58</v>
      </c>
      <c r="O44" s="5" t="s">
        <v>58</v>
      </c>
      <c r="P44" s="5" t="s">
        <v>58</v>
      </c>
      <c r="Q44" s="5">
        <v>1</v>
      </c>
      <c r="R44" s="5" t="s">
        <v>58</v>
      </c>
      <c r="S44" s="5" t="s">
        <v>58</v>
      </c>
      <c r="T44" s="5">
        <v>1</v>
      </c>
      <c r="U44" s="5" t="s">
        <v>57</v>
      </c>
      <c r="V44" s="5">
        <v>1</v>
      </c>
      <c r="W44" s="5">
        <v>1</v>
      </c>
      <c r="X44" s="5">
        <v>1</v>
      </c>
      <c r="Y44" s="5" t="s">
        <v>57</v>
      </c>
      <c r="Z44" s="5">
        <v>1</v>
      </c>
      <c r="AA44" s="5">
        <v>1</v>
      </c>
      <c r="AB44" s="5" t="s">
        <v>57</v>
      </c>
      <c r="AC44" s="5">
        <v>1</v>
      </c>
      <c r="AD44" s="5">
        <v>1</v>
      </c>
      <c r="AE44" s="5">
        <v>1</v>
      </c>
      <c r="AF44" s="5">
        <v>1</v>
      </c>
      <c r="AG44" s="5">
        <v>1</v>
      </c>
      <c r="AH44" s="5" t="s">
        <v>58</v>
      </c>
      <c r="AI44" s="5" t="s">
        <v>58</v>
      </c>
      <c r="AJ44" s="155">
        <f>COUNTA(E44:AI44)</f>
        <v>31</v>
      </c>
      <c r="AK44" s="54">
        <f>COUNTIF(E44:AI44,1)</f>
        <v>18</v>
      </c>
      <c r="AL44" s="54">
        <f>COUNTIF(E44:AI44,"тр")</f>
        <v>10</v>
      </c>
      <c r="AM44" s="55">
        <f>COUNTIF(E44:AI44,"бв")</f>
        <v>3</v>
      </c>
    </row>
    <row r="45" spans="1:39" ht="16.3" thickBot="1" x14ac:dyDescent="0.3">
      <c r="A45" s="44">
        <f t="shared" si="15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>
        <v>1</v>
      </c>
      <c r="I45" s="42" t="s">
        <v>58</v>
      </c>
      <c r="J45" s="42" t="s">
        <v>58</v>
      </c>
      <c r="K45" s="42">
        <v>1</v>
      </c>
      <c r="L45" s="42">
        <v>1</v>
      </c>
      <c r="M45" s="42" t="s">
        <v>57</v>
      </c>
      <c r="N45" s="42" t="s">
        <v>57</v>
      </c>
      <c r="O45" s="42" t="s">
        <v>57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42" t="s">
        <v>58</v>
      </c>
      <c r="AH45" s="42">
        <v>1</v>
      </c>
      <c r="AI45" s="42" t="s">
        <v>57</v>
      </c>
      <c r="AJ45" s="155">
        <f>COUNTA(E45:AI45)</f>
        <v>31</v>
      </c>
      <c r="AK45" s="56">
        <f>COUNTIF(E45:AI45,1)</f>
        <v>4</v>
      </c>
      <c r="AL45" s="56">
        <f>COUNTIF(E45:AI45,"тр")</f>
        <v>23</v>
      </c>
      <c r="AM45" s="57">
        <f>COUNTIF(E45:AI45,"бв")</f>
        <v>4</v>
      </c>
    </row>
    <row r="46" spans="1:39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77">
        <f>SUM(AJ43:AJ45)</f>
        <v>93</v>
      </c>
      <c r="AK46" s="69">
        <f t="shared" ref="AK46:AM46" si="19">SUM(AK43:AK45)</f>
        <v>22</v>
      </c>
      <c r="AL46" s="69">
        <f t="shared" si="19"/>
        <v>64</v>
      </c>
      <c r="AM46" s="75">
        <f t="shared" si="19"/>
        <v>7</v>
      </c>
    </row>
    <row r="47" spans="1:39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>
        <v>1</v>
      </c>
      <c r="S47" s="35">
        <v>1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>
        <v>1</v>
      </c>
      <c r="AE47" s="35">
        <v>1</v>
      </c>
      <c r="AF47" s="35">
        <v>1</v>
      </c>
      <c r="AG47" s="35">
        <v>1</v>
      </c>
      <c r="AH47" s="35">
        <v>1</v>
      </c>
      <c r="AI47" s="35">
        <v>1</v>
      </c>
      <c r="AJ47" s="155">
        <f t="shared" ref="AJ47:AJ53" si="20">COUNTA(E47:AI47)</f>
        <v>31</v>
      </c>
      <c r="AK47" s="17">
        <f t="shared" ref="AK47:AK53" si="21">COUNTIF(E47:AI47,1)</f>
        <v>31</v>
      </c>
      <c r="AL47" s="17">
        <f t="shared" ref="AL47:AL53" si="22">COUNTIF(E47:AI47,"тр")</f>
        <v>0</v>
      </c>
      <c r="AM47" s="18">
        <f t="shared" ref="AM47:AM53" si="23">COUNTIF(E47:AI47,"бв")</f>
        <v>0</v>
      </c>
    </row>
    <row r="48" spans="1:39" x14ac:dyDescent="0.25">
      <c r="A48" s="11">
        <f t="shared" si="15"/>
        <v>38</v>
      </c>
      <c r="B48" s="12" t="s">
        <v>54</v>
      </c>
      <c r="C48" s="13" t="s">
        <v>37</v>
      </c>
      <c r="D48" s="22">
        <v>4995</v>
      </c>
      <c r="E48" s="7" t="s">
        <v>58</v>
      </c>
      <c r="F48" s="5" t="s">
        <v>58</v>
      </c>
      <c r="G48" s="5" t="s">
        <v>58</v>
      </c>
      <c r="H48" s="5" t="s">
        <v>58</v>
      </c>
      <c r="I48" s="5" t="s">
        <v>58</v>
      </c>
      <c r="J48" s="5">
        <v>1</v>
      </c>
      <c r="K48" s="5" t="s">
        <v>58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5">
        <v>1</v>
      </c>
      <c r="AH48" s="5">
        <v>1</v>
      </c>
      <c r="AI48" s="5">
        <v>1</v>
      </c>
      <c r="AJ48" s="155">
        <f t="shared" si="20"/>
        <v>31</v>
      </c>
      <c r="AK48" s="54">
        <f t="shared" si="21"/>
        <v>24</v>
      </c>
      <c r="AL48" s="54">
        <f t="shared" si="22"/>
        <v>7</v>
      </c>
      <c r="AM48" s="55">
        <f t="shared" si="23"/>
        <v>0</v>
      </c>
    </row>
    <row r="49" spans="1:39" x14ac:dyDescent="0.25">
      <c r="A49" s="11">
        <f t="shared" si="15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 t="s">
        <v>57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20"/>
        <v>31</v>
      </c>
      <c r="AK49" s="54">
        <f t="shared" si="21"/>
        <v>29</v>
      </c>
      <c r="AL49" s="54">
        <f t="shared" si="22"/>
        <v>0</v>
      </c>
      <c r="AM49" s="55">
        <f t="shared" si="23"/>
        <v>2</v>
      </c>
    </row>
    <row r="50" spans="1:39" x14ac:dyDescent="0.25">
      <c r="A50" s="11">
        <f t="shared" si="15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 t="s">
        <v>57</v>
      </c>
      <c r="G50" s="5" t="s">
        <v>58</v>
      </c>
      <c r="H50" s="5">
        <v>1</v>
      </c>
      <c r="I50" s="5">
        <v>1</v>
      </c>
      <c r="J50" s="5">
        <v>1</v>
      </c>
      <c r="K50" s="5">
        <v>1</v>
      </c>
      <c r="L50" s="5" t="s">
        <v>57</v>
      </c>
      <c r="M50" s="5" t="s">
        <v>57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 t="s">
        <v>57</v>
      </c>
      <c r="U50" s="5" t="s">
        <v>57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 t="s">
        <v>57</v>
      </c>
      <c r="AB50" s="5">
        <v>1</v>
      </c>
      <c r="AC50" s="5">
        <v>1</v>
      </c>
      <c r="AD50" s="5">
        <v>1</v>
      </c>
      <c r="AE50" s="5" t="s">
        <v>58</v>
      </c>
      <c r="AF50" s="5">
        <v>1</v>
      </c>
      <c r="AG50" s="5" t="s">
        <v>57</v>
      </c>
      <c r="AH50" s="5" t="s">
        <v>57</v>
      </c>
      <c r="AI50" s="5">
        <v>1</v>
      </c>
      <c r="AJ50" s="155">
        <f t="shared" si="20"/>
        <v>31</v>
      </c>
      <c r="AK50" s="54">
        <f t="shared" si="21"/>
        <v>21</v>
      </c>
      <c r="AL50" s="54">
        <f t="shared" si="22"/>
        <v>2</v>
      </c>
      <c r="AM50" s="55">
        <f t="shared" si="23"/>
        <v>8</v>
      </c>
    </row>
    <row r="51" spans="1:39" x14ac:dyDescent="0.25">
      <c r="A51" s="11">
        <f t="shared" si="15"/>
        <v>41</v>
      </c>
      <c r="B51" s="12" t="s">
        <v>54</v>
      </c>
      <c r="C51" s="13" t="s">
        <v>40</v>
      </c>
      <c r="D51" s="22">
        <v>1297</v>
      </c>
      <c r="E51" s="7" t="s">
        <v>58</v>
      </c>
      <c r="F51" s="5" t="s">
        <v>58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 t="s">
        <v>57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155">
        <f t="shared" si="20"/>
        <v>31</v>
      </c>
      <c r="AK51" s="54">
        <f t="shared" si="21"/>
        <v>28</v>
      </c>
      <c r="AL51" s="54">
        <f t="shared" si="22"/>
        <v>2</v>
      </c>
      <c r="AM51" s="55">
        <f t="shared" si="23"/>
        <v>1</v>
      </c>
    </row>
    <row r="52" spans="1:39" x14ac:dyDescent="0.25">
      <c r="A52" s="11">
        <f t="shared" si="15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5">
        <v>1</v>
      </c>
      <c r="AH52" s="5">
        <v>1</v>
      </c>
      <c r="AI52" s="5">
        <v>1</v>
      </c>
      <c r="AJ52" s="155">
        <f t="shared" si="20"/>
        <v>31</v>
      </c>
      <c r="AK52" s="54">
        <f t="shared" si="21"/>
        <v>31</v>
      </c>
      <c r="AL52" s="54">
        <f t="shared" si="22"/>
        <v>0</v>
      </c>
      <c r="AM52" s="55">
        <f t="shared" si="23"/>
        <v>0</v>
      </c>
    </row>
    <row r="53" spans="1:39" ht="16.3" thickBot="1" x14ac:dyDescent="0.3">
      <c r="A53" s="44">
        <f t="shared" si="15"/>
        <v>43</v>
      </c>
      <c r="B53" s="39" t="s">
        <v>54</v>
      </c>
      <c r="C53" s="40" t="s">
        <v>42</v>
      </c>
      <c r="D53" s="41">
        <v>1344</v>
      </c>
      <c r="E53" s="43" t="s">
        <v>58</v>
      </c>
      <c r="F53" s="42" t="s">
        <v>58</v>
      </c>
      <c r="G53" s="42" t="s">
        <v>58</v>
      </c>
      <c r="H53" s="42" t="s">
        <v>58</v>
      </c>
      <c r="I53" s="42" t="s">
        <v>58</v>
      </c>
      <c r="J53" s="42" t="s">
        <v>58</v>
      </c>
      <c r="K53" s="42" t="s">
        <v>58</v>
      </c>
      <c r="L53" s="42" t="s">
        <v>58</v>
      </c>
      <c r="M53" s="42" t="s">
        <v>58</v>
      </c>
      <c r="N53" s="42" t="s">
        <v>58</v>
      </c>
      <c r="O53" s="42" t="s">
        <v>58</v>
      </c>
      <c r="P53" s="42" t="s">
        <v>58</v>
      </c>
      <c r="Q53" s="42" t="s">
        <v>58</v>
      </c>
      <c r="R53" s="42" t="s">
        <v>58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>
        <v>1</v>
      </c>
      <c r="AG53" s="42">
        <v>1</v>
      </c>
      <c r="AH53" s="42">
        <v>1</v>
      </c>
      <c r="AI53" s="42">
        <v>1</v>
      </c>
      <c r="AJ53" s="155">
        <f t="shared" si="20"/>
        <v>31</v>
      </c>
      <c r="AK53" s="56">
        <f t="shared" si="21"/>
        <v>13</v>
      </c>
      <c r="AL53" s="56">
        <f t="shared" si="22"/>
        <v>18</v>
      </c>
      <c r="AM53" s="57">
        <f t="shared" si="23"/>
        <v>0</v>
      </c>
    </row>
    <row r="54" spans="1:39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SUM(AJ47:AJ53)</f>
        <v>217</v>
      </c>
      <c r="AK54" s="69">
        <f>SUM(AK47:AK53)</f>
        <v>177</v>
      </c>
      <c r="AL54" s="69">
        <f>SUM(AL47:AL53)</f>
        <v>29</v>
      </c>
      <c r="AM54" s="75">
        <f>SUM(AM47:AM53)</f>
        <v>11</v>
      </c>
    </row>
    <row r="55" spans="1:39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 t="s">
        <v>57</v>
      </c>
      <c r="H55" s="42">
        <v>1</v>
      </c>
      <c r="I55" s="42">
        <v>1</v>
      </c>
      <c r="J55" s="42" t="s">
        <v>58</v>
      </c>
      <c r="K55" s="42">
        <v>1</v>
      </c>
      <c r="L55" s="42" t="s">
        <v>57</v>
      </c>
      <c r="M55" s="42" t="s">
        <v>57</v>
      </c>
      <c r="N55" s="42" t="s">
        <v>57</v>
      </c>
      <c r="O55" s="42">
        <v>1</v>
      </c>
      <c r="P55" s="42">
        <v>1</v>
      </c>
      <c r="Q55" s="42">
        <v>1</v>
      </c>
      <c r="R55" s="42" t="s">
        <v>57</v>
      </c>
      <c r="S55" s="42">
        <v>1</v>
      </c>
      <c r="T55" s="42">
        <v>1</v>
      </c>
      <c r="U55" s="42" t="s">
        <v>58</v>
      </c>
      <c r="V55" s="42" t="s">
        <v>58</v>
      </c>
      <c r="W55" s="42" t="s">
        <v>58</v>
      </c>
      <c r="X55" s="42" t="s">
        <v>58</v>
      </c>
      <c r="Y55" s="42" t="s">
        <v>58</v>
      </c>
      <c r="Z55" s="42" t="s">
        <v>58</v>
      </c>
      <c r="AA55" s="42" t="s">
        <v>58</v>
      </c>
      <c r="AB55" s="42" t="s">
        <v>58</v>
      </c>
      <c r="AC55" s="42" t="s">
        <v>58</v>
      </c>
      <c r="AD55" s="42">
        <v>1</v>
      </c>
      <c r="AE55" s="42">
        <v>1</v>
      </c>
      <c r="AF55" s="42" t="s">
        <v>58</v>
      </c>
      <c r="AG55" s="42">
        <v>1</v>
      </c>
      <c r="AH55" s="42" t="s">
        <v>57</v>
      </c>
      <c r="AI55" s="42" t="s">
        <v>57</v>
      </c>
      <c r="AJ55" s="155">
        <f>COUNTA(E55:AI55)</f>
        <v>31</v>
      </c>
      <c r="AK55" s="56">
        <f>COUNTIF(E55:AI55,1)</f>
        <v>13</v>
      </c>
      <c r="AL55" s="56">
        <f>COUNTIF(E55:AI55,"тр")</f>
        <v>11</v>
      </c>
      <c r="AM55" s="57">
        <f>COUNTIF(E55:AI55,"бв")</f>
        <v>7</v>
      </c>
    </row>
    <row r="56" spans="1:39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SUM(AJ55:AJ55)</f>
        <v>31</v>
      </c>
      <c r="AK56" s="69">
        <f>SUM(AK55:AK55)</f>
        <v>13</v>
      </c>
      <c r="AL56" s="69">
        <f>SUM(AL55:AL55)</f>
        <v>11</v>
      </c>
      <c r="AM56" s="75">
        <f>SUM(AM55:AM55)</f>
        <v>7</v>
      </c>
    </row>
    <row r="57" spans="1:39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 t="s">
        <v>57</v>
      </c>
      <c r="H57" s="92" t="s">
        <v>57</v>
      </c>
      <c r="I57" s="92">
        <v>1</v>
      </c>
      <c r="J57" s="92">
        <v>1</v>
      </c>
      <c r="K57" s="92">
        <v>1</v>
      </c>
      <c r="L57" s="92">
        <v>1</v>
      </c>
      <c r="M57" s="92">
        <v>1</v>
      </c>
      <c r="N57" s="92">
        <v>1</v>
      </c>
      <c r="O57" s="92">
        <v>1</v>
      </c>
      <c r="P57" s="92">
        <v>1</v>
      </c>
      <c r="Q57" s="92">
        <v>1</v>
      </c>
      <c r="R57" s="92">
        <v>1</v>
      </c>
      <c r="S57" s="92">
        <v>1</v>
      </c>
      <c r="T57" s="92">
        <v>1</v>
      </c>
      <c r="U57" s="92">
        <v>1</v>
      </c>
      <c r="V57" s="92">
        <v>1</v>
      </c>
      <c r="W57" s="92">
        <v>1</v>
      </c>
      <c r="X57" s="92">
        <v>1</v>
      </c>
      <c r="Y57" s="92">
        <v>1</v>
      </c>
      <c r="Z57" s="92">
        <v>1</v>
      </c>
      <c r="AA57" s="92">
        <v>1</v>
      </c>
      <c r="AB57" s="92">
        <v>1</v>
      </c>
      <c r="AC57" s="92">
        <v>1</v>
      </c>
      <c r="AD57" s="92">
        <v>1</v>
      </c>
      <c r="AE57" s="92">
        <v>1</v>
      </c>
      <c r="AF57" s="92">
        <v>1</v>
      </c>
      <c r="AG57" s="92">
        <v>1</v>
      </c>
      <c r="AH57" s="92">
        <v>1</v>
      </c>
      <c r="AI57" s="101">
        <v>1</v>
      </c>
      <c r="AJ57" s="152">
        <f>COUNTA(E57:AI57)</f>
        <v>31</v>
      </c>
      <c r="AK57" s="80">
        <f>COUNTIF(E57:AI57,1)</f>
        <v>29</v>
      </c>
      <c r="AL57" s="80">
        <f>COUNTIF(E57:AI57,"тр")</f>
        <v>0</v>
      </c>
      <c r="AM57" s="81">
        <f>COUNTIF(E57:AI57,"бв")</f>
        <v>2</v>
      </c>
    </row>
    <row r="58" spans="1:39" x14ac:dyDescent="0.25">
      <c r="A58" s="58">
        <f t="shared" si="15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 t="s">
        <v>57</v>
      </c>
      <c r="H58" s="42">
        <v>1</v>
      </c>
      <c r="I58" s="42">
        <v>1</v>
      </c>
      <c r="J58" s="42" t="s">
        <v>58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>
        <v>1</v>
      </c>
      <c r="AC58" s="42">
        <v>1</v>
      </c>
      <c r="AD58" s="42">
        <v>1</v>
      </c>
      <c r="AE58" s="42">
        <v>1</v>
      </c>
      <c r="AF58" s="42">
        <v>1</v>
      </c>
      <c r="AG58" s="42">
        <v>1</v>
      </c>
      <c r="AH58" s="42">
        <v>1</v>
      </c>
      <c r="AI58" s="126">
        <v>1</v>
      </c>
      <c r="AJ58" s="155">
        <f>COUNTA(E58:AI58)</f>
        <v>31</v>
      </c>
      <c r="AK58" s="56">
        <f>COUNTIF(E58:AI58,1)</f>
        <v>28</v>
      </c>
      <c r="AL58" s="56">
        <f>COUNTIF(E58:AI58,"тр")</f>
        <v>1</v>
      </c>
      <c r="AM58" s="57">
        <f>COUNTIF(E58:AI58,"бв")</f>
        <v>2</v>
      </c>
    </row>
    <row r="59" spans="1:39" ht="16.3" thickBot="1" x14ac:dyDescent="0.3">
      <c r="A59" s="107">
        <f t="shared" si="15"/>
        <v>47</v>
      </c>
      <c r="B59" s="108" t="s">
        <v>79</v>
      </c>
      <c r="C59" s="109" t="s">
        <v>77</v>
      </c>
      <c r="D59" s="110" t="s">
        <v>78</v>
      </c>
      <c r="E59" s="144">
        <v>1</v>
      </c>
      <c r="F59" s="97">
        <v>1</v>
      </c>
      <c r="G59" s="97">
        <v>1</v>
      </c>
      <c r="H59" s="97">
        <v>1</v>
      </c>
      <c r="I59" s="97">
        <v>1</v>
      </c>
      <c r="J59" s="97">
        <v>1</v>
      </c>
      <c r="K59" s="97">
        <v>1</v>
      </c>
      <c r="L59" s="97">
        <v>1</v>
      </c>
      <c r="M59" s="97" t="s">
        <v>57</v>
      </c>
      <c r="N59" s="97" t="s">
        <v>57</v>
      </c>
      <c r="O59" s="97">
        <v>1</v>
      </c>
      <c r="P59" s="97">
        <v>1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 t="s">
        <v>57</v>
      </c>
      <c r="W59" s="97" t="s">
        <v>57</v>
      </c>
      <c r="X59" s="97">
        <v>1</v>
      </c>
      <c r="Y59" s="97">
        <v>1</v>
      </c>
      <c r="Z59" s="97">
        <v>1</v>
      </c>
      <c r="AA59" s="97">
        <v>1</v>
      </c>
      <c r="AB59" s="97">
        <v>1</v>
      </c>
      <c r="AC59" s="97">
        <v>1</v>
      </c>
      <c r="AD59" s="97">
        <v>1</v>
      </c>
      <c r="AE59" s="97">
        <v>1</v>
      </c>
      <c r="AF59" s="97">
        <v>1</v>
      </c>
      <c r="AG59" s="97">
        <v>1</v>
      </c>
      <c r="AH59" s="97">
        <v>1</v>
      </c>
      <c r="AI59" s="102">
        <v>1</v>
      </c>
      <c r="AJ59" s="157">
        <f>COUNTA(E59:AI59)</f>
        <v>31</v>
      </c>
      <c r="AK59" s="84">
        <f>COUNTIF(E59:AI59,1)</f>
        <v>27</v>
      </c>
      <c r="AL59" s="84">
        <f>COUNTIF(E59:AI59,"тр")</f>
        <v>0</v>
      </c>
      <c r="AM59" s="85">
        <f>COUNTIF(E59:AI59,"бв")</f>
        <v>4</v>
      </c>
    </row>
    <row r="60" spans="1:39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124"/>
      <c r="AJ60" s="77">
        <f>SUM(AJ57:AJ59)</f>
        <v>93</v>
      </c>
      <c r="AK60" s="69">
        <f>SUM(AK57:AK59)</f>
        <v>84</v>
      </c>
      <c r="AL60" s="69">
        <f>SUM(AL57:AL59)</f>
        <v>1</v>
      </c>
      <c r="AM60" s="75">
        <f>SUM(AM57:AM59)</f>
        <v>8</v>
      </c>
    </row>
    <row r="61" spans="1:39" s="33" customFormat="1" x14ac:dyDescent="0.25">
      <c r="A61" s="145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AJ6+AJ26+AJ34+AJ38+AJ40+AJ42+AJ46+AJ54+AJ56+AJ60</f>
        <v>1373</v>
      </c>
      <c r="AK61" s="53"/>
      <c r="AL61" s="53"/>
      <c r="AM61" s="53"/>
    </row>
    <row r="62" spans="1:39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5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Апрель 2019 автоколонны № 2 г. Смолевичи</v>
      </c>
      <c r="B63" s="165"/>
      <c r="C63" s="165"/>
      <c r="D63" s="165"/>
      <c r="E63" s="165"/>
      <c r="F63" s="165"/>
      <c r="G63" s="165"/>
      <c r="H63" s="165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5"/>
      <c r="W63" s="165"/>
      <c r="X63" s="165"/>
      <c r="Y63" s="165"/>
      <c r="Z63" s="165"/>
      <c r="AA63" s="165"/>
      <c r="AB63" s="165"/>
      <c r="AC63" s="165"/>
      <c r="AD63" s="165"/>
      <c r="AE63" s="165"/>
      <c r="AF63" s="165"/>
      <c r="AG63" s="165"/>
      <c r="AH63" s="165"/>
      <c r="AI63" s="165"/>
      <c r="AJ63" s="165"/>
      <c r="AK63" s="165"/>
      <c r="AL63" s="165"/>
      <c r="AM63" s="165"/>
    </row>
    <row r="64" spans="1:39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30">
        <v>31</v>
      </c>
      <c r="AJ64" s="131" t="s">
        <v>62</v>
      </c>
      <c r="AK64" s="132" t="s">
        <v>61</v>
      </c>
      <c r="AL64" s="132" t="s">
        <v>58</v>
      </c>
      <c r="AM64" s="133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101">
        <v>1</v>
      </c>
      <c r="AJ65" s="152">
        <f t="shared" ref="AJ65:AJ67" si="24">COUNTA(E65:AI65)</f>
        <v>31</v>
      </c>
      <c r="AK65" s="80">
        <f>COUNTIF(E65:AI65,1)</f>
        <v>31</v>
      </c>
      <c r="AL65" s="80">
        <f>COUNTIF(E65:AI65,"тр")</f>
        <v>0</v>
      </c>
      <c r="AM65" s="81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 t="s">
        <v>58</v>
      </c>
      <c r="Q66" s="5" t="s">
        <v>58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78">
        <v>1</v>
      </c>
      <c r="AJ66" s="153">
        <f t="shared" si="24"/>
        <v>31</v>
      </c>
      <c r="AK66" s="54">
        <f>COUNTIF(E66:AI66,1)</f>
        <v>29</v>
      </c>
      <c r="AL66" s="54">
        <f>COUNTIF(E66:AI66,"тр")</f>
        <v>2</v>
      </c>
      <c r="AM66" s="55">
        <f>COUNTIF(E66:AI66,"бв")</f>
        <v>0</v>
      </c>
    </row>
    <row r="67" spans="1:39" x14ac:dyDescent="0.25">
      <c r="A67" s="11">
        <f t="shared" ref="A67:A68" si="25">A66+1</f>
        <v>3</v>
      </c>
      <c r="B67" s="12" t="s">
        <v>43</v>
      </c>
      <c r="C67" s="13" t="s">
        <v>44</v>
      </c>
      <c r="D67" s="22">
        <v>1250</v>
      </c>
      <c r="E67" s="7">
        <v>1</v>
      </c>
      <c r="F67" s="5">
        <v>1</v>
      </c>
      <c r="G67" s="5" t="s">
        <v>57</v>
      </c>
      <c r="H67" s="5">
        <v>1</v>
      </c>
      <c r="I67" s="5">
        <v>1</v>
      </c>
      <c r="J67" s="5">
        <v>1</v>
      </c>
      <c r="K67" s="5" t="s">
        <v>58</v>
      </c>
      <c r="L67" s="5">
        <v>1</v>
      </c>
      <c r="M67" s="5">
        <v>1</v>
      </c>
      <c r="N67" s="5">
        <v>1</v>
      </c>
      <c r="O67" s="5" t="s">
        <v>57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5">
        <v>1</v>
      </c>
      <c r="AG67" s="5">
        <v>1</v>
      </c>
      <c r="AH67" s="5" t="s">
        <v>57</v>
      </c>
      <c r="AI67" s="78" t="s">
        <v>57</v>
      </c>
      <c r="AJ67" s="153">
        <f t="shared" si="24"/>
        <v>31</v>
      </c>
      <c r="AK67" s="54">
        <f>COUNTIF(E67:AI67,1)</f>
        <v>22</v>
      </c>
      <c r="AL67" s="54">
        <f>COUNTIF(E67:AI67,"тр")</f>
        <v>1</v>
      </c>
      <c r="AM67" s="55">
        <f>COUNTIF(E67:AI67,"бв")</f>
        <v>8</v>
      </c>
    </row>
    <row r="68" spans="1:39" ht="16.3" thickBot="1" x14ac:dyDescent="0.3">
      <c r="A68" s="107">
        <f t="shared" si="25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97" t="s">
        <v>58</v>
      </c>
      <c r="AG68" s="97" t="s">
        <v>58</v>
      </c>
      <c r="AH68" s="97" t="s">
        <v>58</v>
      </c>
      <c r="AI68" s="102" t="s">
        <v>58</v>
      </c>
      <c r="AJ68" s="154">
        <f>COUNTA(E68:AI68)</f>
        <v>31</v>
      </c>
      <c r="AK68" s="84">
        <f>COUNTIF(E68:AI68,1)</f>
        <v>0</v>
      </c>
      <c r="AL68" s="84">
        <f>COUNTIF(E68:AI68,"тр")</f>
        <v>31</v>
      </c>
      <c r="AM68" s="85">
        <f>COUNTIF(E68:AI68,"бв")</f>
        <v>0</v>
      </c>
    </row>
    <row r="69" spans="1:39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49"/>
      <c r="AH69" s="149"/>
      <c r="AI69" s="149"/>
      <c r="AJ69" s="134">
        <f>SUM(AJ65:AJ68)</f>
        <v>124</v>
      </c>
      <c r="AK69" s="135">
        <f t="shared" ref="AK69:AM69" si="26">SUM(AK65:AK68)</f>
        <v>82</v>
      </c>
      <c r="AL69" s="135">
        <f t="shared" si="26"/>
        <v>34</v>
      </c>
      <c r="AM69" s="136">
        <f t="shared" si="26"/>
        <v>8</v>
      </c>
    </row>
    <row r="70" spans="1:39" s="33" customFormat="1" x14ac:dyDescent="0.25">
      <c r="A70" s="145"/>
      <c r="B70" s="49"/>
      <c r="C70" s="50"/>
      <c r="D70" s="50"/>
      <c r="Y70" s="51" t="s">
        <v>68</v>
      </c>
      <c r="AJ70" s="76">
        <f>AJ69</f>
        <v>124</v>
      </c>
    </row>
    <row r="72" spans="1:39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M61"/>
  <mergeCells count="2">
    <mergeCell ref="A1:AM1"/>
    <mergeCell ref="A63:AM63"/>
  </mergeCells>
  <conditionalFormatting sqref="AK6:AM6 AJ26:AM26 AJ34:AM34 AJ40:AM40 AJ42:AM42 AJ46:AM46 AJ54:AM54 AJ56:AM56 AJ60:AM60 AJ69:AM69 E27:AJ33 E47:AJ53 E55:AJ55 E57:AJ59 E35:AJ37 E41:AJ41 E43:AJ45 E65:AJ68 E7:AJ25 E4:AI5 AJ4:AJ6 E39:AJ39">
    <cfRule type="containsBlanks" dxfId="2" priority="2">
      <formula>LEN(TRIM(E4))=0</formula>
    </cfRule>
  </conditionalFormatting>
  <conditionalFormatting sqref="AJ38:AM38">
    <cfRule type="containsBlanks" dxfId="1" priority="1">
      <formula>LEN(TRIM(AJ38))=0</formula>
    </cfRule>
  </conditionalFormatting>
  <pageMargins left="0.23622047244094491" right="0.23622047244094491" top="0.74803149606299213" bottom="0.84" header="0.31496062992125984" footer="0.31496062992125984"/>
  <pageSetup paperSize="9" scale="78" fitToHeight="0" orientation="landscape" verticalDpi="0" r:id="rId1"/>
  <ignoredErrors>
    <ignoredError sqref="AJ56:AM56 AJ54:AM54 AJ42:AM42 AJ34 AJ26 AJ6:AM6 AJ38:AM38 AK34:AM34 AJ40:AM40 AJ41:AM41 AJ46:AM46 A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L68"/>
  <sheetViews>
    <sheetView tabSelected="1" zoomScale="90" zoomScaleNormal="90" workbookViewId="0">
      <pane xSplit="4" ySplit="3" topLeftCell="E40" activePane="bottomRight" state="frozen"/>
      <selection pane="topRight" activeCell="E1" sqref="E1"/>
      <selection pane="bottomLeft" activeCell="A4" sqref="A4"/>
      <selection pane="bottomRight" activeCell="AB45" sqref="AB45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65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Апрель 2019 автоколонны № 1 г. Жодино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58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 t="s">
        <v>58</v>
      </c>
      <c r="N4" s="42">
        <v>1</v>
      </c>
      <c r="O4" s="42">
        <v>1</v>
      </c>
      <c r="P4" s="42">
        <v>1</v>
      </c>
      <c r="Q4" s="42" t="s">
        <v>57</v>
      </c>
      <c r="R4" s="42" t="s">
        <v>57</v>
      </c>
      <c r="S4" s="42">
        <v>1</v>
      </c>
      <c r="T4" s="42">
        <v>1</v>
      </c>
      <c r="U4" s="42">
        <v>1</v>
      </c>
      <c r="V4" s="42">
        <v>1</v>
      </c>
      <c r="W4" s="42">
        <v>1</v>
      </c>
      <c r="X4" s="42" t="s">
        <v>57</v>
      </c>
      <c r="Y4" s="42" t="s">
        <v>57</v>
      </c>
      <c r="Z4" s="42">
        <v>1</v>
      </c>
      <c r="AA4" s="42" t="s">
        <v>58</v>
      </c>
      <c r="AB4" s="42">
        <v>1</v>
      </c>
      <c r="AC4" s="42"/>
      <c r="AD4" s="42"/>
      <c r="AE4" s="42"/>
      <c r="AF4" s="42"/>
      <c r="AG4" s="42"/>
      <c r="AH4" s="42"/>
      <c r="AI4" s="156">
        <f>COUNTA(E4:AH4)</f>
        <v>24</v>
      </c>
      <c r="AJ4" s="56">
        <f>COUNTIF(E4:AH4,1)</f>
        <v>10</v>
      </c>
      <c r="AK4" s="56">
        <f>COUNTIF(E4:AH4,"тр")</f>
        <v>10</v>
      </c>
      <c r="AL4" s="57">
        <f>COUNTIF(E4:AH4,"бв")</f>
        <v>4</v>
      </c>
    </row>
    <row r="5" spans="1:38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77">
        <f>SUM(AI4:AI4)</f>
        <v>24</v>
      </c>
      <c r="AJ5" s="70">
        <f>SUM(AJ4:AJ4)</f>
        <v>10</v>
      </c>
      <c r="AK5" s="70">
        <f>SUM(AK4:AK4)</f>
        <v>10</v>
      </c>
      <c r="AL5" s="71">
        <f>SUM(AL4:AL4)</f>
        <v>4</v>
      </c>
    </row>
    <row r="6" spans="1:38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1" t="s">
        <v>58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 t="s">
        <v>57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57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 t="s">
        <v>57</v>
      </c>
      <c r="Y6" s="5" t="s">
        <v>57</v>
      </c>
      <c r="Z6" s="5" t="s">
        <v>57</v>
      </c>
      <c r="AA6" s="5">
        <v>1</v>
      </c>
      <c r="AB6" s="5">
        <v>1</v>
      </c>
      <c r="AC6" s="5"/>
      <c r="AD6" s="5"/>
      <c r="AE6" s="5"/>
      <c r="AF6" s="5"/>
      <c r="AG6" s="5"/>
      <c r="AH6" s="5"/>
      <c r="AI6" s="155">
        <f t="shared" ref="AI6:AI23" si="0">COUNTA(E6:AH6)</f>
        <v>24</v>
      </c>
      <c r="AJ6" s="17">
        <f t="shared" ref="AJ6:AJ23" si="1">COUNTIF(E6:AH6,1)</f>
        <v>18</v>
      </c>
      <c r="AK6" s="17">
        <f t="shared" ref="AK6:AK23" si="2">COUNTIF(E6:AH6,"тр")</f>
        <v>1</v>
      </c>
      <c r="AL6" s="18">
        <f t="shared" ref="AL6:AL23" si="3">COUNTIF(E6:AH6,"бв")</f>
        <v>5</v>
      </c>
    </row>
    <row r="7" spans="1:38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>
        <v>1</v>
      </c>
      <c r="L7" s="5" t="s">
        <v>58</v>
      </c>
      <c r="M7" s="5" t="s">
        <v>58</v>
      </c>
      <c r="N7" s="5">
        <v>1</v>
      </c>
      <c r="O7" s="5" t="s">
        <v>58</v>
      </c>
      <c r="P7" s="5" t="s">
        <v>58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/>
      <c r="AD7" s="5"/>
      <c r="AE7" s="5"/>
      <c r="AF7" s="5"/>
      <c r="AG7" s="5"/>
      <c r="AH7" s="5"/>
      <c r="AI7" s="153">
        <f t="shared" si="0"/>
        <v>24</v>
      </c>
      <c r="AJ7" s="54">
        <f t="shared" si="1"/>
        <v>20</v>
      </c>
      <c r="AK7" s="54">
        <f t="shared" si="2"/>
        <v>4</v>
      </c>
      <c r="AL7" s="55">
        <f t="shared" si="3"/>
        <v>0</v>
      </c>
    </row>
    <row r="8" spans="1:38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 t="s">
        <v>57</v>
      </c>
      <c r="F8" s="7" t="s">
        <v>57</v>
      </c>
      <c r="G8" s="7">
        <v>1</v>
      </c>
      <c r="H8" s="5">
        <v>1</v>
      </c>
      <c r="I8" s="5">
        <v>1</v>
      </c>
      <c r="J8" s="5" t="s">
        <v>58</v>
      </c>
      <c r="K8" s="5" t="s">
        <v>57</v>
      </c>
      <c r="L8" s="5" t="s">
        <v>58</v>
      </c>
      <c r="M8" s="5">
        <v>1</v>
      </c>
      <c r="N8" s="5" t="s">
        <v>58</v>
      </c>
      <c r="O8" s="5" t="s">
        <v>58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>
        <v>1</v>
      </c>
      <c r="AB8" s="5">
        <v>1</v>
      </c>
      <c r="AC8" s="5"/>
      <c r="AD8" s="5"/>
      <c r="AE8" s="5"/>
      <c r="AF8" s="5"/>
      <c r="AG8" s="5"/>
      <c r="AH8" s="5"/>
      <c r="AI8" s="153">
        <f t="shared" si="0"/>
        <v>24</v>
      </c>
      <c r="AJ8" s="54">
        <f t="shared" si="1"/>
        <v>16</v>
      </c>
      <c r="AK8" s="54">
        <f t="shared" si="2"/>
        <v>4</v>
      </c>
      <c r="AL8" s="55">
        <f t="shared" si="3"/>
        <v>4</v>
      </c>
    </row>
    <row r="9" spans="1:38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>
        <v>1</v>
      </c>
      <c r="Y9" s="5">
        <v>1</v>
      </c>
      <c r="Z9" s="5">
        <v>1</v>
      </c>
      <c r="AA9" s="5">
        <v>1</v>
      </c>
      <c r="AB9" s="5">
        <v>1</v>
      </c>
      <c r="AC9" s="5"/>
      <c r="AD9" s="5"/>
      <c r="AE9" s="5"/>
      <c r="AF9" s="5"/>
      <c r="AG9" s="5"/>
      <c r="AH9" s="5"/>
      <c r="AI9" s="153">
        <f t="shared" si="0"/>
        <v>24</v>
      </c>
      <c r="AJ9" s="54">
        <f t="shared" si="1"/>
        <v>13</v>
      </c>
      <c r="AK9" s="54">
        <f t="shared" si="2"/>
        <v>11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>
        <v>1</v>
      </c>
      <c r="F10" s="7">
        <v>1</v>
      </c>
      <c r="G10" s="5">
        <v>1</v>
      </c>
      <c r="H10" s="5">
        <v>1</v>
      </c>
      <c r="I10" s="5">
        <v>1</v>
      </c>
      <c r="J10" s="5" t="s">
        <v>57</v>
      </c>
      <c r="K10" s="5" t="s">
        <v>57</v>
      </c>
      <c r="L10" s="5">
        <v>1</v>
      </c>
      <c r="M10" s="5">
        <v>1</v>
      </c>
      <c r="N10" s="5">
        <v>1</v>
      </c>
      <c r="O10" s="5" t="s">
        <v>58</v>
      </c>
      <c r="P10" s="5" t="s">
        <v>58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 t="s">
        <v>57</v>
      </c>
      <c r="AA10" s="5">
        <v>1</v>
      </c>
      <c r="AB10" s="5" t="s">
        <v>58</v>
      </c>
      <c r="AC10" s="5"/>
      <c r="AD10" s="5"/>
      <c r="AE10" s="5"/>
      <c r="AF10" s="5"/>
      <c r="AG10" s="5"/>
      <c r="AH10" s="5"/>
      <c r="AI10" s="153">
        <f t="shared" si="0"/>
        <v>24</v>
      </c>
      <c r="AJ10" s="54">
        <f t="shared" si="1"/>
        <v>18</v>
      </c>
      <c r="AK10" s="54">
        <f t="shared" si="2"/>
        <v>3</v>
      </c>
      <c r="AL10" s="55">
        <f t="shared" si="3"/>
        <v>3</v>
      </c>
    </row>
    <row r="11" spans="1:38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 t="s">
        <v>58</v>
      </c>
      <c r="G11" s="5" t="s">
        <v>58</v>
      </c>
      <c r="H11" s="5" t="s">
        <v>58</v>
      </c>
      <c r="I11" s="5" t="s">
        <v>57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 t="s">
        <v>57</v>
      </c>
      <c r="AC11" s="5"/>
      <c r="AD11" s="5"/>
      <c r="AE11" s="5"/>
      <c r="AF11" s="5"/>
      <c r="AG11" s="5"/>
      <c r="AH11" s="5"/>
      <c r="AI11" s="153">
        <f t="shared" si="0"/>
        <v>24</v>
      </c>
      <c r="AJ11" s="54">
        <f t="shared" si="1"/>
        <v>19</v>
      </c>
      <c r="AK11" s="54">
        <f t="shared" si="2"/>
        <v>3</v>
      </c>
      <c r="AL11" s="55">
        <f t="shared" si="3"/>
        <v>2</v>
      </c>
    </row>
    <row r="12" spans="1:38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 t="s">
        <v>57</v>
      </c>
      <c r="J12" s="5" t="s">
        <v>57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 t="s">
        <v>58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>
        <v>1</v>
      </c>
      <c r="AB12" s="5">
        <v>1</v>
      </c>
      <c r="AC12" s="5"/>
      <c r="AD12" s="5"/>
      <c r="AE12" s="5"/>
      <c r="AF12" s="5"/>
      <c r="AG12" s="5"/>
      <c r="AH12" s="5"/>
      <c r="AI12" s="153">
        <f t="shared" si="0"/>
        <v>24</v>
      </c>
      <c r="AJ12" s="54">
        <f t="shared" si="1"/>
        <v>19</v>
      </c>
      <c r="AK12" s="54">
        <f t="shared" si="2"/>
        <v>1</v>
      </c>
      <c r="AL12" s="55">
        <f t="shared" si="3"/>
        <v>4</v>
      </c>
    </row>
    <row r="13" spans="1:38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/>
      <c r="AD13" s="5"/>
      <c r="AE13" s="5"/>
      <c r="AF13" s="5"/>
      <c r="AG13" s="5"/>
      <c r="AH13" s="5"/>
      <c r="AI13" s="153">
        <f t="shared" si="0"/>
        <v>24</v>
      </c>
      <c r="AJ13" s="54">
        <f t="shared" si="1"/>
        <v>24</v>
      </c>
      <c r="AK13" s="54">
        <f t="shared" si="2"/>
        <v>0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 t="s">
        <v>58</v>
      </c>
      <c r="AB14" s="5" t="s">
        <v>58</v>
      </c>
      <c r="AC14" s="5"/>
      <c r="AD14" s="5"/>
      <c r="AE14" s="5"/>
      <c r="AF14" s="5"/>
      <c r="AG14" s="5"/>
      <c r="AH14" s="5"/>
      <c r="AI14" s="153">
        <f t="shared" si="0"/>
        <v>24</v>
      </c>
      <c r="AJ14" s="54">
        <f t="shared" si="1"/>
        <v>21</v>
      </c>
      <c r="AK14" s="54">
        <f t="shared" si="2"/>
        <v>3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/>
      <c r="AD15" s="5"/>
      <c r="AE15" s="5"/>
      <c r="AF15" s="5"/>
      <c r="AG15" s="5"/>
      <c r="AH15" s="5"/>
      <c r="AI15" s="153">
        <f t="shared" si="0"/>
        <v>24</v>
      </c>
      <c r="AJ15" s="54">
        <f t="shared" si="1"/>
        <v>23</v>
      </c>
      <c r="AK15" s="54">
        <f t="shared" si="2"/>
        <v>0</v>
      </c>
      <c r="AL15" s="55">
        <f t="shared" si="3"/>
        <v>1</v>
      </c>
    </row>
    <row r="16" spans="1:38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58</v>
      </c>
      <c r="W16" s="5" t="s">
        <v>58</v>
      </c>
      <c r="X16" s="5" t="s">
        <v>58</v>
      </c>
      <c r="Y16" s="5" t="s">
        <v>58</v>
      </c>
      <c r="Z16" s="5" t="s">
        <v>58</v>
      </c>
      <c r="AA16" s="5" t="s">
        <v>58</v>
      </c>
      <c r="AB16" s="5">
        <v>1</v>
      </c>
      <c r="AC16" s="5"/>
      <c r="AD16" s="5"/>
      <c r="AE16" s="5"/>
      <c r="AF16" s="5"/>
      <c r="AG16" s="5"/>
      <c r="AH16" s="5"/>
      <c r="AI16" s="153">
        <f t="shared" si="0"/>
        <v>24</v>
      </c>
      <c r="AJ16" s="54">
        <f t="shared" si="1"/>
        <v>18</v>
      </c>
      <c r="AK16" s="54">
        <f t="shared" si="2"/>
        <v>6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>
        <v>1</v>
      </c>
      <c r="H17" s="5">
        <v>1</v>
      </c>
      <c r="I17" s="5">
        <v>1</v>
      </c>
      <c r="J17" s="5" t="s">
        <v>57</v>
      </c>
      <c r="K17" s="5" t="s">
        <v>57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 t="s">
        <v>57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 t="s">
        <v>57</v>
      </c>
      <c r="Z17" s="5">
        <v>1</v>
      </c>
      <c r="AA17" s="5">
        <v>1</v>
      </c>
      <c r="AB17" s="5">
        <v>1</v>
      </c>
      <c r="AC17" s="5"/>
      <c r="AD17" s="5"/>
      <c r="AE17" s="5"/>
      <c r="AF17" s="5"/>
      <c r="AG17" s="5"/>
      <c r="AH17" s="5"/>
      <c r="AI17" s="153">
        <f t="shared" si="0"/>
        <v>24</v>
      </c>
      <c r="AJ17" s="54">
        <f t="shared" si="1"/>
        <v>20</v>
      </c>
      <c r="AK17" s="54">
        <f t="shared" si="2"/>
        <v>0</v>
      </c>
      <c r="AL17" s="55">
        <f t="shared" si="3"/>
        <v>4</v>
      </c>
    </row>
    <row r="18" spans="1:38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/>
      <c r="AD18" s="5"/>
      <c r="AE18" s="5"/>
      <c r="AF18" s="5"/>
      <c r="AG18" s="5"/>
      <c r="AH18" s="5"/>
      <c r="AI18" s="153">
        <f t="shared" si="0"/>
        <v>24</v>
      </c>
      <c r="AJ18" s="54">
        <f t="shared" si="1"/>
        <v>24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/>
      <c r="AD19" s="5"/>
      <c r="AE19" s="5"/>
      <c r="AF19" s="5"/>
      <c r="AG19" s="5"/>
      <c r="AH19" s="5"/>
      <c r="AI19" s="153">
        <f t="shared" si="0"/>
        <v>24</v>
      </c>
      <c r="AJ19" s="54">
        <f t="shared" si="1"/>
        <v>24</v>
      </c>
      <c r="AK19" s="54">
        <f t="shared" si="2"/>
        <v>0</v>
      </c>
      <c r="AL19" s="55">
        <f t="shared" si="3"/>
        <v>0</v>
      </c>
    </row>
    <row r="20" spans="1:38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 t="s">
        <v>57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 t="s">
        <v>57</v>
      </c>
      <c r="R20" s="5" t="s">
        <v>57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 t="s">
        <v>57</v>
      </c>
      <c r="Y20" s="5" t="s">
        <v>57</v>
      </c>
      <c r="Z20" s="5">
        <v>1</v>
      </c>
      <c r="AA20" s="5">
        <v>1</v>
      </c>
      <c r="AB20" s="5">
        <v>1</v>
      </c>
      <c r="AC20" s="5"/>
      <c r="AD20" s="5"/>
      <c r="AE20" s="5"/>
      <c r="AF20" s="5"/>
      <c r="AG20" s="5"/>
      <c r="AH20" s="5"/>
      <c r="AI20" s="153">
        <f t="shared" si="0"/>
        <v>24</v>
      </c>
      <c r="AJ20" s="54">
        <f t="shared" si="1"/>
        <v>19</v>
      </c>
      <c r="AK20" s="54">
        <f t="shared" si="2"/>
        <v>0</v>
      </c>
      <c r="AL20" s="55">
        <f t="shared" si="3"/>
        <v>5</v>
      </c>
    </row>
    <row r="21" spans="1:38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 t="s">
        <v>58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5" t="s">
        <v>58</v>
      </c>
      <c r="AI21" s="153">
        <f t="shared" si="0"/>
        <v>30</v>
      </c>
      <c r="AJ21" s="54">
        <f t="shared" si="1"/>
        <v>0</v>
      </c>
      <c r="AK21" s="54">
        <f t="shared" si="2"/>
        <v>30</v>
      </c>
      <c r="AL21" s="55">
        <f t="shared" si="3"/>
        <v>0</v>
      </c>
    </row>
    <row r="22" spans="1:38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>
        <v>1</v>
      </c>
      <c r="AB22" s="5">
        <v>1</v>
      </c>
      <c r="AC22" s="5"/>
      <c r="AD22" s="5"/>
      <c r="AE22" s="5"/>
      <c r="AF22" s="5"/>
      <c r="AG22" s="5"/>
      <c r="AH22" s="5"/>
      <c r="AI22" s="153">
        <f t="shared" si="0"/>
        <v>24</v>
      </c>
      <c r="AJ22" s="54">
        <f t="shared" si="1"/>
        <v>24</v>
      </c>
      <c r="AK22" s="54">
        <f t="shared" si="2"/>
        <v>0</v>
      </c>
      <c r="AL22" s="55">
        <f t="shared" si="3"/>
        <v>0</v>
      </c>
    </row>
    <row r="23" spans="1:38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>
        <v>1</v>
      </c>
      <c r="G23" s="97">
        <v>1</v>
      </c>
      <c r="H23" s="97" t="s">
        <v>57</v>
      </c>
      <c r="I23" s="97">
        <v>1</v>
      </c>
      <c r="J23" s="97" t="s">
        <v>57</v>
      </c>
      <c r="K23" s="97" t="s">
        <v>57</v>
      </c>
      <c r="L23" s="97">
        <v>1</v>
      </c>
      <c r="M23" s="97">
        <v>1</v>
      </c>
      <c r="N23" s="97">
        <v>1</v>
      </c>
      <c r="O23" s="97">
        <v>1</v>
      </c>
      <c r="P23" s="97">
        <v>1</v>
      </c>
      <c r="Q23" s="97">
        <v>1</v>
      </c>
      <c r="R23" s="97">
        <v>1</v>
      </c>
      <c r="S23" s="97">
        <v>1</v>
      </c>
      <c r="T23" s="97">
        <v>1</v>
      </c>
      <c r="U23" s="97">
        <v>1</v>
      </c>
      <c r="V23" s="97">
        <v>1</v>
      </c>
      <c r="W23" s="97">
        <v>1</v>
      </c>
      <c r="X23" s="97" t="s">
        <v>58</v>
      </c>
      <c r="Y23" s="97" t="s">
        <v>58</v>
      </c>
      <c r="Z23" s="97" t="s">
        <v>58</v>
      </c>
      <c r="AA23" s="97">
        <v>1</v>
      </c>
      <c r="AB23" s="97">
        <v>1</v>
      </c>
      <c r="AC23" s="97"/>
      <c r="AD23" s="97"/>
      <c r="AE23" s="97"/>
      <c r="AF23" s="97"/>
      <c r="AG23" s="97"/>
      <c r="AH23" s="97"/>
      <c r="AI23" s="154">
        <f t="shared" si="0"/>
        <v>24</v>
      </c>
      <c r="AJ23" s="84">
        <f t="shared" si="1"/>
        <v>18</v>
      </c>
      <c r="AK23" s="84">
        <f t="shared" si="2"/>
        <v>3</v>
      </c>
      <c r="AL23" s="85">
        <f t="shared" si="3"/>
        <v>3</v>
      </c>
    </row>
    <row r="24" spans="1:38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140">
        <f>SUM(AI6:AI23)</f>
        <v>438</v>
      </c>
      <c r="AJ24" s="141">
        <f>SUM(AJ6:AJ23)</f>
        <v>338</v>
      </c>
      <c r="AK24" s="141">
        <f>SUM(AK6:AK23)</f>
        <v>69</v>
      </c>
      <c r="AL24" s="142">
        <f>SUM(AL6:AL23)</f>
        <v>31</v>
      </c>
    </row>
    <row r="25" spans="1:38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>
        <v>1</v>
      </c>
      <c r="G25" s="35">
        <v>1</v>
      </c>
      <c r="H25" s="35">
        <v>1</v>
      </c>
      <c r="I25" s="35" t="s">
        <v>57</v>
      </c>
      <c r="J25" s="35" t="s">
        <v>57</v>
      </c>
      <c r="K25" s="35">
        <v>1</v>
      </c>
      <c r="L25" s="35">
        <v>1</v>
      </c>
      <c r="M25" s="35">
        <v>1</v>
      </c>
      <c r="N25" s="35">
        <v>1</v>
      </c>
      <c r="O25" s="35">
        <v>1</v>
      </c>
      <c r="P25" s="35">
        <v>1</v>
      </c>
      <c r="Q25" s="35" t="s">
        <v>57</v>
      </c>
      <c r="R25" s="35" t="s">
        <v>57</v>
      </c>
      <c r="S25" s="35">
        <v>1</v>
      </c>
      <c r="T25" s="35">
        <v>1</v>
      </c>
      <c r="U25" s="35">
        <v>1</v>
      </c>
      <c r="V25" s="35" t="s">
        <v>58</v>
      </c>
      <c r="W25" s="35" t="s">
        <v>58</v>
      </c>
      <c r="X25" s="35" t="s">
        <v>58</v>
      </c>
      <c r="Y25" s="35" t="s">
        <v>58</v>
      </c>
      <c r="Z25" s="35" t="s">
        <v>58</v>
      </c>
      <c r="AA25" s="35" t="s">
        <v>58</v>
      </c>
      <c r="AB25" s="35" t="s">
        <v>58</v>
      </c>
      <c r="AC25" s="35"/>
      <c r="AD25" s="35"/>
      <c r="AE25" s="35"/>
      <c r="AF25" s="35"/>
      <c r="AG25" s="35"/>
      <c r="AH25" s="35"/>
      <c r="AI25" s="152">
        <f t="shared" ref="AI25:AI31" si="5">COUNTA(E25:AH25)</f>
        <v>24</v>
      </c>
      <c r="AJ25" s="80">
        <f t="shared" ref="AJ25:AJ31" si="6">COUNTIF(E25:AH25,1)</f>
        <v>13</v>
      </c>
      <c r="AK25" s="80">
        <f t="shared" ref="AK25:AK31" si="7">COUNTIF(E25:AH25,"тр")</f>
        <v>7</v>
      </c>
      <c r="AL25" s="81">
        <f t="shared" ref="AL25:AL31" si="8">COUNTIF(E25:AH25,"бв")</f>
        <v>4</v>
      </c>
    </row>
    <row r="26" spans="1:38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 t="s">
        <v>57</v>
      </c>
      <c r="G26" s="5" t="s">
        <v>57</v>
      </c>
      <c r="H26" s="5">
        <v>1</v>
      </c>
      <c r="I26" s="5">
        <v>1</v>
      </c>
      <c r="J26" s="5">
        <v>1</v>
      </c>
      <c r="K26" s="5">
        <v>1</v>
      </c>
      <c r="L26" s="5">
        <v>1</v>
      </c>
      <c r="M26" s="5" t="s">
        <v>57</v>
      </c>
      <c r="N26" s="5" t="s">
        <v>57</v>
      </c>
      <c r="O26" s="5">
        <v>1</v>
      </c>
      <c r="P26" s="5">
        <v>1</v>
      </c>
      <c r="Q26" s="5">
        <v>1</v>
      </c>
      <c r="R26" s="5">
        <v>1</v>
      </c>
      <c r="S26" s="5">
        <v>1</v>
      </c>
      <c r="T26" s="5" t="s">
        <v>57</v>
      </c>
      <c r="U26" s="5" t="s">
        <v>57</v>
      </c>
      <c r="V26" s="5">
        <v>1</v>
      </c>
      <c r="W26" s="5">
        <v>1</v>
      </c>
      <c r="X26" s="5">
        <v>1</v>
      </c>
      <c r="Y26" s="5">
        <v>1</v>
      </c>
      <c r="Z26" s="5">
        <v>1</v>
      </c>
      <c r="AA26" s="5" t="s">
        <v>57</v>
      </c>
      <c r="AB26" s="5" t="s">
        <v>57</v>
      </c>
      <c r="AC26" s="5"/>
      <c r="AD26" s="5"/>
      <c r="AE26" s="5"/>
      <c r="AF26" s="5"/>
      <c r="AG26" s="5"/>
      <c r="AH26" s="5"/>
      <c r="AI26" s="153">
        <f t="shared" si="5"/>
        <v>24</v>
      </c>
      <c r="AJ26" s="54">
        <f t="shared" si="6"/>
        <v>16</v>
      </c>
      <c r="AK26" s="54">
        <f t="shared" si="7"/>
        <v>0</v>
      </c>
      <c r="AL26" s="55">
        <f t="shared" si="8"/>
        <v>8</v>
      </c>
    </row>
    <row r="27" spans="1:38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 t="s">
        <v>57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 t="s">
        <v>57</v>
      </c>
      <c r="L27" s="5" t="s">
        <v>57</v>
      </c>
      <c r="M27" s="5">
        <v>1</v>
      </c>
      <c r="N27" s="5">
        <v>1</v>
      </c>
      <c r="O27" s="5">
        <v>1</v>
      </c>
      <c r="P27" s="5">
        <v>1</v>
      </c>
      <c r="Q27" s="5" t="s">
        <v>57</v>
      </c>
      <c r="R27" s="5" t="s">
        <v>57</v>
      </c>
      <c r="S27" s="5">
        <v>1</v>
      </c>
      <c r="T27" s="5">
        <v>1</v>
      </c>
      <c r="U27" s="5">
        <v>1</v>
      </c>
      <c r="V27" s="5">
        <v>1</v>
      </c>
      <c r="W27" s="5">
        <v>1</v>
      </c>
      <c r="X27" s="5">
        <v>1</v>
      </c>
      <c r="Y27" s="5">
        <v>1</v>
      </c>
      <c r="Z27" s="5" t="s">
        <v>57</v>
      </c>
      <c r="AA27" s="5">
        <v>1</v>
      </c>
      <c r="AB27" s="5">
        <v>1</v>
      </c>
      <c r="AC27" s="5"/>
      <c r="AD27" s="5"/>
      <c r="AE27" s="5"/>
      <c r="AF27" s="5"/>
      <c r="AG27" s="5"/>
      <c r="AH27" s="5"/>
      <c r="AI27" s="153">
        <f t="shared" si="5"/>
        <v>24</v>
      </c>
      <c r="AJ27" s="54">
        <f t="shared" si="6"/>
        <v>18</v>
      </c>
      <c r="AK27" s="54">
        <f t="shared" si="7"/>
        <v>0</v>
      </c>
      <c r="AL27" s="55">
        <f t="shared" si="8"/>
        <v>6</v>
      </c>
    </row>
    <row r="28" spans="1:38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0</v>
      </c>
      <c r="AK28" s="54">
        <f t="shared" si="7"/>
        <v>30</v>
      </c>
      <c r="AL28" s="55">
        <f t="shared" si="8"/>
        <v>0</v>
      </c>
    </row>
    <row r="29" spans="1:38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>
        <v>1</v>
      </c>
      <c r="F29" s="7" t="s">
        <v>58</v>
      </c>
      <c r="G29" s="5" t="s">
        <v>58</v>
      </c>
      <c r="H29" s="5">
        <v>1</v>
      </c>
      <c r="I29" s="5">
        <v>1</v>
      </c>
      <c r="J29" s="5" t="s">
        <v>57</v>
      </c>
      <c r="K29" s="5" t="s">
        <v>57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 t="s">
        <v>57</v>
      </c>
      <c r="S29" s="5">
        <v>1</v>
      </c>
      <c r="T29" s="5">
        <v>1</v>
      </c>
      <c r="U29" s="5">
        <v>1</v>
      </c>
      <c r="V29" s="5">
        <v>1</v>
      </c>
      <c r="W29" s="5" t="s">
        <v>57</v>
      </c>
      <c r="X29" s="5">
        <v>1</v>
      </c>
      <c r="Y29" s="5" t="s">
        <v>57</v>
      </c>
      <c r="Z29" s="5">
        <v>1</v>
      </c>
      <c r="AA29" s="5">
        <v>1</v>
      </c>
      <c r="AB29" s="5">
        <v>1</v>
      </c>
      <c r="AC29" s="5"/>
      <c r="AD29" s="5"/>
      <c r="AE29" s="5"/>
      <c r="AF29" s="5"/>
      <c r="AG29" s="5"/>
      <c r="AH29" s="5"/>
      <c r="AI29" s="153">
        <f t="shared" si="5"/>
        <v>24</v>
      </c>
      <c r="AJ29" s="54">
        <f t="shared" si="6"/>
        <v>17</v>
      </c>
      <c r="AK29" s="54">
        <f t="shared" si="7"/>
        <v>2</v>
      </c>
      <c r="AL29" s="55">
        <f t="shared" si="8"/>
        <v>5</v>
      </c>
    </row>
    <row r="30" spans="1:38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/>
      <c r="AD30" s="5"/>
      <c r="AE30" s="5"/>
      <c r="AF30" s="5"/>
      <c r="AG30" s="5"/>
      <c r="AH30" s="5"/>
      <c r="AI30" s="153">
        <f t="shared" si="5"/>
        <v>24</v>
      </c>
      <c r="AJ30" s="54">
        <f t="shared" si="6"/>
        <v>7</v>
      </c>
      <c r="AK30" s="54">
        <f t="shared" si="7"/>
        <v>17</v>
      </c>
      <c r="AL30" s="55">
        <f t="shared" si="8"/>
        <v>0</v>
      </c>
    </row>
    <row r="31" spans="1:38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>
        <v>1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 t="s">
        <v>58</v>
      </c>
      <c r="N31" s="42" t="s">
        <v>58</v>
      </c>
      <c r="O31" s="42">
        <v>1</v>
      </c>
      <c r="P31" s="42">
        <v>1</v>
      </c>
      <c r="Q31" s="42">
        <v>1</v>
      </c>
      <c r="R31" s="42">
        <v>1</v>
      </c>
      <c r="S31" s="42">
        <v>1</v>
      </c>
      <c r="T31" s="42">
        <v>1</v>
      </c>
      <c r="U31" s="42">
        <v>1</v>
      </c>
      <c r="V31" s="42">
        <v>1</v>
      </c>
      <c r="W31" s="42">
        <v>1</v>
      </c>
      <c r="X31" s="42">
        <v>1</v>
      </c>
      <c r="Y31" s="42" t="s">
        <v>57</v>
      </c>
      <c r="Z31" s="42" t="s">
        <v>57</v>
      </c>
      <c r="AA31" s="42" t="s">
        <v>57</v>
      </c>
      <c r="AB31" s="42" t="s">
        <v>57</v>
      </c>
      <c r="AC31" s="42"/>
      <c r="AD31" s="42"/>
      <c r="AE31" s="42"/>
      <c r="AF31" s="42"/>
      <c r="AG31" s="42"/>
      <c r="AH31" s="42"/>
      <c r="AI31" s="154">
        <f t="shared" si="5"/>
        <v>24</v>
      </c>
      <c r="AJ31" s="84">
        <f t="shared" si="6"/>
        <v>18</v>
      </c>
      <c r="AK31" s="84">
        <f t="shared" si="7"/>
        <v>2</v>
      </c>
      <c r="AL31" s="85">
        <f t="shared" si="8"/>
        <v>4</v>
      </c>
    </row>
    <row r="32" spans="1:38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134">
        <f>SUM(AI25:AI31)</f>
        <v>174</v>
      </c>
      <c r="AJ32" s="135">
        <f>SUM(AJ25:AJ31)</f>
        <v>89</v>
      </c>
      <c r="AK32" s="135">
        <f>SUM(AK25:AK31)</f>
        <v>58</v>
      </c>
      <c r="AL32" s="136">
        <f>SUM(AL25:AL31)</f>
        <v>27</v>
      </c>
    </row>
    <row r="33" spans="1:38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>
        <v>1</v>
      </c>
      <c r="N33" s="35">
        <v>1</v>
      </c>
      <c r="O33" s="35">
        <v>1</v>
      </c>
      <c r="P33" s="35">
        <v>1</v>
      </c>
      <c r="Q33" s="35">
        <v>1</v>
      </c>
      <c r="R33" s="35">
        <v>1</v>
      </c>
      <c r="S33" s="35">
        <v>1</v>
      </c>
      <c r="T33" s="35">
        <v>1</v>
      </c>
      <c r="U33" s="35">
        <v>1</v>
      </c>
      <c r="V33" s="35">
        <v>1</v>
      </c>
      <c r="W33" s="35">
        <v>1</v>
      </c>
      <c r="X33" s="35">
        <v>1</v>
      </c>
      <c r="Y33" s="35">
        <v>1</v>
      </c>
      <c r="Z33" s="35">
        <v>1</v>
      </c>
      <c r="AA33" s="35">
        <v>1</v>
      </c>
      <c r="AB33" s="35">
        <v>1</v>
      </c>
      <c r="AC33" s="35"/>
      <c r="AD33" s="35"/>
      <c r="AE33" s="35"/>
      <c r="AF33" s="35"/>
      <c r="AG33" s="35"/>
      <c r="AH33" s="35"/>
      <c r="AI33" s="155">
        <f>COUNTA(E33:AH33)</f>
        <v>24</v>
      </c>
      <c r="AJ33" s="17">
        <f>COUNTIF(E33:AH33,1)</f>
        <v>24</v>
      </c>
      <c r="AK33" s="17">
        <f>COUNTIF(E33:AH33,"тр")</f>
        <v>0</v>
      </c>
      <c r="AL33" s="18">
        <f>COUNTIF(E33:AH33,"бв")</f>
        <v>0</v>
      </c>
    </row>
    <row r="34" spans="1:38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 t="s">
        <v>57</v>
      </c>
      <c r="F34" s="5">
        <v>1</v>
      </c>
      <c r="G34" s="5">
        <v>1</v>
      </c>
      <c r="H34" s="5" t="s">
        <v>57</v>
      </c>
      <c r="I34" s="5" t="s">
        <v>57</v>
      </c>
      <c r="J34" s="5" t="s">
        <v>57</v>
      </c>
      <c r="K34" s="5" t="s">
        <v>57</v>
      </c>
      <c r="L34" s="5" t="s">
        <v>57</v>
      </c>
      <c r="M34" s="5">
        <v>1</v>
      </c>
      <c r="N34" s="5">
        <v>1</v>
      </c>
      <c r="O34" s="5">
        <v>1</v>
      </c>
      <c r="P34" s="5">
        <v>1</v>
      </c>
      <c r="Q34" s="5">
        <v>1</v>
      </c>
      <c r="R34" s="5">
        <v>1</v>
      </c>
      <c r="S34" s="5">
        <v>1</v>
      </c>
      <c r="T34" s="5">
        <v>1</v>
      </c>
      <c r="U34" s="5" t="s">
        <v>57</v>
      </c>
      <c r="V34" s="5" t="s">
        <v>57</v>
      </c>
      <c r="W34" s="5">
        <v>1</v>
      </c>
      <c r="X34" s="5">
        <v>1</v>
      </c>
      <c r="Y34" s="5">
        <v>1</v>
      </c>
      <c r="Z34" s="5">
        <v>1</v>
      </c>
      <c r="AA34" s="5">
        <v>1</v>
      </c>
      <c r="AB34" s="5">
        <v>1</v>
      </c>
      <c r="AC34" s="5"/>
      <c r="AD34" s="5"/>
      <c r="AE34" s="5"/>
      <c r="AF34" s="5"/>
      <c r="AG34" s="5"/>
      <c r="AH34" s="5"/>
      <c r="AI34" s="155">
        <f>COUNTA(E34:AH34)</f>
        <v>24</v>
      </c>
      <c r="AJ34" s="54">
        <f>COUNTIF(E34:AH34,1)</f>
        <v>16</v>
      </c>
      <c r="AK34" s="54">
        <f>COUNTIF(E34:AH34,"тр")</f>
        <v>0</v>
      </c>
      <c r="AL34" s="55">
        <f>COUNTIF(E34:AH34,"бв")</f>
        <v>8</v>
      </c>
    </row>
    <row r="35" spans="1:38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155">
        <f>COUNTA(E35:AH35)</f>
        <v>30</v>
      </c>
      <c r="AJ35" s="56">
        <f>COUNTIF(E35:AH35,1)</f>
        <v>0</v>
      </c>
      <c r="AK35" s="56">
        <f>COUNTIF(E35:AH35,"тр")</f>
        <v>30</v>
      </c>
      <c r="AL35" s="57">
        <f>COUNTIF(E35:AH35,"бв")</f>
        <v>0</v>
      </c>
    </row>
    <row r="36" spans="1:38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77">
        <f>SUM(AI33:AI35)</f>
        <v>78</v>
      </c>
      <c r="AJ36" s="69">
        <f>SUM(AJ33:AJ35)</f>
        <v>40</v>
      </c>
      <c r="AK36" s="69">
        <f>SUM(AK33:AK35)</f>
        <v>30</v>
      </c>
      <c r="AL36" s="75">
        <f>SUM(AL33:AL35)</f>
        <v>8</v>
      </c>
    </row>
    <row r="37" spans="1:38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155">
        <f>COUNTA(E37:AH37)</f>
        <v>30</v>
      </c>
      <c r="AJ37" s="19">
        <f>COUNTIF(E37:AH37,1)</f>
        <v>0</v>
      </c>
      <c r="AK37" s="19">
        <f>COUNTIF(E37:AH37,"тр")</f>
        <v>30</v>
      </c>
      <c r="AL37" s="20">
        <f>COUNTIF(E37:AH37,"бв")</f>
        <v>0</v>
      </c>
    </row>
    <row r="38" spans="1:38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7">
        <f>SUM(AI37)</f>
        <v>30</v>
      </c>
      <c r="AJ38" s="69">
        <f>SUM(AJ37)</f>
        <v>0</v>
      </c>
      <c r="AK38" s="69">
        <f>SUM(AK37)</f>
        <v>30</v>
      </c>
      <c r="AL38" s="75">
        <f>SUM(AL37)</f>
        <v>0</v>
      </c>
    </row>
    <row r="39" spans="1:38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>
        <v>1</v>
      </c>
      <c r="G39" s="35">
        <v>1</v>
      </c>
      <c r="H39" s="35">
        <v>1</v>
      </c>
      <c r="I39" s="35">
        <v>1</v>
      </c>
      <c r="J39" s="35">
        <v>1</v>
      </c>
      <c r="K39" s="35" t="s">
        <v>57</v>
      </c>
      <c r="L39" s="35" t="s">
        <v>57</v>
      </c>
      <c r="M39" s="35">
        <v>1</v>
      </c>
      <c r="N39" s="35">
        <v>1</v>
      </c>
      <c r="O39" s="35">
        <v>1</v>
      </c>
      <c r="P39" s="35">
        <v>1</v>
      </c>
      <c r="Q39" s="35">
        <v>1</v>
      </c>
      <c r="R39" s="35">
        <v>1</v>
      </c>
      <c r="S39" s="35" t="s">
        <v>57</v>
      </c>
      <c r="T39" s="35" t="s">
        <v>57</v>
      </c>
      <c r="U39" s="35">
        <v>1</v>
      </c>
      <c r="V39" s="35">
        <v>1</v>
      </c>
      <c r="W39" s="35">
        <v>1</v>
      </c>
      <c r="X39" s="35">
        <v>1</v>
      </c>
      <c r="Y39" s="35">
        <v>1</v>
      </c>
      <c r="Z39" s="35" t="s">
        <v>57</v>
      </c>
      <c r="AA39" s="35">
        <v>1</v>
      </c>
      <c r="AB39" s="35">
        <v>1</v>
      </c>
      <c r="AC39" s="35"/>
      <c r="AD39" s="35"/>
      <c r="AE39" s="35"/>
      <c r="AF39" s="35"/>
      <c r="AG39" s="35"/>
      <c r="AH39" s="35"/>
      <c r="AI39" s="155">
        <f>COUNTA(E39:AH39)</f>
        <v>24</v>
      </c>
      <c r="AJ39" s="17">
        <f>COUNTIF(E39:AH39,1)</f>
        <v>18</v>
      </c>
      <c r="AK39" s="17">
        <f>COUNTIF(E39:AH39,"тр")</f>
        <v>1</v>
      </c>
      <c r="AL39" s="18">
        <f>COUNTIF(E39:AH39,"бв")</f>
        <v>5</v>
      </c>
    </row>
    <row r="40" spans="1:38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>
        <v>1</v>
      </c>
      <c r="F40" s="7">
        <v>1</v>
      </c>
      <c r="G40" s="7">
        <v>1</v>
      </c>
      <c r="H40" s="5">
        <v>1</v>
      </c>
      <c r="I40" s="5">
        <v>1</v>
      </c>
      <c r="J40" s="5" t="s">
        <v>57</v>
      </c>
      <c r="K40" s="5">
        <v>1</v>
      </c>
      <c r="L40" s="5">
        <v>1</v>
      </c>
      <c r="M40" s="5">
        <v>1</v>
      </c>
      <c r="N40" s="5">
        <v>1</v>
      </c>
      <c r="O40" s="5">
        <v>1</v>
      </c>
      <c r="P40" s="5">
        <v>1</v>
      </c>
      <c r="Q40" s="5" t="s">
        <v>57</v>
      </c>
      <c r="R40" s="5" t="s">
        <v>57</v>
      </c>
      <c r="S40" s="5">
        <v>1</v>
      </c>
      <c r="T40" s="5">
        <v>1</v>
      </c>
      <c r="U40" s="5">
        <v>1</v>
      </c>
      <c r="V40" s="5">
        <v>1</v>
      </c>
      <c r="W40" s="5">
        <v>1</v>
      </c>
      <c r="X40" s="5" t="s">
        <v>57</v>
      </c>
      <c r="Y40" s="5" t="s">
        <v>57</v>
      </c>
      <c r="Z40" s="5" t="s">
        <v>58</v>
      </c>
      <c r="AA40" s="5" t="s">
        <v>58</v>
      </c>
      <c r="AB40" s="5" t="s">
        <v>58</v>
      </c>
      <c r="AC40" s="5"/>
      <c r="AD40" s="5"/>
      <c r="AE40" s="5"/>
      <c r="AF40" s="5"/>
      <c r="AG40" s="5"/>
      <c r="AH40" s="5"/>
      <c r="AI40" s="155">
        <f>COUNTA(E40:AH40)</f>
        <v>24</v>
      </c>
      <c r="AJ40" s="54">
        <f>COUNTIF(E40:AH40,1)</f>
        <v>16</v>
      </c>
      <c r="AK40" s="54">
        <f>COUNTIF(E40:AH40,"тр")</f>
        <v>3</v>
      </c>
      <c r="AL40" s="55">
        <f>COUNTIF(E40:AH40,"бв")</f>
        <v>5</v>
      </c>
    </row>
    <row r="41" spans="1:38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>
        <v>1</v>
      </c>
      <c r="F41" s="43">
        <v>1</v>
      </c>
      <c r="G41" s="43">
        <v>1</v>
      </c>
      <c r="H41" s="42" t="s">
        <v>57</v>
      </c>
      <c r="I41" s="42">
        <v>1</v>
      </c>
      <c r="J41" s="42" t="s">
        <v>57</v>
      </c>
      <c r="K41" s="42" t="s">
        <v>57</v>
      </c>
      <c r="L41" s="42" t="s">
        <v>57</v>
      </c>
      <c r="M41" s="42" t="s">
        <v>58</v>
      </c>
      <c r="N41" s="42" t="s">
        <v>58</v>
      </c>
      <c r="O41" s="42" t="s">
        <v>58</v>
      </c>
      <c r="P41" s="42">
        <v>1</v>
      </c>
      <c r="Q41" s="42">
        <v>1</v>
      </c>
      <c r="R41" s="42">
        <v>1</v>
      </c>
      <c r="S41" s="42" t="s">
        <v>58</v>
      </c>
      <c r="T41" s="42" t="s">
        <v>58</v>
      </c>
      <c r="U41" s="42" t="s">
        <v>58</v>
      </c>
      <c r="V41" s="42" t="s">
        <v>57</v>
      </c>
      <c r="W41" s="42">
        <v>1</v>
      </c>
      <c r="X41" s="42">
        <v>1</v>
      </c>
      <c r="Y41" s="42">
        <v>1</v>
      </c>
      <c r="Z41" s="42">
        <v>1</v>
      </c>
      <c r="AA41" s="42">
        <v>1</v>
      </c>
      <c r="AB41" s="42" t="s">
        <v>57</v>
      </c>
      <c r="AC41" s="42"/>
      <c r="AD41" s="42"/>
      <c r="AE41" s="42"/>
      <c r="AF41" s="42"/>
      <c r="AG41" s="42"/>
      <c r="AH41" s="42"/>
      <c r="AI41" s="155">
        <f>COUNTA(E41:AH41)</f>
        <v>24</v>
      </c>
      <c r="AJ41" s="56">
        <f>COUNTIF(E41:AH41,1)</f>
        <v>12</v>
      </c>
      <c r="AK41" s="56">
        <f>COUNTIF(E41:AH41,"тр")</f>
        <v>6</v>
      </c>
      <c r="AL41" s="57">
        <f>COUNTIF(E41:AH41,"бв")</f>
        <v>6</v>
      </c>
    </row>
    <row r="42" spans="1:38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77">
        <f>SUM(AI39:AI41)</f>
        <v>72</v>
      </c>
      <c r="AJ42" s="69">
        <f>SUM(AJ39:AJ41)</f>
        <v>46</v>
      </c>
      <c r="AK42" s="69">
        <f>SUM(AK39:AK41)</f>
        <v>10</v>
      </c>
      <c r="AL42" s="75">
        <f>SUM(AL39:AL41)</f>
        <v>16</v>
      </c>
    </row>
    <row r="43" spans="1:38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>
        <v>1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>
        <v>1</v>
      </c>
      <c r="Y43" s="35">
        <v>1</v>
      </c>
      <c r="Z43" s="35">
        <v>1</v>
      </c>
      <c r="AA43" s="35">
        <v>1</v>
      </c>
      <c r="AB43" s="35">
        <v>1</v>
      </c>
      <c r="AC43" s="35"/>
      <c r="AD43" s="35"/>
      <c r="AE43" s="35"/>
      <c r="AF43" s="35"/>
      <c r="AG43" s="35"/>
      <c r="AH43" s="35"/>
      <c r="AI43" s="155">
        <f t="shared" ref="AI43:AI49" si="9">COUNTA(E43:AH43)</f>
        <v>24</v>
      </c>
      <c r="AJ43" s="17">
        <f t="shared" ref="AJ43:AJ49" si="10">COUNTIF(E43:AH43,1)</f>
        <v>24</v>
      </c>
      <c r="AK43" s="17">
        <f t="shared" ref="AK43:AK49" si="11">COUNTIF(E43:AH43,"тр")</f>
        <v>0</v>
      </c>
      <c r="AL43" s="18">
        <f t="shared" ref="AL43:AL49" si="12">COUNTIF(E43:AH43,"бв")</f>
        <v>0</v>
      </c>
    </row>
    <row r="44" spans="1:38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>
        <v>1</v>
      </c>
      <c r="F44" s="5">
        <v>1</v>
      </c>
      <c r="G44" s="5">
        <v>1</v>
      </c>
      <c r="H44" s="5" t="s">
        <v>57</v>
      </c>
      <c r="I44" s="5">
        <v>1</v>
      </c>
      <c r="J44" s="5">
        <v>1</v>
      </c>
      <c r="K44" s="5" t="s">
        <v>57</v>
      </c>
      <c r="L44" s="5">
        <v>1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>
        <v>1</v>
      </c>
      <c r="W44" s="5">
        <v>1</v>
      </c>
      <c r="X44" s="5">
        <v>1</v>
      </c>
      <c r="Y44" s="5">
        <v>1</v>
      </c>
      <c r="Z44" s="5">
        <v>1</v>
      </c>
      <c r="AA44" s="5">
        <v>1</v>
      </c>
      <c r="AB44" s="5">
        <v>1</v>
      </c>
      <c r="AC44" s="5"/>
      <c r="AD44" s="5"/>
      <c r="AE44" s="5"/>
      <c r="AF44" s="5"/>
      <c r="AG44" s="5"/>
      <c r="AH44" s="5"/>
      <c r="AI44" s="155">
        <f t="shared" si="9"/>
        <v>24</v>
      </c>
      <c r="AJ44" s="54">
        <f t="shared" si="10"/>
        <v>22</v>
      </c>
      <c r="AK44" s="54">
        <f t="shared" si="11"/>
        <v>0</v>
      </c>
      <c r="AL44" s="55">
        <f t="shared" si="12"/>
        <v>2</v>
      </c>
    </row>
    <row r="45" spans="1:38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/>
      <c r="AD45" s="5"/>
      <c r="AE45" s="5"/>
      <c r="AF45" s="5"/>
      <c r="AG45" s="5"/>
      <c r="AH45" s="5"/>
      <c r="AI45" s="155">
        <f t="shared" si="9"/>
        <v>24</v>
      </c>
      <c r="AJ45" s="54">
        <f t="shared" si="10"/>
        <v>23</v>
      </c>
      <c r="AK45" s="54">
        <f t="shared" si="11"/>
        <v>1</v>
      </c>
      <c r="AL45" s="55">
        <f t="shared" si="12"/>
        <v>0</v>
      </c>
    </row>
    <row r="46" spans="1:38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 t="s">
        <v>57</v>
      </c>
      <c r="O46" s="5" t="s">
        <v>57</v>
      </c>
      <c r="P46" s="5">
        <v>1</v>
      </c>
      <c r="Q46" s="5" t="s">
        <v>57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 t="s">
        <v>57</v>
      </c>
      <c r="Y46" s="5">
        <v>1</v>
      </c>
      <c r="Z46" s="5">
        <v>1</v>
      </c>
      <c r="AA46" s="5">
        <v>1</v>
      </c>
      <c r="AB46" s="5">
        <v>1</v>
      </c>
      <c r="AC46" s="5"/>
      <c r="AD46" s="5"/>
      <c r="AE46" s="5"/>
      <c r="AF46" s="5"/>
      <c r="AG46" s="5"/>
      <c r="AH46" s="5"/>
      <c r="AI46" s="155">
        <f t="shared" si="9"/>
        <v>24</v>
      </c>
      <c r="AJ46" s="54">
        <f t="shared" si="10"/>
        <v>20</v>
      </c>
      <c r="AK46" s="54">
        <f t="shared" si="11"/>
        <v>0</v>
      </c>
      <c r="AL46" s="55">
        <f t="shared" si="12"/>
        <v>4</v>
      </c>
    </row>
    <row r="47" spans="1:38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>
        <v>1</v>
      </c>
      <c r="F47" s="5" t="s">
        <v>58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57</v>
      </c>
      <c r="N47" s="5">
        <v>1</v>
      </c>
      <c r="O47" s="5">
        <v>1</v>
      </c>
      <c r="P47" s="5">
        <v>1</v>
      </c>
      <c r="Q47" s="5">
        <v>1</v>
      </c>
      <c r="R47" s="5" t="s">
        <v>57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 t="s">
        <v>57</v>
      </c>
      <c r="Z47" s="5">
        <v>1</v>
      </c>
      <c r="AA47" s="5">
        <v>1</v>
      </c>
      <c r="AB47" s="5">
        <v>1</v>
      </c>
      <c r="AC47" s="5"/>
      <c r="AD47" s="5"/>
      <c r="AE47" s="5"/>
      <c r="AF47" s="5"/>
      <c r="AG47" s="5"/>
      <c r="AH47" s="5"/>
      <c r="AI47" s="155">
        <f t="shared" si="9"/>
        <v>24</v>
      </c>
      <c r="AJ47" s="54">
        <f t="shared" si="10"/>
        <v>18</v>
      </c>
      <c r="AK47" s="54">
        <f t="shared" si="11"/>
        <v>1</v>
      </c>
      <c r="AL47" s="55">
        <f t="shared" si="12"/>
        <v>5</v>
      </c>
    </row>
    <row r="48" spans="1:38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 t="s">
        <v>58</v>
      </c>
      <c r="X48" s="5" t="s">
        <v>57</v>
      </c>
      <c r="Y48" s="5" t="s">
        <v>57</v>
      </c>
      <c r="Z48" s="5">
        <v>1</v>
      </c>
      <c r="AA48" s="5" t="s">
        <v>58</v>
      </c>
      <c r="AB48" s="5" t="s">
        <v>58</v>
      </c>
      <c r="AC48" s="5"/>
      <c r="AD48" s="5"/>
      <c r="AE48" s="5"/>
      <c r="AF48" s="5"/>
      <c r="AG48" s="5"/>
      <c r="AH48" s="5"/>
      <c r="AI48" s="155">
        <f t="shared" si="9"/>
        <v>24</v>
      </c>
      <c r="AJ48" s="54">
        <f t="shared" si="10"/>
        <v>19</v>
      </c>
      <c r="AK48" s="54">
        <f t="shared" si="11"/>
        <v>3</v>
      </c>
      <c r="AL48" s="55">
        <f t="shared" si="12"/>
        <v>2</v>
      </c>
    </row>
    <row r="49" spans="1:38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>
        <v>1</v>
      </c>
      <c r="F49" s="42">
        <v>1</v>
      </c>
      <c r="G49" s="42">
        <v>1</v>
      </c>
      <c r="H49" s="42">
        <v>1</v>
      </c>
      <c r="I49" s="42">
        <v>1</v>
      </c>
      <c r="J49" s="42" t="s">
        <v>57</v>
      </c>
      <c r="K49" s="42">
        <v>1</v>
      </c>
      <c r="L49" s="42">
        <v>1</v>
      </c>
      <c r="M49" s="42">
        <v>1</v>
      </c>
      <c r="N49" s="42">
        <v>1</v>
      </c>
      <c r="O49" s="42" t="s">
        <v>57</v>
      </c>
      <c r="P49" s="42" t="s">
        <v>57</v>
      </c>
      <c r="Q49" s="42">
        <v>1</v>
      </c>
      <c r="R49" s="42" t="s">
        <v>57</v>
      </c>
      <c r="S49" s="42" t="s">
        <v>57</v>
      </c>
      <c r="T49" s="42" t="s">
        <v>57</v>
      </c>
      <c r="U49" s="42" t="s">
        <v>57</v>
      </c>
      <c r="V49" s="42" t="s">
        <v>57</v>
      </c>
      <c r="W49" s="42">
        <v>1</v>
      </c>
      <c r="X49" s="42">
        <v>1</v>
      </c>
      <c r="Y49" s="42">
        <v>1</v>
      </c>
      <c r="Z49" s="42">
        <v>1</v>
      </c>
      <c r="AA49" s="42">
        <v>1</v>
      </c>
      <c r="AB49" s="42">
        <v>1</v>
      </c>
      <c r="AC49" s="42"/>
      <c r="AD49" s="42"/>
      <c r="AE49" s="42"/>
      <c r="AF49" s="42"/>
      <c r="AG49" s="42"/>
      <c r="AH49" s="42"/>
      <c r="AI49" s="155">
        <f t="shared" si="9"/>
        <v>24</v>
      </c>
      <c r="AJ49" s="56">
        <f t="shared" si="10"/>
        <v>16</v>
      </c>
      <c r="AK49" s="56">
        <f t="shared" si="11"/>
        <v>0</v>
      </c>
      <c r="AL49" s="57">
        <f t="shared" si="12"/>
        <v>8</v>
      </c>
    </row>
    <row r="50" spans="1:38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77">
        <f>SUM(AI43:AI49)</f>
        <v>168</v>
      </c>
      <c r="AJ50" s="69">
        <f>SUM(AJ43:AJ49)</f>
        <v>142</v>
      </c>
      <c r="AK50" s="69">
        <f>SUM(AK43:AK49)</f>
        <v>5</v>
      </c>
      <c r="AL50" s="75">
        <f>SUM(AL43:AL49)</f>
        <v>21</v>
      </c>
    </row>
    <row r="51" spans="1:38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 t="s">
        <v>57</v>
      </c>
      <c r="F51" s="42" t="s">
        <v>58</v>
      </c>
      <c r="G51" s="42">
        <v>1</v>
      </c>
      <c r="H51" s="42" t="s">
        <v>57</v>
      </c>
      <c r="I51" s="42" t="s">
        <v>57</v>
      </c>
      <c r="J51" s="42">
        <v>1</v>
      </c>
      <c r="K51" s="42" t="s">
        <v>57</v>
      </c>
      <c r="L51" s="42" t="s">
        <v>57</v>
      </c>
      <c r="M51" s="42" t="s">
        <v>57</v>
      </c>
      <c r="N51" s="42" t="s">
        <v>57</v>
      </c>
      <c r="O51" s="42" t="s">
        <v>57</v>
      </c>
      <c r="P51" s="42" t="s">
        <v>57</v>
      </c>
      <c r="Q51" s="42" t="s">
        <v>57</v>
      </c>
      <c r="R51" s="42" t="s">
        <v>57</v>
      </c>
      <c r="S51" s="42">
        <v>1</v>
      </c>
      <c r="T51" s="42" t="s">
        <v>57</v>
      </c>
      <c r="U51" s="42" t="s">
        <v>57</v>
      </c>
      <c r="V51" s="42" t="s">
        <v>57</v>
      </c>
      <c r="W51" s="42" t="s">
        <v>57</v>
      </c>
      <c r="X51" s="42" t="s">
        <v>57</v>
      </c>
      <c r="Y51" s="42" t="s">
        <v>57</v>
      </c>
      <c r="Z51" s="42" t="s">
        <v>57</v>
      </c>
      <c r="AA51" s="42" t="s">
        <v>57</v>
      </c>
      <c r="AB51" s="42" t="s">
        <v>57</v>
      </c>
      <c r="AC51" s="42"/>
      <c r="AD51" s="42"/>
      <c r="AE51" s="42"/>
      <c r="AF51" s="42"/>
      <c r="AG51" s="42"/>
      <c r="AH51" s="42"/>
      <c r="AI51" s="155">
        <f>COUNTA(E51:AH51)</f>
        <v>24</v>
      </c>
      <c r="AJ51" s="56">
        <f>COUNTIF(E51:AH51,1)</f>
        <v>3</v>
      </c>
      <c r="AK51" s="56">
        <f>COUNTIF(E51:AH51,"тр")</f>
        <v>1</v>
      </c>
      <c r="AL51" s="57">
        <f>COUNTIF(E51:AH51,"бв")</f>
        <v>20</v>
      </c>
    </row>
    <row r="52" spans="1:38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77">
        <f>SUM(AI51:AI51)</f>
        <v>24</v>
      </c>
      <c r="AJ52" s="69">
        <f>SUM(AJ51:AJ51)</f>
        <v>3</v>
      </c>
      <c r="AK52" s="69">
        <f>SUM(AK51:AK51)</f>
        <v>1</v>
      </c>
      <c r="AL52" s="75">
        <f>SUM(AL51:AL51)</f>
        <v>20</v>
      </c>
    </row>
    <row r="53" spans="1:38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 t="s">
        <v>58</v>
      </c>
      <c r="G53" s="92">
        <v>1</v>
      </c>
      <c r="H53" s="92">
        <v>1</v>
      </c>
      <c r="I53" s="92">
        <v>1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>
        <v>1</v>
      </c>
      <c r="P53" s="92">
        <v>1</v>
      </c>
      <c r="Q53" s="92">
        <v>1</v>
      </c>
      <c r="R53" s="92">
        <v>1</v>
      </c>
      <c r="S53" s="92">
        <v>1</v>
      </c>
      <c r="T53" s="92">
        <v>1</v>
      </c>
      <c r="U53" s="92">
        <v>1</v>
      </c>
      <c r="V53" s="92">
        <v>1</v>
      </c>
      <c r="W53" s="92">
        <v>1</v>
      </c>
      <c r="X53" s="92">
        <v>1</v>
      </c>
      <c r="Y53" s="92">
        <v>1</v>
      </c>
      <c r="Z53" s="92">
        <v>1</v>
      </c>
      <c r="AA53" s="92">
        <v>1</v>
      </c>
      <c r="AB53" s="92">
        <v>1</v>
      </c>
      <c r="AC53" s="92"/>
      <c r="AD53" s="92"/>
      <c r="AE53" s="92"/>
      <c r="AF53" s="92"/>
      <c r="AG53" s="92"/>
      <c r="AH53" s="92"/>
      <c r="AI53" s="152">
        <f>COUNTA(E53:AH53)</f>
        <v>24</v>
      </c>
      <c r="AJ53" s="80">
        <f>COUNTIF(E53:AH53,1)</f>
        <v>23</v>
      </c>
      <c r="AK53" s="80">
        <f>COUNTIF(E53:AH53,"тр")</f>
        <v>1</v>
      </c>
      <c r="AL53" s="81">
        <f>COUNTIF(E53:AH53,"бв")</f>
        <v>0</v>
      </c>
    </row>
    <row r="54" spans="1:38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>
        <v>1</v>
      </c>
      <c r="W54" s="42">
        <v>1</v>
      </c>
      <c r="X54" s="42">
        <v>1</v>
      </c>
      <c r="Y54" s="42">
        <v>1</v>
      </c>
      <c r="Z54" s="42">
        <v>1</v>
      </c>
      <c r="AA54" s="42">
        <v>1</v>
      </c>
      <c r="AB54" s="42">
        <v>1</v>
      </c>
      <c r="AC54" s="42"/>
      <c r="AD54" s="42"/>
      <c r="AE54" s="42"/>
      <c r="AF54" s="42"/>
      <c r="AG54" s="42"/>
      <c r="AH54" s="42"/>
      <c r="AI54" s="155">
        <f>COUNTA(E54:AH54)</f>
        <v>24</v>
      </c>
      <c r="AJ54" s="56">
        <f>COUNTIF(E54:AH54,1)</f>
        <v>24</v>
      </c>
      <c r="AK54" s="56">
        <f>COUNTIF(E54:AH54,"тр")</f>
        <v>0</v>
      </c>
      <c r="AL54" s="57">
        <f>COUNTIF(E54:AH54,"бв")</f>
        <v>0</v>
      </c>
    </row>
    <row r="55" spans="1:38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>
        <v>1</v>
      </c>
      <c r="N55" s="97">
        <v>1</v>
      </c>
      <c r="O55" s="97">
        <v>1</v>
      </c>
      <c r="P55" s="97">
        <v>1</v>
      </c>
      <c r="Q55" s="97">
        <v>1</v>
      </c>
      <c r="R55" s="97">
        <v>1</v>
      </c>
      <c r="S55" s="97">
        <v>1</v>
      </c>
      <c r="T55" s="97">
        <v>1</v>
      </c>
      <c r="U55" s="97" t="s">
        <v>58</v>
      </c>
      <c r="V55" s="97" t="s">
        <v>58</v>
      </c>
      <c r="W55" s="97" t="s">
        <v>58</v>
      </c>
      <c r="X55" s="97">
        <v>1</v>
      </c>
      <c r="Y55" s="97">
        <v>1</v>
      </c>
      <c r="Z55" s="97">
        <v>1</v>
      </c>
      <c r="AA55" s="97">
        <v>1</v>
      </c>
      <c r="AB55" s="97">
        <v>1</v>
      </c>
      <c r="AC55" s="97"/>
      <c r="AD55" s="97"/>
      <c r="AE55" s="97"/>
      <c r="AF55" s="97"/>
      <c r="AG55" s="97"/>
      <c r="AH55" s="97"/>
      <c r="AI55" s="157">
        <f>COUNTA(E55:AH55)</f>
        <v>24</v>
      </c>
      <c r="AJ55" s="84">
        <f>COUNTIF(E55:AH55,1)</f>
        <v>21</v>
      </c>
      <c r="AK55" s="84">
        <f>COUNTIF(E55:AH55,"тр")</f>
        <v>3</v>
      </c>
      <c r="AL55" s="85">
        <f>COUNTIF(E55:AH55,"бв")</f>
        <v>0</v>
      </c>
    </row>
    <row r="56" spans="1:38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77">
        <f>SUM(AI53:AI55)</f>
        <v>72</v>
      </c>
      <c r="AJ56" s="69">
        <f>SUM(AJ53:AJ55)</f>
        <v>68</v>
      </c>
      <c r="AK56" s="69">
        <f>SUM(AK53:AK55)</f>
        <v>4</v>
      </c>
      <c r="AL56" s="75">
        <f>SUM(AL53:AL55)</f>
        <v>0</v>
      </c>
    </row>
    <row r="57" spans="1:38" s="33" customFormat="1" x14ac:dyDescent="0.25">
      <c r="A57" s="158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3">
        <f>AI5+AI24+AI32+AI36+AI38+AI42+AI50+AI52+AI56</f>
        <v>1080</v>
      </c>
      <c r="AJ57" s="53"/>
      <c r="AK57" s="53"/>
      <c r="AL57" s="53"/>
    </row>
    <row r="58" spans="1:38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8"/>
      <c r="AK58" s="48"/>
      <c r="AL58" s="48"/>
    </row>
    <row r="59" spans="1:38" ht="16.3" thickBot="1" x14ac:dyDescent="0.3">
      <c r="A59" s="165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Апрель 2019 автоколонны № 2 г. Смолевичи</v>
      </c>
      <c r="B59" s="165"/>
      <c r="C59" s="165"/>
      <c r="D59" s="165"/>
      <c r="E59" s="165"/>
      <c r="F59" s="165"/>
      <c r="G59" s="165"/>
      <c r="H59" s="165"/>
      <c r="I59" s="165"/>
      <c r="J59" s="165"/>
      <c r="K59" s="165"/>
      <c r="L59" s="165"/>
      <c r="M59" s="165"/>
      <c r="N59" s="165"/>
      <c r="O59" s="165"/>
      <c r="P59" s="165"/>
      <c r="Q59" s="165"/>
      <c r="R59" s="165"/>
      <c r="S59" s="165"/>
      <c r="T59" s="165"/>
      <c r="U59" s="165"/>
      <c r="V59" s="165"/>
      <c r="W59" s="165"/>
      <c r="X59" s="165"/>
      <c r="Y59" s="165"/>
      <c r="Z59" s="165"/>
      <c r="AA59" s="165"/>
      <c r="AB59" s="165"/>
      <c r="AC59" s="165"/>
      <c r="AD59" s="165"/>
      <c r="AE59" s="165"/>
      <c r="AF59" s="165"/>
      <c r="AG59" s="165"/>
      <c r="AH59" s="165"/>
      <c r="AI59" s="165"/>
      <c r="AJ59" s="165"/>
      <c r="AK59" s="165"/>
      <c r="AL59" s="165"/>
    </row>
    <row r="60" spans="1:38" s="33" customFormat="1" ht="16.3" thickBot="1" x14ac:dyDescent="0.3">
      <c r="A60" s="131" t="s">
        <v>56</v>
      </c>
      <c r="B60" s="146" t="s">
        <v>46</v>
      </c>
      <c r="C60" s="146" t="s">
        <v>48</v>
      </c>
      <c r="D60" s="147" t="s">
        <v>47</v>
      </c>
      <c r="E60" s="151">
        <v>1</v>
      </c>
      <c r="F60" s="148">
        <v>2</v>
      </c>
      <c r="G60" s="148">
        <v>3</v>
      </c>
      <c r="H60" s="148">
        <v>4</v>
      </c>
      <c r="I60" s="148">
        <v>5</v>
      </c>
      <c r="J60" s="148">
        <v>6</v>
      </c>
      <c r="K60" s="148">
        <v>7</v>
      </c>
      <c r="L60" s="148">
        <v>8</v>
      </c>
      <c r="M60" s="148">
        <v>9</v>
      </c>
      <c r="N60" s="148">
        <v>10</v>
      </c>
      <c r="O60" s="148">
        <v>11</v>
      </c>
      <c r="P60" s="148">
        <v>12</v>
      </c>
      <c r="Q60" s="148">
        <v>13</v>
      </c>
      <c r="R60" s="148">
        <v>14</v>
      </c>
      <c r="S60" s="148">
        <v>15</v>
      </c>
      <c r="T60" s="148">
        <v>16</v>
      </c>
      <c r="U60" s="148">
        <v>17</v>
      </c>
      <c r="V60" s="148">
        <v>18</v>
      </c>
      <c r="W60" s="148">
        <v>19</v>
      </c>
      <c r="X60" s="148">
        <v>20</v>
      </c>
      <c r="Y60" s="148">
        <v>21</v>
      </c>
      <c r="Z60" s="148">
        <v>22</v>
      </c>
      <c r="AA60" s="148">
        <v>23</v>
      </c>
      <c r="AB60" s="148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30">
        <v>30</v>
      </c>
      <c r="AI60" s="131" t="s">
        <v>62</v>
      </c>
      <c r="AJ60" s="132" t="s">
        <v>61</v>
      </c>
      <c r="AK60" s="132" t="s">
        <v>58</v>
      </c>
      <c r="AL60" s="133" t="s">
        <v>57</v>
      </c>
    </row>
    <row r="61" spans="1:38" x14ac:dyDescent="0.25">
      <c r="A61" s="103">
        <v>1</v>
      </c>
      <c r="B61" s="104" t="s">
        <v>54</v>
      </c>
      <c r="C61" s="111">
        <v>176</v>
      </c>
      <c r="D61" s="106">
        <v>6172</v>
      </c>
      <c r="E61" s="143">
        <v>1</v>
      </c>
      <c r="F61" s="92">
        <v>1</v>
      </c>
      <c r="G61" s="92">
        <v>1</v>
      </c>
      <c r="H61" s="92">
        <v>1</v>
      </c>
      <c r="I61" s="92">
        <v>1</v>
      </c>
      <c r="J61" s="92">
        <v>1</v>
      </c>
      <c r="K61" s="92">
        <v>1</v>
      </c>
      <c r="L61" s="92">
        <v>1</v>
      </c>
      <c r="M61" s="92">
        <v>1</v>
      </c>
      <c r="N61" s="92">
        <v>1</v>
      </c>
      <c r="O61" s="92">
        <v>1</v>
      </c>
      <c r="P61" s="92">
        <v>1</v>
      </c>
      <c r="Q61" s="92">
        <v>1</v>
      </c>
      <c r="R61" s="92">
        <v>1</v>
      </c>
      <c r="S61" s="92">
        <v>1</v>
      </c>
      <c r="T61" s="92">
        <v>1</v>
      </c>
      <c r="U61" s="92">
        <v>1</v>
      </c>
      <c r="V61" s="92">
        <v>1</v>
      </c>
      <c r="W61" s="92">
        <v>1</v>
      </c>
      <c r="X61" s="92">
        <v>1</v>
      </c>
      <c r="Y61" s="92">
        <v>1</v>
      </c>
      <c r="Z61" s="92">
        <v>1</v>
      </c>
      <c r="AA61" s="92">
        <v>1</v>
      </c>
      <c r="AB61" s="92">
        <v>1</v>
      </c>
      <c r="AC61" s="92"/>
      <c r="AD61" s="92"/>
      <c r="AE61" s="92"/>
      <c r="AF61" s="92"/>
      <c r="AG61" s="92"/>
      <c r="AH61" s="92"/>
      <c r="AI61" s="152">
        <f>COUNTA(E61:AH61)</f>
        <v>24</v>
      </c>
      <c r="AJ61" s="80">
        <f>COUNTIF(E61:AH61,1)</f>
        <v>24</v>
      </c>
      <c r="AK61" s="80">
        <f>COUNTIF(E61:AH61,"тр")</f>
        <v>0</v>
      </c>
      <c r="AL61" s="81">
        <f>COUNTIF(E61:AH61,"бв")</f>
        <v>0</v>
      </c>
    </row>
    <row r="62" spans="1:38" x14ac:dyDescent="0.25">
      <c r="A62" s="11">
        <f>A61+1</f>
        <v>2</v>
      </c>
      <c r="B62" s="12" t="s">
        <v>54</v>
      </c>
      <c r="C62" s="15">
        <v>177</v>
      </c>
      <c r="D62" s="22">
        <v>6173</v>
      </c>
      <c r="E62" s="7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1</v>
      </c>
      <c r="P62" s="5">
        <v>1</v>
      </c>
      <c r="Q62" s="5">
        <v>1</v>
      </c>
      <c r="R62" s="5">
        <v>1</v>
      </c>
      <c r="S62" s="5">
        <v>1</v>
      </c>
      <c r="T62" s="5">
        <v>1</v>
      </c>
      <c r="U62" s="5">
        <v>1</v>
      </c>
      <c r="V62" s="5">
        <v>1</v>
      </c>
      <c r="W62" s="5">
        <v>1</v>
      </c>
      <c r="X62" s="5">
        <v>1</v>
      </c>
      <c r="Y62" s="5">
        <v>1</v>
      </c>
      <c r="Z62" s="5">
        <v>1</v>
      </c>
      <c r="AA62" s="5">
        <v>1</v>
      </c>
      <c r="AB62" s="5">
        <v>1</v>
      </c>
      <c r="AC62" s="5"/>
      <c r="AD62" s="5"/>
      <c r="AE62" s="5"/>
      <c r="AF62" s="5"/>
      <c r="AG62" s="5"/>
      <c r="AH62" s="5"/>
      <c r="AI62" s="153">
        <f>COUNTA(E62:AH62)</f>
        <v>24</v>
      </c>
      <c r="AJ62" s="54">
        <f>COUNTIF(E62:AH62,1)</f>
        <v>24</v>
      </c>
      <c r="AK62" s="54">
        <f>COUNTIF(E62:AH62,"тр")</f>
        <v>0</v>
      </c>
      <c r="AL62" s="55">
        <f>COUNTIF(E62:AH62,"бв")</f>
        <v>0</v>
      </c>
    </row>
    <row r="63" spans="1:38" x14ac:dyDescent="0.25">
      <c r="A63" s="11">
        <f t="shared" ref="A63:A64" si="13">A62+1</f>
        <v>3</v>
      </c>
      <c r="B63" s="12" t="s">
        <v>43</v>
      </c>
      <c r="C63" s="13" t="s">
        <v>44</v>
      </c>
      <c r="D63" s="22">
        <v>1250</v>
      </c>
      <c r="E63" s="7">
        <v>1</v>
      </c>
      <c r="F63" s="5">
        <v>1</v>
      </c>
      <c r="G63" s="5">
        <v>1</v>
      </c>
      <c r="H63" s="5">
        <v>1</v>
      </c>
      <c r="I63" s="5">
        <v>1</v>
      </c>
      <c r="J63" s="5" t="s">
        <v>57</v>
      </c>
      <c r="K63" s="5" t="s">
        <v>57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 t="s">
        <v>57</v>
      </c>
      <c r="R63" s="5" t="s">
        <v>57</v>
      </c>
      <c r="S63" s="5">
        <v>1</v>
      </c>
      <c r="T63" s="5" t="s">
        <v>58</v>
      </c>
      <c r="U63" s="5">
        <v>1</v>
      </c>
      <c r="V63" s="5">
        <v>1</v>
      </c>
      <c r="W63" s="5">
        <v>1</v>
      </c>
      <c r="X63" s="5" t="s">
        <v>57</v>
      </c>
      <c r="Y63" s="5" t="s">
        <v>57</v>
      </c>
      <c r="Z63" s="5">
        <v>1</v>
      </c>
      <c r="AA63" s="5">
        <v>1</v>
      </c>
      <c r="AB63" s="5">
        <v>1</v>
      </c>
      <c r="AC63" s="5"/>
      <c r="AD63" s="5"/>
      <c r="AE63" s="5"/>
      <c r="AF63" s="5"/>
      <c r="AG63" s="5"/>
      <c r="AH63" s="5"/>
      <c r="AI63" s="153">
        <f>COUNTA(E63:AH63)</f>
        <v>24</v>
      </c>
      <c r="AJ63" s="54">
        <f>COUNTIF(E63:AH63,1)</f>
        <v>17</v>
      </c>
      <c r="AK63" s="54">
        <f>COUNTIF(E63:AH63,"тр")</f>
        <v>1</v>
      </c>
      <c r="AL63" s="55">
        <f>COUNTIF(E63:AH63,"бв")</f>
        <v>6</v>
      </c>
    </row>
    <row r="64" spans="1:38" ht="16.3" thickBot="1" x14ac:dyDescent="0.3">
      <c r="A64" s="107">
        <f t="shared" si="13"/>
        <v>4</v>
      </c>
      <c r="B64" s="108" t="s">
        <v>55</v>
      </c>
      <c r="C64" s="109" t="s">
        <v>28</v>
      </c>
      <c r="D64" s="110">
        <v>3810</v>
      </c>
      <c r="E64" s="144" t="s">
        <v>58</v>
      </c>
      <c r="F64" s="97" t="s">
        <v>58</v>
      </c>
      <c r="G64" s="97" t="s">
        <v>58</v>
      </c>
      <c r="H64" s="97" t="s">
        <v>58</v>
      </c>
      <c r="I64" s="97" t="s">
        <v>58</v>
      </c>
      <c r="J64" s="97" t="s">
        <v>58</v>
      </c>
      <c r="K64" s="97" t="s">
        <v>58</v>
      </c>
      <c r="L64" s="97" t="s">
        <v>58</v>
      </c>
      <c r="M64" s="97" t="s">
        <v>58</v>
      </c>
      <c r="N64" s="97" t="s">
        <v>58</v>
      </c>
      <c r="O64" s="97" t="s">
        <v>58</v>
      </c>
      <c r="P64" s="97" t="s">
        <v>58</v>
      </c>
      <c r="Q64" s="97" t="s">
        <v>58</v>
      </c>
      <c r="R64" s="97" t="s">
        <v>58</v>
      </c>
      <c r="S64" s="97" t="s">
        <v>58</v>
      </c>
      <c r="T64" s="97" t="s">
        <v>58</v>
      </c>
      <c r="U64" s="97" t="s">
        <v>58</v>
      </c>
      <c r="V64" s="97" t="s">
        <v>58</v>
      </c>
      <c r="W64" s="97" t="s">
        <v>58</v>
      </c>
      <c r="X64" s="97" t="s">
        <v>58</v>
      </c>
      <c r="Y64" s="97" t="s">
        <v>58</v>
      </c>
      <c r="Z64" s="97" t="s">
        <v>58</v>
      </c>
      <c r="AA64" s="97" t="s">
        <v>58</v>
      </c>
      <c r="AB64" s="97" t="s">
        <v>58</v>
      </c>
      <c r="AC64" s="97" t="s">
        <v>58</v>
      </c>
      <c r="AD64" s="97" t="s">
        <v>58</v>
      </c>
      <c r="AE64" s="97" t="s">
        <v>58</v>
      </c>
      <c r="AF64" s="97" t="s">
        <v>58</v>
      </c>
      <c r="AG64" s="97" t="s">
        <v>58</v>
      </c>
      <c r="AH64" s="97" t="s">
        <v>58</v>
      </c>
      <c r="AI64" s="154">
        <f>COUNTA(E64:AH64)</f>
        <v>30</v>
      </c>
      <c r="AJ64" s="84">
        <f>COUNTIF(E64:AH64,1)</f>
        <v>0</v>
      </c>
      <c r="AK64" s="84">
        <f>COUNTIF(E64:AH64,"тр")</f>
        <v>30</v>
      </c>
      <c r="AL64" s="85">
        <f>COUNTIF(E64:AH64,"бв")</f>
        <v>0</v>
      </c>
    </row>
    <row r="65" spans="1:38" s="33" customFormat="1" ht="16.3" thickBot="1" x14ac:dyDescent="0.3">
      <c r="A65" s="121"/>
      <c r="B65" s="122" t="s">
        <v>63</v>
      </c>
      <c r="C65" s="123"/>
      <c r="D65" s="123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149"/>
      <c r="AC65" s="149"/>
      <c r="AD65" s="149"/>
      <c r="AE65" s="149"/>
      <c r="AF65" s="149"/>
      <c r="AG65" s="149"/>
      <c r="AH65" s="149"/>
      <c r="AI65" s="134">
        <f>SUM(AI61:AI64)</f>
        <v>102</v>
      </c>
      <c r="AJ65" s="135">
        <f t="shared" ref="AJ65:AL65" si="14">SUM(AJ61:AJ64)</f>
        <v>65</v>
      </c>
      <c r="AK65" s="135">
        <f t="shared" si="14"/>
        <v>31</v>
      </c>
      <c r="AL65" s="136">
        <f t="shared" si="14"/>
        <v>6</v>
      </c>
    </row>
    <row r="66" spans="1:38" s="33" customFormat="1" x14ac:dyDescent="0.25">
      <c r="A66" s="158"/>
      <c r="B66" s="49"/>
      <c r="C66" s="50"/>
      <c r="D66" s="50"/>
      <c r="Y66" s="51" t="s">
        <v>68</v>
      </c>
      <c r="AI66" s="76">
        <f>AI65</f>
        <v>102</v>
      </c>
    </row>
    <row r="68" spans="1:38" x14ac:dyDescent="0.25">
      <c r="B68" s="3" t="s">
        <v>75</v>
      </c>
      <c r="E68" s="88"/>
      <c r="F68" s="88"/>
      <c r="G68" s="88"/>
      <c r="H68" s="88"/>
      <c r="I68" s="88"/>
      <c r="J68" s="88"/>
      <c r="K68" s="88"/>
      <c r="L68" s="88"/>
      <c r="S68" s="3" t="s">
        <v>76</v>
      </c>
    </row>
  </sheetData>
  <autoFilter ref="E2:AL57"/>
  <mergeCells count="2">
    <mergeCell ref="A1:AL1"/>
    <mergeCell ref="A59:AL59"/>
  </mergeCells>
  <conditionalFormatting sqref="AJ5:AL5 AI24:AL24 AI32:AL32 AI36:AL36 AI38:AL38 AI42:AL42 AI50:AL50 AI52:AL52 AI56:AL56 AI65:AL65 E4:AH4 AI4:AI5 E25:AI31 E43:AI49 E51:AI51 E53:AI55 E33:AI35 E37:AI37 E39:AI41 E61:AI64 E6:AI23">
    <cfRule type="containsBlanks" dxfId="0" priority="1">
      <formula>LEN(TRIM(E4))=0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I5:AL5 AI24:AL24 AI32:AL32 AI36:AL36 AI38:AL38 AI42:AL42 AI50:AL50 AI52:AL5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4</vt:i4>
      </vt:variant>
    </vt:vector>
  </HeadingPairs>
  <TitlesOfParts>
    <vt:vector size="9" baseType="lpstr">
      <vt:lpstr>Январь 2019</vt:lpstr>
      <vt:lpstr>Февраль 2019</vt:lpstr>
      <vt:lpstr>Март 2019</vt:lpstr>
      <vt:lpstr>Апрель 2019</vt:lpstr>
      <vt:lpstr>Данные</vt:lpstr>
      <vt:lpstr>АХД</vt:lpstr>
      <vt:lpstr>'Апрель 2019'!Заголовки_для_печати</vt:lpstr>
      <vt:lpstr>'Март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2019-04-01T09:29:13Z</cp:lastPrinted>
  <dcterms:created xsi:type="dcterms:W3CDTF">2018-09-27T18:15:43Z</dcterms:created>
  <dcterms:modified xsi:type="dcterms:W3CDTF">2019-04-24T06:51:55Z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