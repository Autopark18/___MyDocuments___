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2019'!$E$2:$AL$59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4" i="6" l="1"/>
  <c r="AI63" i="6"/>
  <c r="AI57" i="6"/>
  <c r="AI56" i="6"/>
  <c r="AI54" i="6"/>
  <c r="AI53" i="6"/>
  <c r="AI46" i="6"/>
  <c r="AI47" i="6"/>
  <c r="AI48" i="6"/>
  <c r="AI49" i="6"/>
  <c r="AI50" i="6"/>
  <c r="AI51" i="6"/>
  <c r="AI45" i="6"/>
  <c r="AI42" i="6"/>
  <c r="AI43" i="6"/>
  <c r="AI41" i="6"/>
  <c r="AI39" i="6"/>
  <c r="AI37" i="6"/>
  <c r="AI36" i="6"/>
  <c r="AI33" i="6"/>
  <c r="AI34" i="6"/>
  <c r="AI32" i="6"/>
  <c r="AI25" i="6"/>
  <c r="AI26" i="6"/>
  <c r="AI27" i="6"/>
  <c r="AI28" i="6"/>
  <c r="AI29" i="6"/>
  <c r="AI30" i="6"/>
  <c r="AI24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5" i="6"/>
  <c r="AI66" i="6" s="1"/>
  <c r="AL64" i="6"/>
  <c r="AK64" i="6"/>
  <c r="AJ64" i="6"/>
  <c r="AL63" i="6"/>
  <c r="AK63" i="6"/>
  <c r="AJ63" i="6"/>
  <c r="A61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7" i="6"/>
  <c r="AK47" i="6"/>
  <c r="AJ47" i="6"/>
  <c r="AL46" i="6"/>
  <c r="AK46" i="6"/>
  <c r="AJ46" i="6"/>
  <c r="AL45" i="6"/>
  <c r="AK45" i="6"/>
  <c r="AJ45" i="6"/>
  <c r="AL43" i="6"/>
  <c r="AK43" i="6"/>
  <c r="AJ43" i="6"/>
  <c r="AL42" i="6"/>
  <c r="AK42" i="6"/>
  <c r="AJ42" i="6"/>
  <c r="AL41" i="6"/>
  <c r="AK41" i="6"/>
  <c r="AJ41" i="6"/>
  <c r="AL39" i="6"/>
  <c r="AK39" i="6"/>
  <c r="AJ39" i="6"/>
  <c r="AL37" i="6"/>
  <c r="AK37" i="6"/>
  <c r="AJ37" i="6"/>
  <c r="AL36" i="6"/>
  <c r="AK36" i="6"/>
  <c r="AJ36" i="6"/>
  <c r="AL34" i="6"/>
  <c r="AK34" i="6"/>
  <c r="AJ34" i="6"/>
  <c r="AL33" i="6"/>
  <c r="AK33" i="6"/>
  <c r="AJ33" i="6"/>
  <c r="AL32" i="6"/>
  <c r="AK32" i="6"/>
  <c r="AJ32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6" i="6"/>
  <c r="AK26" i="6"/>
  <c r="AJ26" i="6"/>
  <c r="AL25" i="6"/>
  <c r="AK25" i="6"/>
  <c r="AJ25" i="6"/>
  <c r="AL24" i="6"/>
  <c r="AK24" i="6"/>
  <c r="AJ24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4" i="6" s="1"/>
  <c r="A25" i="6" s="1"/>
  <c r="A26" i="6" s="1"/>
  <c r="A27" i="6" s="1"/>
  <c r="A28" i="6" s="1"/>
  <c r="A29" i="6" s="1"/>
  <c r="A30" i="6" s="1"/>
  <c r="A32" i="6" s="1"/>
  <c r="A33" i="6" s="1"/>
  <c r="A34" i="6" s="1"/>
  <c r="A36" i="6" s="1"/>
  <c r="A37" i="6" s="1"/>
  <c r="A39" i="6" s="1"/>
  <c r="A41" i="6" s="1"/>
  <c r="A42" i="6" s="1"/>
  <c r="A43" i="6" s="1"/>
  <c r="A45" i="6" s="1"/>
  <c r="A46" i="6" s="1"/>
  <c r="A47" i="6" s="1"/>
  <c r="A48" i="6" s="1"/>
  <c r="A49" i="6" s="1"/>
  <c r="A50" i="6" s="1"/>
  <c r="A51" i="6" s="1"/>
  <c r="A53" i="6" s="1"/>
  <c r="A54" i="6" s="1"/>
  <c r="A56" i="6" s="1"/>
  <c r="A57" i="6" s="1"/>
  <c r="AL4" i="6"/>
  <c r="AK4" i="6"/>
  <c r="AJ4" i="6"/>
  <c r="A1" i="6"/>
  <c r="AJ40" i="6" l="1"/>
  <c r="AL40" i="6"/>
  <c r="AK40" i="6"/>
  <c r="AJ65" i="6"/>
  <c r="AL65" i="6"/>
  <c r="AK65" i="6"/>
  <c r="AL6" i="6" l="1"/>
  <c r="AL23" i="6" s="1"/>
  <c r="AL31" i="6" s="1"/>
  <c r="AL35" i="6" s="1"/>
  <c r="AL38" i="6" s="1"/>
  <c r="AL44" i="6" s="1"/>
  <c r="AL52" i="6" s="1"/>
  <c r="AL55" i="6" s="1"/>
  <c r="AL58" i="6" s="1"/>
  <c r="AI40" i="6" l="1"/>
  <c r="AI38" i="6" l="1"/>
  <c r="AI6" i="6" l="1"/>
  <c r="AI23" i="6"/>
  <c r="AI31" i="6" s="1"/>
  <c r="AI44" i="6"/>
  <c r="AI52" i="6" s="1"/>
  <c r="AI55" i="6"/>
  <c r="AK44" i="6"/>
  <c r="AK52" i="6" s="1"/>
  <c r="AK6" i="6" s="1"/>
  <c r="AK23" i="6" s="1"/>
  <c r="AK31" i="6" s="1"/>
  <c r="AK35" i="6" s="1"/>
  <c r="AK38" i="6" s="1"/>
  <c r="AI35" i="6" l="1"/>
  <c r="AK55" i="6"/>
  <c r="AK58" i="6" s="1"/>
  <c r="AI58" i="6"/>
  <c r="AI59" i="6" s="1"/>
  <c r="AJ6" i="6"/>
  <c r="AJ23" i="6"/>
  <c r="AJ31" i="6"/>
  <c r="AJ35" i="6"/>
  <c r="AJ38" i="6"/>
  <c r="AJ44" i="6"/>
  <c r="AJ52" i="6"/>
  <c r="AJ55" i="6"/>
  <c r="AJ58" i="6"/>
</calcChain>
</file>

<file path=xl/sharedStrings.xml><?xml version="1.0" encoding="utf-8"?>
<sst xmlns="http://schemas.openxmlformats.org/spreadsheetml/2006/main" count="517" uniqueCount="69">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</sst>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6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9" sqref="I9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7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35" t="s">
        <v>58</v>
      </c>
      <c r="AI7" s="73">
        <f t="shared" ref="AI7:AI22" si="0">АХД</f>
        <v>30</v>
      </c>
      <c r="AJ7" s="17">
        <f t="shared" ref="AJ7:AJ22" si="1">COUNTIF(E7:AH7,1)</f>
        <v>0</v>
      </c>
      <c r="AK7" s="17">
        <f t="shared" ref="AK7:AK22" si="2">COUNTIF(E7:AH7,"тр")</f>
        <v>30</v>
      </c>
      <c r="AL7" s="18">
        <f t="shared" ref="AL7:AL22" si="3">COUNTIF(E7:AH7,"бв")</f>
        <v>0</v>
      </c>
    </row>
    <row r="8" spans="1:38" x14ac:dyDescent="0.25">
      <c r="A8" s="11">
        <f t="shared" ref="A8:A57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3">
        <f t="shared" si="0"/>
        <v>30</v>
      </c>
      <c r="AJ8" s="54">
        <f t="shared" si="1"/>
        <v>4</v>
      </c>
      <c r="AK8" s="54">
        <f t="shared" si="2"/>
        <v>0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5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 t="s">
        <v>58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58</v>
      </c>
      <c r="AD10" s="5" t="s">
        <v>58</v>
      </c>
      <c r="AE10" s="5" t="s">
        <v>58</v>
      </c>
      <c r="AF10" s="5" t="s">
        <v>58</v>
      </c>
      <c r="AG10" s="5" t="s">
        <v>58</v>
      </c>
      <c r="AH10" s="5" t="s">
        <v>58</v>
      </c>
      <c r="AI10" s="73">
        <f t="shared" si="0"/>
        <v>30</v>
      </c>
      <c r="AJ10" s="54">
        <f t="shared" si="1"/>
        <v>0</v>
      </c>
      <c r="AK10" s="54">
        <f t="shared" si="2"/>
        <v>30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3">
        <f t="shared" si="0"/>
        <v>30</v>
      </c>
      <c r="AJ11" s="54">
        <f t="shared" si="1"/>
        <v>7</v>
      </c>
      <c r="AK11" s="54">
        <f t="shared" si="2"/>
        <v>0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3">
        <f t="shared" si="0"/>
        <v>30</v>
      </c>
      <c r="AJ12" s="54">
        <f t="shared" si="1"/>
        <v>4</v>
      </c>
      <c r="AK12" s="54">
        <f t="shared" si="2"/>
        <v>0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>
        <v>1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3">
        <f t="shared" si="0"/>
        <v>30</v>
      </c>
      <c r="AJ13" s="54">
        <f t="shared" si="1"/>
        <v>7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3">
        <f t="shared" si="0"/>
        <v>30</v>
      </c>
      <c r="AJ14" s="54">
        <f t="shared" si="1"/>
        <v>8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3">
        <f t="shared" si="0"/>
        <v>30</v>
      </c>
      <c r="AJ15" s="54">
        <f t="shared" si="1"/>
        <v>8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3">
        <f t="shared" si="0"/>
        <v>30</v>
      </c>
      <c r="AJ16" s="54">
        <f t="shared" si="1"/>
        <v>8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3">
        <f t="shared" si="0"/>
        <v>30</v>
      </c>
      <c r="AJ17" s="54">
        <f t="shared" si="1"/>
        <v>7</v>
      </c>
      <c r="AK17" s="54">
        <f t="shared" si="2"/>
        <v>0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3">
        <f t="shared" si="0"/>
        <v>30</v>
      </c>
      <c r="AJ18" s="54">
        <f t="shared" si="1"/>
        <v>8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3">
        <f t="shared" si="0"/>
        <v>30</v>
      </c>
      <c r="AJ19" s="54">
        <f t="shared" si="1"/>
        <v>1</v>
      </c>
      <c r="AK19" s="54">
        <f t="shared" si="2"/>
        <v>6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3">
        <f t="shared" si="0"/>
        <v>30</v>
      </c>
      <c r="AJ20" s="54">
        <f t="shared" si="1"/>
        <v>8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3">
        <f t="shared" si="0"/>
        <v>30</v>
      </c>
      <c r="AJ21" s="54">
        <f t="shared" si="1"/>
        <v>8</v>
      </c>
      <c r="AK21" s="54">
        <f t="shared" si="2"/>
        <v>0</v>
      </c>
      <c r="AL21" s="55">
        <f t="shared" si="3"/>
        <v>0</v>
      </c>
    </row>
    <row r="22" spans="1:38" ht="16.3" thickBot="1" x14ac:dyDescent="0.3">
      <c r="A22" s="44">
        <f t="shared" si="4"/>
        <v>18</v>
      </c>
      <c r="B22" s="39" t="s">
        <v>53</v>
      </c>
      <c r="C22" s="40" t="s">
        <v>18</v>
      </c>
      <c r="D22" s="41">
        <v>4302</v>
      </c>
      <c r="E22" s="43" t="s">
        <v>57</v>
      </c>
      <c r="F22" s="43">
        <v>1</v>
      </c>
      <c r="G22" s="42">
        <v>1</v>
      </c>
      <c r="H22" s="42">
        <v>1</v>
      </c>
      <c r="I22" s="42" t="s">
        <v>57</v>
      </c>
      <c r="J22" s="42" t="s">
        <v>57</v>
      </c>
      <c r="K22" s="42">
        <v>1</v>
      </c>
      <c r="L22" s="42">
        <v>1</v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73">
        <f t="shared" si="0"/>
        <v>30</v>
      </c>
      <c r="AJ22" s="56">
        <f t="shared" si="1"/>
        <v>5</v>
      </c>
      <c r="AK22" s="56">
        <f t="shared" si="2"/>
        <v>0</v>
      </c>
      <c r="AL22" s="57">
        <f t="shared" si="3"/>
        <v>3</v>
      </c>
    </row>
    <row r="23" spans="1:38" s="33" customFormat="1" ht="16.3" thickBot="1" x14ac:dyDescent="0.3">
      <c r="A23" s="63"/>
      <c r="B23" s="66" t="s">
        <v>63</v>
      </c>
      <c r="C23" s="64"/>
      <c r="D23" s="64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78">
        <f>SUM(AI7:AI22)</f>
        <v>480</v>
      </c>
      <c r="AJ23" s="70">
        <f>SUM(AJ7:AJ22)</f>
        <v>83</v>
      </c>
      <c r="AK23" s="70">
        <f>SUM(AK7:AK22)</f>
        <v>97</v>
      </c>
      <c r="AL23" s="76">
        <f>SUM(AL7:AL22)</f>
        <v>14</v>
      </c>
    </row>
    <row r="24" spans="1:38" x14ac:dyDescent="0.25">
      <c r="A24" s="8">
        <f>A22+1</f>
        <v>19</v>
      </c>
      <c r="B24" s="45" t="s">
        <v>19</v>
      </c>
      <c r="C24" s="10" t="s">
        <v>20</v>
      </c>
      <c r="D24" s="21">
        <v>2961</v>
      </c>
      <c r="E24" s="6">
        <v>1</v>
      </c>
      <c r="F24" s="35">
        <v>1</v>
      </c>
      <c r="G24" s="35">
        <v>1</v>
      </c>
      <c r="H24" s="35">
        <v>1</v>
      </c>
      <c r="I24" s="35">
        <v>1</v>
      </c>
      <c r="J24" s="35" t="s">
        <v>57</v>
      </c>
      <c r="K24" s="35" t="s">
        <v>57</v>
      </c>
      <c r="L24" s="35">
        <v>1</v>
      </c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73">
        <f t="shared" ref="AI24:AI30" si="5">АХД</f>
        <v>30</v>
      </c>
      <c r="AJ24" s="17">
        <f t="shared" ref="AJ24:AJ30" si="6">COUNTIF(E24:AH24,1)</f>
        <v>6</v>
      </c>
      <c r="AK24" s="17">
        <f t="shared" ref="AK24:AK30" si="7">COUNTIF(E24:AH24,"тр")</f>
        <v>0</v>
      </c>
      <c r="AL24" s="18">
        <f t="shared" ref="AL24:AL30" si="8">COUNTIF(E24:AH24,"бв")</f>
        <v>2</v>
      </c>
    </row>
    <row r="25" spans="1:38" x14ac:dyDescent="0.25">
      <c r="A25" s="11">
        <f t="shared" si="4"/>
        <v>20</v>
      </c>
      <c r="B25" s="14" t="s">
        <v>19</v>
      </c>
      <c r="C25" s="13" t="s">
        <v>21</v>
      </c>
      <c r="D25" s="22">
        <v>2962</v>
      </c>
      <c r="E25" s="7" t="s">
        <v>58</v>
      </c>
      <c r="F25" s="5" t="s">
        <v>58</v>
      </c>
      <c r="G25" s="5" t="s">
        <v>58</v>
      </c>
      <c r="H25" s="5" t="s">
        <v>58</v>
      </c>
      <c r="I25" s="5" t="s">
        <v>58</v>
      </c>
      <c r="J25" s="5" t="s">
        <v>58</v>
      </c>
      <c r="K25" s="5" t="s">
        <v>58</v>
      </c>
      <c r="L25" s="5" t="s">
        <v>58</v>
      </c>
      <c r="M25" s="5" t="s">
        <v>58</v>
      </c>
      <c r="N25" s="5" t="s">
        <v>58</v>
      </c>
      <c r="O25" s="5" t="s">
        <v>58</v>
      </c>
      <c r="P25" s="5" t="s">
        <v>58</v>
      </c>
      <c r="Q25" s="5" t="s">
        <v>58</v>
      </c>
      <c r="R25" s="5" t="s">
        <v>58</v>
      </c>
      <c r="S25" s="5" t="s">
        <v>58</v>
      </c>
      <c r="T25" s="5" t="s">
        <v>58</v>
      </c>
      <c r="U25" s="5" t="s">
        <v>58</v>
      </c>
      <c r="V25" s="5" t="s">
        <v>58</v>
      </c>
      <c r="W25" s="5" t="s">
        <v>58</v>
      </c>
      <c r="X25" s="5" t="s">
        <v>58</v>
      </c>
      <c r="Y25" s="5" t="s">
        <v>58</v>
      </c>
      <c r="Z25" s="5" t="s">
        <v>58</v>
      </c>
      <c r="AA25" s="5" t="s">
        <v>58</v>
      </c>
      <c r="AB25" s="5" t="s">
        <v>58</v>
      </c>
      <c r="AC25" s="5" t="s">
        <v>58</v>
      </c>
      <c r="AD25" s="5" t="s">
        <v>58</v>
      </c>
      <c r="AE25" s="5" t="s">
        <v>58</v>
      </c>
      <c r="AF25" s="5" t="s">
        <v>58</v>
      </c>
      <c r="AG25" s="5" t="s">
        <v>58</v>
      </c>
      <c r="AH25" s="5" t="s">
        <v>58</v>
      </c>
      <c r="AI25" s="73">
        <f t="shared" si="5"/>
        <v>30</v>
      </c>
      <c r="AJ25" s="54">
        <f t="shared" si="6"/>
        <v>0</v>
      </c>
      <c r="AK25" s="54">
        <f t="shared" si="7"/>
        <v>30</v>
      </c>
      <c r="AL25" s="55">
        <f t="shared" si="8"/>
        <v>0</v>
      </c>
    </row>
    <row r="26" spans="1:38" x14ac:dyDescent="0.25">
      <c r="A26" s="11">
        <f t="shared" si="4"/>
        <v>21</v>
      </c>
      <c r="B26" s="14" t="s">
        <v>19</v>
      </c>
      <c r="C26" s="13" t="s">
        <v>22</v>
      </c>
      <c r="D26" s="22">
        <v>2963</v>
      </c>
      <c r="E26" s="7">
        <v>1</v>
      </c>
      <c r="F26" s="5">
        <v>1</v>
      </c>
      <c r="G26" s="5">
        <v>1</v>
      </c>
      <c r="H26" s="5">
        <v>1</v>
      </c>
      <c r="I26" s="5" t="s">
        <v>58</v>
      </c>
      <c r="J26" s="5" t="s">
        <v>58</v>
      </c>
      <c r="K26" s="5">
        <v>1</v>
      </c>
      <c r="L26" s="5">
        <v>1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3">
        <f t="shared" si="5"/>
        <v>30</v>
      </c>
      <c r="AJ26" s="54">
        <f t="shared" si="6"/>
        <v>6</v>
      </c>
      <c r="AK26" s="54">
        <f t="shared" si="7"/>
        <v>2</v>
      </c>
      <c r="AL26" s="55">
        <f t="shared" si="8"/>
        <v>0</v>
      </c>
    </row>
    <row r="27" spans="1:38" x14ac:dyDescent="0.25">
      <c r="A27" s="11">
        <f t="shared" si="4"/>
        <v>22</v>
      </c>
      <c r="B27" s="14" t="s">
        <v>19</v>
      </c>
      <c r="C27" s="13" t="s">
        <v>23</v>
      </c>
      <c r="D27" s="22">
        <v>4309</v>
      </c>
      <c r="E27" s="7" t="s">
        <v>57</v>
      </c>
      <c r="F27" s="5" t="s">
        <v>57</v>
      </c>
      <c r="G27" s="5">
        <v>1</v>
      </c>
      <c r="H27" s="5">
        <v>1</v>
      </c>
      <c r="I27" s="5" t="s">
        <v>57</v>
      </c>
      <c r="J27" s="5">
        <v>1</v>
      </c>
      <c r="K27" s="5">
        <v>1</v>
      </c>
      <c r="L27" s="5">
        <v>1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3">
        <f t="shared" si="5"/>
        <v>30</v>
      </c>
      <c r="AJ27" s="54">
        <f t="shared" si="6"/>
        <v>5</v>
      </c>
      <c r="AK27" s="54">
        <f t="shared" si="7"/>
        <v>0</v>
      </c>
      <c r="AL27" s="55">
        <f t="shared" si="8"/>
        <v>3</v>
      </c>
    </row>
    <row r="28" spans="1:38" x14ac:dyDescent="0.25">
      <c r="A28" s="11">
        <f t="shared" si="4"/>
        <v>23</v>
      </c>
      <c r="B28" s="14" t="s">
        <v>19</v>
      </c>
      <c r="C28" s="15">
        <v>162</v>
      </c>
      <c r="D28" s="22" t="s">
        <v>51</v>
      </c>
      <c r="E28" s="7" t="s">
        <v>58</v>
      </c>
      <c r="F28" s="7">
        <v>1</v>
      </c>
      <c r="G28" s="5" t="s">
        <v>57</v>
      </c>
      <c r="H28" s="5" t="s">
        <v>57</v>
      </c>
      <c r="I28" s="5" t="s">
        <v>57</v>
      </c>
      <c r="J28" s="5" t="s">
        <v>57</v>
      </c>
      <c r="K28" s="5" t="s">
        <v>57</v>
      </c>
      <c r="L28" s="5" t="s">
        <v>57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3">
        <f t="shared" si="5"/>
        <v>30</v>
      </c>
      <c r="AJ28" s="54">
        <f t="shared" si="6"/>
        <v>1</v>
      </c>
      <c r="AK28" s="54">
        <f t="shared" si="7"/>
        <v>1</v>
      </c>
      <c r="AL28" s="55">
        <f t="shared" si="8"/>
        <v>6</v>
      </c>
    </row>
    <row r="29" spans="1:38" x14ac:dyDescent="0.25">
      <c r="A29" s="11">
        <f t="shared" si="4"/>
        <v>24</v>
      </c>
      <c r="B29" s="14" t="s">
        <v>19</v>
      </c>
      <c r="C29" s="15">
        <v>163</v>
      </c>
      <c r="D29" s="22" t="s">
        <v>52</v>
      </c>
      <c r="E29" s="7">
        <v>1</v>
      </c>
      <c r="F29" s="5">
        <v>1</v>
      </c>
      <c r="G29" s="5">
        <v>1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5"/>
        <v>30</v>
      </c>
      <c r="AJ29" s="54">
        <f t="shared" si="6"/>
        <v>6</v>
      </c>
      <c r="AK29" s="54">
        <f t="shared" si="7"/>
        <v>0</v>
      </c>
      <c r="AL29" s="55">
        <f t="shared" si="8"/>
        <v>2</v>
      </c>
    </row>
    <row r="30" spans="1:38" ht="16.3" thickBot="1" x14ac:dyDescent="0.3">
      <c r="A30" s="44">
        <f t="shared" si="4"/>
        <v>25</v>
      </c>
      <c r="B30" s="67" t="s">
        <v>19</v>
      </c>
      <c r="C30" s="40" t="s">
        <v>24</v>
      </c>
      <c r="D30" s="41">
        <v>1276</v>
      </c>
      <c r="E30" s="43">
        <v>1</v>
      </c>
      <c r="F30" s="42">
        <v>1</v>
      </c>
      <c r="G30" s="42">
        <v>1</v>
      </c>
      <c r="H30" s="42">
        <v>1</v>
      </c>
      <c r="I30" s="42" t="s">
        <v>57</v>
      </c>
      <c r="J30" s="42" t="s">
        <v>57</v>
      </c>
      <c r="K30" s="42">
        <v>1</v>
      </c>
      <c r="L30" s="42">
        <v>1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73">
        <f t="shared" si="5"/>
        <v>30</v>
      </c>
      <c r="AJ30" s="56">
        <f t="shared" si="6"/>
        <v>6</v>
      </c>
      <c r="AK30" s="56">
        <f t="shared" si="7"/>
        <v>0</v>
      </c>
      <c r="AL30" s="57">
        <f t="shared" si="8"/>
        <v>2</v>
      </c>
    </row>
    <row r="31" spans="1:38" s="33" customFormat="1" ht="16.3" thickBot="1" x14ac:dyDescent="0.3">
      <c r="A31" s="63"/>
      <c r="B31" s="66" t="s">
        <v>63</v>
      </c>
      <c r="C31" s="64"/>
      <c r="D31" s="64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78">
        <f>SUM(AI24:AI30)</f>
        <v>210</v>
      </c>
      <c r="AJ31" s="70">
        <f>SUM(AJ24:AJ30)</f>
        <v>30</v>
      </c>
      <c r="AK31" s="70">
        <f>SUM(AK24:AK30)</f>
        <v>33</v>
      </c>
      <c r="AL31" s="76">
        <f>SUM(AL24:AL30)</f>
        <v>15</v>
      </c>
    </row>
    <row r="32" spans="1:38" x14ac:dyDescent="0.25">
      <c r="A32" s="8">
        <f>A30+1</f>
        <v>26</v>
      </c>
      <c r="B32" s="9" t="s">
        <v>25</v>
      </c>
      <c r="C32" s="10" t="s">
        <v>26</v>
      </c>
      <c r="D32" s="21">
        <v>3111</v>
      </c>
      <c r="E32" s="6">
        <v>1</v>
      </c>
      <c r="F32" s="35" t="s">
        <v>57</v>
      </c>
      <c r="G32" s="35">
        <v>1</v>
      </c>
      <c r="H32" s="35">
        <v>1</v>
      </c>
      <c r="I32" s="35">
        <v>1</v>
      </c>
      <c r="J32" s="35">
        <v>1</v>
      </c>
      <c r="K32" s="35">
        <v>1</v>
      </c>
      <c r="L32" s="35">
        <v>1</v>
      </c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73">
        <f>АХД</f>
        <v>30</v>
      </c>
      <c r="AJ32" s="17">
        <f>COUNTIF(E32:AH32,1)</f>
        <v>7</v>
      </c>
      <c r="AK32" s="17">
        <f>COUNTIF(E32:AH32,"тр")</f>
        <v>0</v>
      </c>
      <c r="AL32" s="18">
        <f>COUNTIF(E32:AH32,"бв")</f>
        <v>1</v>
      </c>
    </row>
    <row r="33" spans="1:38" x14ac:dyDescent="0.25">
      <c r="A33" s="11">
        <f t="shared" si="4"/>
        <v>27</v>
      </c>
      <c r="B33" s="16" t="s">
        <v>25</v>
      </c>
      <c r="C33" s="13" t="s">
        <v>27</v>
      </c>
      <c r="D33" s="22">
        <v>1290</v>
      </c>
      <c r="E33" s="7" t="s">
        <v>57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 t="s">
        <v>57</v>
      </c>
      <c r="L33" s="5">
        <v>1</v>
      </c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73">
        <f>АХД</f>
        <v>30</v>
      </c>
      <c r="AJ33" s="54">
        <f>COUNTIF(E33:AH33,1)</f>
        <v>6</v>
      </c>
      <c r="AK33" s="54">
        <f>COUNTIF(E33:AH33,"тр")</f>
        <v>0</v>
      </c>
      <c r="AL33" s="55">
        <f>COUNTIF(E33:AH33,"бв")</f>
        <v>2</v>
      </c>
    </row>
    <row r="34" spans="1:38" ht="16.3" thickBot="1" x14ac:dyDescent="0.3">
      <c r="A34" s="44">
        <f t="shared" si="4"/>
        <v>28</v>
      </c>
      <c r="B34" s="39" t="s">
        <v>25</v>
      </c>
      <c r="C34" s="68">
        <v>147</v>
      </c>
      <c r="D34" s="41">
        <v>4711</v>
      </c>
      <c r="E34" s="43" t="s">
        <v>58</v>
      </c>
      <c r="F34" s="42" t="s">
        <v>58</v>
      </c>
      <c r="G34" s="42" t="s">
        <v>58</v>
      </c>
      <c r="H34" s="42" t="s">
        <v>58</v>
      </c>
      <c r="I34" s="42" t="s">
        <v>58</v>
      </c>
      <c r="J34" s="42" t="s">
        <v>58</v>
      </c>
      <c r="K34" s="42" t="s">
        <v>58</v>
      </c>
      <c r="L34" s="42" t="s">
        <v>58</v>
      </c>
      <c r="M34" s="42" t="s">
        <v>58</v>
      </c>
      <c r="N34" s="42" t="s">
        <v>58</v>
      </c>
      <c r="O34" s="42" t="s">
        <v>58</v>
      </c>
      <c r="P34" s="42" t="s">
        <v>58</v>
      </c>
      <c r="Q34" s="42" t="s">
        <v>58</v>
      </c>
      <c r="R34" s="42" t="s">
        <v>58</v>
      </c>
      <c r="S34" s="42" t="s">
        <v>58</v>
      </c>
      <c r="T34" s="42" t="s">
        <v>58</v>
      </c>
      <c r="U34" s="42" t="s">
        <v>58</v>
      </c>
      <c r="V34" s="42" t="s">
        <v>58</v>
      </c>
      <c r="W34" s="42" t="s">
        <v>58</v>
      </c>
      <c r="X34" s="42" t="s">
        <v>58</v>
      </c>
      <c r="Y34" s="42" t="s">
        <v>58</v>
      </c>
      <c r="Z34" s="42" t="s">
        <v>58</v>
      </c>
      <c r="AA34" s="42" t="s">
        <v>58</v>
      </c>
      <c r="AB34" s="42" t="s">
        <v>58</v>
      </c>
      <c r="AC34" s="42" t="s">
        <v>58</v>
      </c>
      <c r="AD34" s="42" t="s">
        <v>58</v>
      </c>
      <c r="AE34" s="42" t="s">
        <v>58</v>
      </c>
      <c r="AF34" s="42" t="s">
        <v>58</v>
      </c>
      <c r="AG34" s="42" t="s">
        <v>58</v>
      </c>
      <c r="AH34" s="42" t="s">
        <v>58</v>
      </c>
      <c r="AI34" s="73">
        <f>АХД</f>
        <v>30</v>
      </c>
      <c r="AJ34" s="56">
        <f>COUNTIF(E34:AH34,1)</f>
        <v>0</v>
      </c>
      <c r="AK34" s="56">
        <f>COUNTIF(E34:AH34,"тр")</f>
        <v>30</v>
      </c>
      <c r="AL34" s="57">
        <f>COUNTIF(E34:AH34,"бв")</f>
        <v>0</v>
      </c>
    </row>
    <row r="35" spans="1:38" s="33" customFormat="1" ht="16.3" thickBot="1" x14ac:dyDescent="0.3">
      <c r="A35" s="63"/>
      <c r="B35" s="66" t="s">
        <v>63</v>
      </c>
      <c r="C35" s="64"/>
      <c r="D35" s="64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78">
        <f>SUM(AI32:AI34)</f>
        <v>90</v>
      </c>
      <c r="AJ35" s="70">
        <f>SUM(AJ32:AJ34)</f>
        <v>13</v>
      </c>
      <c r="AK35" s="70">
        <f>SUM(AK32:AK34)</f>
        <v>30</v>
      </c>
      <c r="AL35" s="76">
        <f>SUM(AL32:AL34)</f>
        <v>3</v>
      </c>
    </row>
    <row r="36" spans="1:38" x14ac:dyDescent="0.25">
      <c r="A36" s="8">
        <f>A34+1</f>
        <v>29</v>
      </c>
      <c r="B36" s="9" t="s">
        <v>55</v>
      </c>
      <c r="C36" s="10" t="s">
        <v>28</v>
      </c>
      <c r="D36" s="21">
        <v>3810</v>
      </c>
      <c r="E36" s="6" t="s">
        <v>58</v>
      </c>
      <c r="F36" s="35" t="s">
        <v>58</v>
      </c>
      <c r="G36" s="35" t="s">
        <v>58</v>
      </c>
      <c r="H36" s="35" t="s">
        <v>58</v>
      </c>
      <c r="I36" s="35" t="s">
        <v>58</v>
      </c>
      <c r="J36" s="35" t="s">
        <v>58</v>
      </c>
      <c r="K36" s="35" t="s">
        <v>58</v>
      </c>
      <c r="L36" s="35" t="s">
        <v>58</v>
      </c>
      <c r="M36" s="35" t="s">
        <v>58</v>
      </c>
      <c r="N36" s="35" t="s">
        <v>58</v>
      </c>
      <c r="O36" s="35" t="s">
        <v>58</v>
      </c>
      <c r="P36" s="35" t="s">
        <v>58</v>
      </c>
      <c r="Q36" s="35" t="s">
        <v>58</v>
      </c>
      <c r="R36" s="35" t="s">
        <v>58</v>
      </c>
      <c r="S36" s="35" t="s">
        <v>58</v>
      </c>
      <c r="T36" s="35" t="s">
        <v>58</v>
      </c>
      <c r="U36" s="35" t="s">
        <v>58</v>
      </c>
      <c r="V36" s="35" t="s">
        <v>58</v>
      </c>
      <c r="W36" s="35" t="s">
        <v>58</v>
      </c>
      <c r="X36" s="35" t="s">
        <v>58</v>
      </c>
      <c r="Y36" s="35" t="s">
        <v>58</v>
      </c>
      <c r="Z36" s="35" t="s">
        <v>58</v>
      </c>
      <c r="AA36" s="35" t="s">
        <v>58</v>
      </c>
      <c r="AB36" s="35" t="s">
        <v>58</v>
      </c>
      <c r="AC36" s="35" t="s">
        <v>58</v>
      </c>
      <c r="AD36" s="35" t="s">
        <v>58</v>
      </c>
      <c r="AE36" s="35" t="s">
        <v>58</v>
      </c>
      <c r="AF36" s="35" t="s">
        <v>58</v>
      </c>
      <c r="AG36" s="35" t="s">
        <v>58</v>
      </c>
      <c r="AH36" s="35" t="s">
        <v>58</v>
      </c>
      <c r="AI36" s="73">
        <f>АХД</f>
        <v>30</v>
      </c>
      <c r="AJ36" s="17">
        <f>COUNTIF(E36:AH36,1)</f>
        <v>0</v>
      </c>
      <c r="AK36" s="17">
        <f>COUNTIF(E36:AH36,"тр")</f>
        <v>30</v>
      </c>
      <c r="AL36" s="18">
        <f>COUNTIF(E36:AH36,"бв")</f>
        <v>0</v>
      </c>
    </row>
    <row r="37" spans="1:38" ht="16.3" thickBot="1" x14ac:dyDescent="0.3">
      <c r="A37" s="44">
        <f t="shared" si="4"/>
        <v>30</v>
      </c>
      <c r="B37" s="39" t="s">
        <v>55</v>
      </c>
      <c r="C37" s="40" t="s">
        <v>29</v>
      </c>
      <c r="D37" s="41">
        <v>3811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SUM(AI36:AI37)</f>
        <v>60</v>
      </c>
      <c r="AJ38" s="70">
        <f>SUM(AJ36:AJ37)</f>
        <v>0</v>
      </c>
      <c r="AK38" s="70">
        <f>SUM(AK36:AK37)</f>
        <v>60</v>
      </c>
      <c r="AL38" s="76">
        <f>SUM(AL36:AL37)</f>
        <v>0</v>
      </c>
    </row>
    <row r="39" spans="1:38" ht="16.3" thickBot="1" x14ac:dyDescent="0.3">
      <c r="A39" s="58">
        <f>A37+1</f>
        <v>31</v>
      </c>
      <c r="B39" s="59" t="s">
        <v>30</v>
      </c>
      <c r="C39" s="60" t="s">
        <v>31</v>
      </c>
      <c r="D39" s="61">
        <v>4253</v>
      </c>
      <c r="E39" s="38" t="s">
        <v>58</v>
      </c>
      <c r="F39" s="62" t="s">
        <v>58</v>
      </c>
      <c r="G39" s="62" t="s">
        <v>58</v>
      </c>
      <c r="H39" s="62" t="s">
        <v>58</v>
      </c>
      <c r="I39" s="62" t="s">
        <v>58</v>
      </c>
      <c r="J39" s="62" t="s">
        <v>58</v>
      </c>
      <c r="K39" s="62" t="s">
        <v>58</v>
      </c>
      <c r="L39" s="62" t="s">
        <v>58</v>
      </c>
      <c r="M39" s="62" t="s">
        <v>58</v>
      </c>
      <c r="N39" s="62" t="s">
        <v>58</v>
      </c>
      <c r="O39" s="62" t="s">
        <v>58</v>
      </c>
      <c r="P39" s="62" t="s">
        <v>58</v>
      </c>
      <c r="Q39" s="62" t="s">
        <v>58</v>
      </c>
      <c r="R39" s="62" t="s">
        <v>58</v>
      </c>
      <c r="S39" s="62" t="s">
        <v>58</v>
      </c>
      <c r="T39" s="62" t="s">
        <v>58</v>
      </c>
      <c r="U39" s="62" t="s">
        <v>58</v>
      </c>
      <c r="V39" s="62" t="s">
        <v>58</v>
      </c>
      <c r="W39" s="62" t="s">
        <v>58</v>
      </c>
      <c r="X39" s="62" t="s">
        <v>58</v>
      </c>
      <c r="Y39" s="62" t="s">
        <v>58</v>
      </c>
      <c r="Z39" s="62" t="s">
        <v>58</v>
      </c>
      <c r="AA39" s="62" t="s">
        <v>58</v>
      </c>
      <c r="AB39" s="62" t="s">
        <v>58</v>
      </c>
      <c r="AC39" s="62" t="s">
        <v>58</v>
      </c>
      <c r="AD39" s="62" t="s">
        <v>58</v>
      </c>
      <c r="AE39" s="62" t="s">
        <v>58</v>
      </c>
      <c r="AF39" s="62" t="s">
        <v>58</v>
      </c>
      <c r="AG39" s="62" t="s">
        <v>58</v>
      </c>
      <c r="AH39" s="62" t="s">
        <v>58</v>
      </c>
      <c r="AI39" s="73">
        <f>АХД</f>
        <v>30</v>
      </c>
      <c r="AJ39" s="19">
        <f>COUNTIF(E39:AH39,1)</f>
        <v>0</v>
      </c>
      <c r="AK39" s="19">
        <f>COUNTIF(E39:AH39,"тр")</f>
        <v>30</v>
      </c>
      <c r="AL39" s="20">
        <f>COUNTIF(E39:AH39,"бв")</f>
        <v>0</v>
      </c>
    </row>
    <row r="40" spans="1:38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78">
        <f>SUM(AI39)</f>
        <v>30</v>
      </c>
      <c r="AJ40" s="70">
        <f>SUM(AJ39)</f>
        <v>0</v>
      </c>
      <c r="AK40" s="70">
        <f>SUM(AK39)</f>
        <v>30</v>
      </c>
      <c r="AL40" s="76">
        <f>SUM(AL39)</f>
        <v>0</v>
      </c>
    </row>
    <row r="41" spans="1:38" x14ac:dyDescent="0.25">
      <c r="A41" s="8">
        <f>A39+1</f>
        <v>32</v>
      </c>
      <c r="B41" s="9" t="s">
        <v>33</v>
      </c>
      <c r="C41" s="10" t="s">
        <v>32</v>
      </c>
      <c r="D41" s="21">
        <v>2831</v>
      </c>
      <c r="E41" s="35" t="s">
        <v>58</v>
      </c>
      <c r="F41" s="35" t="s">
        <v>58</v>
      </c>
      <c r="G41" s="35" t="s">
        <v>58</v>
      </c>
      <c r="H41" s="35" t="s">
        <v>58</v>
      </c>
      <c r="I41" s="35" t="s">
        <v>58</v>
      </c>
      <c r="J41" s="35" t="s">
        <v>58</v>
      </c>
      <c r="K41" s="35" t="s">
        <v>58</v>
      </c>
      <c r="L41" s="35" t="s">
        <v>58</v>
      </c>
      <c r="M41" s="35" t="s">
        <v>58</v>
      </c>
      <c r="N41" s="35" t="s">
        <v>58</v>
      </c>
      <c r="O41" s="35" t="s">
        <v>58</v>
      </c>
      <c r="P41" s="35" t="s">
        <v>58</v>
      </c>
      <c r="Q41" s="35" t="s">
        <v>58</v>
      </c>
      <c r="R41" s="35" t="s">
        <v>58</v>
      </c>
      <c r="S41" s="35" t="s">
        <v>58</v>
      </c>
      <c r="T41" s="35" t="s">
        <v>58</v>
      </c>
      <c r="U41" s="35" t="s">
        <v>58</v>
      </c>
      <c r="V41" s="35" t="s">
        <v>58</v>
      </c>
      <c r="W41" s="35" t="s">
        <v>58</v>
      </c>
      <c r="X41" s="35" t="s">
        <v>58</v>
      </c>
      <c r="Y41" s="35" t="s">
        <v>58</v>
      </c>
      <c r="Z41" s="35" t="s">
        <v>58</v>
      </c>
      <c r="AA41" s="35" t="s">
        <v>58</v>
      </c>
      <c r="AB41" s="35" t="s">
        <v>58</v>
      </c>
      <c r="AC41" s="35" t="s">
        <v>58</v>
      </c>
      <c r="AD41" s="35" t="s">
        <v>58</v>
      </c>
      <c r="AE41" s="35" t="s">
        <v>58</v>
      </c>
      <c r="AF41" s="35" t="s">
        <v>58</v>
      </c>
      <c r="AG41" s="35" t="s">
        <v>58</v>
      </c>
      <c r="AH41" s="35" t="s">
        <v>58</v>
      </c>
      <c r="AI41" s="73">
        <f>АХД</f>
        <v>30</v>
      </c>
      <c r="AJ41" s="17">
        <f>COUNTIF(E41:AH41,1)</f>
        <v>0</v>
      </c>
      <c r="AK41" s="17">
        <f>COUNTIF(E41:AH41,"тр")</f>
        <v>30</v>
      </c>
      <c r="AL41" s="18">
        <f>COUNTIF(E41:AH41,"бв")</f>
        <v>0</v>
      </c>
    </row>
    <row r="42" spans="1:38" x14ac:dyDescent="0.25">
      <c r="A42" s="11">
        <f t="shared" si="4"/>
        <v>33</v>
      </c>
      <c r="B42" s="12" t="s">
        <v>33</v>
      </c>
      <c r="C42" s="13" t="s">
        <v>34</v>
      </c>
      <c r="D42" s="22">
        <v>7945</v>
      </c>
      <c r="E42" s="7" t="s">
        <v>57</v>
      </c>
      <c r="F42" s="7">
        <v>1</v>
      </c>
      <c r="G42" s="7">
        <v>1</v>
      </c>
      <c r="H42" s="5">
        <v>1</v>
      </c>
      <c r="I42" s="5">
        <v>1</v>
      </c>
      <c r="J42" s="5">
        <v>1</v>
      </c>
      <c r="K42" s="5">
        <v>1</v>
      </c>
      <c r="L42" s="5">
        <v>1</v>
      </c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73">
        <f>АХД</f>
        <v>30</v>
      </c>
      <c r="AJ42" s="54">
        <f>COUNTIF(E42:AH42,1)</f>
        <v>7</v>
      </c>
      <c r="AK42" s="54">
        <f>COUNTIF(E42:AH42,"тр")</f>
        <v>0</v>
      </c>
      <c r="AL42" s="55">
        <f>COUNTIF(E42:AH42,"бв")</f>
        <v>1</v>
      </c>
    </row>
    <row r="43" spans="1:38" ht="16.3" thickBot="1" x14ac:dyDescent="0.3">
      <c r="A43" s="44">
        <f t="shared" si="4"/>
        <v>34</v>
      </c>
      <c r="B43" s="39" t="s">
        <v>35</v>
      </c>
      <c r="C43" s="68">
        <v>135</v>
      </c>
      <c r="D43" s="41">
        <v>8933</v>
      </c>
      <c r="E43" s="43" t="s">
        <v>57</v>
      </c>
      <c r="F43" s="43">
        <v>1</v>
      </c>
      <c r="G43" s="43" t="s">
        <v>58</v>
      </c>
      <c r="H43" s="42">
        <v>1</v>
      </c>
      <c r="I43" s="42">
        <v>1</v>
      </c>
      <c r="J43" s="42">
        <v>1</v>
      </c>
      <c r="K43" s="42">
        <v>1</v>
      </c>
      <c r="L43" s="42">
        <v>1</v>
      </c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73">
        <f>АХД</f>
        <v>30</v>
      </c>
      <c r="AJ43" s="56">
        <f>COUNTIF(E43:AH43,1)</f>
        <v>6</v>
      </c>
      <c r="AK43" s="56">
        <f>COUNTIF(E43:AH43,"тр")</f>
        <v>1</v>
      </c>
      <c r="AL43" s="57">
        <f>COUNTIF(E43:AH43,"бв")</f>
        <v>1</v>
      </c>
    </row>
    <row r="44" spans="1:38" s="33" customFormat="1" ht="16.3" thickBot="1" x14ac:dyDescent="0.3">
      <c r="A44" s="63"/>
      <c r="B44" s="66" t="s">
        <v>63</v>
      </c>
      <c r="C44" s="64"/>
      <c r="D44" s="64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78">
        <f>SUM(AI41:AI43)</f>
        <v>90</v>
      </c>
      <c r="AJ44" s="70">
        <f>SUM(AJ41:AJ43)</f>
        <v>13</v>
      </c>
      <c r="AK44" s="70">
        <f>SUM(AK41:AK43)</f>
        <v>31</v>
      </c>
      <c r="AL44" s="76">
        <f>SUM(AL41:AL43)</f>
        <v>2</v>
      </c>
    </row>
    <row r="45" spans="1:38" x14ac:dyDescent="0.25">
      <c r="A45" s="8">
        <f>A43+1</f>
        <v>35</v>
      </c>
      <c r="B45" s="9" t="s">
        <v>54</v>
      </c>
      <c r="C45" s="10" t="s">
        <v>36</v>
      </c>
      <c r="D45" s="21">
        <v>4994</v>
      </c>
      <c r="E45" s="6">
        <v>1</v>
      </c>
      <c r="F45" s="6">
        <v>1</v>
      </c>
      <c r="G45" s="6">
        <v>1</v>
      </c>
      <c r="H45" s="35">
        <v>1</v>
      </c>
      <c r="I45" s="35">
        <v>1</v>
      </c>
      <c r="J45" s="35">
        <v>1</v>
      </c>
      <c r="K45" s="35">
        <v>1</v>
      </c>
      <c r="L45" s="35">
        <v>1</v>
      </c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73">
        <f t="shared" ref="AI45:AI51" si="9">АХД</f>
        <v>30</v>
      </c>
      <c r="AJ45" s="17">
        <f t="shared" ref="AJ45:AJ51" si="10">COUNTIF(E45:AH45,1)</f>
        <v>8</v>
      </c>
      <c r="AK45" s="17">
        <f t="shared" ref="AK45:AK51" si="11">COUNTIF(E45:AH45,"тр")</f>
        <v>0</v>
      </c>
      <c r="AL45" s="18">
        <f t="shared" ref="AL45:AL51" si="12">COUNTIF(E45:AH45,"бв")</f>
        <v>0</v>
      </c>
    </row>
    <row r="46" spans="1:38" x14ac:dyDescent="0.25">
      <c r="A46" s="11">
        <f t="shared" si="4"/>
        <v>36</v>
      </c>
      <c r="B46" s="12" t="s">
        <v>54</v>
      </c>
      <c r="C46" s="13" t="s">
        <v>37</v>
      </c>
      <c r="D46" s="22">
        <v>4995</v>
      </c>
      <c r="E46" s="7" t="s">
        <v>57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73">
        <f t="shared" si="9"/>
        <v>30</v>
      </c>
      <c r="AJ46" s="54">
        <f t="shared" si="10"/>
        <v>7</v>
      </c>
      <c r="AK46" s="54">
        <f t="shared" si="11"/>
        <v>0</v>
      </c>
      <c r="AL46" s="55">
        <f t="shared" si="12"/>
        <v>1</v>
      </c>
    </row>
    <row r="47" spans="1:38" x14ac:dyDescent="0.25">
      <c r="A47" s="11">
        <f t="shared" si="4"/>
        <v>37</v>
      </c>
      <c r="B47" s="12" t="s">
        <v>54</v>
      </c>
      <c r="C47" s="13" t="s">
        <v>38</v>
      </c>
      <c r="D47" s="22">
        <v>6129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73">
        <f t="shared" si="9"/>
        <v>30</v>
      </c>
      <c r="AJ47" s="54">
        <f t="shared" si="10"/>
        <v>8</v>
      </c>
      <c r="AK47" s="54">
        <f t="shared" si="11"/>
        <v>0</v>
      </c>
      <c r="AL47" s="55">
        <f t="shared" si="12"/>
        <v>0</v>
      </c>
    </row>
    <row r="48" spans="1:38" x14ac:dyDescent="0.25">
      <c r="A48" s="11">
        <f t="shared" si="4"/>
        <v>38</v>
      </c>
      <c r="B48" s="12" t="s">
        <v>54</v>
      </c>
      <c r="C48" s="13" t="s">
        <v>39</v>
      </c>
      <c r="D48" s="22">
        <v>6130</v>
      </c>
      <c r="E48" s="7" t="s">
        <v>57</v>
      </c>
      <c r="F48" s="5">
        <v>1</v>
      </c>
      <c r="G48" s="5">
        <v>1</v>
      </c>
      <c r="H48" s="5" t="s">
        <v>58</v>
      </c>
      <c r="I48" s="5">
        <v>1</v>
      </c>
      <c r="J48" s="5">
        <v>1</v>
      </c>
      <c r="K48" s="5">
        <v>1</v>
      </c>
      <c r="L48" s="5">
        <v>1</v>
      </c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73">
        <f t="shared" si="9"/>
        <v>30</v>
      </c>
      <c r="AJ48" s="54">
        <f t="shared" si="10"/>
        <v>6</v>
      </c>
      <c r="AK48" s="54">
        <f t="shared" si="11"/>
        <v>1</v>
      </c>
      <c r="AL48" s="55">
        <f t="shared" si="12"/>
        <v>1</v>
      </c>
    </row>
    <row r="49" spans="1:38" x14ac:dyDescent="0.25">
      <c r="A49" s="11">
        <f t="shared" si="4"/>
        <v>39</v>
      </c>
      <c r="B49" s="12" t="s">
        <v>54</v>
      </c>
      <c r="C49" s="13" t="s">
        <v>40</v>
      </c>
      <c r="D49" s="22">
        <v>1297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 t="s">
        <v>57</v>
      </c>
      <c r="K49" s="5" t="s">
        <v>57</v>
      </c>
      <c r="L49" s="5">
        <v>1</v>
      </c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9"/>
        <v>30</v>
      </c>
      <c r="AJ49" s="54">
        <f t="shared" si="10"/>
        <v>6</v>
      </c>
      <c r="AK49" s="54">
        <f t="shared" si="11"/>
        <v>0</v>
      </c>
      <c r="AL49" s="55">
        <f t="shared" si="12"/>
        <v>2</v>
      </c>
    </row>
    <row r="50" spans="1:38" x14ac:dyDescent="0.25">
      <c r="A50" s="11">
        <f t="shared" si="4"/>
        <v>40</v>
      </c>
      <c r="B50" s="12" t="s">
        <v>54</v>
      </c>
      <c r="C50" s="13" t="s">
        <v>41</v>
      </c>
      <c r="D50" s="22">
        <v>1296</v>
      </c>
      <c r="E50" s="7" t="s">
        <v>57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9"/>
        <v>30</v>
      </c>
      <c r="AJ50" s="54">
        <f t="shared" si="10"/>
        <v>7</v>
      </c>
      <c r="AK50" s="54">
        <f t="shared" si="11"/>
        <v>0</v>
      </c>
      <c r="AL50" s="55">
        <f t="shared" si="12"/>
        <v>1</v>
      </c>
    </row>
    <row r="51" spans="1:38" ht="16.3" thickBot="1" x14ac:dyDescent="0.3">
      <c r="A51" s="44">
        <f t="shared" si="4"/>
        <v>41</v>
      </c>
      <c r="B51" s="39" t="s">
        <v>54</v>
      </c>
      <c r="C51" s="40" t="s">
        <v>42</v>
      </c>
      <c r="D51" s="41">
        <v>1344</v>
      </c>
      <c r="E51" s="43">
        <v>1</v>
      </c>
      <c r="F51" s="42">
        <v>1</v>
      </c>
      <c r="G51" s="42">
        <v>1</v>
      </c>
      <c r="H51" s="42">
        <v>1</v>
      </c>
      <c r="I51" s="42">
        <v>1</v>
      </c>
      <c r="J51" s="42">
        <v>1</v>
      </c>
      <c r="K51" s="42">
        <v>1</v>
      </c>
      <c r="L51" s="42">
        <v>1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73">
        <f t="shared" si="9"/>
        <v>30</v>
      </c>
      <c r="AJ51" s="56">
        <f t="shared" si="10"/>
        <v>8</v>
      </c>
      <c r="AK51" s="56">
        <f t="shared" si="11"/>
        <v>0</v>
      </c>
      <c r="AL51" s="57">
        <f t="shared" si="12"/>
        <v>0</v>
      </c>
    </row>
    <row r="52" spans="1:38" s="33" customFormat="1" ht="16.3" thickBot="1" x14ac:dyDescent="0.3">
      <c r="A52" s="63"/>
      <c r="B52" s="66" t="s">
        <v>63</v>
      </c>
      <c r="C52" s="64"/>
      <c r="D52" s="64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8">
        <f>SUM(AI45:AI51)</f>
        <v>210</v>
      </c>
      <c r="AJ52" s="70">
        <f>SUM(AJ45:AJ51)</f>
        <v>50</v>
      </c>
      <c r="AK52" s="70">
        <f>SUM(AK45:AK51)</f>
        <v>1</v>
      </c>
      <c r="AL52" s="76">
        <f>SUM(AL45:AL51)</f>
        <v>5</v>
      </c>
    </row>
    <row r="53" spans="1:38" x14ac:dyDescent="0.25">
      <c r="A53" s="8">
        <f>A51+1</f>
        <v>42</v>
      </c>
      <c r="B53" s="9" t="s">
        <v>43</v>
      </c>
      <c r="C53" s="10" t="s">
        <v>44</v>
      </c>
      <c r="D53" s="21">
        <v>1250</v>
      </c>
      <c r="E53" s="6" t="s">
        <v>57</v>
      </c>
      <c r="F53" s="35">
        <v>1</v>
      </c>
      <c r="G53" s="35">
        <v>1</v>
      </c>
      <c r="H53" s="35">
        <v>1</v>
      </c>
      <c r="I53" s="35" t="s">
        <v>57</v>
      </c>
      <c r="J53" s="35" t="s">
        <v>57</v>
      </c>
      <c r="K53" s="35" t="s">
        <v>57</v>
      </c>
      <c r="L53" s="35">
        <v>1</v>
      </c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73">
        <f>АХД</f>
        <v>30</v>
      </c>
      <c r="AJ53" s="17">
        <f>COUNTIF(E53:AH53,1)</f>
        <v>4</v>
      </c>
      <c r="AK53" s="17">
        <f>COUNTIF(E53:AH53,"тр")</f>
        <v>0</v>
      </c>
      <c r="AL53" s="18">
        <f>COUNTIF(E53:AH53,"бв")</f>
        <v>4</v>
      </c>
    </row>
    <row r="54" spans="1:38" ht="16.3" thickBot="1" x14ac:dyDescent="0.3">
      <c r="A54" s="44">
        <f t="shared" si="4"/>
        <v>43</v>
      </c>
      <c r="B54" s="39" t="s">
        <v>43</v>
      </c>
      <c r="C54" s="40" t="s">
        <v>45</v>
      </c>
      <c r="D54" s="41">
        <v>1252</v>
      </c>
      <c r="E54" s="43" t="s">
        <v>58</v>
      </c>
      <c r="F54" s="42" t="s">
        <v>58</v>
      </c>
      <c r="G54" s="42" t="s">
        <v>58</v>
      </c>
      <c r="H54" s="42" t="s">
        <v>58</v>
      </c>
      <c r="I54" s="42" t="s">
        <v>58</v>
      </c>
      <c r="J54" s="42" t="s">
        <v>58</v>
      </c>
      <c r="K54" s="42" t="s">
        <v>58</v>
      </c>
      <c r="L54" s="42" t="s">
        <v>58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>АХД</f>
        <v>30</v>
      </c>
      <c r="AJ54" s="56">
        <f>COUNTIF(E54:AH54,1)</f>
        <v>0</v>
      </c>
      <c r="AK54" s="56">
        <f>COUNTIF(E54:AH54,"тр")</f>
        <v>8</v>
      </c>
      <c r="AL54" s="57">
        <f>COUNTIF(E54:AH54,"бв")</f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SUM(AI53:AI54)</f>
        <v>60</v>
      </c>
      <c r="AJ55" s="70">
        <f>SUM(AJ53:AJ54)</f>
        <v>4</v>
      </c>
      <c r="AK55" s="70">
        <f>SUM(AK53:AK54)</f>
        <v>8</v>
      </c>
      <c r="AL55" s="76">
        <f>SUM(AL53:AL54)</f>
        <v>4</v>
      </c>
    </row>
    <row r="56" spans="1:38" x14ac:dyDescent="0.25">
      <c r="A56" s="8">
        <f>A54+1</f>
        <v>44</v>
      </c>
      <c r="B56" s="9" t="s">
        <v>64</v>
      </c>
      <c r="C56" s="10" t="s">
        <v>65</v>
      </c>
      <c r="D56" s="21" t="s">
        <v>59</v>
      </c>
      <c r="E56" s="6">
        <v>1</v>
      </c>
      <c r="F56" s="35">
        <v>1</v>
      </c>
      <c r="G56" s="35">
        <v>1</v>
      </c>
      <c r="H56" s="35">
        <v>1</v>
      </c>
      <c r="I56" s="35">
        <v>1</v>
      </c>
      <c r="J56" s="35">
        <v>1</v>
      </c>
      <c r="K56" s="35">
        <v>1</v>
      </c>
      <c r="L56" s="35">
        <v>1</v>
      </c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8</v>
      </c>
      <c r="AK56" s="17">
        <f>COUNTIF(E56:AH56,"тр")</f>
        <v>0</v>
      </c>
      <c r="AL56" s="18">
        <f>COUNTIF(E56:AH56,"бв")</f>
        <v>0</v>
      </c>
    </row>
    <row r="57" spans="1:38" ht="16.3" thickBot="1" x14ac:dyDescent="0.3">
      <c r="A57" s="58">
        <f t="shared" si="4"/>
        <v>45</v>
      </c>
      <c r="B57" s="39" t="s">
        <v>64</v>
      </c>
      <c r="C57" s="40" t="s">
        <v>66</v>
      </c>
      <c r="D57" s="41" t="s">
        <v>60</v>
      </c>
      <c r="E57" s="43">
        <v>1</v>
      </c>
      <c r="F57" s="42">
        <v>1</v>
      </c>
      <c r="G57" s="42">
        <v>1</v>
      </c>
      <c r="H57" s="42">
        <v>1</v>
      </c>
      <c r="I57" s="42">
        <v>1</v>
      </c>
      <c r="J57" s="42">
        <v>1</v>
      </c>
      <c r="K57" s="42">
        <v>1</v>
      </c>
      <c r="L57" s="42">
        <v>1</v>
      </c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8</v>
      </c>
      <c r="AK57" s="56">
        <f>COUNTIF(E57:AH57,"тр")</f>
        <v>0</v>
      </c>
      <c r="AL57" s="57">
        <f>COUNTIF(E57:AH57,"бв")</f>
        <v>0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16</v>
      </c>
      <c r="AK58" s="70">
        <f>SUM(AK56:AK57)</f>
        <v>0</v>
      </c>
      <c r="AL58" s="76">
        <f>SUM(AL56:AL57)</f>
        <v>0</v>
      </c>
    </row>
    <row r="59" spans="1:38" s="33" customFormat="1" x14ac:dyDescent="0.25">
      <c r="A59" s="36"/>
      <c r="B59" s="49"/>
      <c r="C59" s="50"/>
      <c r="D59" s="50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1" t="s">
        <v>67</v>
      </c>
      <c r="Z59" s="52"/>
      <c r="AA59" s="52"/>
      <c r="AB59" s="52"/>
      <c r="AC59" s="52"/>
      <c r="AD59" s="52"/>
      <c r="AE59" s="52"/>
      <c r="AF59" s="52"/>
      <c r="AG59" s="52"/>
      <c r="AH59" s="52"/>
      <c r="AI59" s="53">
        <f>AI6+AI23+AI31+AI35+AI38+AI40+AI44+AI52+AI55+AI58</f>
        <v>1350</v>
      </c>
      <c r="AJ59" s="53"/>
      <c r="AK59" s="53"/>
      <c r="AL59" s="53"/>
    </row>
    <row r="60" spans="1:38" x14ac:dyDescent="0.25">
      <c r="A60" s="37"/>
      <c r="B60" s="1"/>
      <c r="C60" s="2"/>
      <c r="D60" s="2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8"/>
      <c r="AK60" s="48"/>
      <c r="AL60" s="48"/>
    </row>
    <row r="61" spans="1:38" ht="16.3" thickBot="1" x14ac:dyDescent="0.3">
      <c r="A61" s="7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</row>
    <row r="62" spans="1:38" s="33" customFormat="1" ht="16.3" thickBot="1" x14ac:dyDescent="0.3">
      <c r="A62" s="27" t="s">
        <v>56</v>
      </c>
      <c r="B62" s="28" t="s">
        <v>46</v>
      </c>
      <c r="C62" s="28" t="s">
        <v>48</v>
      </c>
      <c r="D62" s="29" t="s">
        <v>47</v>
      </c>
      <c r="E62" s="30">
        <v>1</v>
      </c>
      <c r="F62" s="30">
        <v>2</v>
      </c>
      <c r="G62" s="30">
        <v>3</v>
      </c>
      <c r="H62" s="30">
        <v>4</v>
      </c>
      <c r="I62" s="30">
        <v>5</v>
      </c>
      <c r="J62" s="30">
        <v>6</v>
      </c>
      <c r="K62" s="30">
        <v>7</v>
      </c>
      <c r="L62" s="30">
        <v>8</v>
      </c>
      <c r="M62" s="30">
        <v>9</v>
      </c>
      <c r="N62" s="30">
        <v>10</v>
      </c>
      <c r="O62" s="30">
        <v>11</v>
      </c>
      <c r="P62" s="30">
        <v>12</v>
      </c>
      <c r="Q62" s="30">
        <v>13</v>
      </c>
      <c r="R62" s="30">
        <v>14</v>
      </c>
      <c r="S62" s="30">
        <v>15</v>
      </c>
      <c r="T62" s="30">
        <v>16</v>
      </c>
      <c r="U62" s="30">
        <v>17</v>
      </c>
      <c r="V62" s="30">
        <v>18</v>
      </c>
      <c r="W62" s="30">
        <v>19</v>
      </c>
      <c r="X62" s="30">
        <v>20</v>
      </c>
      <c r="Y62" s="30">
        <v>21</v>
      </c>
      <c r="Z62" s="30">
        <v>22</v>
      </c>
      <c r="AA62" s="30">
        <v>23</v>
      </c>
      <c r="AB62" s="30">
        <v>24</v>
      </c>
      <c r="AC62" s="30">
        <v>25</v>
      </c>
      <c r="AD62" s="30">
        <v>26</v>
      </c>
      <c r="AE62" s="30">
        <v>27</v>
      </c>
      <c r="AF62" s="30">
        <v>28</v>
      </c>
      <c r="AG62" s="30">
        <v>29</v>
      </c>
      <c r="AH62" s="30">
        <v>30</v>
      </c>
      <c r="AI62" s="27" t="s">
        <v>62</v>
      </c>
      <c r="AJ62" s="31" t="s">
        <v>61</v>
      </c>
      <c r="AK62" s="31" t="s">
        <v>58</v>
      </c>
      <c r="AL62" s="32" t="s">
        <v>57</v>
      </c>
    </row>
    <row r="63" spans="1:38" x14ac:dyDescent="0.25">
      <c r="A63" s="8">
        <v>1</v>
      </c>
      <c r="B63" s="9" t="s">
        <v>54</v>
      </c>
      <c r="C63" s="69">
        <v>176</v>
      </c>
      <c r="D63" s="21">
        <v>6172</v>
      </c>
      <c r="E63" s="6">
        <v>1</v>
      </c>
      <c r="F63" s="35">
        <v>1</v>
      </c>
      <c r="G63" s="35">
        <v>1</v>
      </c>
      <c r="H63" s="35">
        <v>1</v>
      </c>
      <c r="I63" s="35">
        <v>1</v>
      </c>
      <c r="J63" s="35">
        <v>1</v>
      </c>
      <c r="K63" s="35">
        <v>1</v>
      </c>
      <c r="L63" s="35">
        <v>1</v>
      </c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73">
        <f>АХД</f>
        <v>30</v>
      </c>
      <c r="AJ63" s="17">
        <f>COUNTIF(E63:AH63,1)</f>
        <v>8</v>
      </c>
      <c r="AK63" s="17">
        <f>COUNTIF(E63:AH63,"тр")</f>
        <v>0</v>
      </c>
      <c r="AL63" s="18">
        <f>COUNTIF(E63:AH63,"бв")</f>
        <v>0</v>
      </c>
    </row>
    <row r="64" spans="1:38" ht="16.3" thickBot="1" x14ac:dyDescent="0.3">
      <c r="A64" s="44">
        <v>2</v>
      </c>
      <c r="B64" s="39" t="s">
        <v>54</v>
      </c>
      <c r="C64" s="68">
        <v>177</v>
      </c>
      <c r="D64" s="41">
        <v>6173</v>
      </c>
      <c r="E64" s="43">
        <v>1</v>
      </c>
      <c r="F64" s="42">
        <v>1</v>
      </c>
      <c r="G64" s="42">
        <v>1</v>
      </c>
      <c r="H64" s="42">
        <v>1</v>
      </c>
      <c r="I64" s="42">
        <v>1</v>
      </c>
      <c r="J64" s="42">
        <v>1</v>
      </c>
      <c r="K64" s="42">
        <v>1</v>
      </c>
      <c r="L64" s="42">
        <v>1</v>
      </c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73">
        <f>АХД</f>
        <v>30</v>
      </c>
      <c r="AJ64" s="56">
        <f>COUNTIF(E64:AH64,1)</f>
        <v>8</v>
      </c>
      <c r="AK64" s="56">
        <f>COUNTIF(E64:AH64,"тр")</f>
        <v>0</v>
      </c>
      <c r="AL64" s="57">
        <f>COUNTIF(E64:AH64,"бв")</f>
        <v>0</v>
      </c>
    </row>
    <row r="65" spans="1:38" s="33" customFormat="1" ht="16.3" thickBot="1" x14ac:dyDescent="0.3">
      <c r="A65" s="63"/>
      <c r="B65" s="66" t="s">
        <v>63</v>
      </c>
      <c r="C65" s="64"/>
      <c r="D65" s="64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78">
        <f>SUM(AI63:AI64)</f>
        <v>60</v>
      </c>
      <c r="AJ65" s="70">
        <f t="shared" ref="AJ65:AL65" si="13">SUM(AJ63:AJ64)</f>
        <v>16</v>
      </c>
      <c r="AK65" s="70">
        <f t="shared" si="13"/>
        <v>0</v>
      </c>
      <c r="AL65" s="76">
        <f t="shared" si="13"/>
        <v>0</v>
      </c>
    </row>
    <row r="66" spans="1:38" s="33" customFormat="1" x14ac:dyDescent="0.25">
      <c r="A66" s="36"/>
      <c r="B66" s="49"/>
      <c r="C66" s="50"/>
      <c r="D66" s="50"/>
      <c r="Y66" s="51" t="s">
        <v>68</v>
      </c>
      <c r="AI66" s="77">
        <f>AI65</f>
        <v>60</v>
      </c>
    </row>
  </sheetData>
  <autoFilter ref="E2:AL59"/>
  <mergeCells count="2">
    <mergeCell ref="A1:AL1"/>
    <mergeCell ref="A61:AL61"/>
  </mergeCells>
  <conditionalFormatting sqref="AI65:AL65 E63:AH64 AJ6:AL6 AI23:AL23 AI31:AL31 AI35:AL35 AI38:AL38 AI40:AL40 AI44:AL44 AI52:AL52 AI55:AL55 AI58:AL58 AI4:AI58 AI63:AI65 E24:AH30 E32:AH34 E36:AH37 E45:AH51 E53:AH54 E56:AH57 E39:AH39 E4:AH5 E7:AH22 E41:AH43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5:AL55 AI52:AL52 AI44:AL44 AI40:AL40 AI38:AL38 AI35:AL35 AI31:AL31 AI23:AL23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2019-01-08T09:18:48Z</dcterms:modified>
</cp:coreProperties>
</file>