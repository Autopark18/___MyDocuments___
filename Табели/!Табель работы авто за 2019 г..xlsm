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37" i="12" l="1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<sst xmlns="http://schemas.openxmlformats.org/spreadsheetml/2006/main" count="4596" uniqueCount="87">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</sst>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4" sqref="AC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/>
      <c r="AE4" s="92"/>
      <c r="AF4" s="92"/>
      <c r="AG4" s="92"/>
      <c r="AH4" s="101"/>
      <c r="AI4" s="101"/>
      <c r="AJ4" s="152">
        <f t="shared" ref="AJ4:AJ24" si="0">COUNTA(E4:AI4)</f>
        <v>25</v>
      </c>
      <c r="AK4" s="80">
        <f t="shared" ref="AK4:AK24" si="1">COUNTIF(E4:AI4,1)</f>
        <v>20</v>
      </c>
      <c r="AL4" s="80">
        <f t="shared" ref="AL4:AL24" si="2">COUNTIF(E4:AI4,"тр")</f>
        <v>0</v>
      </c>
      <c r="AM4" s="81">
        <f t="shared" ref="AM4:AM24" si="3">COUNTIF(E4:AI4,"бв")</f>
        <v>5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/>
      <c r="AE5" s="5"/>
      <c r="AF5" s="5"/>
      <c r="AG5" s="5"/>
      <c r="AH5" s="78"/>
      <c r="AI5" s="78"/>
      <c r="AJ5" s="153">
        <f t="shared" si="0"/>
        <v>25</v>
      </c>
      <c r="AK5" s="54">
        <f t="shared" si="1"/>
        <v>8</v>
      </c>
      <c r="AL5" s="54">
        <f t="shared" si="2"/>
        <v>17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/>
      <c r="AE6" s="5"/>
      <c r="AF6" s="5"/>
      <c r="AG6" s="5"/>
      <c r="AH6" s="78"/>
      <c r="AI6" s="78"/>
      <c r="AJ6" s="153">
        <f t="shared" si="0"/>
        <v>25</v>
      </c>
      <c r="AK6" s="54">
        <f t="shared" si="1"/>
        <v>25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/>
      <c r="AE7" s="5"/>
      <c r="AF7" s="5"/>
      <c r="AG7" s="5"/>
      <c r="AH7" s="78"/>
      <c r="AI7" s="78"/>
      <c r="AJ7" s="153">
        <f t="shared" si="0"/>
        <v>25</v>
      </c>
      <c r="AK7" s="54">
        <f t="shared" si="1"/>
        <v>15</v>
      </c>
      <c r="AL7" s="54">
        <f t="shared" si="2"/>
        <v>6</v>
      </c>
      <c r="AM7" s="55">
        <f t="shared" si="3"/>
        <v>4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/>
      <c r="AE8" s="5"/>
      <c r="AF8" s="5"/>
      <c r="AG8" s="5"/>
      <c r="AH8" s="78"/>
      <c r="AI8" s="78"/>
      <c r="AJ8" s="153">
        <f t="shared" si="0"/>
        <v>25</v>
      </c>
      <c r="AK8" s="54">
        <f t="shared" si="1"/>
        <v>18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/>
      <c r="AE9" s="5"/>
      <c r="AF9" s="5"/>
      <c r="AG9" s="5"/>
      <c r="AH9" s="78"/>
      <c r="AI9" s="78"/>
      <c r="AJ9" s="153">
        <f t="shared" si="0"/>
        <v>25</v>
      </c>
      <c r="AK9" s="54">
        <f t="shared" si="1"/>
        <v>23</v>
      </c>
      <c r="AL9" s="54">
        <f t="shared" si="2"/>
        <v>1</v>
      </c>
      <c r="AM9" s="55">
        <f t="shared" si="3"/>
        <v>1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/>
      <c r="AE10" s="5"/>
      <c r="AF10" s="5"/>
      <c r="AG10" s="5"/>
      <c r="AH10" s="78"/>
      <c r="AI10" s="78"/>
      <c r="AJ10" s="153">
        <f t="shared" si="0"/>
        <v>25</v>
      </c>
      <c r="AK10" s="54">
        <f t="shared" si="1"/>
        <v>22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/>
      <c r="AE11" s="5"/>
      <c r="AF11" s="5"/>
      <c r="AG11" s="5"/>
      <c r="AH11" s="78"/>
      <c r="AI11" s="78"/>
      <c r="AJ11" s="153">
        <f t="shared" si="0"/>
        <v>25</v>
      </c>
      <c r="AK11" s="54">
        <f t="shared" si="1"/>
        <v>25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/>
      <c r="AE12" s="5"/>
      <c r="AF12" s="5"/>
      <c r="AG12" s="5"/>
      <c r="AH12" s="78"/>
      <c r="AI12" s="78"/>
      <c r="AJ12" s="153">
        <f t="shared" si="0"/>
        <v>25</v>
      </c>
      <c r="AK12" s="54">
        <f t="shared" si="1"/>
        <v>14</v>
      </c>
      <c r="AL12" s="54">
        <f t="shared" si="2"/>
        <v>9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/>
      <c r="AF13" s="5"/>
      <c r="AG13" s="5"/>
      <c r="AH13" s="78"/>
      <c r="AI13" s="78"/>
      <c r="AJ13" s="153">
        <f t="shared" si="0"/>
        <v>25</v>
      </c>
      <c r="AK13" s="54">
        <f t="shared" si="1"/>
        <v>25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/>
      <c r="AF14" s="5"/>
      <c r="AG14" s="5"/>
      <c r="AH14" s="78"/>
      <c r="AI14" s="78"/>
      <c r="AJ14" s="153">
        <f t="shared" si="0"/>
        <v>25</v>
      </c>
      <c r="AK14" s="54">
        <f t="shared" si="1"/>
        <v>25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/>
      <c r="AE15" s="5"/>
      <c r="AF15" s="5"/>
      <c r="AG15" s="5"/>
      <c r="AH15" s="78"/>
      <c r="AI15" s="78"/>
      <c r="AJ15" s="153">
        <f t="shared" si="0"/>
        <v>25</v>
      </c>
      <c r="AK15" s="54">
        <f t="shared" si="1"/>
        <v>22</v>
      </c>
      <c r="AL15" s="54">
        <f t="shared" si="2"/>
        <v>0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/>
      <c r="AE16" s="5"/>
      <c r="AF16" s="5"/>
      <c r="AG16" s="5"/>
      <c r="AH16" s="78"/>
      <c r="AI16" s="78"/>
      <c r="AJ16" s="153">
        <f t="shared" si="0"/>
        <v>25</v>
      </c>
      <c r="AK16" s="54">
        <f t="shared" si="1"/>
        <v>25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/>
      <c r="AE17" s="5"/>
      <c r="AF17" s="5"/>
      <c r="AG17" s="5"/>
      <c r="AH17" s="78"/>
      <c r="AI17" s="78"/>
      <c r="AJ17" s="153">
        <f t="shared" si="0"/>
        <v>25</v>
      </c>
      <c r="AK17" s="54">
        <f t="shared" si="1"/>
        <v>24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/>
      <c r="AE18" s="5"/>
      <c r="AF18" s="5"/>
      <c r="AG18" s="5"/>
      <c r="AH18" s="78"/>
      <c r="AI18" s="78"/>
      <c r="AJ18" s="153">
        <f t="shared" si="0"/>
        <v>25</v>
      </c>
      <c r="AK18" s="54">
        <f t="shared" si="1"/>
        <v>1</v>
      </c>
      <c r="AL18" s="54">
        <f t="shared" si="2"/>
        <v>15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/>
      <c r="AE19" s="5"/>
      <c r="AF19" s="5"/>
      <c r="AG19" s="5"/>
      <c r="AH19" s="78"/>
      <c r="AI19" s="78"/>
      <c r="AJ19" s="153">
        <f t="shared" si="0"/>
        <v>25</v>
      </c>
      <c r="AK19" s="54">
        <f t="shared" si="1"/>
        <v>6</v>
      </c>
      <c r="AL19" s="54">
        <f t="shared" si="2"/>
        <v>19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/>
      <c r="AE20" s="5"/>
      <c r="AF20" s="5"/>
      <c r="AG20" s="5"/>
      <c r="AH20" s="78"/>
      <c r="AI20" s="78"/>
      <c r="AJ20" s="153">
        <f t="shared" si="0"/>
        <v>25</v>
      </c>
      <c r="AK20" s="54">
        <f t="shared" si="1"/>
        <v>2</v>
      </c>
      <c r="AL20" s="54">
        <f t="shared" si="2"/>
        <v>23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/>
      <c r="AE21" s="5"/>
      <c r="AF21" s="5"/>
      <c r="AG21" s="5"/>
      <c r="AH21" s="78"/>
      <c r="AI21" s="78"/>
      <c r="AJ21" s="153">
        <f t="shared" si="0"/>
        <v>25</v>
      </c>
      <c r="AK21" s="54">
        <f t="shared" si="1"/>
        <v>15</v>
      </c>
      <c r="AL21" s="54">
        <f t="shared" si="2"/>
        <v>9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/>
      <c r="AE22" s="42"/>
      <c r="AF22" s="42"/>
      <c r="AG22" s="42"/>
      <c r="AH22" s="126"/>
      <c r="AI22" s="126"/>
      <c r="AJ22" s="153">
        <f t="shared" si="0"/>
        <v>25</v>
      </c>
      <c r="AK22" s="54">
        <f t="shared" si="1"/>
        <v>23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78"/>
      <c r="AI23" s="78"/>
      <c r="AJ23" s="153">
        <f t="shared" si="0"/>
        <v>25</v>
      </c>
      <c r="AK23" s="54">
        <f t="shared" si="1"/>
        <v>24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156">
        <f t="shared" si="0"/>
        <v>25</v>
      </c>
      <c r="AK24" s="56">
        <f t="shared" si="1"/>
        <v>23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525</v>
      </c>
      <c r="AK25" s="69">
        <f>SUM(AK4:AK24)</f>
        <v>385</v>
      </c>
      <c r="AL25" s="69">
        <f>SUM(AL4:AL24)</f>
        <v>102</v>
      </c>
      <c r="AM25" s="75">
        <f>SUM(AM4:AM24)</f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/>
      <c r="AE26" s="35"/>
      <c r="AF26" s="35"/>
      <c r="AG26" s="35"/>
      <c r="AH26" s="35"/>
      <c r="AI26" s="35"/>
      <c r="AJ26" s="152">
        <f t="shared" ref="AJ26:AJ32" si="5">COUNTA(E26:AI26)</f>
        <v>25</v>
      </c>
      <c r="AK26" s="80">
        <f t="shared" ref="AK26:AK32" si="6">COUNTIF(E26:AI26,1)</f>
        <v>21</v>
      </c>
      <c r="AL26" s="80">
        <f t="shared" ref="AL26:AL32" si="7">COUNTIF(E26:AI26,"тр")</f>
        <v>0</v>
      </c>
      <c r="AM26" s="81">
        <f t="shared" ref="AM26:AM32" si="8">COUNTIF(E26:AI26,"бв")</f>
        <v>4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/>
      <c r="AE27" s="5"/>
      <c r="AF27" s="5"/>
      <c r="AG27" s="5"/>
      <c r="AH27" s="5"/>
      <c r="AI27" s="5"/>
      <c r="AJ27" s="153">
        <f t="shared" si="5"/>
        <v>25</v>
      </c>
      <c r="AK27" s="54">
        <f t="shared" si="6"/>
        <v>0</v>
      </c>
      <c r="AL27" s="54">
        <f t="shared" si="7"/>
        <v>25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/>
      <c r="AE28" s="5"/>
      <c r="AF28" s="5"/>
      <c r="AG28" s="5"/>
      <c r="AH28" s="5"/>
      <c r="AI28" s="5"/>
      <c r="AJ28" s="153">
        <f t="shared" si="5"/>
        <v>25</v>
      </c>
      <c r="AK28" s="54">
        <f t="shared" si="6"/>
        <v>0</v>
      </c>
      <c r="AL28" s="54">
        <f t="shared" si="7"/>
        <v>25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/>
      <c r="AE29" s="5"/>
      <c r="AF29" s="5"/>
      <c r="AG29" s="5"/>
      <c r="AH29" s="5"/>
      <c r="AI29" s="5"/>
      <c r="AJ29" s="153">
        <f t="shared" si="5"/>
        <v>25</v>
      </c>
      <c r="AK29" s="54">
        <f t="shared" si="6"/>
        <v>0</v>
      </c>
      <c r="AL29" s="54">
        <f t="shared" si="7"/>
        <v>25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/>
      <c r="AE30" s="5"/>
      <c r="AF30" s="5"/>
      <c r="AG30" s="5"/>
      <c r="AH30" s="5"/>
      <c r="AI30" s="5"/>
      <c r="AJ30" s="153">
        <f t="shared" si="5"/>
        <v>25</v>
      </c>
      <c r="AK30" s="54">
        <f t="shared" si="6"/>
        <v>23</v>
      </c>
      <c r="AL30" s="54">
        <f t="shared" si="7"/>
        <v>0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/>
      <c r="AE31" s="5"/>
      <c r="AF31" s="5"/>
      <c r="AG31" s="5"/>
      <c r="AH31" s="5"/>
      <c r="AI31" s="5"/>
      <c r="AJ31" s="153">
        <f t="shared" si="5"/>
        <v>25</v>
      </c>
      <c r="AK31" s="54">
        <f t="shared" si="6"/>
        <v>23</v>
      </c>
      <c r="AL31" s="54">
        <f t="shared" si="7"/>
        <v>1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/>
      <c r="AE32" s="42"/>
      <c r="AF32" s="42"/>
      <c r="AG32" s="42"/>
      <c r="AH32" s="42"/>
      <c r="AI32" s="42"/>
      <c r="AJ32" s="154">
        <f t="shared" si="5"/>
        <v>25</v>
      </c>
      <c r="AK32" s="84">
        <f t="shared" si="6"/>
        <v>22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175</v>
      </c>
      <c r="AK33" s="135">
        <f>SUM(AK26:AK32)</f>
        <v>89</v>
      </c>
      <c r="AL33" s="135">
        <f>SUM(AL26:AL32)</f>
        <v>77</v>
      </c>
      <c r="AM33" s="136">
        <f>SUM(AM26:AM32)</f>
        <v>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/>
      <c r="AE34" s="35"/>
      <c r="AF34" s="35"/>
      <c r="AG34" s="35"/>
      <c r="AH34" s="35"/>
      <c r="AI34" s="35"/>
      <c r="AJ34" s="155">
        <f>COUNTA(E34:AI34)</f>
        <v>25</v>
      </c>
      <c r="AK34" s="17">
        <f>COUNTIF(E34:AI34,1)</f>
        <v>0</v>
      </c>
      <c r="AL34" s="17">
        <f>COUNTIF(E34:AI34,"тр")</f>
        <v>0</v>
      </c>
      <c r="AM34" s="18">
        <f>COUNTIF(E34:AI34,"бв")</f>
        <v>25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/>
      <c r="AE35" s="5"/>
      <c r="AF35" s="5"/>
      <c r="AG35" s="5"/>
      <c r="AH35" s="5"/>
      <c r="AI35" s="5"/>
      <c r="AJ35" s="155">
        <f>COUNTA(E35:AI35)</f>
        <v>25</v>
      </c>
      <c r="AK35" s="54">
        <f>COUNTIF(E35:AI35,1)</f>
        <v>1</v>
      </c>
      <c r="AL35" s="54">
        <f>COUNTIF(E35:AI35,"тр")</f>
        <v>0</v>
      </c>
      <c r="AM35" s="55">
        <f>COUNTIF(E35:AI35,"бв")</f>
        <v>24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/>
      <c r="AE36" s="42"/>
      <c r="AF36" s="42"/>
      <c r="AG36" s="42"/>
      <c r="AH36" s="42"/>
      <c r="AI36" s="42"/>
      <c r="AJ36" s="155">
        <f>COUNTA(E36:AI36)</f>
        <v>25</v>
      </c>
      <c r="AK36" s="56">
        <f>COUNTIF(E36:AI36,1)</f>
        <v>0</v>
      </c>
      <c r="AL36" s="56">
        <f>COUNTIF(E36:AI36,"тр")</f>
        <v>25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75</v>
      </c>
      <c r="AK37" s="69">
        <f>SUM(AK34:AK36)</f>
        <v>1</v>
      </c>
      <c r="AL37" s="69">
        <f>SUM(AL34:AL36)</f>
        <v>25</v>
      </c>
      <c r="AM37" s="75">
        <f>SUM(AM34:AM36)</f>
        <v>49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/>
      <c r="AE38" s="62"/>
      <c r="AF38" s="62"/>
      <c r="AG38" s="62"/>
      <c r="AH38" s="62"/>
      <c r="AI38" s="62"/>
      <c r="AJ38" s="155">
        <f>COUNTA(E38:AI38)</f>
        <v>25</v>
      </c>
      <c r="AK38" s="19">
        <f>COUNTIF(E38:AI38,1)</f>
        <v>0</v>
      </c>
      <c r="AL38" s="19">
        <f>COUNTIF(E38:AI38,"тр")</f>
        <v>25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25</v>
      </c>
      <c r="AK39" s="69">
        <f>SUM(AK38)</f>
        <v>0</v>
      </c>
      <c r="AL39" s="69">
        <f>SUM(AL38)</f>
        <v>25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/>
      <c r="AE40" s="35"/>
      <c r="AF40" s="35"/>
      <c r="AG40" s="35"/>
      <c r="AH40" s="35"/>
      <c r="AI40" s="35"/>
      <c r="AJ40" s="155">
        <f>COUNTA(E40:AI40)</f>
        <v>25</v>
      </c>
      <c r="AK40" s="17">
        <f>COUNTIF(E40:AI40,1)</f>
        <v>0</v>
      </c>
      <c r="AL40" s="17">
        <f>COUNTIF(E40:AI40,"тр")</f>
        <v>25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/>
      <c r="AE41" s="5"/>
      <c r="AF41" s="5"/>
      <c r="AG41" s="5"/>
      <c r="AH41" s="5"/>
      <c r="AI41" s="5"/>
      <c r="AJ41" s="155">
        <f>COUNTA(E41:AI41)</f>
        <v>25</v>
      </c>
      <c r="AK41" s="54">
        <f>COUNTIF(E41:AI41,1)</f>
        <v>22</v>
      </c>
      <c r="AL41" s="54">
        <f>COUNTIF(E41:AI41,"тр")</f>
        <v>0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/>
      <c r="AE42" s="42"/>
      <c r="AF42" s="42"/>
      <c r="AG42" s="42"/>
      <c r="AH42" s="42"/>
      <c r="AI42" s="42"/>
      <c r="AJ42" s="155">
        <f>COUNTA(E42:AI42)</f>
        <v>25</v>
      </c>
      <c r="AK42" s="56">
        <f>COUNTIF(E42:AI42,1)</f>
        <v>16</v>
      </c>
      <c r="AL42" s="56">
        <f>COUNTIF(E42:AI42,"тр")</f>
        <v>5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75</v>
      </c>
      <c r="AK43" s="69">
        <f>SUM(AK40:AK42)</f>
        <v>38</v>
      </c>
      <c r="AL43" s="69">
        <f>SUM(AL40:AL42)</f>
        <v>30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/>
      <c r="AE44" s="35"/>
      <c r="AF44" s="35"/>
      <c r="AG44" s="35"/>
      <c r="AH44" s="35"/>
      <c r="AI44" s="35"/>
      <c r="AJ44" s="155">
        <f t="shared" ref="AJ44:AJ50" si="9">COUNTA(E44:AI44)</f>
        <v>25</v>
      </c>
      <c r="AK44" s="17">
        <f t="shared" ref="AK44:AK50" si="10">COUNTIF(E44:AI44,1)</f>
        <v>19</v>
      </c>
      <c r="AL44" s="17">
        <f t="shared" ref="AL44:AL50" si="11">COUNTIF(E44:AI44,"тр")</f>
        <v>5</v>
      </c>
      <c r="AM44" s="18">
        <f t="shared" ref="AM44:AM50" si="12">COUNTIF(E44:AI44,"бв")</f>
        <v>1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155">
        <f t="shared" si="9"/>
        <v>25</v>
      </c>
      <c r="AK45" s="54">
        <f t="shared" si="10"/>
        <v>19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/>
      <c r="AE46" s="5"/>
      <c r="AF46" s="5"/>
      <c r="AG46" s="5"/>
      <c r="AH46" s="5"/>
      <c r="AI46" s="5"/>
      <c r="AJ46" s="155">
        <f t="shared" si="9"/>
        <v>25</v>
      </c>
      <c r="AK46" s="54">
        <f t="shared" si="10"/>
        <v>17</v>
      </c>
      <c r="AL46" s="54">
        <f t="shared" si="11"/>
        <v>2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/>
      <c r="AE47" s="5"/>
      <c r="AF47" s="5"/>
      <c r="AG47" s="5"/>
      <c r="AH47" s="5"/>
      <c r="AI47" s="5"/>
      <c r="AJ47" s="155">
        <f t="shared" si="9"/>
        <v>25</v>
      </c>
      <c r="AK47" s="54">
        <f t="shared" si="10"/>
        <v>23</v>
      </c>
      <c r="AL47" s="54">
        <f t="shared" si="11"/>
        <v>0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/>
      <c r="AE48" s="5"/>
      <c r="AF48" s="5"/>
      <c r="AG48" s="5"/>
      <c r="AH48" s="5"/>
      <c r="AI48" s="5"/>
      <c r="AJ48" s="155">
        <f t="shared" si="9"/>
        <v>25</v>
      </c>
      <c r="AK48" s="54">
        <f t="shared" si="10"/>
        <v>17</v>
      </c>
      <c r="AL48" s="54">
        <f t="shared" si="11"/>
        <v>0</v>
      </c>
      <c r="AM48" s="55">
        <f t="shared" si="12"/>
        <v>8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/>
      <c r="AE49" s="5"/>
      <c r="AF49" s="5"/>
      <c r="AG49" s="5"/>
      <c r="AH49" s="5"/>
      <c r="AI49" s="5"/>
      <c r="AJ49" s="155">
        <f t="shared" si="9"/>
        <v>25</v>
      </c>
      <c r="AK49" s="54">
        <f t="shared" si="10"/>
        <v>25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/>
      <c r="AE50" s="42"/>
      <c r="AF50" s="42"/>
      <c r="AG50" s="42"/>
      <c r="AH50" s="42"/>
      <c r="AI50" s="42"/>
      <c r="AJ50" s="155">
        <f t="shared" si="9"/>
        <v>25</v>
      </c>
      <c r="AK50" s="56">
        <f t="shared" si="10"/>
        <v>17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175</v>
      </c>
      <c r="AK51" s="69">
        <f>SUM(AK44:AK50)</f>
        <v>137</v>
      </c>
      <c r="AL51" s="69">
        <f>SUM(AL44:AL50)</f>
        <v>7</v>
      </c>
      <c r="AM51" s="75">
        <f>SUM(AM44:AM50)</f>
        <v>31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/>
      <c r="AE52" s="42"/>
      <c r="AF52" s="42"/>
      <c r="AG52" s="42"/>
      <c r="AH52" s="42"/>
      <c r="AI52" s="42"/>
      <c r="AJ52" s="155">
        <f>COUNTA(E52:AI52)</f>
        <v>25</v>
      </c>
      <c r="AK52" s="56">
        <f>COUNTIF(E52:AI52,1)</f>
        <v>21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25</v>
      </c>
      <c r="AK53" s="69">
        <f>SUM(AK52:AK52)</f>
        <v>21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/>
      <c r="AE54" s="92"/>
      <c r="AF54" s="92"/>
      <c r="AG54" s="92"/>
      <c r="AH54" s="92"/>
      <c r="AI54" s="92"/>
      <c r="AJ54" s="152">
        <f>COUNTA(E54:AI54)</f>
        <v>25</v>
      </c>
      <c r="AK54" s="80">
        <f>COUNTIF(E54:AI54,1)</f>
        <v>19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/>
      <c r="AE55" s="42"/>
      <c r="AF55" s="42"/>
      <c r="AG55" s="42"/>
      <c r="AH55" s="42"/>
      <c r="AI55" s="42"/>
      <c r="AJ55" s="155">
        <f>COUNTA(E55:AI55)</f>
        <v>25</v>
      </c>
      <c r="AK55" s="56">
        <f>COUNTIF(E55:AI55,1)</f>
        <v>22</v>
      </c>
      <c r="AL55" s="56">
        <f>COUNTIF(E55:AI55,"тр")</f>
        <v>0</v>
      </c>
      <c r="AM55" s="57">
        <f>COUNTIF(E55:AI55,"бв")</f>
        <v>3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/>
      <c r="AE56" s="97"/>
      <c r="AF56" s="97"/>
      <c r="AG56" s="97"/>
      <c r="AH56" s="97"/>
      <c r="AI56" s="97"/>
      <c r="AJ56" s="157">
        <f>COUNTA(E56:AI56)</f>
        <v>25</v>
      </c>
      <c r="AK56" s="84">
        <f>COUNTIF(E56:AI56,1)</f>
        <v>21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75</v>
      </c>
      <c r="AK57" s="69">
        <f>SUM(AK54:AK56)</f>
        <v>62</v>
      </c>
      <c r="AL57" s="69">
        <f>SUM(AL54:AL56)</f>
        <v>1</v>
      </c>
      <c r="AM57" s="75">
        <f>SUM(AM54:AM56)</f>
        <v>12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1150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/>
      <c r="AE62" s="35"/>
      <c r="AF62" s="35"/>
      <c r="AG62" s="35"/>
      <c r="AH62" s="35"/>
      <c r="AI62" s="35"/>
      <c r="AJ62" s="155">
        <f>COUNTA(E62:AI62)</f>
        <v>25</v>
      </c>
      <c r="AK62" s="17">
        <f>COUNTIF(E62:AI62,1)</f>
        <v>25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/>
      <c r="AE63" s="5"/>
      <c r="AF63" s="5"/>
      <c r="AG63" s="5"/>
      <c r="AH63" s="5"/>
      <c r="AI63" s="5"/>
      <c r="AJ63" s="153">
        <f>COUNTA(E63:AI63)</f>
        <v>25</v>
      </c>
      <c r="AK63" s="54">
        <f>COUNTIF(E63:AI63,1)</f>
        <v>25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/>
      <c r="AE64" s="5"/>
      <c r="AF64" s="5"/>
      <c r="AG64" s="5"/>
      <c r="AH64" s="5"/>
      <c r="AI64" s="5"/>
      <c r="AJ64" s="153">
        <f>COUNTA(E64:AI64)</f>
        <v>25</v>
      </c>
      <c r="AK64" s="54">
        <f>COUNTIF(E64:AI64,1)</f>
        <v>20</v>
      </c>
      <c r="AL64" s="54">
        <f>COUNTIF(E64:AI64,"тр")</f>
        <v>0</v>
      </c>
      <c r="AM64" s="55">
        <f>COUNTIF(E64:AI64,"бв")</f>
        <v>5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/>
      <c r="AE65" s="5"/>
      <c r="AF65" s="5"/>
      <c r="AG65" s="5"/>
      <c r="AH65" s="5"/>
      <c r="AI65" s="5"/>
      <c r="AJ65" s="153">
        <f>COUNTA(E65:AI65)</f>
        <v>25</v>
      </c>
      <c r="AK65" s="54">
        <f>COUNTIF(E65:AI65,1)</f>
        <v>0</v>
      </c>
      <c r="AL65" s="54">
        <f>COUNTIF(E65:AI65,"тр")</f>
        <v>25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/>
      <c r="AE66" s="42"/>
      <c r="AF66" s="42"/>
      <c r="AG66" s="42"/>
      <c r="AH66" s="42"/>
      <c r="AI66" s="42"/>
      <c r="AJ66" s="156">
        <f>COUNTA(E66:AI66)</f>
        <v>25</v>
      </c>
      <c r="AK66" s="56">
        <f>COUNTIF(E66:AI66,1)</f>
        <v>0</v>
      </c>
      <c r="AL66" s="56">
        <f>COUNTIF(E66:AI66,"тр")</f>
        <v>25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125</v>
      </c>
      <c r="AK67" s="69">
        <f t="shared" ref="AK67:AM67" si="14">SUM(AK62:AK66)</f>
        <v>70</v>
      </c>
      <c r="AL67" s="69">
        <f t="shared" si="14"/>
        <v>50</v>
      </c>
      <c r="AM67" s="75">
        <f t="shared" si="14"/>
        <v>5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125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2019-07-25T05:52:38Z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