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<sst xmlns="http://schemas.openxmlformats.org/spreadsheetml/2006/main" count="2079" uniqueCount="80">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</sst>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8" sqref="AI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 t="s">
        <v>58</v>
      </c>
      <c r="AF6" s="5" t="s">
        <v>58</v>
      </c>
      <c r="AG6" s="5" t="s">
        <v>58</v>
      </c>
      <c r="AH6" s="5" t="s">
        <v>58</v>
      </c>
      <c r="AI6" s="78" t="s">
        <v>58</v>
      </c>
      <c r="AJ6" s="155">
        <f t="shared" ref="AJ6:AJ23" si="0">COUNTA(E6:AI6)</f>
        <v>31</v>
      </c>
      <c r="AK6" s="17">
        <f t="shared" ref="AK6:AK23" si="1">COUNTIF(E6:AI6,1)</f>
        <v>4</v>
      </c>
      <c r="AL6" s="17">
        <f t="shared" ref="AL6:AL23" si="2">COUNTIF(E6:AI6,"тр")</f>
        <v>27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12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 t="s">
        <v>57</v>
      </c>
      <c r="AI8" s="78" t="s">
        <v>57</v>
      </c>
      <c r="AJ8" s="153">
        <f t="shared" si="0"/>
        <v>31</v>
      </c>
      <c r="AK8" s="54">
        <f t="shared" si="1"/>
        <v>25</v>
      </c>
      <c r="AL8" s="54">
        <f t="shared" si="2"/>
        <v>1</v>
      </c>
      <c r="AM8" s="55">
        <f t="shared" si="3"/>
        <v>5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0"/>
        <v>31</v>
      </c>
      <c r="AK9" s="54">
        <f t="shared" si="1"/>
        <v>31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0"/>
        <v>31</v>
      </c>
      <c r="AK10" s="54">
        <f t="shared" si="1"/>
        <v>17</v>
      </c>
      <c r="AL10" s="54">
        <f t="shared" si="2"/>
        <v>4</v>
      </c>
      <c r="AM10" s="55">
        <f t="shared" si="3"/>
        <v>10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 t="s">
        <v>57</v>
      </c>
      <c r="AF11" s="5">
        <v>1</v>
      </c>
      <c r="AG11" s="5">
        <v>1</v>
      </c>
      <c r="AH11" s="5">
        <v>1</v>
      </c>
      <c r="AI11" s="78" t="s">
        <v>57</v>
      </c>
      <c r="AJ11" s="153">
        <f t="shared" si="0"/>
        <v>31</v>
      </c>
      <c r="AK11" s="54">
        <f t="shared" si="1"/>
        <v>26</v>
      </c>
      <c r="AL11" s="54">
        <f t="shared" si="2"/>
        <v>0</v>
      </c>
      <c r="AM11" s="55">
        <f t="shared" si="3"/>
        <v>5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 t="s">
        <v>58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22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28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28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30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 t="s">
        <v>57</v>
      </c>
      <c r="AJ17" s="153">
        <f t="shared" si="0"/>
        <v>31</v>
      </c>
      <c r="AK17" s="54">
        <f t="shared" si="1"/>
        <v>27</v>
      </c>
      <c r="AL17" s="54">
        <f t="shared" si="2"/>
        <v>0</v>
      </c>
      <c r="AM17" s="55">
        <f t="shared" si="3"/>
        <v>4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27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30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 t="s">
        <v>58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23</v>
      </c>
      <c r="AL20" s="54">
        <f t="shared" si="2"/>
        <v>1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78" t="s">
        <v>58</v>
      </c>
      <c r="AJ21" s="153">
        <f t="shared" si="0"/>
        <v>31</v>
      </c>
      <c r="AK21" s="54">
        <f t="shared" si="1"/>
        <v>1</v>
      </c>
      <c r="AL21" s="54">
        <f t="shared" si="2"/>
        <v>30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>
        <v>1</v>
      </c>
      <c r="AG22" s="5">
        <v>1</v>
      </c>
      <c r="AH22" s="5" t="s">
        <v>57</v>
      </c>
      <c r="AI22" s="78">
        <v>1</v>
      </c>
      <c r="AJ22" s="153">
        <f t="shared" si="0"/>
        <v>31</v>
      </c>
      <c r="AK22" s="54">
        <f t="shared" si="1"/>
        <v>27</v>
      </c>
      <c r="AL22" s="54">
        <f t="shared" si="2"/>
        <v>1</v>
      </c>
      <c r="AM22" s="55">
        <f t="shared" si="3"/>
        <v>3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>
        <v>1</v>
      </c>
      <c r="AE23" s="97">
        <v>1</v>
      </c>
      <c r="AF23" s="97">
        <v>1</v>
      </c>
      <c r="AG23" s="97">
        <v>1</v>
      </c>
      <c r="AH23" s="97">
        <v>1</v>
      </c>
      <c r="AI23" s="102" t="s">
        <v>57</v>
      </c>
      <c r="AJ23" s="154">
        <f t="shared" si="0"/>
        <v>31</v>
      </c>
      <c r="AK23" s="84">
        <f t="shared" si="1"/>
        <v>25</v>
      </c>
      <c r="AL23" s="84">
        <f t="shared" si="2"/>
        <v>1</v>
      </c>
      <c r="AM23" s="85">
        <f t="shared" si="3"/>
        <v>5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558</v>
      </c>
      <c r="AK24" s="141">
        <f>SUM(AK6:AK23)</f>
        <v>414</v>
      </c>
      <c r="AL24" s="141">
        <f>SUM(AL6:AL23)</f>
        <v>94</v>
      </c>
      <c r="AM24" s="142">
        <f>SUM(AM6:AM23)</f>
        <v>50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 t="s">
        <v>57</v>
      </c>
      <c r="AH25" s="35">
        <v>1</v>
      </c>
      <c r="AI25" s="125">
        <v>1</v>
      </c>
      <c r="AJ25" s="152">
        <f t="shared" ref="AJ25:AJ31" si="5">COUNTA(E25:AI25)</f>
        <v>31</v>
      </c>
      <c r="AK25" s="80">
        <f t="shared" ref="AK25:AK31" si="6">COUNTIF(E25:AI25,1)</f>
        <v>17</v>
      </c>
      <c r="AL25" s="80">
        <f t="shared" ref="AL25:AL31" si="7">COUNTIF(E25:AI25,"тр")</f>
        <v>8</v>
      </c>
      <c r="AM25" s="81">
        <f t="shared" ref="AM25:AM31" si="8">COUNTIF(E25:AI25,"бв")</f>
        <v>6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78">
        <v>1</v>
      </c>
      <c r="AJ26" s="153">
        <f t="shared" si="5"/>
        <v>31</v>
      </c>
      <c r="AK26" s="54">
        <f t="shared" si="6"/>
        <v>22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78" t="s">
        <v>57</v>
      </c>
      <c r="AJ27" s="153">
        <f t="shared" si="5"/>
        <v>31</v>
      </c>
      <c r="AK27" s="54">
        <f t="shared" si="6"/>
        <v>22</v>
      </c>
      <c r="AL27" s="54">
        <f t="shared" si="7"/>
        <v>2</v>
      </c>
      <c r="AM27" s="55">
        <f t="shared" si="8"/>
        <v>7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8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 t="s">
        <v>57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5"/>
        <v>31</v>
      </c>
      <c r="AK29" s="54">
        <f t="shared" si="6"/>
        <v>25</v>
      </c>
      <c r="AL29" s="54">
        <f t="shared" si="7"/>
        <v>1</v>
      </c>
      <c r="AM29" s="55">
        <f t="shared" si="8"/>
        <v>5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>
        <v>1</v>
      </c>
      <c r="AE30" s="5">
        <v>1</v>
      </c>
      <c r="AF30" s="5">
        <v>1</v>
      </c>
      <c r="AG30" s="5">
        <v>1</v>
      </c>
      <c r="AH30" s="5">
        <v>1</v>
      </c>
      <c r="AI30" s="78">
        <v>1</v>
      </c>
      <c r="AJ30" s="153">
        <f t="shared" si="5"/>
        <v>31</v>
      </c>
      <c r="AK30" s="54">
        <f t="shared" si="6"/>
        <v>27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>
        <v>1</v>
      </c>
      <c r="AE31" s="42">
        <v>1</v>
      </c>
      <c r="AF31" s="42">
        <v>1</v>
      </c>
      <c r="AG31" s="42">
        <v>1</v>
      </c>
      <c r="AH31" s="42">
        <v>1</v>
      </c>
      <c r="AI31" s="126">
        <v>1</v>
      </c>
      <c r="AJ31" s="154">
        <f t="shared" si="5"/>
        <v>31</v>
      </c>
      <c r="AK31" s="84">
        <f t="shared" si="6"/>
        <v>25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217</v>
      </c>
      <c r="AK32" s="135">
        <f>SUM(AK25:AK31)</f>
        <v>138</v>
      </c>
      <c r="AL32" s="135">
        <f>SUM(AL25:AL31)</f>
        <v>47</v>
      </c>
      <c r="AM32" s="136">
        <f>SUM(AM25:AM31)</f>
        <v>32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>
        <v>1</v>
      </c>
      <c r="AE33" s="35">
        <v>1</v>
      </c>
      <c r="AF33" s="35">
        <v>1</v>
      </c>
      <c r="AG33" s="35" t="s">
        <v>57</v>
      </c>
      <c r="AH33" s="35">
        <v>1</v>
      </c>
      <c r="AI33" s="35">
        <v>1</v>
      </c>
      <c r="AJ33" s="155">
        <f>COUNTA(E33:AI33)</f>
        <v>31</v>
      </c>
      <c r="AK33" s="17">
        <f>COUNTIF(E33:AI33,1)</f>
        <v>26</v>
      </c>
      <c r="AL33" s="17">
        <f>COUNTIF(E33:AI33,"тр")</f>
        <v>0</v>
      </c>
      <c r="AM33" s="18">
        <f>COUNTIF(E33:AI33,"бв")</f>
        <v>5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 t="s">
        <v>58</v>
      </c>
      <c r="AE34" s="5" t="s">
        <v>58</v>
      </c>
      <c r="AF34" s="5">
        <v>1</v>
      </c>
      <c r="AG34" s="5">
        <v>1</v>
      </c>
      <c r="AH34" s="5" t="s">
        <v>57</v>
      </c>
      <c r="AI34" s="5" t="s">
        <v>57</v>
      </c>
      <c r="AJ34" s="155">
        <f>COUNTA(E34:AI34)</f>
        <v>31</v>
      </c>
      <c r="AK34" s="54">
        <f>COUNTIF(E34:AI34,1)</f>
        <v>15</v>
      </c>
      <c r="AL34" s="54">
        <f>COUNTIF(E34:AI34,"тр")</f>
        <v>13</v>
      </c>
      <c r="AM34" s="55">
        <f>COUNTIF(E34:AI34,"бв")</f>
        <v>3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93</v>
      </c>
      <c r="AK36" s="69">
        <f>SUM(AK33:AK35)</f>
        <v>41</v>
      </c>
      <c r="AL36" s="69">
        <f>SUM(AL33:AL35)</f>
        <v>44</v>
      </c>
      <c r="AM36" s="75">
        <f>SUM(AM33:AM35)</f>
        <v>8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155">
        <f>COUNTA(E39:AI39)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>
        <v>1</v>
      </c>
      <c r="AE40" s="5">
        <v>1</v>
      </c>
      <c r="AF40" s="5">
        <v>1</v>
      </c>
      <c r="AG40" s="5">
        <v>1</v>
      </c>
      <c r="AH40" s="5" t="s">
        <v>58</v>
      </c>
      <c r="AI40" s="5" t="s">
        <v>58</v>
      </c>
      <c r="AJ40" s="155">
        <f>COUNTA(E40:AI40)</f>
        <v>31</v>
      </c>
      <c r="AK40" s="54">
        <f>COUNTIF(E40:AI40,1)</f>
        <v>18</v>
      </c>
      <c r="AL40" s="54">
        <f>COUNTIF(E40:AI40,"тр")</f>
        <v>10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 t="s">
        <v>58</v>
      </c>
      <c r="AF41" s="42" t="s">
        <v>58</v>
      </c>
      <c r="AG41" s="42" t="s">
        <v>58</v>
      </c>
      <c r="AH41" s="42">
        <v>1</v>
      </c>
      <c r="AI41" s="42" t="s">
        <v>57</v>
      </c>
      <c r="AJ41" s="155">
        <f>COUNTA(E41:AI41)</f>
        <v>31</v>
      </c>
      <c r="AK41" s="56">
        <f>COUNTIF(E41:AI41,1)</f>
        <v>4</v>
      </c>
      <c r="AL41" s="56">
        <f>COUNTIF(E41:AI41,"тр")</f>
        <v>23</v>
      </c>
      <c r="AM41" s="57">
        <f>COUNTIF(E41:AI41,"бв")</f>
        <v>4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93</v>
      </c>
      <c r="AK42" s="69">
        <f>SUM(AK39:AK41)</f>
        <v>22</v>
      </c>
      <c r="AL42" s="69">
        <f>SUM(AL39:AL41)</f>
        <v>64</v>
      </c>
      <c r="AM42" s="75">
        <f>SUM(AM39:AM41)</f>
        <v>7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35">
        <v>1</v>
      </c>
      <c r="AJ43" s="155">
        <f t="shared" ref="AJ43:AJ49" si="9">COUNTA(E43:AI43)</f>
        <v>31</v>
      </c>
      <c r="AK43" s="17">
        <f t="shared" ref="AK43:AK49" si="10">COUNTIF(E43:AI43,1)</f>
        <v>31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>
        <v>1</v>
      </c>
      <c r="AE44" s="5">
        <v>1</v>
      </c>
      <c r="AF44" s="5" t="s">
        <v>58</v>
      </c>
      <c r="AG44" s="5">
        <v>1</v>
      </c>
      <c r="AH44" s="5">
        <v>1</v>
      </c>
      <c r="AI44" s="5">
        <v>1</v>
      </c>
      <c r="AJ44" s="155">
        <f t="shared" si="9"/>
        <v>31</v>
      </c>
      <c r="AK44" s="54">
        <f t="shared" si="10"/>
        <v>24</v>
      </c>
      <c r="AL44" s="54">
        <f t="shared" si="11"/>
        <v>7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 t="s">
        <v>57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29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>
        <v>1</v>
      </c>
      <c r="AE46" s="5" t="s">
        <v>58</v>
      </c>
      <c r="AF46" s="5">
        <v>1</v>
      </c>
      <c r="AG46" s="5" t="s">
        <v>57</v>
      </c>
      <c r="AH46" s="5" t="s">
        <v>57</v>
      </c>
      <c r="AI46" s="5">
        <v>1</v>
      </c>
      <c r="AJ46" s="155">
        <f t="shared" si="9"/>
        <v>31</v>
      </c>
      <c r="AK46" s="54">
        <f t="shared" si="10"/>
        <v>21</v>
      </c>
      <c r="AL46" s="54">
        <f t="shared" si="11"/>
        <v>2</v>
      </c>
      <c r="AM46" s="55">
        <f t="shared" si="12"/>
        <v>8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9"/>
        <v>31</v>
      </c>
      <c r="AK47" s="54">
        <f t="shared" si="10"/>
        <v>28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31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>
        <v>1</v>
      </c>
      <c r="AG49" s="42">
        <v>1</v>
      </c>
      <c r="AH49" s="42">
        <v>1</v>
      </c>
      <c r="AI49" s="42">
        <v>1</v>
      </c>
      <c r="AJ49" s="155">
        <f t="shared" si="9"/>
        <v>31</v>
      </c>
      <c r="AK49" s="56">
        <f t="shared" si="10"/>
        <v>13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217</v>
      </c>
      <c r="AK50" s="69">
        <f>SUM(AK43:AK49)</f>
        <v>177</v>
      </c>
      <c r="AL50" s="69">
        <f>SUM(AL43:AL49)</f>
        <v>29</v>
      </c>
      <c r="AM50" s="75">
        <f>SUM(AM43:AM49)</f>
        <v>11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>
        <v>1</v>
      </c>
      <c r="AE51" s="42">
        <v>1</v>
      </c>
      <c r="AF51" s="42" t="s">
        <v>58</v>
      </c>
      <c r="AG51" s="42">
        <v>1</v>
      </c>
      <c r="AH51" s="42" t="s">
        <v>57</v>
      </c>
      <c r="AI51" s="42" t="s">
        <v>57</v>
      </c>
      <c r="AJ51" s="155">
        <f>COUNTA(E51:AI51)</f>
        <v>31</v>
      </c>
      <c r="AK51" s="56">
        <f>COUNTIF(E51:AI51,1)</f>
        <v>13</v>
      </c>
      <c r="AL51" s="56">
        <f>COUNTIF(E51:AI51,"тр")</f>
        <v>11</v>
      </c>
      <c r="AM51" s="57">
        <f>COUNTIF(E51:AI51,"бв")</f>
        <v>7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31</v>
      </c>
      <c r="AK52" s="69">
        <f>SUM(AK51:AK51)</f>
        <v>13</v>
      </c>
      <c r="AL52" s="69">
        <f>SUM(AL51:AL51)</f>
        <v>11</v>
      </c>
      <c r="AM52" s="75">
        <f>SUM(AM51:AM51)</f>
        <v>7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01">
        <v>1</v>
      </c>
      <c r="AJ53" s="152">
        <f>COUNTA(E53:AI53)</f>
        <v>31</v>
      </c>
      <c r="AK53" s="80">
        <f>COUNTIF(E53:AI53,1)</f>
        <v>29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26">
        <v>1</v>
      </c>
      <c r="AJ54" s="155">
        <f>COUNTA(E54:AI54)</f>
        <v>31</v>
      </c>
      <c r="AK54" s="56">
        <f>COUNTIF(E54:AI54,1)</f>
        <v>28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>
        <v>1</v>
      </c>
      <c r="AH55" s="97">
        <v>1</v>
      </c>
      <c r="AI55" s="102">
        <v>1</v>
      </c>
      <c r="AJ55" s="157">
        <f>COUNTA(E55:AI55)</f>
        <v>31</v>
      </c>
      <c r="AK55" s="84">
        <f>COUNTIF(E55:AI55,1)</f>
        <v>27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93</v>
      </c>
      <c r="AK56" s="69">
        <f>SUM(AK53:AK55)</f>
        <v>84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1364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>
        <v>1</v>
      </c>
      <c r="AI61" s="101">
        <v>1</v>
      </c>
      <c r="AJ61" s="152">
        <f t="shared" ref="AJ61:AJ63" si="13">COUNTA(E61:AI61)</f>
        <v>31</v>
      </c>
      <c r="AK61" s="80">
        <f>COUNTIF(E61:AI61,1)</f>
        <v>31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78">
        <v>1</v>
      </c>
      <c r="AJ62" s="153">
        <f t="shared" si="13"/>
        <v>31</v>
      </c>
      <c r="AK62" s="54">
        <f>COUNTIF(E62:AI62,1)</f>
        <v>29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 t="s">
        <v>57</v>
      </c>
      <c r="AI63" s="78" t="s">
        <v>57</v>
      </c>
      <c r="AJ63" s="153">
        <f t="shared" si="13"/>
        <v>31</v>
      </c>
      <c r="AK63" s="54">
        <f>COUNTIF(E63:AI63,1)</f>
        <v>22</v>
      </c>
      <c r="AL63" s="54">
        <f>COUNTIF(E63:AI63,"тр")</f>
        <v>1</v>
      </c>
      <c r="AM63" s="55">
        <f>COUNTIF(E63:AI63,"бв")</f>
        <v>8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124</v>
      </c>
      <c r="AK65" s="135">
        <f t="shared" ref="AK65:AM65" si="15">SUM(AK61:AK64)</f>
        <v>82</v>
      </c>
      <c r="AL65" s="135">
        <f t="shared" si="15"/>
        <v>34</v>
      </c>
      <c r="AM65" s="136">
        <f t="shared" si="15"/>
        <v>8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124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2019-04-01T08:40:44Z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