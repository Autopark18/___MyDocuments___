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Данные" sheetId="5" state="hidden" r:id="rId6"/>
  </sheets>
  <functionGroups builtInGroupCount="18"/>
  <definedNames>
    <definedName name="_xlnm._FilterDatabase" localSheetId="3" hidden="1">'Апрель 2019'!$E$2:$AL$57</definedName>
    <definedName name="_xlnm._FilterDatabase" localSheetId="4" hidden="1">'Май 2019'!$E$2:$AM$55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66" i="9" l="1"/>
  <c r="AK66" i="9"/>
  <c r="AL66" i="9"/>
  <c r="AI66" i="9"/>
  <c r="AL65" i="9"/>
  <c r="AK65" i="9"/>
  <c r="AJ65" i="9"/>
  <c r="AI65" i="9"/>
  <c r="AM62" i="10" l="1"/>
  <c r="AL62" i="10"/>
  <c r="AK62" i="10"/>
  <c r="AJ62" i="10"/>
  <c r="AM61" i="10"/>
  <c r="AL61" i="10"/>
  <c r="AK61" i="10"/>
  <c r="AJ61" i="10"/>
  <c r="AM60" i="10"/>
  <c r="AL60" i="10"/>
  <c r="AK60" i="10"/>
  <c r="AJ60" i="10"/>
  <c r="A60" i="10"/>
  <c r="A61" i="10" s="1"/>
  <c r="A62" i="10" s="1"/>
  <c r="A63" i="10" s="1"/>
  <c r="AM59" i="10"/>
  <c r="AL59" i="10"/>
  <c r="AK59" i="10"/>
  <c r="AJ59" i="10"/>
  <c r="A57" i="10"/>
  <c r="AM53" i="10"/>
  <c r="AL53" i="10"/>
  <c r="AK53" i="10"/>
  <c r="AJ53" i="10"/>
  <c r="AM52" i="10"/>
  <c r="AL52" i="10"/>
  <c r="AK52" i="10"/>
  <c r="AJ52" i="10"/>
  <c r="AM51" i="10"/>
  <c r="AM54" i="10" s="1"/>
  <c r="AL51" i="10"/>
  <c r="AK51" i="10"/>
  <c r="AK54" i="10" s="1"/>
  <c r="AJ51" i="10"/>
  <c r="AM49" i="10"/>
  <c r="AM50" i="10" s="1"/>
  <c r="AL49" i="10"/>
  <c r="AL50" i="10" s="1"/>
  <c r="AK49" i="10"/>
  <c r="AK50" i="10" s="1"/>
  <c r="AJ49" i="10"/>
  <c r="AJ50" i="10" s="1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3" i="10"/>
  <c r="AL43" i="10"/>
  <c r="AK43" i="10"/>
  <c r="AJ43" i="10"/>
  <c r="AM42" i="10"/>
  <c r="AL42" i="10"/>
  <c r="AK42" i="10"/>
  <c r="AJ42" i="10"/>
  <c r="AM41" i="10"/>
  <c r="AL41" i="10"/>
  <c r="AK41" i="10"/>
  <c r="AJ41" i="10"/>
  <c r="AM39" i="10"/>
  <c r="AL39" i="10"/>
  <c r="AK39" i="10"/>
  <c r="AJ39" i="10"/>
  <c r="AM38" i="10"/>
  <c r="AL38" i="10"/>
  <c r="AK38" i="10"/>
  <c r="AJ38" i="10"/>
  <c r="AM37" i="10"/>
  <c r="AL37" i="10"/>
  <c r="AK37" i="10"/>
  <c r="AJ37" i="10"/>
  <c r="AM35" i="10"/>
  <c r="AM36" i="10" s="1"/>
  <c r="AL35" i="10"/>
  <c r="AL36" i="10" s="1"/>
  <c r="AK35" i="10"/>
  <c r="AK36" i="10" s="1"/>
  <c r="AJ35" i="10"/>
  <c r="AJ36" i="10" s="1"/>
  <c r="AM33" i="10"/>
  <c r="AL33" i="10"/>
  <c r="AK33" i="10"/>
  <c r="AJ33" i="10"/>
  <c r="AM32" i="10"/>
  <c r="AL32" i="10"/>
  <c r="AK32" i="10"/>
  <c r="AJ32" i="10"/>
  <c r="AM31" i="10"/>
  <c r="AL31" i="10"/>
  <c r="AK31" i="10"/>
  <c r="AK34" i="10" s="1"/>
  <c r="AJ31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5" i="10"/>
  <c r="AL25" i="10"/>
  <c r="AK25" i="10"/>
  <c r="AJ25" i="10"/>
  <c r="AM24" i="10"/>
  <c r="AL24" i="10"/>
  <c r="AK24" i="10"/>
  <c r="AJ24" i="10"/>
  <c r="AM23" i="10"/>
  <c r="AL23" i="10"/>
  <c r="AK23" i="10"/>
  <c r="AJ23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3" i="10" s="1"/>
  <c r="A24" i="10" s="1"/>
  <c r="A25" i="10" s="1"/>
  <c r="A26" i="10" s="1"/>
  <c r="A27" i="10" s="1"/>
  <c r="A28" i="10" s="1"/>
  <c r="A29" i="10" s="1"/>
  <c r="A31" i="10" s="1"/>
  <c r="A32" i="10" s="1"/>
  <c r="A33" i="10" s="1"/>
  <c r="A35" i="10" s="1"/>
  <c r="A37" i="10" s="1"/>
  <c r="A38" i="10" s="1"/>
  <c r="A39" i="10" s="1"/>
  <c r="A41" i="10" s="1"/>
  <c r="A42" i="10" s="1"/>
  <c r="A43" i="10" s="1"/>
  <c r="A44" i="10" s="1"/>
  <c r="A45" i="10" s="1"/>
  <c r="A46" i="10" s="1"/>
  <c r="A47" i="10" s="1"/>
  <c r="A49" i="10" s="1"/>
  <c r="A51" i="10" s="1"/>
  <c r="A52" i="10" s="1"/>
  <c r="A53" i="10" s="1"/>
  <c r="AM63" i="10"/>
  <c r="AL63" i="10"/>
  <c r="AK63" i="10"/>
  <c r="AJ63" i="10"/>
  <c r="A1" i="10"/>
  <c r="AK40" i="10" l="1"/>
  <c r="AK22" i="10"/>
  <c r="AK30" i="10"/>
  <c r="AK48" i="10"/>
  <c r="AM34" i="10"/>
  <c r="AM40" i="10"/>
  <c r="AJ34" i="10"/>
  <c r="AJ54" i="10"/>
  <c r="AL40" i="10"/>
  <c r="AM22" i="10"/>
  <c r="AM48" i="10"/>
  <c r="AK64" i="10"/>
  <c r="AM64" i="10"/>
  <c r="AJ64" i="10"/>
  <c r="AL64" i="10"/>
  <c r="AJ65" i="10"/>
  <c r="AJ40" i="10"/>
  <c r="AL54" i="10"/>
  <c r="AL30" i="10"/>
  <c r="AL48" i="10"/>
  <c r="AM30" i="10"/>
  <c r="AJ48" i="10"/>
  <c r="AJ30" i="10"/>
  <c r="AL34" i="10"/>
  <c r="AJ22" i="10"/>
  <c r="AL22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5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<sst xmlns="http://schemas.openxmlformats.org/spreadsheetml/2006/main" count="3240" uniqueCount="80">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</sst>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8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7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  <c r="AK63" s="167"/>
      <c r="AL63" s="167"/>
      <c r="AM63" s="167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6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5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  <c r="AK63" s="167"/>
      <c r="AL63" s="167"/>
      <c r="AM63" s="167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4" priority="2">
      <formula>LEN(TRIM(E4))=0</formula>
    </cfRule>
  </conditionalFormatting>
  <conditionalFormatting sqref="AJ38:AM38">
    <cfRule type="containsBlanks" dxfId="3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59" s="167"/>
      <c r="C59" s="167"/>
      <c r="D59" s="167"/>
      <c r="E59" s="167"/>
      <c r="F59" s="167"/>
      <c r="G59" s="167"/>
      <c r="H59" s="167"/>
      <c r="I59" s="167"/>
      <c r="J59" s="167"/>
      <c r="K59" s="167"/>
      <c r="L59" s="167"/>
      <c r="M59" s="167"/>
      <c r="N59" s="167"/>
      <c r="O59" s="167"/>
      <c r="P59" s="167"/>
      <c r="Q59" s="167"/>
      <c r="R59" s="167"/>
      <c r="S59" s="167"/>
      <c r="T59" s="167"/>
      <c r="U59" s="167"/>
      <c r="V59" s="167"/>
      <c r="W59" s="167"/>
      <c r="X59" s="167"/>
      <c r="Y59" s="167"/>
      <c r="Z59" s="167"/>
      <c r="AA59" s="167"/>
      <c r="AB59" s="167"/>
      <c r="AC59" s="167"/>
      <c r="AD59" s="167"/>
      <c r="AE59" s="167"/>
      <c r="AF59" s="167"/>
      <c r="AG59" s="167"/>
      <c r="AH59" s="167"/>
      <c r="AI59" s="167"/>
      <c r="AJ59" s="167"/>
      <c r="AK59" s="167"/>
      <c r="AL59" s="167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2" priority="2">
      <formula>LEN(TRIM(E4))=0</formula>
    </cfRule>
  </conditionalFormatting>
  <conditionalFormatting sqref="E65:AI65">
    <cfRule type="containsBlanks" dxfId="1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67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E4" sqref="AE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53</v>
      </c>
      <c r="C4" s="13" t="s">
        <v>4</v>
      </c>
      <c r="D4" s="89">
        <v>6982</v>
      </c>
      <c r="E4" s="91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K4" s="5">
        <v>1</v>
      </c>
      <c r="L4" s="5">
        <v>1</v>
      </c>
      <c r="M4" s="5">
        <v>1</v>
      </c>
      <c r="N4" s="5">
        <v>1</v>
      </c>
      <c r="O4" s="5">
        <v>1</v>
      </c>
      <c r="P4" s="5">
        <v>1</v>
      </c>
      <c r="Q4" s="5">
        <v>1</v>
      </c>
      <c r="R4" s="5">
        <v>1</v>
      </c>
      <c r="S4" s="5">
        <v>1</v>
      </c>
      <c r="T4" s="5">
        <v>1</v>
      </c>
      <c r="U4" s="5">
        <v>1</v>
      </c>
      <c r="V4" s="5">
        <v>1</v>
      </c>
      <c r="W4" s="5">
        <v>1</v>
      </c>
      <c r="X4" s="5">
        <v>1</v>
      </c>
      <c r="Y4" s="5">
        <v>1</v>
      </c>
      <c r="Z4" s="5">
        <v>1</v>
      </c>
      <c r="AA4" s="5">
        <v>1</v>
      </c>
      <c r="AB4" s="5" t="s">
        <v>57</v>
      </c>
      <c r="AC4" s="5">
        <v>1</v>
      </c>
      <c r="AD4" s="5">
        <v>1</v>
      </c>
      <c r="AE4" s="5" t="s">
        <v>57</v>
      </c>
      <c r="AF4" s="5"/>
      <c r="AG4" s="5"/>
      <c r="AH4" s="5"/>
      <c r="AI4" s="5"/>
      <c r="AJ4" s="155">
        <f t="shared" ref="AJ4:AJ21" si="0">COUNTA(E4:AI4)</f>
        <v>27</v>
      </c>
      <c r="AK4" s="17">
        <f t="shared" ref="AK4:AK21" si="1">COUNTIF(E4:AI4,1)</f>
        <v>25</v>
      </c>
      <c r="AL4" s="17">
        <f t="shared" ref="AL4:AL21" si="2">COUNTIF(E4:AI4,"тр")</f>
        <v>0</v>
      </c>
      <c r="AM4" s="18">
        <f t="shared" ref="AM4:AM21" si="3">COUNTIF(E4:AI4,"бв")</f>
        <v>2</v>
      </c>
    </row>
    <row r="5" spans="1:39" x14ac:dyDescent="0.25">
      <c r="A5" s="11">
        <f t="shared" ref="A5:A53" si="4">A4+1</f>
        <v>2</v>
      </c>
      <c r="B5" s="12" t="s">
        <v>53</v>
      </c>
      <c r="C5" s="13" t="s">
        <v>5</v>
      </c>
      <c r="D5" s="89">
        <v>5721</v>
      </c>
      <c r="E5" s="94">
        <v>1</v>
      </c>
      <c r="F5" s="7">
        <v>1</v>
      </c>
      <c r="G5" s="7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/>
      <c r="AG5" s="5"/>
      <c r="AH5" s="5"/>
      <c r="AI5" s="5"/>
      <c r="AJ5" s="153">
        <f t="shared" si="0"/>
        <v>27</v>
      </c>
      <c r="AK5" s="54">
        <f t="shared" si="1"/>
        <v>22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100" t="s">
        <v>50</v>
      </c>
      <c r="E6" s="94">
        <v>1</v>
      </c>
      <c r="F6" s="7">
        <v>1</v>
      </c>
      <c r="G6" s="7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/>
      <c r="AG6" s="5"/>
      <c r="AH6" s="5"/>
      <c r="AI6" s="5"/>
      <c r="AJ6" s="153">
        <f t="shared" si="0"/>
        <v>27</v>
      </c>
      <c r="AK6" s="54">
        <f t="shared" si="1"/>
        <v>22</v>
      </c>
      <c r="AL6" s="54">
        <f t="shared" si="2"/>
        <v>5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89">
        <v>1291</v>
      </c>
      <c r="E7" s="94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/>
      <c r="AG7" s="5"/>
      <c r="AH7" s="5"/>
      <c r="AI7" s="5"/>
      <c r="AJ7" s="153">
        <f t="shared" si="0"/>
        <v>27</v>
      </c>
      <c r="AK7" s="54">
        <f t="shared" si="1"/>
        <v>19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89">
        <v>6850</v>
      </c>
      <c r="E8" s="94" t="s">
        <v>57</v>
      </c>
      <c r="F8" s="7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/>
      <c r="AG8" s="5"/>
      <c r="AH8" s="5"/>
      <c r="AI8" s="5"/>
      <c r="AJ8" s="153">
        <f t="shared" si="0"/>
        <v>27</v>
      </c>
      <c r="AK8" s="54">
        <f t="shared" si="1"/>
        <v>20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89">
        <v>7540</v>
      </c>
      <c r="E9" s="94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/>
      <c r="AG9" s="5"/>
      <c r="AH9" s="5"/>
      <c r="AI9" s="5"/>
      <c r="AJ9" s="153">
        <f t="shared" si="0"/>
        <v>27</v>
      </c>
      <c r="AK9" s="54">
        <f t="shared" si="1"/>
        <v>21</v>
      </c>
      <c r="AL9" s="54">
        <f t="shared" si="2"/>
        <v>5</v>
      </c>
      <c r="AM9" s="55">
        <f t="shared" si="3"/>
        <v>1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89">
        <v>4729</v>
      </c>
      <c r="E10" s="94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/>
      <c r="AG10" s="5"/>
      <c r="AH10" s="5"/>
      <c r="AI10" s="5"/>
      <c r="AJ10" s="153">
        <f t="shared" si="0"/>
        <v>27</v>
      </c>
      <c r="AK10" s="54">
        <f t="shared" si="1"/>
        <v>17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89">
        <v>4769</v>
      </c>
      <c r="E11" s="94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/>
      <c r="AG11" s="5"/>
      <c r="AH11" s="5"/>
      <c r="AI11" s="5"/>
      <c r="AJ11" s="153">
        <f t="shared" si="0"/>
        <v>27</v>
      </c>
      <c r="AK11" s="54">
        <f t="shared" si="1"/>
        <v>16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89">
        <v>4730</v>
      </c>
      <c r="E12" s="94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/>
      <c r="AG12" s="5"/>
      <c r="AH12" s="5"/>
      <c r="AI12" s="5"/>
      <c r="AJ12" s="153">
        <f t="shared" si="0"/>
        <v>27</v>
      </c>
      <c r="AK12" s="54">
        <f t="shared" si="1"/>
        <v>16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89">
        <v>1213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/>
      <c r="AG13" s="5"/>
      <c r="AH13" s="5"/>
      <c r="AI13" s="5"/>
      <c r="AJ13" s="153">
        <f t="shared" si="0"/>
        <v>27</v>
      </c>
      <c r="AK13" s="54">
        <f t="shared" si="1"/>
        <v>26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89">
        <v>4189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/>
      <c r="AG14" s="5"/>
      <c r="AH14" s="5"/>
      <c r="AI14" s="5"/>
      <c r="AJ14" s="153">
        <f t="shared" si="0"/>
        <v>27</v>
      </c>
      <c r="AK14" s="54">
        <f t="shared" si="1"/>
        <v>27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89">
        <v>3584</v>
      </c>
      <c r="E15" s="94">
        <v>1</v>
      </c>
      <c r="F15" s="7">
        <v>1</v>
      </c>
      <c r="G15" s="7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/>
      <c r="AG15" s="5"/>
      <c r="AH15" s="5"/>
      <c r="AI15" s="5"/>
      <c r="AJ15" s="153">
        <f t="shared" si="0"/>
        <v>27</v>
      </c>
      <c r="AK15" s="54">
        <f t="shared" si="1"/>
        <v>25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89">
        <v>1661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/>
      <c r="AG16" s="5"/>
      <c r="AH16" s="5"/>
      <c r="AI16" s="5"/>
      <c r="AJ16" s="153">
        <f t="shared" si="0"/>
        <v>27</v>
      </c>
      <c r="AK16" s="54">
        <f t="shared" si="1"/>
        <v>25</v>
      </c>
      <c r="AL16" s="54">
        <f t="shared" si="2"/>
        <v>2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89">
        <v>1662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/>
      <c r="AG17" s="5"/>
      <c r="AH17" s="5"/>
      <c r="AI17" s="5"/>
      <c r="AJ17" s="153">
        <f t="shared" si="0"/>
        <v>27</v>
      </c>
      <c r="AK17" s="54">
        <f t="shared" si="1"/>
        <v>26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89">
        <v>4302</v>
      </c>
      <c r="E18" s="94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/>
      <c r="AG18" s="5"/>
      <c r="AH18" s="5"/>
      <c r="AI18" s="5"/>
      <c r="AJ18" s="153">
        <f t="shared" si="0"/>
        <v>27</v>
      </c>
      <c r="AK18" s="54">
        <f t="shared" si="1"/>
        <v>20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89" t="s">
        <v>69</v>
      </c>
      <c r="E19" s="94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/>
      <c r="AG19" s="5"/>
      <c r="AH19" s="5"/>
      <c r="AI19" s="5"/>
      <c r="AJ19" s="153">
        <f t="shared" si="0"/>
        <v>27</v>
      </c>
      <c r="AK19" s="54">
        <f t="shared" si="1"/>
        <v>12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89" t="s">
        <v>70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/>
      <c r="AG20" s="5"/>
      <c r="AH20" s="5"/>
      <c r="AI20" s="5"/>
      <c r="AJ20" s="153">
        <f t="shared" si="0"/>
        <v>27</v>
      </c>
      <c r="AK20" s="54">
        <f t="shared" si="1"/>
        <v>24</v>
      </c>
      <c r="AL20" s="54">
        <f t="shared" si="2"/>
        <v>2</v>
      </c>
      <c r="AM20" s="55">
        <f t="shared" si="3"/>
        <v>1</v>
      </c>
    </row>
    <row r="21" spans="1:39" ht="16.3" thickBot="1" x14ac:dyDescent="0.3">
      <c r="A21" s="44">
        <f t="shared" si="4"/>
        <v>18</v>
      </c>
      <c r="B21" s="39" t="s">
        <v>53</v>
      </c>
      <c r="C21" s="40" t="s">
        <v>74</v>
      </c>
      <c r="D21" s="90" t="s">
        <v>71</v>
      </c>
      <c r="E21" s="96">
        <v>1</v>
      </c>
      <c r="F21" s="97">
        <v>1</v>
      </c>
      <c r="G21" s="97">
        <v>1</v>
      </c>
      <c r="H21" s="97">
        <v>1</v>
      </c>
      <c r="I21" s="97">
        <v>1</v>
      </c>
      <c r="J21" s="97">
        <v>1</v>
      </c>
      <c r="K21" s="97">
        <v>1</v>
      </c>
      <c r="L21" s="97">
        <v>1</v>
      </c>
      <c r="M21" s="97">
        <v>1</v>
      </c>
      <c r="N21" s="97">
        <v>1</v>
      </c>
      <c r="O21" s="97">
        <v>1</v>
      </c>
      <c r="P21" s="97">
        <v>1</v>
      </c>
      <c r="Q21" s="97">
        <v>1</v>
      </c>
      <c r="R21" s="97" t="s">
        <v>58</v>
      </c>
      <c r="S21" s="5" t="s">
        <v>58</v>
      </c>
      <c r="T21" s="97" t="s">
        <v>58</v>
      </c>
      <c r="U21" s="97" t="s">
        <v>58</v>
      </c>
      <c r="V21" s="97" t="s">
        <v>58</v>
      </c>
      <c r="W21" s="97" t="s">
        <v>58</v>
      </c>
      <c r="X21" s="97">
        <v>1</v>
      </c>
      <c r="Y21" s="97" t="s">
        <v>58</v>
      </c>
      <c r="Z21" s="97">
        <v>1</v>
      </c>
      <c r="AA21" s="97">
        <v>1</v>
      </c>
      <c r="AB21" s="97">
        <v>1</v>
      </c>
      <c r="AC21" s="97">
        <v>1</v>
      </c>
      <c r="AD21" s="97">
        <v>1</v>
      </c>
      <c r="AE21" s="97">
        <v>1</v>
      </c>
      <c r="AF21" s="97"/>
      <c r="AG21" s="97"/>
      <c r="AH21" s="97"/>
      <c r="AI21" s="97"/>
      <c r="AJ21" s="154">
        <f t="shared" si="0"/>
        <v>27</v>
      </c>
      <c r="AK21" s="84">
        <f t="shared" si="1"/>
        <v>20</v>
      </c>
      <c r="AL21" s="84">
        <f t="shared" si="2"/>
        <v>7</v>
      </c>
      <c r="AM21" s="85">
        <f t="shared" si="3"/>
        <v>0</v>
      </c>
    </row>
    <row r="22" spans="1:39" s="33" customFormat="1" ht="16.3" thickBot="1" x14ac:dyDescent="0.3">
      <c r="A22" s="63"/>
      <c r="B22" s="66" t="s">
        <v>63</v>
      </c>
      <c r="C22" s="64"/>
      <c r="D22" s="64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H22" s="65"/>
      <c r="AI22" s="65"/>
      <c r="AJ22" s="140">
        <f>SUM(AJ4:AJ21)</f>
        <v>486</v>
      </c>
      <c r="AK22" s="141">
        <f>SUM(AK4:AK21)</f>
        <v>383</v>
      </c>
      <c r="AL22" s="141">
        <f>SUM(AL4:AL21)</f>
        <v>76</v>
      </c>
      <c r="AM22" s="142">
        <f>SUM(AM4:AM21)</f>
        <v>27</v>
      </c>
    </row>
    <row r="23" spans="1:39" x14ac:dyDescent="0.25">
      <c r="A23" s="8">
        <f>A21+1</f>
        <v>19</v>
      </c>
      <c r="B23" s="45" t="s">
        <v>19</v>
      </c>
      <c r="C23" s="10" t="s">
        <v>20</v>
      </c>
      <c r="D23" s="21">
        <v>2961</v>
      </c>
      <c r="E23" s="6" t="s">
        <v>58</v>
      </c>
      <c r="F23" s="35" t="s">
        <v>58</v>
      </c>
      <c r="G23" s="35" t="s">
        <v>58</v>
      </c>
      <c r="H23" s="35" t="s">
        <v>58</v>
      </c>
      <c r="I23" s="35" t="s">
        <v>58</v>
      </c>
      <c r="J23" s="35" t="s">
        <v>58</v>
      </c>
      <c r="K23" s="35" t="s">
        <v>58</v>
      </c>
      <c r="L23" s="35" t="s">
        <v>58</v>
      </c>
      <c r="M23" s="35" t="s">
        <v>58</v>
      </c>
      <c r="N23" s="35" t="s">
        <v>58</v>
      </c>
      <c r="O23" s="35" t="s">
        <v>58</v>
      </c>
      <c r="P23" s="35">
        <v>1</v>
      </c>
      <c r="Q23" s="35">
        <v>1</v>
      </c>
      <c r="R23" s="35">
        <v>1</v>
      </c>
      <c r="S23" s="35">
        <v>1</v>
      </c>
      <c r="T23" s="35">
        <v>1</v>
      </c>
      <c r="U23" s="35">
        <v>1</v>
      </c>
      <c r="V23" s="35">
        <v>1</v>
      </c>
      <c r="W23" s="35">
        <v>1</v>
      </c>
      <c r="X23" s="35">
        <v>1</v>
      </c>
      <c r="Y23" s="35">
        <v>1</v>
      </c>
      <c r="Z23" s="35">
        <v>1</v>
      </c>
      <c r="AA23" s="35">
        <v>1</v>
      </c>
      <c r="AB23" s="35">
        <v>1</v>
      </c>
      <c r="AC23" s="35">
        <v>1</v>
      </c>
      <c r="AD23" s="35">
        <v>1</v>
      </c>
      <c r="AE23" s="35">
        <v>1</v>
      </c>
      <c r="AF23" s="35"/>
      <c r="AG23" s="35"/>
      <c r="AH23" s="35"/>
      <c r="AI23" s="35"/>
      <c r="AJ23" s="152">
        <f t="shared" ref="AJ23:AJ29" si="5">COUNTA(E23:AI23)</f>
        <v>27</v>
      </c>
      <c r="AK23" s="80">
        <f t="shared" ref="AK23:AK29" si="6">COUNTIF(E23:AI23,1)</f>
        <v>16</v>
      </c>
      <c r="AL23" s="80">
        <f t="shared" ref="AL23:AL29" si="7">COUNTIF(E23:AI23,"тр")</f>
        <v>11</v>
      </c>
      <c r="AM23" s="81">
        <f t="shared" ref="AM23:AM29" si="8">COUNTIF(E23:AI23,"бв")</f>
        <v>0</v>
      </c>
    </row>
    <row r="24" spans="1:39" x14ac:dyDescent="0.25">
      <c r="A24" s="11">
        <f t="shared" si="4"/>
        <v>20</v>
      </c>
      <c r="B24" s="14" t="s">
        <v>19</v>
      </c>
      <c r="C24" s="13" t="s">
        <v>21</v>
      </c>
      <c r="D24" s="22">
        <v>2962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 t="s">
        <v>58</v>
      </c>
      <c r="O24" s="5">
        <v>1</v>
      </c>
      <c r="P24" s="5" t="s">
        <v>57</v>
      </c>
      <c r="Q24" s="5" t="s">
        <v>58</v>
      </c>
      <c r="R24" s="5" t="s">
        <v>58</v>
      </c>
      <c r="S24" s="5" t="s">
        <v>58</v>
      </c>
      <c r="T24" s="5" t="s">
        <v>58</v>
      </c>
      <c r="U24" s="5" t="s">
        <v>58</v>
      </c>
      <c r="V24" s="5" t="s">
        <v>58</v>
      </c>
      <c r="W24" s="5" t="s">
        <v>58</v>
      </c>
      <c r="X24" s="5" t="s">
        <v>58</v>
      </c>
      <c r="Y24" s="5" t="s">
        <v>58</v>
      </c>
      <c r="Z24" s="5" t="s">
        <v>58</v>
      </c>
      <c r="AA24" s="5" t="s">
        <v>58</v>
      </c>
      <c r="AB24" s="5" t="s">
        <v>58</v>
      </c>
      <c r="AC24" s="5" t="s">
        <v>58</v>
      </c>
      <c r="AD24" s="5" t="s">
        <v>57</v>
      </c>
      <c r="AE24" s="5" t="s">
        <v>58</v>
      </c>
      <c r="AF24" s="5"/>
      <c r="AG24" s="5"/>
      <c r="AH24" s="5"/>
      <c r="AI24" s="5"/>
      <c r="AJ24" s="153">
        <f t="shared" si="5"/>
        <v>27</v>
      </c>
      <c r="AK24" s="54">
        <f t="shared" si="6"/>
        <v>10</v>
      </c>
      <c r="AL24" s="54">
        <f t="shared" si="7"/>
        <v>15</v>
      </c>
      <c r="AM24" s="55">
        <f t="shared" si="8"/>
        <v>2</v>
      </c>
    </row>
    <row r="25" spans="1:39" x14ac:dyDescent="0.25">
      <c r="A25" s="11">
        <f t="shared" si="4"/>
        <v>21</v>
      </c>
      <c r="B25" s="14" t="s">
        <v>19</v>
      </c>
      <c r="C25" s="13" t="s">
        <v>22</v>
      </c>
      <c r="D25" s="22">
        <v>2963</v>
      </c>
      <c r="E25" s="7">
        <v>1</v>
      </c>
      <c r="F25" s="5">
        <v>1</v>
      </c>
      <c r="G25" s="5">
        <v>1</v>
      </c>
      <c r="H25" s="5" t="s">
        <v>58</v>
      </c>
      <c r="I25" s="5" t="s">
        <v>57</v>
      </c>
      <c r="J25" s="5">
        <v>1</v>
      </c>
      <c r="K25" s="5">
        <v>1</v>
      </c>
      <c r="L25" s="5">
        <v>1</v>
      </c>
      <c r="M25" s="5">
        <v>1</v>
      </c>
      <c r="N25" s="5">
        <v>1</v>
      </c>
      <c r="O25" s="5">
        <v>1</v>
      </c>
      <c r="P25" s="5">
        <v>1</v>
      </c>
      <c r="Q25" s="5">
        <v>1</v>
      </c>
      <c r="R25" s="5">
        <v>1</v>
      </c>
      <c r="S25" s="5">
        <v>1</v>
      </c>
      <c r="T25" s="5">
        <v>1</v>
      </c>
      <c r="U25" s="5">
        <v>1</v>
      </c>
      <c r="V25" s="5">
        <v>1</v>
      </c>
      <c r="W25" s="5">
        <v>1</v>
      </c>
      <c r="X25" s="5">
        <v>1</v>
      </c>
      <c r="Y25" s="5">
        <v>1</v>
      </c>
      <c r="Z25" s="5" t="s">
        <v>58</v>
      </c>
      <c r="AA25" s="5">
        <v>1</v>
      </c>
      <c r="AB25" s="5">
        <v>1</v>
      </c>
      <c r="AC25" s="5">
        <v>1</v>
      </c>
      <c r="AD25" s="5">
        <v>1</v>
      </c>
      <c r="AE25" s="5">
        <v>1</v>
      </c>
      <c r="AF25" s="5"/>
      <c r="AG25" s="5"/>
      <c r="AH25" s="5"/>
      <c r="AI25" s="5"/>
      <c r="AJ25" s="153">
        <f t="shared" si="5"/>
        <v>27</v>
      </c>
      <c r="AK25" s="54">
        <f t="shared" si="6"/>
        <v>24</v>
      </c>
      <c r="AL25" s="54">
        <f t="shared" si="7"/>
        <v>2</v>
      </c>
      <c r="AM25" s="55">
        <f t="shared" si="8"/>
        <v>1</v>
      </c>
    </row>
    <row r="26" spans="1:39" x14ac:dyDescent="0.25">
      <c r="A26" s="11">
        <f t="shared" si="4"/>
        <v>22</v>
      </c>
      <c r="B26" s="14" t="s">
        <v>19</v>
      </c>
      <c r="C26" s="13" t="s">
        <v>23</v>
      </c>
      <c r="D26" s="22">
        <v>4309</v>
      </c>
      <c r="E26" s="7" t="s">
        <v>58</v>
      </c>
      <c r="F26" s="5" t="s">
        <v>58</v>
      </c>
      <c r="G26" s="5" t="s">
        <v>58</v>
      </c>
      <c r="H26" s="5" t="s">
        <v>58</v>
      </c>
      <c r="I26" s="5" t="s">
        <v>58</v>
      </c>
      <c r="J26" s="5" t="s">
        <v>58</v>
      </c>
      <c r="K26" s="5" t="s">
        <v>58</v>
      </c>
      <c r="L26" s="5" t="s">
        <v>58</v>
      </c>
      <c r="M26" s="5" t="s">
        <v>58</v>
      </c>
      <c r="N26" s="5" t="s">
        <v>58</v>
      </c>
      <c r="O26" s="5" t="s">
        <v>58</v>
      </c>
      <c r="P26" s="5" t="s">
        <v>58</v>
      </c>
      <c r="Q26" s="5" t="s">
        <v>58</v>
      </c>
      <c r="R26" s="5" t="s">
        <v>58</v>
      </c>
      <c r="S26" s="5" t="s">
        <v>58</v>
      </c>
      <c r="T26" s="5" t="s">
        <v>58</v>
      </c>
      <c r="U26" s="5" t="s">
        <v>58</v>
      </c>
      <c r="V26" s="5" t="s">
        <v>58</v>
      </c>
      <c r="W26" s="5" t="s">
        <v>58</v>
      </c>
      <c r="X26" s="5" t="s">
        <v>58</v>
      </c>
      <c r="Y26" s="5" t="s">
        <v>58</v>
      </c>
      <c r="Z26" s="5" t="s">
        <v>58</v>
      </c>
      <c r="AA26" s="5" t="s">
        <v>58</v>
      </c>
      <c r="AB26" s="5" t="s">
        <v>58</v>
      </c>
      <c r="AC26" s="5" t="s">
        <v>58</v>
      </c>
      <c r="AD26" s="5" t="s">
        <v>58</v>
      </c>
      <c r="AE26" s="5" t="s">
        <v>58</v>
      </c>
      <c r="AF26" s="5" t="s">
        <v>58</v>
      </c>
      <c r="AG26" s="5" t="s">
        <v>58</v>
      </c>
      <c r="AH26" s="5" t="s">
        <v>58</v>
      </c>
      <c r="AI26" s="5" t="s">
        <v>58</v>
      </c>
      <c r="AJ26" s="153">
        <f t="shared" si="5"/>
        <v>31</v>
      </c>
      <c r="AK26" s="54">
        <f t="shared" si="6"/>
        <v>0</v>
      </c>
      <c r="AL26" s="54">
        <f t="shared" si="7"/>
        <v>31</v>
      </c>
      <c r="AM26" s="55">
        <f t="shared" si="8"/>
        <v>0</v>
      </c>
    </row>
    <row r="27" spans="1:39" x14ac:dyDescent="0.25">
      <c r="A27" s="11">
        <f t="shared" si="4"/>
        <v>23</v>
      </c>
      <c r="B27" s="14" t="s">
        <v>19</v>
      </c>
      <c r="C27" s="15">
        <v>162</v>
      </c>
      <c r="D27" s="22" t="s">
        <v>51</v>
      </c>
      <c r="E27" s="7" t="s">
        <v>57</v>
      </c>
      <c r="F27" s="7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 t="s">
        <v>57</v>
      </c>
      <c r="N27" s="5" t="s">
        <v>57</v>
      </c>
      <c r="O27" s="5">
        <v>1</v>
      </c>
      <c r="P27" s="5">
        <v>1</v>
      </c>
      <c r="Q27" s="5">
        <v>1</v>
      </c>
      <c r="R27" s="5">
        <v>1</v>
      </c>
      <c r="S27" s="5">
        <v>1</v>
      </c>
      <c r="T27" s="5">
        <v>1</v>
      </c>
      <c r="U27" s="5">
        <v>1</v>
      </c>
      <c r="V27" s="5" t="s">
        <v>57</v>
      </c>
      <c r="W27" s="5" t="s">
        <v>57</v>
      </c>
      <c r="X27" s="5">
        <v>1</v>
      </c>
      <c r="Y27" s="5">
        <v>1</v>
      </c>
      <c r="Z27" s="5">
        <v>1</v>
      </c>
      <c r="AA27" s="5">
        <v>1</v>
      </c>
      <c r="AB27" s="5">
        <v>1</v>
      </c>
      <c r="AC27" s="5">
        <v>1</v>
      </c>
      <c r="AD27" s="5" t="s">
        <v>57</v>
      </c>
      <c r="AE27" s="5" t="s">
        <v>57</v>
      </c>
      <c r="AF27" s="5"/>
      <c r="AG27" s="5"/>
      <c r="AH27" s="5"/>
      <c r="AI27" s="5"/>
      <c r="AJ27" s="153">
        <f t="shared" si="5"/>
        <v>27</v>
      </c>
      <c r="AK27" s="54">
        <f t="shared" si="6"/>
        <v>20</v>
      </c>
      <c r="AL27" s="54">
        <f t="shared" si="7"/>
        <v>0</v>
      </c>
      <c r="AM27" s="55">
        <f t="shared" si="8"/>
        <v>7</v>
      </c>
    </row>
    <row r="28" spans="1:39" x14ac:dyDescent="0.25">
      <c r="A28" s="11">
        <f t="shared" si="4"/>
        <v>24</v>
      </c>
      <c r="B28" s="14" t="s">
        <v>19</v>
      </c>
      <c r="C28" s="15">
        <v>163</v>
      </c>
      <c r="D28" s="22" t="s">
        <v>52</v>
      </c>
      <c r="E28" s="7">
        <v>1</v>
      </c>
      <c r="F28" s="5">
        <v>1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/>
      <c r="AG28" s="5"/>
      <c r="AH28" s="5"/>
      <c r="AI28" s="5"/>
      <c r="AJ28" s="153">
        <f t="shared" si="5"/>
        <v>27</v>
      </c>
      <c r="AK28" s="54">
        <f t="shared" si="6"/>
        <v>15</v>
      </c>
      <c r="AL28" s="54">
        <f t="shared" si="7"/>
        <v>12</v>
      </c>
      <c r="AM28" s="55">
        <f t="shared" si="8"/>
        <v>0</v>
      </c>
    </row>
    <row r="29" spans="1:39" ht="16.3" thickBot="1" x14ac:dyDescent="0.3">
      <c r="A29" s="44">
        <f t="shared" si="4"/>
        <v>25</v>
      </c>
      <c r="B29" s="67" t="s">
        <v>19</v>
      </c>
      <c r="C29" s="40" t="s">
        <v>24</v>
      </c>
      <c r="D29" s="41">
        <v>1276</v>
      </c>
      <c r="E29" s="43" t="s">
        <v>57</v>
      </c>
      <c r="F29" s="42" t="s">
        <v>57</v>
      </c>
      <c r="G29" s="42" t="s">
        <v>57</v>
      </c>
      <c r="H29" s="42" t="s">
        <v>57</v>
      </c>
      <c r="I29" s="42" t="s">
        <v>57</v>
      </c>
      <c r="J29" s="42" t="s">
        <v>57</v>
      </c>
      <c r="K29" s="42" t="s">
        <v>57</v>
      </c>
      <c r="L29" s="42" t="s">
        <v>57</v>
      </c>
      <c r="M29" s="42" t="s">
        <v>57</v>
      </c>
      <c r="N29" s="42" t="s">
        <v>57</v>
      </c>
      <c r="O29" s="42" t="s">
        <v>57</v>
      </c>
      <c r="P29" s="42" t="s">
        <v>57</v>
      </c>
      <c r="Q29" s="42" t="s">
        <v>57</v>
      </c>
      <c r="R29" s="42">
        <v>1</v>
      </c>
      <c r="S29" s="42">
        <v>1</v>
      </c>
      <c r="T29" s="42">
        <v>1</v>
      </c>
      <c r="U29" s="42">
        <v>1</v>
      </c>
      <c r="V29" s="42">
        <v>1</v>
      </c>
      <c r="W29" s="42">
        <v>1</v>
      </c>
      <c r="X29" s="42" t="s">
        <v>58</v>
      </c>
      <c r="Y29" s="42" t="s">
        <v>58</v>
      </c>
      <c r="Z29" s="42" t="s">
        <v>58</v>
      </c>
      <c r="AA29" s="42" t="s">
        <v>58</v>
      </c>
      <c r="AB29" s="42" t="s">
        <v>58</v>
      </c>
      <c r="AC29" s="42" t="s">
        <v>58</v>
      </c>
      <c r="AD29" s="42" t="s">
        <v>58</v>
      </c>
      <c r="AE29" s="42">
        <v>1</v>
      </c>
      <c r="AF29" s="42"/>
      <c r="AG29" s="42"/>
      <c r="AH29" s="42"/>
      <c r="AI29" s="42"/>
      <c r="AJ29" s="154">
        <f t="shared" si="5"/>
        <v>27</v>
      </c>
      <c r="AK29" s="84">
        <f t="shared" si="6"/>
        <v>7</v>
      </c>
      <c r="AL29" s="84">
        <f t="shared" si="7"/>
        <v>7</v>
      </c>
      <c r="AM29" s="85">
        <f t="shared" si="8"/>
        <v>13</v>
      </c>
    </row>
    <row r="30" spans="1:39" s="33" customFormat="1" ht="16.3" thickBot="1" x14ac:dyDescent="0.3">
      <c r="A30" s="63"/>
      <c r="B30" s="66" t="s">
        <v>63</v>
      </c>
      <c r="C30" s="64"/>
      <c r="D30" s="64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H30" s="65"/>
      <c r="AI30" s="65"/>
      <c r="AJ30" s="134">
        <f>SUM(AJ23:AJ29)</f>
        <v>193</v>
      </c>
      <c r="AK30" s="135">
        <f>SUM(AK23:AK29)</f>
        <v>92</v>
      </c>
      <c r="AL30" s="135">
        <f>SUM(AL23:AL29)</f>
        <v>78</v>
      </c>
      <c r="AM30" s="136">
        <f>SUM(AM23:AM29)</f>
        <v>23</v>
      </c>
    </row>
    <row r="31" spans="1:39" x14ac:dyDescent="0.25">
      <c r="A31" s="8">
        <f>A29+1</f>
        <v>26</v>
      </c>
      <c r="B31" s="9" t="s">
        <v>25</v>
      </c>
      <c r="C31" s="10" t="s">
        <v>26</v>
      </c>
      <c r="D31" s="21">
        <v>3111</v>
      </c>
      <c r="E31" s="6">
        <v>1</v>
      </c>
      <c r="F31" s="35">
        <v>1</v>
      </c>
      <c r="G31" s="35">
        <v>1</v>
      </c>
      <c r="H31" s="35">
        <v>1</v>
      </c>
      <c r="I31" s="35">
        <v>1</v>
      </c>
      <c r="J31" s="35">
        <v>1</v>
      </c>
      <c r="K31" s="35" t="s">
        <v>57</v>
      </c>
      <c r="L31" s="35" t="s">
        <v>57</v>
      </c>
      <c r="M31" s="35" t="s">
        <v>57</v>
      </c>
      <c r="N31" s="35">
        <v>1</v>
      </c>
      <c r="O31" s="35">
        <v>1</v>
      </c>
      <c r="P31" s="35" t="s">
        <v>57</v>
      </c>
      <c r="Q31" s="35" t="s">
        <v>57</v>
      </c>
      <c r="R31" s="35" t="s">
        <v>57</v>
      </c>
      <c r="S31" s="35" t="s">
        <v>57</v>
      </c>
      <c r="T31" s="35" t="s">
        <v>57</v>
      </c>
      <c r="U31" s="35" t="s">
        <v>57</v>
      </c>
      <c r="V31" s="35" t="s">
        <v>57</v>
      </c>
      <c r="W31" s="35" t="s">
        <v>57</v>
      </c>
      <c r="X31" s="35" t="s">
        <v>57</v>
      </c>
      <c r="Y31" s="35" t="s">
        <v>57</v>
      </c>
      <c r="Z31" s="35" t="s">
        <v>57</v>
      </c>
      <c r="AA31" s="35" t="s">
        <v>57</v>
      </c>
      <c r="AB31" s="35" t="s">
        <v>57</v>
      </c>
      <c r="AC31" s="35" t="s">
        <v>57</v>
      </c>
      <c r="AD31" s="35" t="s">
        <v>57</v>
      </c>
      <c r="AE31" s="35" t="s">
        <v>57</v>
      </c>
      <c r="AF31" s="35"/>
      <c r="AG31" s="35"/>
      <c r="AH31" s="35"/>
      <c r="AI31" s="35"/>
      <c r="AJ31" s="155">
        <f>COUNTA(E31:AI31)</f>
        <v>27</v>
      </c>
      <c r="AK31" s="17">
        <f>COUNTIF(E31:AI31,1)</f>
        <v>8</v>
      </c>
      <c r="AL31" s="17">
        <f>COUNTIF(E31:AI31,"тр")</f>
        <v>0</v>
      </c>
      <c r="AM31" s="18">
        <f>COUNTIF(E31:AI31,"бв")</f>
        <v>19</v>
      </c>
    </row>
    <row r="32" spans="1:39" x14ac:dyDescent="0.25">
      <c r="A32" s="11">
        <f t="shared" si="4"/>
        <v>27</v>
      </c>
      <c r="B32" s="16" t="s">
        <v>25</v>
      </c>
      <c r="C32" s="13" t="s">
        <v>27</v>
      </c>
      <c r="D32" s="22">
        <v>1290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>
        <v>1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57</v>
      </c>
      <c r="S32" s="5" t="s">
        <v>57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 t="s">
        <v>57</v>
      </c>
      <c r="AA32" s="5" t="s">
        <v>57</v>
      </c>
      <c r="AB32" s="5">
        <v>1</v>
      </c>
      <c r="AC32" s="5">
        <v>1</v>
      </c>
      <c r="AD32" s="5">
        <v>1</v>
      </c>
      <c r="AE32" s="5">
        <v>1</v>
      </c>
      <c r="AF32" s="5"/>
      <c r="AG32" s="5"/>
      <c r="AH32" s="5"/>
      <c r="AI32" s="5"/>
      <c r="AJ32" s="155">
        <f>COUNTA(E32:AI32)</f>
        <v>27</v>
      </c>
      <c r="AK32" s="54">
        <f>COUNTIF(E32:AI32,1)</f>
        <v>22</v>
      </c>
      <c r="AL32" s="54">
        <f>COUNTIF(E32:AI32,"тр")</f>
        <v>0</v>
      </c>
      <c r="AM32" s="55">
        <f>COUNTIF(E32:AI32,"бв")</f>
        <v>5</v>
      </c>
    </row>
    <row r="33" spans="1:39" ht="16.3" thickBot="1" x14ac:dyDescent="0.3">
      <c r="A33" s="44">
        <f t="shared" si="4"/>
        <v>28</v>
      </c>
      <c r="B33" s="39" t="s">
        <v>25</v>
      </c>
      <c r="C33" s="68">
        <v>147</v>
      </c>
      <c r="D33" s="41">
        <v>4711</v>
      </c>
      <c r="E33" s="43" t="s">
        <v>58</v>
      </c>
      <c r="F33" s="42" t="s">
        <v>58</v>
      </c>
      <c r="G33" s="42" t="s">
        <v>58</v>
      </c>
      <c r="H33" s="42" t="s">
        <v>58</v>
      </c>
      <c r="I33" s="42" t="s">
        <v>58</v>
      </c>
      <c r="J33" s="42" t="s">
        <v>58</v>
      </c>
      <c r="K33" s="42" t="s">
        <v>58</v>
      </c>
      <c r="L33" s="42" t="s">
        <v>58</v>
      </c>
      <c r="M33" s="42" t="s">
        <v>58</v>
      </c>
      <c r="N33" s="42" t="s">
        <v>58</v>
      </c>
      <c r="O33" s="42" t="s">
        <v>58</v>
      </c>
      <c r="P33" s="42" t="s">
        <v>58</v>
      </c>
      <c r="Q33" s="42" t="s">
        <v>58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 t="s">
        <v>58</v>
      </c>
      <c r="X33" s="42" t="s">
        <v>58</v>
      </c>
      <c r="Y33" s="42" t="s">
        <v>58</v>
      </c>
      <c r="Z33" s="42" t="s">
        <v>58</v>
      </c>
      <c r="AA33" s="42" t="s">
        <v>58</v>
      </c>
      <c r="AB33" s="42" t="s">
        <v>58</v>
      </c>
      <c r="AC33" s="42" t="s">
        <v>58</v>
      </c>
      <c r="AD33" s="42" t="s">
        <v>58</v>
      </c>
      <c r="AE33" s="42" t="s">
        <v>58</v>
      </c>
      <c r="AF33" s="42" t="s">
        <v>58</v>
      </c>
      <c r="AG33" s="42" t="s">
        <v>58</v>
      </c>
      <c r="AH33" s="42" t="s">
        <v>58</v>
      </c>
      <c r="AI33" s="42" t="s">
        <v>58</v>
      </c>
      <c r="AJ33" s="155">
        <f>COUNTA(E33:AI33)</f>
        <v>31</v>
      </c>
      <c r="AK33" s="56">
        <f>COUNTIF(E33:AI33,1)</f>
        <v>0</v>
      </c>
      <c r="AL33" s="56">
        <f>COUNTIF(E33:AI33,"тр")</f>
        <v>31</v>
      </c>
      <c r="AM33" s="57">
        <f>COUNTIF(E33:AI33,"бв")</f>
        <v>0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SUM(AJ31:AJ33)</f>
        <v>85</v>
      </c>
      <c r="AK34" s="69">
        <f>SUM(AK31:AK33)</f>
        <v>30</v>
      </c>
      <c r="AL34" s="69">
        <f>SUM(AL31:AL33)</f>
        <v>31</v>
      </c>
      <c r="AM34" s="75">
        <f>SUM(AM31:AM33)</f>
        <v>24</v>
      </c>
    </row>
    <row r="35" spans="1:39" ht="16.3" thickBot="1" x14ac:dyDescent="0.3">
      <c r="A35" s="58">
        <f>A33+1</f>
        <v>29</v>
      </c>
      <c r="B35" s="59" t="s">
        <v>30</v>
      </c>
      <c r="C35" s="60" t="s">
        <v>31</v>
      </c>
      <c r="D35" s="61">
        <v>4253</v>
      </c>
      <c r="E35" s="38" t="s">
        <v>58</v>
      </c>
      <c r="F35" s="62" t="s">
        <v>58</v>
      </c>
      <c r="G35" s="62" t="s">
        <v>58</v>
      </c>
      <c r="H35" s="62" t="s">
        <v>58</v>
      </c>
      <c r="I35" s="62" t="s">
        <v>58</v>
      </c>
      <c r="J35" s="62" t="s">
        <v>58</v>
      </c>
      <c r="K35" s="62" t="s">
        <v>58</v>
      </c>
      <c r="L35" s="62" t="s">
        <v>58</v>
      </c>
      <c r="M35" s="62" t="s">
        <v>58</v>
      </c>
      <c r="N35" s="62" t="s">
        <v>58</v>
      </c>
      <c r="O35" s="62" t="s">
        <v>58</v>
      </c>
      <c r="P35" s="62" t="s">
        <v>58</v>
      </c>
      <c r="Q35" s="62" t="s">
        <v>58</v>
      </c>
      <c r="R35" s="62" t="s">
        <v>58</v>
      </c>
      <c r="S35" s="62" t="s">
        <v>58</v>
      </c>
      <c r="T35" s="62" t="s">
        <v>58</v>
      </c>
      <c r="U35" s="62" t="s">
        <v>58</v>
      </c>
      <c r="V35" s="62" t="s">
        <v>58</v>
      </c>
      <c r="W35" s="62" t="s">
        <v>58</v>
      </c>
      <c r="X35" s="62" t="s">
        <v>58</v>
      </c>
      <c r="Y35" s="62" t="s">
        <v>58</v>
      </c>
      <c r="Z35" s="62" t="s">
        <v>58</v>
      </c>
      <c r="AA35" s="62" t="s">
        <v>58</v>
      </c>
      <c r="AB35" s="62" t="s">
        <v>58</v>
      </c>
      <c r="AC35" s="62" t="s">
        <v>58</v>
      </c>
      <c r="AD35" s="62" t="s">
        <v>58</v>
      </c>
      <c r="AE35" s="62" t="s">
        <v>58</v>
      </c>
      <c r="AF35" s="62" t="s">
        <v>58</v>
      </c>
      <c r="AG35" s="62" t="s">
        <v>58</v>
      </c>
      <c r="AH35" s="62" t="s">
        <v>58</v>
      </c>
      <c r="AI35" s="62" t="s">
        <v>58</v>
      </c>
      <c r="AJ35" s="155">
        <f>COUNTA(E35:AI35)</f>
        <v>31</v>
      </c>
      <c r="AK35" s="19">
        <f>COUNTIF(E35:AI35,1)</f>
        <v>0</v>
      </c>
      <c r="AL35" s="19">
        <f>COUNTIF(E35:AI35,"тр")</f>
        <v>31</v>
      </c>
      <c r="AM35" s="20">
        <f>COUNTIF(E35:AI35,"бв")</f>
        <v>0</v>
      </c>
    </row>
    <row r="36" spans="1:39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77">
        <f>SUM(AJ35)</f>
        <v>31</v>
      </c>
      <c r="AK36" s="69">
        <f>SUM(AK35)</f>
        <v>0</v>
      </c>
      <c r="AL36" s="69">
        <f>SUM(AL35)</f>
        <v>31</v>
      </c>
      <c r="AM36" s="75">
        <f>SUM(AM35)</f>
        <v>0</v>
      </c>
    </row>
    <row r="37" spans="1:39" x14ac:dyDescent="0.25">
      <c r="A37" s="8">
        <f>A35+1</f>
        <v>30</v>
      </c>
      <c r="B37" s="9" t="s">
        <v>33</v>
      </c>
      <c r="C37" s="10" t="s">
        <v>32</v>
      </c>
      <c r="D37" s="21">
        <v>2831</v>
      </c>
      <c r="E37" s="35">
        <v>1</v>
      </c>
      <c r="F37" s="35">
        <v>1</v>
      </c>
      <c r="G37" s="35">
        <v>1</v>
      </c>
      <c r="H37" s="35">
        <v>1</v>
      </c>
      <c r="I37" s="35" t="s">
        <v>57</v>
      </c>
      <c r="J37" s="35" t="s">
        <v>57</v>
      </c>
      <c r="K37" s="35" t="s">
        <v>57</v>
      </c>
      <c r="L37" s="35">
        <v>1</v>
      </c>
      <c r="M37" s="35">
        <v>1</v>
      </c>
      <c r="N37" s="35">
        <v>1</v>
      </c>
      <c r="O37" s="35">
        <v>1</v>
      </c>
      <c r="P37" s="35">
        <v>1</v>
      </c>
      <c r="Q37" s="35">
        <v>1</v>
      </c>
      <c r="R37" s="35">
        <v>1</v>
      </c>
      <c r="S37" s="35" t="s">
        <v>57</v>
      </c>
      <c r="T37" s="35" t="s">
        <v>57</v>
      </c>
      <c r="U37" s="35">
        <v>1</v>
      </c>
      <c r="V37" s="35">
        <v>1</v>
      </c>
      <c r="W37" s="35">
        <v>1</v>
      </c>
      <c r="X37" s="35">
        <v>1</v>
      </c>
      <c r="Y37" s="35">
        <v>1</v>
      </c>
      <c r="Z37" s="35">
        <v>1</v>
      </c>
      <c r="AA37" s="35" t="s">
        <v>58</v>
      </c>
      <c r="AB37" s="35" t="s">
        <v>58</v>
      </c>
      <c r="AC37" s="35" t="s">
        <v>58</v>
      </c>
      <c r="AD37" s="35" t="s">
        <v>58</v>
      </c>
      <c r="AE37" s="35" t="s">
        <v>58</v>
      </c>
      <c r="AF37" s="35"/>
      <c r="AG37" s="35"/>
      <c r="AH37" s="35"/>
      <c r="AI37" s="35"/>
      <c r="AJ37" s="155">
        <f>COUNTA(E37:AI37)</f>
        <v>27</v>
      </c>
      <c r="AK37" s="17">
        <f>COUNTIF(E37:AI37,1)</f>
        <v>17</v>
      </c>
      <c r="AL37" s="17">
        <f>COUNTIF(E37:AI37,"тр")</f>
        <v>5</v>
      </c>
      <c r="AM37" s="18">
        <f>COUNTIF(E37:AI37,"бв")</f>
        <v>5</v>
      </c>
    </row>
    <row r="38" spans="1:39" x14ac:dyDescent="0.25">
      <c r="A38" s="11">
        <f t="shared" si="4"/>
        <v>31</v>
      </c>
      <c r="B38" s="12" t="s">
        <v>33</v>
      </c>
      <c r="C38" s="13" t="s">
        <v>34</v>
      </c>
      <c r="D38" s="22">
        <v>7945</v>
      </c>
      <c r="E38" s="7" t="s">
        <v>58</v>
      </c>
      <c r="F38" s="7" t="s">
        <v>58</v>
      </c>
      <c r="G38" s="7" t="s">
        <v>58</v>
      </c>
      <c r="H38" s="5" t="s">
        <v>58</v>
      </c>
      <c r="I38" s="5">
        <v>1</v>
      </c>
      <c r="J38" s="5">
        <v>1</v>
      </c>
      <c r="K38" s="5">
        <v>1</v>
      </c>
      <c r="L38" s="5" t="s">
        <v>58</v>
      </c>
      <c r="M38" s="5" t="s">
        <v>58</v>
      </c>
      <c r="N38" s="5" t="s">
        <v>58</v>
      </c>
      <c r="O38" s="5" t="s">
        <v>58</v>
      </c>
      <c r="P38" s="5" t="s">
        <v>58</v>
      </c>
      <c r="Q38" s="5" t="s">
        <v>58</v>
      </c>
      <c r="R38" s="5" t="s">
        <v>58</v>
      </c>
      <c r="S38" s="5" t="s">
        <v>58</v>
      </c>
      <c r="T38" s="5" t="s">
        <v>58</v>
      </c>
      <c r="U38" s="5">
        <v>1</v>
      </c>
      <c r="V38" s="5">
        <v>1</v>
      </c>
      <c r="W38" s="5">
        <v>1</v>
      </c>
      <c r="X38" s="5">
        <v>1</v>
      </c>
      <c r="Y38" s="5">
        <v>1</v>
      </c>
      <c r="Z38" s="5">
        <v>1</v>
      </c>
      <c r="AA38" s="5">
        <v>1</v>
      </c>
      <c r="AB38" s="5" t="s">
        <v>57</v>
      </c>
      <c r="AC38" s="5" t="s">
        <v>57</v>
      </c>
      <c r="AD38" s="5" t="s">
        <v>57</v>
      </c>
      <c r="AE38" s="5">
        <v>1</v>
      </c>
      <c r="AF38" s="5"/>
      <c r="AG38" s="5"/>
      <c r="AH38" s="5"/>
      <c r="AI38" s="5"/>
      <c r="AJ38" s="155">
        <f>COUNTA(E38:AI38)</f>
        <v>27</v>
      </c>
      <c r="AK38" s="54">
        <f>COUNTIF(E38:AI38,1)</f>
        <v>11</v>
      </c>
      <c r="AL38" s="54">
        <f>COUNTIF(E38:AI38,"тр")</f>
        <v>13</v>
      </c>
      <c r="AM38" s="55">
        <f>COUNTIF(E38:AI38,"бв")</f>
        <v>3</v>
      </c>
    </row>
    <row r="39" spans="1:39" ht="16.3" thickBot="1" x14ac:dyDescent="0.3">
      <c r="A39" s="44">
        <f t="shared" si="4"/>
        <v>32</v>
      </c>
      <c r="B39" s="39" t="s">
        <v>35</v>
      </c>
      <c r="C39" s="68">
        <v>135</v>
      </c>
      <c r="D39" s="41">
        <v>8933</v>
      </c>
      <c r="E39" s="43" t="s">
        <v>57</v>
      </c>
      <c r="F39" s="43">
        <v>1</v>
      </c>
      <c r="G39" s="43">
        <v>1</v>
      </c>
      <c r="H39" s="42">
        <v>1</v>
      </c>
      <c r="I39" s="42">
        <v>1</v>
      </c>
      <c r="J39" s="42" t="s">
        <v>57</v>
      </c>
      <c r="K39" s="42">
        <v>1</v>
      </c>
      <c r="L39" s="42">
        <v>1</v>
      </c>
      <c r="M39" s="42">
        <v>1</v>
      </c>
      <c r="N39" s="42">
        <v>1</v>
      </c>
      <c r="O39" s="42">
        <v>1</v>
      </c>
      <c r="P39" s="42" t="s">
        <v>57</v>
      </c>
      <c r="Q39" s="42">
        <v>1</v>
      </c>
      <c r="R39" s="42">
        <v>1</v>
      </c>
      <c r="S39" s="42">
        <v>1</v>
      </c>
      <c r="T39" s="42">
        <v>1</v>
      </c>
      <c r="U39" s="42">
        <v>1</v>
      </c>
      <c r="V39" s="42" t="s">
        <v>57</v>
      </c>
      <c r="W39" s="42" t="s">
        <v>57</v>
      </c>
      <c r="X39" s="42">
        <v>1</v>
      </c>
      <c r="Y39" s="42" t="s">
        <v>57</v>
      </c>
      <c r="Z39" s="42">
        <v>1</v>
      </c>
      <c r="AA39" s="42">
        <v>1</v>
      </c>
      <c r="AB39" s="42">
        <v>1</v>
      </c>
      <c r="AC39" s="42">
        <v>1</v>
      </c>
      <c r="AD39" s="42">
        <v>1</v>
      </c>
      <c r="AE39" s="42">
        <v>1</v>
      </c>
      <c r="AF39" s="42"/>
      <c r="AG39" s="42"/>
      <c r="AH39" s="42"/>
      <c r="AI39" s="42"/>
      <c r="AJ39" s="155">
        <f>COUNTA(E39:AI39)</f>
        <v>27</v>
      </c>
      <c r="AK39" s="56">
        <f>COUNTIF(E39:AI39,1)</f>
        <v>21</v>
      </c>
      <c r="AL39" s="56">
        <f>COUNTIF(E39:AI39,"тр")</f>
        <v>0</v>
      </c>
      <c r="AM39" s="57">
        <f>COUNTIF(E39:AI39,"бв")</f>
        <v>6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SUM(AJ37:AJ39)</f>
        <v>81</v>
      </c>
      <c r="AK40" s="69">
        <f>SUM(AK37:AK39)</f>
        <v>49</v>
      </c>
      <c r="AL40" s="69">
        <f>SUM(AL37:AL39)</f>
        <v>18</v>
      </c>
      <c r="AM40" s="75">
        <f>SUM(AM37:AM39)</f>
        <v>14</v>
      </c>
    </row>
    <row r="41" spans="1:39" x14ac:dyDescent="0.25">
      <c r="A41" s="8">
        <f>A39+1</f>
        <v>33</v>
      </c>
      <c r="B41" s="9" t="s">
        <v>54</v>
      </c>
      <c r="C41" s="10" t="s">
        <v>36</v>
      </c>
      <c r="D41" s="21">
        <v>4994</v>
      </c>
      <c r="E41" s="6">
        <v>1</v>
      </c>
      <c r="F41" s="6" t="s">
        <v>58</v>
      </c>
      <c r="G41" s="6">
        <v>1</v>
      </c>
      <c r="H41" s="35">
        <v>1</v>
      </c>
      <c r="I41" s="35">
        <v>1</v>
      </c>
      <c r="J41" s="35">
        <v>1</v>
      </c>
      <c r="K41" s="35">
        <v>1</v>
      </c>
      <c r="L41" s="35">
        <v>1</v>
      </c>
      <c r="M41" s="35">
        <v>1</v>
      </c>
      <c r="N41" s="35">
        <v>1</v>
      </c>
      <c r="O41" s="35">
        <v>1</v>
      </c>
      <c r="P41" s="35">
        <v>1</v>
      </c>
      <c r="Q41" s="35">
        <v>1</v>
      </c>
      <c r="R41" s="35">
        <v>1</v>
      </c>
      <c r="S41" s="35">
        <v>1</v>
      </c>
      <c r="T41" s="35">
        <v>1</v>
      </c>
      <c r="U41" s="35">
        <v>1</v>
      </c>
      <c r="V41" s="35">
        <v>1</v>
      </c>
      <c r="W41" s="35">
        <v>1</v>
      </c>
      <c r="X41" s="35">
        <v>1</v>
      </c>
      <c r="Y41" s="35">
        <v>1</v>
      </c>
      <c r="Z41" s="35">
        <v>1</v>
      </c>
      <c r="AA41" s="35">
        <v>1</v>
      </c>
      <c r="AB41" s="35">
        <v>1</v>
      </c>
      <c r="AC41" s="35">
        <v>1</v>
      </c>
      <c r="AD41" s="35">
        <v>1</v>
      </c>
      <c r="AE41" s="35">
        <v>1</v>
      </c>
      <c r="AF41" s="35"/>
      <c r="AG41" s="35"/>
      <c r="AH41" s="35"/>
      <c r="AI41" s="35"/>
      <c r="AJ41" s="155">
        <f t="shared" ref="AJ41:AJ47" si="9">COUNTA(E41:AI41)</f>
        <v>27</v>
      </c>
      <c r="AK41" s="17">
        <f t="shared" ref="AK41:AK47" si="10">COUNTIF(E41:AI41,1)</f>
        <v>26</v>
      </c>
      <c r="AL41" s="17">
        <f t="shared" ref="AL41:AL47" si="11">COUNTIF(E41:AI41,"тр")</f>
        <v>1</v>
      </c>
      <c r="AM41" s="18">
        <f t="shared" ref="AM41:AM47" si="12">COUNTIF(E41:AI41,"бв")</f>
        <v>0</v>
      </c>
    </row>
    <row r="42" spans="1:39" x14ac:dyDescent="0.25">
      <c r="A42" s="11">
        <f t="shared" si="4"/>
        <v>34</v>
      </c>
      <c r="B42" s="12" t="s">
        <v>54</v>
      </c>
      <c r="C42" s="13" t="s">
        <v>37</v>
      </c>
      <c r="D42" s="22">
        <v>4995</v>
      </c>
      <c r="E42" s="7">
        <v>1</v>
      </c>
      <c r="F42" s="5">
        <v>1</v>
      </c>
      <c r="G42" s="5">
        <v>1</v>
      </c>
      <c r="H42" s="5">
        <v>1</v>
      </c>
      <c r="I42" s="5">
        <v>1</v>
      </c>
      <c r="J42" s="5" t="s">
        <v>57</v>
      </c>
      <c r="K42" s="5">
        <v>1</v>
      </c>
      <c r="L42" s="5">
        <v>1</v>
      </c>
      <c r="M42" s="5">
        <v>1</v>
      </c>
      <c r="N42" s="5">
        <v>1</v>
      </c>
      <c r="O42" s="5">
        <v>1</v>
      </c>
      <c r="P42" s="5" t="s">
        <v>57</v>
      </c>
      <c r="Q42" s="5">
        <v>1</v>
      </c>
      <c r="R42" s="5">
        <v>1</v>
      </c>
      <c r="S42" s="5">
        <v>1</v>
      </c>
      <c r="T42" s="5">
        <v>1</v>
      </c>
      <c r="U42" s="5">
        <v>1</v>
      </c>
      <c r="V42" s="5">
        <v>1</v>
      </c>
      <c r="W42" s="5">
        <v>1</v>
      </c>
      <c r="X42" s="5">
        <v>1</v>
      </c>
      <c r="Y42" s="5">
        <v>1</v>
      </c>
      <c r="Z42" s="5">
        <v>1</v>
      </c>
      <c r="AA42" s="5">
        <v>1</v>
      </c>
      <c r="AB42" s="5">
        <v>1</v>
      </c>
      <c r="AC42" s="5">
        <v>1</v>
      </c>
      <c r="AD42" s="5" t="s">
        <v>57</v>
      </c>
      <c r="AE42" s="5">
        <v>1</v>
      </c>
      <c r="AF42" s="5"/>
      <c r="AG42" s="5"/>
      <c r="AH42" s="5"/>
      <c r="AI42" s="5"/>
      <c r="AJ42" s="155">
        <f t="shared" si="9"/>
        <v>27</v>
      </c>
      <c r="AK42" s="54">
        <f t="shared" si="10"/>
        <v>24</v>
      </c>
      <c r="AL42" s="54">
        <f t="shared" si="11"/>
        <v>0</v>
      </c>
      <c r="AM42" s="55">
        <f t="shared" si="12"/>
        <v>3</v>
      </c>
    </row>
    <row r="43" spans="1:39" x14ac:dyDescent="0.25">
      <c r="A43" s="11">
        <f t="shared" si="4"/>
        <v>35</v>
      </c>
      <c r="B43" s="12" t="s">
        <v>54</v>
      </c>
      <c r="C43" s="13" t="s">
        <v>38</v>
      </c>
      <c r="D43" s="22">
        <v>6129</v>
      </c>
      <c r="E43" s="7">
        <v>1</v>
      </c>
      <c r="F43" s="5">
        <v>1</v>
      </c>
      <c r="G43" s="5">
        <v>1</v>
      </c>
      <c r="H43" s="5">
        <v>1</v>
      </c>
      <c r="I43" s="5">
        <v>1</v>
      </c>
      <c r="J43" s="5" t="s">
        <v>57</v>
      </c>
      <c r="K43" s="5">
        <v>1</v>
      </c>
      <c r="L43" s="5">
        <v>1</v>
      </c>
      <c r="M43" s="5">
        <v>1</v>
      </c>
      <c r="N43" s="5">
        <v>1</v>
      </c>
      <c r="O43" s="5">
        <v>1</v>
      </c>
      <c r="P43" s="5">
        <v>1</v>
      </c>
      <c r="Q43" s="5">
        <v>1</v>
      </c>
      <c r="R43" s="5">
        <v>1</v>
      </c>
      <c r="S43" s="5">
        <v>1</v>
      </c>
      <c r="T43" s="5">
        <v>1</v>
      </c>
      <c r="U43" s="5">
        <v>1</v>
      </c>
      <c r="V43" s="5">
        <v>1</v>
      </c>
      <c r="W43" s="5">
        <v>1</v>
      </c>
      <c r="X43" s="5">
        <v>1</v>
      </c>
      <c r="Y43" s="5">
        <v>1</v>
      </c>
      <c r="Z43" s="5">
        <v>1</v>
      </c>
      <c r="AA43" s="5">
        <v>1</v>
      </c>
      <c r="AB43" s="5">
        <v>1</v>
      </c>
      <c r="AC43" s="5">
        <v>1</v>
      </c>
      <c r="AD43" s="5">
        <v>1</v>
      </c>
      <c r="AE43" s="5">
        <v>1</v>
      </c>
      <c r="AF43" s="5"/>
      <c r="AG43" s="5"/>
      <c r="AH43" s="5"/>
      <c r="AI43" s="5"/>
      <c r="AJ43" s="155">
        <f t="shared" si="9"/>
        <v>27</v>
      </c>
      <c r="AK43" s="54">
        <f t="shared" si="10"/>
        <v>26</v>
      </c>
      <c r="AL43" s="54">
        <f t="shared" si="11"/>
        <v>0</v>
      </c>
      <c r="AM43" s="55">
        <f t="shared" si="12"/>
        <v>1</v>
      </c>
    </row>
    <row r="44" spans="1:39" x14ac:dyDescent="0.25">
      <c r="A44" s="11">
        <f t="shared" si="4"/>
        <v>36</v>
      </c>
      <c r="B44" s="12" t="s">
        <v>54</v>
      </c>
      <c r="C44" s="13" t="s">
        <v>39</v>
      </c>
      <c r="D44" s="22">
        <v>6130</v>
      </c>
      <c r="E44" s="7">
        <v>1</v>
      </c>
      <c r="F44" s="5">
        <v>1</v>
      </c>
      <c r="G44" s="5">
        <v>1</v>
      </c>
      <c r="H44" s="5">
        <v>1</v>
      </c>
      <c r="I44" s="5" t="s">
        <v>57</v>
      </c>
      <c r="J44" s="5">
        <v>1</v>
      </c>
      <c r="K44" s="5">
        <v>1</v>
      </c>
      <c r="L44" s="5" t="s">
        <v>57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 t="s">
        <v>57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/>
      <c r="AG44" s="5"/>
      <c r="AH44" s="5"/>
      <c r="AI44" s="5"/>
      <c r="AJ44" s="155">
        <f t="shared" si="9"/>
        <v>27</v>
      </c>
      <c r="AK44" s="54">
        <f t="shared" si="10"/>
        <v>23</v>
      </c>
      <c r="AL44" s="54">
        <f t="shared" si="11"/>
        <v>0</v>
      </c>
      <c r="AM44" s="55">
        <f t="shared" si="12"/>
        <v>4</v>
      </c>
    </row>
    <row r="45" spans="1:39" x14ac:dyDescent="0.25">
      <c r="A45" s="11">
        <f t="shared" si="4"/>
        <v>37</v>
      </c>
      <c r="B45" s="12" t="s">
        <v>54</v>
      </c>
      <c r="C45" s="13" t="s">
        <v>40</v>
      </c>
      <c r="D45" s="22">
        <v>1297</v>
      </c>
      <c r="E45" s="7">
        <v>1</v>
      </c>
      <c r="F45" s="5" t="s">
        <v>57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/>
      <c r="AG45" s="5"/>
      <c r="AH45" s="5"/>
      <c r="AI45" s="5"/>
      <c r="AJ45" s="155">
        <f t="shared" si="9"/>
        <v>27</v>
      </c>
      <c r="AK45" s="54">
        <f t="shared" si="10"/>
        <v>25</v>
      </c>
      <c r="AL45" s="54">
        <f t="shared" si="11"/>
        <v>0</v>
      </c>
      <c r="AM45" s="55">
        <f t="shared" si="12"/>
        <v>2</v>
      </c>
    </row>
    <row r="46" spans="1:39" x14ac:dyDescent="0.25">
      <c r="A46" s="11">
        <f t="shared" si="4"/>
        <v>38</v>
      </c>
      <c r="B46" s="12" t="s">
        <v>54</v>
      </c>
      <c r="C46" s="13" t="s">
        <v>41</v>
      </c>
      <c r="D46" s="22">
        <v>1296</v>
      </c>
      <c r="E46" s="7" t="s">
        <v>58</v>
      </c>
      <c r="F46" s="5" t="s">
        <v>58</v>
      </c>
      <c r="G46" s="5" t="s">
        <v>58</v>
      </c>
      <c r="H46" s="5" t="s">
        <v>58</v>
      </c>
      <c r="I46" s="5" t="s">
        <v>58</v>
      </c>
      <c r="J46" s="5" t="s">
        <v>58</v>
      </c>
      <c r="K46" s="5" t="s">
        <v>58</v>
      </c>
      <c r="L46" s="5" t="s">
        <v>58</v>
      </c>
      <c r="M46" s="5" t="s">
        <v>58</v>
      </c>
      <c r="N46" s="5" t="s">
        <v>58</v>
      </c>
      <c r="O46" s="5" t="s">
        <v>58</v>
      </c>
      <c r="P46" s="5" t="s">
        <v>58</v>
      </c>
      <c r="Q46" s="5" t="s">
        <v>58</v>
      </c>
      <c r="R46" s="5" t="s">
        <v>58</v>
      </c>
      <c r="S46" s="5" t="s">
        <v>58</v>
      </c>
      <c r="T46" s="5" t="s">
        <v>58</v>
      </c>
      <c r="U46" s="5" t="s">
        <v>58</v>
      </c>
      <c r="V46" s="5" t="s">
        <v>58</v>
      </c>
      <c r="W46" s="5" t="s">
        <v>58</v>
      </c>
      <c r="X46" s="5" t="s">
        <v>58</v>
      </c>
      <c r="Y46" s="5" t="s">
        <v>58</v>
      </c>
      <c r="Z46" s="5" t="s">
        <v>58</v>
      </c>
      <c r="AA46" s="5">
        <v>1</v>
      </c>
      <c r="AB46" s="5">
        <v>1</v>
      </c>
      <c r="AC46" s="5">
        <v>1</v>
      </c>
      <c r="AD46" s="5" t="s">
        <v>57</v>
      </c>
      <c r="AE46" s="5" t="s">
        <v>57</v>
      </c>
      <c r="AF46" s="5"/>
      <c r="AG46" s="5"/>
      <c r="AH46" s="5"/>
      <c r="AI46" s="5"/>
      <c r="AJ46" s="155">
        <f t="shared" si="9"/>
        <v>27</v>
      </c>
      <c r="AK46" s="54">
        <f t="shared" si="10"/>
        <v>3</v>
      </c>
      <c r="AL46" s="54">
        <f t="shared" si="11"/>
        <v>22</v>
      </c>
      <c r="AM46" s="55">
        <f t="shared" si="12"/>
        <v>2</v>
      </c>
    </row>
    <row r="47" spans="1:39" ht="16.3" thickBot="1" x14ac:dyDescent="0.3">
      <c r="A47" s="44">
        <f t="shared" si="4"/>
        <v>39</v>
      </c>
      <c r="B47" s="39" t="s">
        <v>54</v>
      </c>
      <c r="C47" s="40" t="s">
        <v>42</v>
      </c>
      <c r="D47" s="41">
        <v>1344</v>
      </c>
      <c r="E47" s="43">
        <v>1</v>
      </c>
      <c r="F47" s="42">
        <v>1</v>
      </c>
      <c r="G47" s="42">
        <v>1</v>
      </c>
      <c r="H47" s="42">
        <v>1</v>
      </c>
      <c r="I47" s="42">
        <v>1</v>
      </c>
      <c r="J47" s="42">
        <v>1</v>
      </c>
      <c r="K47" s="42" t="s">
        <v>57</v>
      </c>
      <c r="L47" s="42">
        <v>1</v>
      </c>
      <c r="M47" s="42">
        <v>1</v>
      </c>
      <c r="N47" s="42">
        <v>1</v>
      </c>
      <c r="O47" s="42">
        <v>1</v>
      </c>
      <c r="P47" s="42">
        <v>1</v>
      </c>
      <c r="Q47" s="42">
        <v>1</v>
      </c>
      <c r="R47" s="42">
        <v>1</v>
      </c>
      <c r="S47" s="42">
        <v>1</v>
      </c>
      <c r="T47" s="42">
        <v>1</v>
      </c>
      <c r="U47" s="42">
        <v>1</v>
      </c>
      <c r="V47" s="42">
        <v>1</v>
      </c>
      <c r="W47" s="42" t="s">
        <v>58</v>
      </c>
      <c r="X47" s="42" t="s">
        <v>58</v>
      </c>
      <c r="Y47" s="42" t="s">
        <v>58</v>
      </c>
      <c r="Z47" s="42">
        <v>1</v>
      </c>
      <c r="AA47" s="42" t="s">
        <v>57</v>
      </c>
      <c r="AB47" s="42">
        <v>1</v>
      </c>
      <c r="AC47" s="42">
        <v>1</v>
      </c>
      <c r="AD47" s="42" t="s">
        <v>57</v>
      </c>
      <c r="AE47" s="42" t="s">
        <v>57</v>
      </c>
      <c r="AF47" s="42"/>
      <c r="AG47" s="42"/>
      <c r="AH47" s="42"/>
      <c r="AI47" s="42"/>
      <c r="AJ47" s="155">
        <f t="shared" si="9"/>
        <v>27</v>
      </c>
      <c r="AK47" s="56">
        <f t="shared" si="10"/>
        <v>20</v>
      </c>
      <c r="AL47" s="56">
        <f t="shared" si="11"/>
        <v>3</v>
      </c>
      <c r="AM47" s="57">
        <f t="shared" si="12"/>
        <v>4</v>
      </c>
    </row>
    <row r="48" spans="1:39" s="33" customFormat="1" ht="16.3" thickBot="1" x14ac:dyDescent="0.3">
      <c r="A48" s="63"/>
      <c r="B48" s="66" t="s">
        <v>63</v>
      </c>
      <c r="C48" s="64"/>
      <c r="D48" s="64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77">
        <f>SUM(AJ41:AJ47)</f>
        <v>189</v>
      </c>
      <c r="AK48" s="69">
        <f>SUM(AK41:AK47)</f>
        <v>147</v>
      </c>
      <c r="AL48" s="69">
        <f>SUM(AL41:AL47)</f>
        <v>26</v>
      </c>
      <c r="AM48" s="75">
        <f>SUM(AM41:AM47)</f>
        <v>16</v>
      </c>
    </row>
    <row r="49" spans="1:39" ht="16.3" thickBot="1" x14ac:dyDescent="0.3">
      <c r="A49" s="44">
        <f>A47+1</f>
        <v>40</v>
      </c>
      <c r="B49" s="39" t="s">
        <v>43</v>
      </c>
      <c r="C49" s="40" t="s">
        <v>45</v>
      </c>
      <c r="D49" s="41">
        <v>1252</v>
      </c>
      <c r="E49" s="43" t="s">
        <v>57</v>
      </c>
      <c r="F49" s="42">
        <v>1</v>
      </c>
      <c r="G49" s="42">
        <v>1</v>
      </c>
      <c r="H49" s="42">
        <v>1</v>
      </c>
      <c r="I49" s="42" t="s">
        <v>57</v>
      </c>
      <c r="J49" s="42">
        <v>1</v>
      </c>
      <c r="K49" s="42">
        <v>1</v>
      </c>
      <c r="L49" s="42">
        <v>1</v>
      </c>
      <c r="M49" s="42">
        <v>1</v>
      </c>
      <c r="N49" s="42">
        <v>1</v>
      </c>
      <c r="O49" s="42">
        <v>1</v>
      </c>
      <c r="P49" s="42">
        <v>1</v>
      </c>
      <c r="Q49" s="42">
        <v>1</v>
      </c>
      <c r="R49" s="42">
        <v>1</v>
      </c>
      <c r="S49" s="42">
        <v>1</v>
      </c>
      <c r="T49" s="42">
        <v>1</v>
      </c>
      <c r="U49" s="42">
        <v>1</v>
      </c>
      <c r="V49" s="42">
        <v>1</v>
      </c>
      <c r="W49" s="42">
        <v>1</v>
      </c>
      <c r="X49" s="42">
        <v>1</v>
      </c>
      <c r="Y49" s="42">
        <v>1</v>
      </c>
      <c r="Z49" s="42">
        <v>1</v>
      </c>
      <c r="AA49" s="42" t="s">
        <v>58</v>
      </c>
      <c r="AB49" s="42" t="s">
        <v>58</v>
      </c>
      <c r="AC49" s="42">
        <v>1</v>
      </c>
      <c r="AD49" s="42">
        <v>1</v>
      </c>
      <c r="AE49" s="42" t="s">
        <v>57</v>
      </c>
      <c r="AF49" s="42"/>
      <c r="AG49" s="42"/>
      <c r="AH49" s="42"/>
      <c r="AI49" s="42"/>
      <c r="AJ49" s="155">
        <f>COUNTA(E49:AI49)</f>
        <v>27</v>
      </c>
      <c r="AK49" s="56">
        <f>COUNTIF(E49:AI49,1)</f>
        <v>22</v>
      </c>
      <c r="AL49" s="56">
        <f>COUNTIF(E49:AI49,"тр")</f>
        <v>2</v>
      </c>
      <c r="AM49" s="57">
        <f>COUNTIF(E49:AI49,"бв")</f>
        <v>3</v>
      </c>
    </row>
    <row r="50" spans="1:39" s="33" customFormat="1" ht="16.3" thickBot="1" x14ac:dyDescent="0.3">
      <c r="A50" s="129"/>
      <c r="B50" s="130" t="s">
        <v>63</v>
      </c>
      <c r="C50" s="128"/>
      <c r="D50" s="128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77">
        <f>SUM(AJ49:AJ49)</f>
        <v>27</v>
      </c>
      <c r="AK50" s="69">
        <f>SUM(AK49:AK49)</f>
        <v>22</v>
      </c>
      <c r="AL50" s="69">
        <f>SUM(AL49:AL49)</f>
        <v>2</v>
      </c>
      <c r="AM50" s="75">
        <f>SUM(AM49:AM49)</f>
        <v>3</v>
      </c>
    </row>
    <row r="51" spans="1:39" x14ac:dyDescent="0.25">
      <c r="A51" s="103">
        <f>A49+1</f>
        <v>41</v>
      </c>
      <c r="B51" s="104" t="s">
        <v>64</v>
      </c>
      <c r="C51" s="105" t="s">
        <v>65</v>
      </c>
      <c r="D51" s="106" t="s">
        <v>59</v>
      </c>
      <c r="E51" s="143">
        <v>1</v>
      </c>
      <c r="F51" s="92">
        <v>1</v>
      </c>
      <c r="G51" s="92">
        <v>1</v>
      </c>
      <c r="H51" s="92" t="s">
        <v>57</v>
      </c>
      <c r="I51" s="92" t="s">
        <v>57</v>
      </c>
      <c r="J51" s="92">
        <v>1</v>
      </c>
      <c r="K51" s="92">
        <v>1</v>
      </c>
      <c r="L51" s="92">
        <v>1</v>
      </c>
      <c r="M51" s="92">
        <v>1</v>
      </c>
      <c r="N51" s="92">
        <v>1</v>
      </c>
      <c r="O51" s="92" t="s">
        <v>58</v>
      </c>
      <c r="P51" s="92">
        <v>1</v>
      </c>
      <c r="Q51" s="92">
        <v>1</v>
      </c>
      <c r="R51" s="92">
        <v>1</v>
      </c>
      <c r="S51" s="5" t="s">
        <v>58</v>
      </c>
      <c r="T51" s="92">
        <v>1</v>
      </c>
      <c r="U51" s="92">
        <v>1</v>
      </c>
      <c r="V51" s="92">
        <v>1</v>
      </c>
      <c r="W51" s="92">
        <v>1</v>
      </c>
      <c r="X51" s="92">
        <v>1</v>
      </c>
      <c r="Y51" s="92">
        <v>1</v>
      </c>
      <c r="Z51" s="92">
        <v>1</v>
      </c>
      <c r="AA51" s="92" t="s">
        <v>57</v>
      </c>
      <c r="AB51" s="92" t="s">
        <v>57</v>
      </c>
      <c r="AC51" s="92">
        <v>1</v>
      </c>
      <c r="AD51" s="92">
        <v>1</v>
      </c>
      <c r="AE51" s="92">
        <v>1</v>
      </c>
      <c r="AF51" s="92"/>
      <c r="AG51" s="92"/>
      <c r="AH51" s="92"/>
      <c r="AI51" s="92"/>
      <c r="AJ51" s="152">
        <f>COUNTA(E51:AI51)</f>
        <v>27</v>
      </c>
      <c r="AK51" s="80">
        <f>COUNTIF(E51:AI51,1)</f>
        <v>21</v>
      </c>
      <c r="AL51" s="80">
        <f>COUNTIF(E51:AI51,"тр")</f>
        <v>2</v>
      </c>
      <c r="AM51" s="81">
        <f>COUNTIF(E51:AI51,"бв")</f>
        <v>4</v>
      </c>
    </row>
    <row r="52" spans="1:39" x14ac:dyDescent="0.25">
      <c r="A52" s="58">
        <f t="shared" si="4"/>
        <v>42</v>
      </c>
      <c r="B52" s="39" t="s">
        <v>64</v>
      </c>
      <c r="C52" s="40" t="s">
        <v>66</v>
      </c>
      <c r="D52" s="22" t="s">
        <v>60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 t="s">
        <v>57</v>
      </c>
      <c r="M52" s="42" t="s">
        <v>57</v>
      </c>
      <c r="N52" s="42">
        <v>1</v>
      </c>
      <c r="O52" s="42">
        <v>1</v>
      </c>
      <c r="P52" s="42" t="s">
        <v>57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 t="s">
        <v>57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/>
      <c r="AG52" s="42"/>
      <c r="AH52" s="42"/>
      <c r="AI52" s="42"/>
      <c r="AJ52" s="155">
        <f>COUNTA(E52:AI52)</f>
        <v>27</v>
      </c>
      <c r="AK52" s="56">
        <f>COUNTIF(E52:AI52,1)</f>
        <v>23</v>
      </c>
      <c r="AL52" s="56">
        <f>COUNTIF(E52:AI52,"тр")</f>
        <v>0</v>
      </c>
      <c r="AM52" s="57">
        <f>COUNTIF(E52:AI52,"бв")</f>
        <v>4</v>
      </c>
    </row>
    <row r="53" spans="1:39" ht="16.3" thickBot="1" x14ac:dyDescent="0.3">
      <c r="A53" s="107">
        <f t="shared" si="4"/>
        <v>43</v>
      </c>
      <c r="B53" s="108" t="s">
        <v>79</v>
      </c>
      <c r="C53" s="109" t="s">
        <v>77</v>
      </c>
      <c r="D53" s="110" t="s">
        <v>78</v>
      </c>
      <c r="E53" s="144">
        <v>1</v>
      </c>
      <c r="F53" s="97" t="s">
        <v>57</v>
      </c>
      <c r="G53" s="97" t="s">
        <v>57</v>
      </c>
      <c r="H53" s="97">
        <v>1</v>
      </c>
      <c r="I53" s="97">
        <v>1</v>
      </c>
      <c r="J53" s="97">
        <v>1</v>
      </c>
      <c r="K53" s="97">
        <v>1</v>
      </c>
      <c r="L53" s="97">
        <v>1</v>
      </c>
      <c r="M53" s="97">
        <v>1</v>
      </c>
      <c r="N53" s="97">
        <v>1</v>
      </c>
      <c r="O53" s="97">
        <v>1</v>
      </c>
      <c r="P53" s="97">
        <v>1</v>
      </c>
      <c r="Q53" s="97" t="s">
        <v>58</v>
      </c>
      <c r="R53" s="97">
        <v>1</v>
      </c>
      <c r="S53" s="97">
        <v>1</v>
      </c>
      <c r="T53" s="97">
        <v>1</v>
      </c>
      <c r="U53" s="97">
        <v>1</v>
      </c>
      <c r="V53" s="97" t="s">
        <v>57</v>
      </c>
      <c r="W53" s="97">
        <v>1</v>
      </c>
      <c r="X53" s="97">
        <v>1</v>
      </c>
      <c r="Y53" s="97">
        <v>1</v>
      </c>
      <c r="Z53" s="97">
        <v>1</v>
      </c>
      <c r="AA53" s="97">
        <v>1</v>
      </c>
      <c r="AB53" s="97">
        <v>1</v>
      </c>
      <c r="AC53" s="97">
        <v>1</v>
      </c>
      <c r="AD53" s="97">
        <v>1</v>
      </c>
      <c r="AE53" s="97">
        <v>1</v>
      </c>
      <c r="AF53" s="97"/>
      <c r="AG53" s="97"/>
      <c r="AH53" s="97"/>
      <c r="AI53" s="97"/>
      <c r="AJ53" s="157">
        <f>COUNTA(E53:AI53)</f>
        <v>27</v>
      </c>
      <c r="AK53" s="84">
        <f>COUNTIF(E53:AI53,1)</f>
        <v>23</v>
      </c>
      <c r="AL53" s="84">
        <f>COUNTIF(E53:AI53,"тр")</f>
        <v>1</v>
      </c>
      <c r="AM53" s="85">
        <f>COUNTIF(E53:AI53,"бв")</f>
        <v>3</v>
      </c>
    </row>
    <row r="54" spans="1:39" s="33" customFormat="1" ht="16.3" thickBot="1" x14ac:dyDescent="0.3">
      <c r="A54" s="121"/>
      <c r="B54" s="122" t="s">
        <v>63</v>
      </c>
      <c r="C54" s="123"/>
      <c r="D54" s="123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SUM(AJ51:AJ53)</f>
        <v>81</v>
      </c>
      <c r="AK54" s="69">
        <f>SUM(AK51:AK53)</f>
        <v>67</v>
      </c>
      <c r="AL54" s="69">
        <f>SUM(AL51:AL53)</f>
        <v>3</v>
      </c>
      <c r="AM54" s="75">
        <f>SUM(AM51:AM53)</f>
        <v>11</v>
      </c>
    </row>
    <row r="55" spans="1:39" s="33" customFormat="1" x14ac:dyDescent="0.25">
      <c r="A55" s="165"/>
      <c r="B55" s="49"/>
      <c r="C55" s="50"/>
      <c r="D55" s="50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1" t="s">
        <v>67</v>
      </c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3">
        <f>AJ22+AJ30+AJ34+AJ36+AJ40+AJ48+AJ50+AJ54</f>
        <v>1173</v>
      </c>
      <c r="AK55" s="53"/>
      <c r="AL55" s="53"/>
      <c r="AM55" s="53"/>
    </row>
    <row r="56" spans="1:39" x14ac:dyDescent="0.25">
      <c r="B56" s="1"/>
      <c r="C56" s="2"/>
      <c r="D56" s="2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8"/>
      <c r="AL56" s="48"/>
      <c r="AM56" s="48"/>
    </row>
    <row r="57" spans="1:39" ht="16.3" thickBot="1" x14ac:dyDescent="0.3">
      <c r="A57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57" s="167"/>
      <c r="C57" s="167"/>
      <c r="D57" s="167"/>
      <c r="E57" s="167"/>
      <c r="F57" s="167"/>
      <c r="G57" s="167"/>
      <c r="H57" s="167"/>
      <c r="I57" s="167"/>
      <c r="J57" s="167"/>
      <c r="K57" s="167"/>
      <c r="L57" s="167"/>
      <c r="M57" s="167"/>
      <c r="N57" s="167"/>
      <c r="O57" s="167"/>
      <c r="P57" s="167"/>
      <c r="Q57" s="167"/>
      <c r="R57" s="167"/>
      <c r="S57" s="167"/>
      <c r="T57" s="167"/>
      <c r="U57" s="167"/>
      <c r="V57" s="167"/>
      <c r="W57" s="167"/>
      <c r="X57" s="167"/>
      <c r="Y57" s="167"/>
      <c r="Z57" s="167"/>
      <c r="AA57" s="167"/>
      <c r="AB57" s="167"/>
      <c r="AC57" s="167"/>
      <c r="AD57" s="167"/>
      <c r="AE57" s="167"/>
      <c r="AF57" s="167"/>
      <c r="AG57" s="167"/>
      <c r="AH57" s="167"/>
      <c r="AI57" s="167"/>
      <c r="AJ57" s="167"/>
      <c r="AK57" s="167"/>
      <c r="AL57" s="167"/>
      <c r="AM57" s="167"/>
    </row>
    <row r="58" spans="1:39" s="33" customFormat="1" ht="16.3" thickBot="1" x14ac:dyDescent="0.3">
      <c r="A58" s="27" t="s">
        <v>56</v>
      </c>
      <c r="B58" s="28" t="s">
        <v>46</v>
      </c>
      <c r="C58" s="28" t="s">
        <v>48</v>
      </c>
      <c r="D58" s="29" t="s">
        <v>47</v>
      </c>
      <c r="E58" s="34">
        <v>1</v>
      </c>
      <c r="F58" s="30">
        <v>2</v>
      </c>
      <c r="G58" s="30">
        <v>3</v>
      </c>
      <c r="H58" s="30">
        <v>4</v>
      </c>
      <c r="I58" s="30">
        <v>5</v>
      </c>
      <c r="J58" s="30">
        <v>6</v>
      </c>
      <c r="K58" s="30">
        <v>7</v>
      </c>
      <c r="L58" s="30">
        <v>8</v>
      </c>
      <c r="M58" s="30">
        <v>9</v>
      </c>
      <c r="N58" s="30">
        <v>10</v>
      </c>
      <c r="O58" s="30">
        <v>11</v>
      </c>
      <c r="P58" s="30">
        <v>12</v>
      </c>
      <c r="Q58" s="30">
        <v>13</v>
      </c>
      <c r="R58" s="30">
        <v>14</v>
      </c>
      <c r="S58" s="30">
        <v>15</v>
      </c>
      <c r="T58" s="30">
        <v>16</v>
      </c>
      <c r="U58" s="30">
        <v>17</v>
      </c>
      <c r="V58" s="30">
        <v>18</v>
      </c>
      <c r="W58" s="30">
        <v>19</v>
      </c>
      <c r="X58" s="30">
        <v>20</v>
      </c>
      <c r="Y58" s="30">
        <v>21</v>
      </c>
      <c r="Z58" s="30">
        <v>22</v>
      </c>
      <c r="AA58" s="30">
        <v>23</v>
      </c>
      <c r="AB58" s="30">
        <v>24</v>
      </c>
      <c r="AC58" s="30">
        <v>25</v>
      </c>
      <c r="AD58" s="30">
        <v>26</v>
      </c>
      <c r="AE58" s="30">
        <v>27</v>
      </c>
      <c r="AF58" s="30">
        <v>28</v>
      </c>
      <c r="AG58" s="30">
        <v>29</v>
      </c>
      <c r="AH58" s="30"/>
      <c r="AI58" s="87">
        <v>30</v>
      </c>
      <c r="AJ58" s="27" t="s">
        <v>62</v>
      </c>
      <c r="AK58" s="31" t="s">
        <v>61</v>
      </c>
      <c r="AL58" s="31" t="s">
        <v>58</v>
      </c>
      <c r="AM58" s="32" t="s">
        <v>57</v>
      </c>
    </row>
    <row r="59" spans="1:39" x14ac:dyDescent="0.25">
      <c r="A59" s="8">
        <v>1</v>
      </c>
      <c r="B59" s="9" t="s">
        <v>54</v>
      </c>
      <c r="C59" s="166">
        <v>176</v>
      </c>
      <c r="D59" s="10">
        <v>6172</v>
      </c>
      <c r="E59" s="35">
        <v>1</v>
      </c>
      <c r="F59" s="35">
        <v>1</v>
      </c>
      <c r="G59" s="35">
        <v>1</v>
      </c>
      <c r="H59" s="35">
        <v>1</v>
      </c>
      <c r="I59" s="35">
        <v>1</v>
      </c>
      <c r="J59" s="35">
        <v>1</v>
      </c>
      <c r="K59" s="35">
        <v>1</v>
      </c>
      <c r="L59" s="35">
        <v>1</v>
      </c>
      <c r="M59" s="35">
        <v>1</v>
      </c>
      <c r="N59" s="35">
        <v>1</v>
      </c>
      <c r="O59" s="35">
        <v>1</v>
      </c>
      <c r="P59" s="35">
        <v>1</v>
      </c>
      <c r="Q59" s="35">
        <v>1</v>
      </c>
      <c r="R59" s="35">
        <v>1</v>
      </c>
      <c r="S59" s="35">
        <v>1</v>
      </c>
      <c r="T59" s="35">
        <v>1</v>
      </c>
      <c r="U59" s="35">
        <v>1</v>
      </c>
      <c r="V59" s="35">
        <v>1</v>
      </c>
      <c r="W59" s="35">
        <v>1</v>
      </c>
      <c r="X59" s="35">
        <v>1</v>
      </c>
      <c r="Y59" s="35">
        <v>1</v>
      </c>
      <c r="Z59" s="35">
        <v>1</v>
      </c>
      <c r="AA59" s="35">
        <v>1</v>
      </c>
      <c r="AB59" s="35">
        <v>1</v>
      </c>
      <c r="AC59" s="35">
        <v>1</v>
      </c>
      <c r="AD59" s="35">
        <v>1</v>
      </c>
      <c r="AE59" s="35">
        <v>1</v>
      </c>
      <c r="AF59" s="35"/>
      <c r="AG59" s="35"/>
      <c r="AH59" s="35"/>
      <c r="AI59" s="125"/>
      <c r="AJ59" s="155">
        <f>COUNTA(E59:AI59)</f>
        <v>27</v>
      </c>
      <c r="AK59" s="17">
        <f>COUNTIF(E59:AI59,1)</f>
        <v>27</v>
      </c>
      <c r="AL59" s="17">
        <f>COUNTIF(E59:AI59,"тр")</f>
        <v>0</v>
      </c>
      <c r="AM59" s="18">
        <f>COUNTIF(E59:AI59,"бв")</f>
        <v>0</v>
      </c>
    </row>
    <row r="60" spans="1:39" x14ac:dyDescent="0.25">
      <c r="A60" s="11">
        <f>A59+1</f>
        <v>2</v>
      </c>
      <c r="B60" s="12" t="s">
        <v>54</v>
      </c>
      <c r="C60" s="15">
        <v>177</v>
      </c>
      <c r="D60" s="13">
        <v>6173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 s="5">
        <v>1</v>
      </c>
      <c r="M60" s="5">
        <v>1</v>
      </c>
      <c r="N60" s="5">
        <v>1</v>
      </c>
      <c r="O60" s="5">
        <v>1</v>
      </c>
      <c r="P60" s="5">
        <v>1</v>
      </c>
      <c r="Q60" s="5">
        <v>1</v>
      </c>
      <c r="R60" s="5">
        <v>1</v>
      </c>
      <c r="S60" s="5">
        <v>1</v>
      </c>
      <c r="T60" s="5">
        <v>1</v>
      </c>
      <c r="U60" s="5">
        <v>1</v>
      </c>
      <c r="V60" s="5">
        <v>1</v>
      </c>
      <c r="W60" s="5">
        <v>1</v>
      </c>
      <c r="X60" s="5">
        <v>1</v>
      </c>
      <c r="Y60" s="5">
        <v>1</v>
      </c>
      <c r="Z60" s="5">
        <v>1</v>
      </c>
      <c r="AA60" s="5">
        <v>1</v>
      </c>
      <c r="AB60" s="5">
        <v>1</v>
      </c>
      <c r="AC60" s="5">
        <v>1</v>
      </c>
      <c r="AD60" s="5">
        <v>1</v>
      </c>
      <c r="AE60" s="5">
        <v>1</v>
      </c>
      <c r="AF60" s="5"/>
      <c r="AG60" s="5"/>
      <c r="AH60" s="5"/>
      <c r="AI60" s="78"/>
      <c r="AJ60" s="153">
        <f>COUNTA(E60:AI60)</f>
        <v>27</v>
      </c>
      <c r="AK60" s="54">
        <f>COUNTIF(E60:AI60,1)</f>
        <v>27</v>
      </c>
      <c r="AL60" s="54">
        <f>COUNTIF(E60:AI60,"тр")</f>
        <v>0</v>
      </c>
      <c r="AM60" s="55">
        <f>COUNTIF(E60:AI60,"бв")</f>
        <v>0</v>
      </c>
    </row>
    <row r="61" spans="1:39" x14ac:dyDescent="0.25">
      <c r="A61" s="11">
        <f t="shared" ref="A61:A63" si="13">A60+1</f>
        <v>3</v>
      </c>
      <c r="B61" s="12" t="s">
        <v>43</v>
      </c>
      <c r="C61" s="13" t="s">
        <v>44</v>
      </c>
      <c r="D61" s="13">
        <v>1250</v>
      </c>
      <c r="E61" s="5" t="s">
        <v>57</v>
      </c>
      <c r="F61" s="5">
        <v>1</v>
      </c>
      <c r="G61" s="5">
        <v>1</v>
      </c>
      <c r="H61" s="5">
        <v>1</v>
      </c>
      <c r="I61" s="5" t="s">
        <v>57</v>
      </c>
      <c r="J61" s="5" t="s">
        <v>57</v>
      </c>
      <c r="K61" s="5" t="s">
        <v>57</v>
      </c>
      <c r="L61" s="5" t="s">
        <v>57</v>
      </c>
      <c r="M61" s="5" t="s">
        <v>57</v>
      </c>
      <c r="N61" s="5">
        <v>1</v>
      </c>
      <c r="O61" s="5">
        <v>1</v>
      </c>
      <c r="P61" s="5" t="s">
        <v>57</v>
      </c>
      <c r="Q61" s="5">
        <v>1</v>
      </c>
      <c r="R61" s="5">
        <v>1</v>
      </c>
      <c r="S61" s="5">
        <v>1</v>
      </c>
      <c r="T61" s="5">
        <v>1</v>
      </c>
      <c r="U61" s="5">
        <v>1</v>
      </c>
      <c r="V61" s="5" t="s">
        <v>58</v>
      </c>
      <c r="W61" s="5" t="s">
        <v>58</v>
      </c>
      <c r="X61" s="5">
        <v>1</v>
      </c>
      <c r="Y61" s="5">
        <v>1</v>
      </c>
      <c r="Z61" s="5">
        <v>1</v>
      </c>
      <c r="AA61" s="5">
        <v>1</v>
      </c>
      <c r="AB61" s="5">
        <v>1</v>
      </c>
      <c r="AC61" s="5" t="s">
        <v>57</v>
      </c>
      <c r="AD61" s="5" t="s">
        <v>57</v>
      </c>
      <c r="AE61" s="5">
        <v>1</v>
      </c>
      <c r="AF61" s="5"/>
      <c r="AG61" s="5"/>
      <c r="AH61" s="5"/>
      <c r="AI61" s="78"/>
      <c r="AJ61" s="153">
        <f>COUNTA(E61:AI61)</f>
        <v>27</v>
      </c>
      <c r="AK61" s="54">
        <f>COUNTIF(E61:AI61,1)</f>
        <v>16</v>
      </c>
      <c r="AL61" s="54">
        <f>COUNTIF(E61:AI61,"тр")</f>
        <v>2</v>
      </c>
      <c r="AM61" s="55">
        <f>COUNTIF(E61:AI61,"бв")</f>
        <v>9</v>
      </c>
    </row>
    <row r="62" spans="1:39" x14ac:dyDescent="0.25">
      <c r="A62" s="11">
        <f t="shared" si="13"/>
        <v>4</v>
      </c>
      <c r="B62" s="12" t="s">
        <v>55</v>
      </c>
      <c r="C62" s="13" t="s">
        <v>28</v>
      </c>
      <c r="D62" s="13">
        <v>3810</v>
      </c>
      <c r="E62" s="5" t="s">
        <v>58</v>
      </c>
      <c r="F62" s="5" t="s">
        <v>58</v>
      </c>
      <c r="G62" s="5" t="s">
        <v>58</v>
      </c>
      <c r="H62" s="5" t="s">
        <v>58</v>
      </c>
      <c r="I62" s="5" t="s">
        <v>58</v>
      </c>
      <c r="J62" s="5" t="s">
        <v>58</v>
      </c>
      <c r="K62" s="5" t="s">
        <v>58</v>
      </c>
      <c r="L62" s="5" t="s">
        <v>58</v>
      </c>
      <c r="M62" s="5" t="s">
        <v>58</v>
      </c>
      <c r="N62" s="5" t="s">
        <v>58</v>
      </c>
      <c r="O62" s="5" t="s">
        <v>58</v>
      </c>
      <c r="P62" s="5" t="s">
        <v>58</v>
      </c>
      <c r="Q62" s="5" t="s">
        <v>58</v>
      </c>
      <c r="R62" s="5" t="s">
        <v>58</v>
      </c>
      <c r="S62" s="5" t="s">
        <v>58</v>
      </c>
      <c r="T62" s="5" t="s">
        <v>58</v>
      </c>
      <c r="U62" s="5" t="s">
        <v>58</v>
      </c>
      <c r="V62" s="5" t="s">
        <v>58</v>
      </c>
      <c r="W62" s="5" t="s">
        <v>58</v>
      </c>
      <c r="X62" s="5" t="s">
        <v>58</v>
      </c>
      <c r="Y62" s="5" t="s">
        <v>58</v>
      </c>
      <c r="Z62" s="5" t="s">
        <v>58</v>
      </c>
      <c r="AA62" s="5" t="s">
        <v>58</v>
      </c>
      <c r="AB62" s="5" t="s">
        <v>58</v>
      </c>
      <c r="AC62" s="5" t="s">
        <v>58</v>
      </c>
      <c r="AD62" s="5" t="s">
        <v>58</v>
      </c>
      <c r="AE62" s="5" t="s">
        <v>58</v>
      </c>
      <c r="AF62" s="5" t="s">
        <v>58</v>
      </c>
      <c r="AG62" s="5" t="s">
        <v>58</v>
      </c>
      <c r="AH62" s="5" t="s">
        <v>58</v>
      </c>
      <c r="AI62" s="78" t="s">
        <v>58</v>
      </c>
      <c r="AJ62" s="153">
        <f>COUNTA(E62:AI62)</f>
        <v>31</v>
      </c>
      <c r="AK62" s="54">
        <f>COUNTIF(E62:AI62,1)</f>
        <v>0</v>
      </c>
      <c r="AL62" s="54">
        <f>COUNTIF(E62:AI62,"тр")</f>
        <v>31</v>
      </c>
      <c r="AM62" s="55">
        <f>COUNTIF(E62:AI62,"бв")</f>
        <v>0</v>
      </c>
    </row>
    <row r="63" spans="1:39" ht="16.3" thickBot="1" x14ac:dyDescent="0.3">
      <c r="A63" s="44">
        <f t="shared" si="13"/>
        <v>5</v>
      </c>
      <c r="B63" s="39" t="s">
        <v>0</v>
      </c>
      <c r="C63" s="40" t="s">
        <v>2</v>
      </c>
      <c r="D63" s="40">
        <v>1637</v>
      </c>
      <c r="E63" s="42" t="s">
        <v>57</v>
      </c>
      <c r="F63" s="42">
        <v>1</v>
      </c>
      <c r="G63" s="42">
        <v>1</v>
      </c>
      <c r="H63" s="42">
        <v>1</v>
      </c>
      <c r="I63" s="42" t="s">
        <v>58</v>
      </c>
      <c r="J63" s="42" t="s">
        <v>58</v>
      </c>
      <c r="K63" s="42" t="s">
        <v>58</v>
      </c>
      <c r="L63" s="42" t="s">
        <v>58</v>
      </c>
      <c r="M63" s="42" t="s">
        <v>58</v>
      </c>
      <c r="N63" s="42">
        <v>1</v>
      </c>
      <c r="O63" s="42">
        <v>1</v>
      </c>
      <c r="P63" s="42" t="s">
        <v>57</v>
      </c>
      <c r="Q63" s="42">
        <v>1</v>
      </c>
      <c r="R63" s="42" t="s">
        <v>58</v>
      </c>
      <c r="S63" s="42" t="s">
        <v>58</v>
      </c>
      <c r="T63" s="42" t="s">
        <v>57</v>
      </c>
      <c r="U63" s="42">
        <v>1</v>
      </c>
      <c r="V63" s="42" t="s">
        <v>58</v>
      </c>
      <c r="W63" s="42" t="s">
        <v>58</v>
      </c>
      <c r="X63" s="42">
        <v>1</v>
      </c>
      <c r="Y63" s="42">
        <v>1</v>
      </c>
      <c r="Z63" s="42">
        <v>1</v>
      </c>
      <c r="AA63" s="42" t="s">
        <v>58</v>
      </c>
      <c r="AB63" s="42" t="s">
        <v>58</v>
      </c>
      <c r="AC63" s="42" t="s">
        <v>58</v>
      </c>
      <c r="AD63" s="42" t="s">
        <v>58</v>
      </c>
      <c r="AE63" s="42">
        <v>1</v>
      </c>
      <c r="AF63" s="42"/>
      <c r="AG63" s="42"/>
      <c r="AH63" s="42"/>
      <c r="AI63" s="126"/>
      <c r="AJ63" s="156">
        <f>COUNTA(E63:AI63)</f>
        <v>27</v>
      </c>
      <c r="AK63" s="56">
        <f>COUNTIF(E63:AI63,1)</f>
        <v>11</v>
      </c>
      <c r="AL63" s="56">
        <f>COUNTIF(E63:AI63,"тр")</f>
        <v>13</v>
      </c>
      <c r="AM63" s="57">
        <f>COUNTIF(E63:AI63,"бв")</f>
        <v>3</v>
      </c>
    </row>
    <row r="64" spans="1:39" s="33" customFormat="1" ht="16.3" thickBot="1" x14ac:dyDescent="0.3">
      <c r="A64" s="63"/>
      <c r="B64" s="66" t="s">
        <v>63</v>
      </c>
      <c r="C64" s="64"/>
      <c r="D64" s="64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H64" s="65"/>
      <c r="AI64" s="65"/>
      <c r="AJ64" s="77">
        <f>SUM(AJ59:AJ63)</f>
        <v>139</v>
      </c>
      <c r="AK64" s="69">
        <f t="shared" ref="AK64:AM64" si="14">SUM(AK59:AK63)</f>
        <v>81</v>
      </c>
      <c r="AL64" s="69">
        <f t="shared" si="14"/>
        <v>46</v>
      </c>
      <c r="AM64" s="75">
        <f t="shared" si="14"/>
        <v>12</v>
      </c>
    </row>
    <row r="65" spans="1:36" s="33" customFormat="1" x14ac:dyDescent="0.25">
      <c r="A65" s="165"/>
      <c r="B65" s="49"/>
      <c r="C65" s="50"/>
      <c r="D65" s="50"/>
      <c r="Y65" s="51" t="s">
        <v>68</v>
      </c>
      <c r="AJ65" s="76">
        <f>AJ64</f>
        <v>139</v>
      </c>
    </row>
    <row r="67" spans="1:36" x14ac:dyDescent="0.25">
      <c r="B67" s="3" t="s">
        <v>75</v>
      </c>
      <c r="E67" s="88"/>
      <c r="F67" s="88"/>
      <c r="G67" s="88"/>
      <c r="H67" s="88"/>
      <c r="I67" s="88"/>
      <c r="J67" s="88"/>
      <c r="K67" s="88"/>
      <c r="L67" s="88"/>
      <c r="S67" s="3" t="s">
        <v>76</v>
      </c>
    </row>
  </sheetData>
  <autoFilter ref="E2:AM55"/>
  <mergeCells count="2">
    <mergeCell ref="A1:AM1"/>
    <mergeCell ref="A57:AM57"/>
  </mergeCells>
  <conditionalFormatting sqref="AJ22:AM22 AJ30:AM30 AJ34:AM34 AJ36:AM36 AJ40:AM40 AJ48:AM48 AJ50:AM50 AJ54:AM54 AJ64:AM64 E49:AJ49 E31:AJ33 E35:AJ35 E59:AJ63 E4:AJ21 E23:AJ29 E37:AJ39 E41:AJ47 E51:AJ53">
    <cfRule type="containsBlanks" dxfId="0" priority="1">
      <formula>LEN(TRIM(E4))=0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J50:AM50 AJ48:AN48 AJ40:AM40 AJ36:AM36 AJ34:AM34 AJ30:AM30 AJ22:AM22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5</vt:i4>
      </vt:variant>
    </vt:vector>
  </HeadingPairs>
  <TitlesOfParts>
    <vt:vector size="11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  <vt:lpstr>АХД</vt:lpstr>
      <vt:lpstr>'Апрель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2019-05-10T07:52:58Z</cp:lastPrinted>
  <dcterms:created xsi:type="dcterms:W3CDTF">2018-09-27T18:15:43Z</dcterms:created>
  <dcterms:modified xsi:type="dcterms:W3CDTF">2019-05-27T11:41:17Z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