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4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Май 2019" sheetId="10" r:id="rId5"/>
    <sheet name="Данные" sheetId="5" state="hidden" r:id="rId6"/>
  </sheets>
  <functionGroups builtInGroupCount="18"/>
  <definedNames>
    <definedName name="_xlnm._FilterDatabase" localSheetId="3" hidden="1">'Апрель 2019'!$E$2:$AL$57</definedName>
    <definedName name="_xlnm._FilterDatabase" localSheetId="4" hidden="1">'Май 2019'!$E$2:$AM$57</definedName>
    <definedName name="_xlnm._FilterDatabase" localSheetId="2" hidden="1">'Март 2019'!$E$2:$AM$61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3">'Апрель 2019'!$3:$3</definedName>
    <definedName name="_xlnm.Print_Titles" localSheetId="4">'Май 2019'!$3:$3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64" i="10" l="1"/>
  <c r="AL64" i="10"/>
  <c r="AK64" i="10"/>
  <c r="AJ64" i="10"/>
  <c r="AM63" i="10"/>
  <c r="AL63" i="10"/>
  <c r="AK63" i="10"/>
  <c r="AJ63" i="10"/>
  <c r="AM62" i="10"/>
  <c r="AL62" i="10"/>
  <c r="AK62" i="10"/>
  <c r="AJ62" i="10"/>
  <c r="A62" i="10"/>
  <c r="A63" i="10" s="1"/>
  <c r="A64" i="10" s="1"/>
  <c r="AM61" i="10"/>
  <c r="AL61" i="10"/>
  <c r="AK61" i="10"/>
  <c r="AJ61" i="10"/>
  <c r="A59" i="10"/>
  <c r="AM55" i="10"/>
  <c r="AL55" i="10"/>
  <c r="AK55" i="10"/>
  <c r="AJ55" i="10"/>
  <c r="AM54" i="10"/>
  <c r="AL54" i="10"/>
  <c r="AK54" i="10"/>
  <c r="AJ54" i="10"/>
  <c r="AM53" i="10"/>
  <c r="AM56" i="10" s="1"/>
  <c r="AL53" i="10"/>
  <c r="AK53" i="10"/>
  <c r="AK56" i="10" s="1"/>
  <c r="AJ53" i="10"/>
  <c r="AJ56" i="10" s="1"/>
  <c r="AM51" i="10"/>
  <c r="AM52" i="10" s="1"/>
  <c r="AL51" i="10"/>
  <c r="AL52" i="10" s="1"/>
  <c r="AK51" i="10"/>
  <c r="AK52" i="10" s="1"/>
  <c r="AJ51" i="10"/>
  <c r="AJ52" i="10" s="1"/>
  <c r="AM49" i="10"/>
  <c r="AL49" i="10"/>
  <c r="AK49" i="10"/>
  <c r="AJ49" i="10"/>
  <c r="AM48" i="10"/>
  <c r="AL48" i="10"/>
  <c r="AK48" i="10"/>
  <c r="AJ48" i="10"/>
  <c r="AM47" i="10"/>
  <c r="AL47" i="10"/>
  <c r="AK47" i="10"/>
  <c r="AJ47" i="10"/>
  <c r="AM46" i="10"/>
  <c r="AL46" i="10"/>
  <c r="AK46" i="10"/>
  <c r="AJ46" i="10"/>
  <c r="AM45" i="10"/>
  <c r="AL45" i="10"/>
  <c r="AK45" i="10"/>
  <c r="AJ45" i="10"/>
  <c r="AM44" i="10"/>
  <c r="AL44" i="10"/>
  <c r="AK44" i="10"/>
  <c r="AJ44" i="10"/>
  <c r="AM43" i="10"/>
  <c r="AM50" i="10" s="1"/>
  <c r="AL43" i="10"/>
  <c r="AK43" i="10"/>
  <c r="AK50" i="10" s="1"/>
  <c r="AJ43" i="10"/>
  <c r="AM41" i="10"/>
  <c r="AL41" i="10"/>
  <c r="AK41" i="10"/>
  <c r="AJ41" i="10"/>
  <c r="AM40" i="10"/>
  <c r="AL40" i="10"/>
  <c r="AK40" i="10"/>
  <c r="AJ40" i="10"/>
  <c r="AM39" i="10"/>
  <c r="AM42" i="10" s="1"/>
  <c r="AL39" i="10"/>
  <c r="AL42" i="10" s="1"/>
  <c r="AK39" i="10"/>
  <c r="AK42" i="10" s="1"/>
  <c r="AJ39" i="10"/>
  <c r="AM37" i="10"/>
  <c r="AM38" i="10" s="1"/>
  <c r="AL37" i="10"/>
  <c r="AL38" i="10" s="1"/>
  <c r="AK37" i="10"/>
  <c r="AK38" i="10" s="1"/>
  <c r="AJ37" i="10"/>
  <c r="AJ38" i="10" s="1"/>
  <c r="AM35" i="10"/>
  <c r="AL35" i="10"/>
  <c r="AK35" i="10"/>
  <c r="AJ35" i="10"/>
  <c r="AM34" i="10"/>
  <c r="AL34" i="10"/>
  <c r="AK34" i="10"/>
  <c r="AJ34" i="10"/>
  <c r="AM33" i="10"/>
  <c r="AM36" i="10" s="1"/>
  <c r="AL33" i="10"/>
  <c r="AK33" i="10"/>
  <c r="AK36" i="10" s="1"/>
  <c r="AJ33" i="10"/>
  <c r="AJ36" i="10" s="1"/>
  <c r="AM31" i="10"/>
  <c r="AL31" i="10"/>
  <c r="AK31" i="10"/>
  <c r="AJ31" i="10"/>
  <c r="AM30" i="10"/>
  <c r="AL30" i="10"/>
  <c r="AK30" i="10"/>
  <c r="AJ30" i="10"/>
  <c r="AM29" i="10"/>
  <c r="AL29" i="10"/>
  <c r="AK29" i="10"/>
  <c r="AJ29" i="10"/>
  <c r="AM28" i="10"/>
  <c r="AL28" i="10"/>
  <c r="AK28" i="10"/>
  <c r="AJ28" i="10"/>
  <c r="AM27" i="10"/>
  <c r="AL27" i="10"/>
  <c r="AK27" i="10"/>
  <c r="AJ27" i="10"/>
  <c r="AM26" i="10"/>
  <c r="AL26" i="10"/>
  <c r="AK26" i="10"/>
  <c r="AJ26" i="10"/>
  <c r="AM25" i="10"/>
  <c r="AL25" i="10"/>
  <c r="AK25" i="10"/>
  <c r="AK32" i="10" s="1"/>
  <c r="AJ25" i="10"/>
  <c r="AM23" i="10"/>
  <c r="AL23" i="10"/>
  <c r="AK23" i="10"/>
  <c r="AJ23" i="10"/>
  <c r="AM22" i="10"/>
  <c r="AL22" i="10"/>
  <c r="AK22" i="10"/>
  <c r="AJ22" i="10"/>
  <c r="AM21" i="10"/>
  <c r="AL21" i="10"/>
  <c r="AK21" i="10"/>
  <c r="AJ21" i="10"/>
  <c r="AM20" i="10"/>
  <c r="AL20" i="10"/>
  <c r="AK20" i="10"/>
  <c r="AJ20" i="10"/>
  <c r="AM19" i="10"/>
  <c r="AL19" i="10"/>
  <c r="AK19" i="10"/>
  <c r="AJ19" i="10"/>
  <c r="AM18" i="10"/>
  <c r="AL18" i="10"/>
  <c r="AK18" i="10"/>
  <c r="AJ18" i="10"/>
  <c r="AM17" i="10"/>
  <c r="AL17" i="10"/>
  <c r="AK17" i="10"/>
  <c r="AJ17" i="10"/>
  <c r="AM16" i="10"/>
  <c r="AL16" i="10"/>
  <c r="AK16" i="10"/>
  <c r="AJ16" i="10"/>
  <c r="AM15" i="10"/>
  <c r="AL15" i="10"/>
  <c r="AK15" i="10"/>
  <c r="AJ15" i="10"/>
  <c r="AM14" i="10"/>
  <c r="AL14" i="10"/>
  <c r="AK14" i="10"/>
  <c r="AJ14" i="10"/>
  <c r="AM13" i="10"/>
  <c r="AL13" i="10"/>
  <c r="AK13" i="10"/>
  <c r="AJ13" i="10"/>
  <c r="AM12" i="10"/>
  <c r="AL12" i="10"/>
  <c r="AK12" i="10"/>
  <c r="AJ12" i="10"/>
  <c r="AM11" i="10"/>
  <c r="AL11" i="10"/>
  <c r="AK11" i="10"/>
  <c r="AJ11" i="10"/>
  <c r="AM10" i="10"/>
  <c r="AL10" i="10"/>
  <c r="AK10" i="10"/>
  <c r="AJ10" i="10"/>
  <c r="AM9" i="10"/>
  <c r="AL9" i="10"/>
  <c r="AK9" i="10"/>
  <c r="AJ9" i="10"/>
  <c r="AM8" i="10"/>
  <c r="AL8" i="10"/>
  <c r="AK8" i="10"/>
  <c r="AJ8" i="10"/>
  <c r="AM7" i="10"/>
  <c r="AL7" i="10"/>
  <c r="AK7" i="10"/>
  <c r="AJ7" i="10"/>
  <c r="AM6" i="10"/>
  <c r="AM24" i="10" s="1"/>
  <c r="AL6" i="10"/>
  <c r="AK6" i="10"/>
  <c r="AK24" i="10" s="1"/>
  <c r="AJ6" i="10"/>
  <c r="A6" i="10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5" i="10" s="1"/>
  <c r="A26" i="10" s="1"/>
  <c r="A27" i="10" s="1"/>
  <c r="A28" i="10" s="1"/>
  <c r="A29" i="10" s="1"/>
  <c r="A30" i="10" s="1"/>
  <c r="A31" i="10" s="1"/>
  <c r="A33" i="10" s="1"/>
  <c r="A34" i="10" s="1"/>
  <c r="A35" i="10" s="1"/>
  <c r="A37" i="10" s="1"/>
  <c r="A39" i="10" s="1"/>
  <c r="A40" i="10" s="1"/>
  <c r="A41" i="10" s="1"/>
  <c r="A43" i="10" s="1"/>
  <c r="A44" i="10" s="1"/>
  <c r="A45" i="10" s="1"/>
  <c r="A46" i="10" s="1"/>
  <c r="A47" i="10" s="1"/>
  <c r="A48" i="10" s="1"/>
  <c r="A49" i="10" s="1"/>
  <c r="A51" i="10" s="1"/>
  <c r="A53" i="10" s="1"/>
  <c r="A54" i="10" s="1"/>
  <c r="A55" i="10" s="1"/>
  <c r="AM4" i="10"/>
  <c r="AM5" i="10" s="1"/>
  <c r="AL4" i="10"/>
  <c r="AL5" i="10" s="1"/>
  <c r="AK4" i="10"/>
  <c r="AK5" i="10" s="1"/>
  <c r="AJ4" i="10"/>
  <c r="AJ5" i="10" s="1"/>
  <c r="A1" i="10"/>
  <c r="AJ42" i="10" l="1"/>
  <c r="AL56" i="10"/>
  <c r="AL32" i="10"/>
  <c r="AL50" i="10"/>
  <c r="AM32" i="10"/>
  <c r="AJ50" i="10"/>
  <c r="AJ32" i="10"/>
  <c r="AJ65" i="10"/>
  <c r="AJ66" i="10" s="1"/>
  <c r="AL65" i="10"/>
  <c r="AL36" i="10"/>
  <c r="AK65" i="10"/>
  <c r="AM65" i="10"/>
  <c r="AJ24" i="10"/>
  <c r="AL24" i="10"/>
  <c r="A41" i="8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57" i="10" l="1"/>
  <c r="AL42" i="9"/>
  <c r="AI36" i="9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5" i="9"/>
  <c r="AI66" i="9" s="1"/>
  <c r="AK65" i="9"/>
  <c r="AJ65" i="9"/>
  <c r="AL65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<sst xmlns="http://schemas.openxmlformats.org/spreadsheetml/2006/main" count="2994" uniqueCount="80">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</sst>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67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6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6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166"/>
      <c r="AC1" s="166"/>
      <c r="AD1" s="166"/>
      <c r="AE1" s="166"/>
      <c r="AF1" s="166"/>
      <c r="AG1" s="166"/>
      <c r="AH1" s="166"/>
      <c r="AI1" s="166"/>
      <c r="AJ1" s="166"/>
      <c r="AK1" s="166"/>
      <c r="AL1" s="166"/>
      <c r="AM1" s="166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6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Май 2019 автоколонны № 2 г. Смолевичи</v>
      </c>
      <c r="B63" s="166"/>
      <c r="C63" s="166"/>
      <c r="D63" s="166"/>
      <c r="E63" s="166"/>
      <c r="F63" s="166"/>
      <c r="G63" s="166"/>
      <c r="H63" s="166"/>
      <c r="I63" s="166"/>
      <c r="J63" s="166"/>
      <c r="K63" s="166"/>
      <c r="L63" s="166"/>
      <c r="M63" s="166"/>
      <c r="N63" s="166"/>
      <c r="O63" s="166"/>
      <c r="P63" s="166"/>
      <c r="Q63" s="166"/>
      <c r="R63" s="166"/>
      <c r="S63" s="166"/>
      <c r="T63" s="166"/>
      <c r="U63" s="166"/>
      <c r="V63" s="166"/>
      <c r="W63" s="166"/>
      <c r="X63" s="166"/>
      <c r="Y63" s="166"/>
      <c r="Z63" s="166"/>
      <c r="AA63" s="166"/>
      <c r="AB63" s="166"/>
      <c r="AC63" s="166"/>
      <c r="AD63" s="166"/>
      <c r="AE63" s="166"/>
      <c r="AF63" s="166"/>
      <c r="AG63" s="166"/>
      <c r="AH63" s="166"/>
      <c r="AI63" s="166"/>
      <c r="AJ63" s="166"/>
      <c r="AK63" s="166"/>
      <c r="AL63" s="166"/>
      <c r="AM63" s="166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5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66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166"/>
      <c r="AC1" s="166"/>
      <c r="AD1" s="166"/>
      <c r="AE1" s="166"/>
      <c r="AF1" s="166"/>
      <c r="AG1" s="166"/>
      <c r="AH1" s="166"/>
      <c r="AI1" s="166"/>
      <c r="AJ1" s="166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66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Май 2019 автоколонны № 2 г. Смолевичи</v>
      </c>
      <c r="B63" s="166"/>
      <c r="C63" s="166"/>
      <c r="D63" s="166"/>
      <c r="E63" s="166"/>
      <c r="F63" s="166"/>
      <c r="G63" s="166"/>
      <c r="H63" s="166"/>
      <c r="I63" s="166"/>
      <c r="J63" s="166"/>
      <c r="K63" s="166"/>
      <c r="L63" s="166"/>
      <c r="M63" s="166"/>
      <c r="N63" s="166"/>
      <c r="O63" s="166"/>
      <c r="P63" s="166"/>
      <c r="Q63" s="166"/>
      <c r="R63" s="166"/>
      <c r="S63" s="166"/>
      <c r="T63" s="166"/>
      <c r="U63" s="166"/>
      <c r="V63" s="166"/>
      <c r="W63" s="166"/>
      <c r="X63" s="166"/>
      <c r="Y63" s="166"/>
      <c r="Z63" s="166"/>
      <c r="AA63" s="166"/>
      <c r="AB63" s="166"/>
      <c r="AC63" s="166"/>
      <c r="AD63" s="166"/>
      <c r="AE63" s="166"/>
      <c r="AF63" s="166"/>
      <c r="AG63" s="166"/>
      <c r="AH63" s="166"/>
      <c r="AI63" s="166"/>
      <c r="AJ63" s="166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4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6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166"/>
      <c r="AC1" s="166"/>
      <c r="AD1" s="166"/>
      <c r="AE1" s="166"/>
      <c r="AF1" s="166"/>
      <c r="AG1" s="166"/>
      <c r="AH1" s="166"/>
      <c r="AI1" s="166"/>
      <c r="AJ1" s="166"/>
      <c r="AK1" s="166"/>
      <c r="AL1" s="166"/>
      <c r="AM1" s="166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6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Май 2019 автоколонны № 2 г. Смолевичи</v>
      </c>
      <c r="B63" s="166"/>
      <c r="C63" s="166"/>
      <c r="D63" s="166"/>
      <c r="E63" s="166"/>
      <c r="F63" s="166"/>
      <c r="G63" s="166"/>
      <c r="H63" s="166"/>
      <c r="I63" s="166"/>
      <c r="J63" s="166"/>
      <c r="K63" s="166"/>
      <c r="L63" s="166"/>
      <c r="M63" s="166"/>
      <c r="N63" s="166"/>
      <c r="O63" s="166"/>
      <c r="P63" s="166"/>
      <c r="Q63" s="166"/>
      <c r="R63" s="166"/>
      <c r="S63" s="166"/>
      <c r="T63" s="166"/>
      <c r="U63" s="166"/>
      <c r="V63" s="166"/>
      <c r="W63" s="166"/>
      <c r="X63" s="166"/>
      <c r="Y63" s="166"/>
      <c r="Z63" s="166"/>
      <c r="AA63" s="166"/>
      <c r="AB63" s="166"/>
      <c r="AC63" s="166"/>
      <c r="AD63" s="166"/>
      <c r="AE63" s="166"/>
      <c r="AF63" s="166"/>
      <c r="AG63" s="166"/>
      <c r="AH63" s="166"/>
      <c r="AI63" s="166"/>
      <c r="AJ63" s="166"/>
      <c r="AK63" s="166"/>
      <c r="AL63" s="166"/>
      <c r="AM63" s="166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3" priority="2">
      <formula>LEN(TRIM(E4))=0</formula>
    </cfRule>
  </conditionalFormatting>
  <conditionalFormatting sqref="AJ38:AM38">
    <cfRule type="containsBlanks" dxfId="2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8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H58" sqref="AH58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66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166"/>
      <c r="AC1" s="166"/>
      <c r="AD1" s="166"/>
      <c r="AE1" s="166"/>
      <c r="AF1" s="166"/>
      <c r="AG1" s="166"/>
      <c r="AH1" s="166"/>
      <c r="AI1" s="166"/>
      <c r="AJ1" s="166"/>
      <c r="AK1" s="166"/>
      <c r="AL1" s="166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 t="s">
        <v>58</v>
      </c>
      <c r="N4" s="42">
        <v>1</v>
      </c>
      <c r="O4" s="42">
        <v>1</v>
      </c>
      <c r="P4" s="42">
        <v>1</v>
      </c>
      <c r="Q4" s="42" t="s">
        <v>57</v>
      </c>
      <c r="R4" s="42" t="s">
        <v>57</v>
      </c>
      <c r="S4" s="42">
        <v>1</v>
      </c>
      <c r="T4" s="42">
        <v>1</v>
      </c>
      <c r="U4" s="42">
        <v>1</v>
      </c>
      <c r="V4" s="42">
        <v>1</v>
      </c>
      <c r="W4" s="42">
        <v>1</v>
      </c>
      <c r="X4" s="42" t="s">
        <v>57</v>
      </c>
      <c r="Y4" s="42" t="s">
        <v>57</v>
      </c>
      <c r="Z4" s="42">
        <v>1</v>
      </c>
      <c r="AA4" s="42" t="s">
        <v>58</v>
      </c>
      <c r="AB4" s="42">
        <v>1</v>
      </c>
      <c r="AC4" s="42" t="s">
        <v>58</v>
      </c>
      <c r="AD4" s="42" t="s">
        <v>58</v>
      </c>
      <c r="AE4" s="42" t="s">
        <v>57</v>
      </c>
      <c r="AF4" s="42" t="s">
        <v>57</v>
      </c>
      <c r="AG4" s="42">
        <v>1</v>
      </c>
      <c r="AH4" s="42">
        <v>1</v>
      </c>
      <c r="AI4" s="156">
        <f>COUNTA(E4:AH4)</f>
        <v>30</v>
      </c>
      <c r="AJ4" s="56">
        <f>COUNTIF(E4:AH4,1)</f>
        <v>12</v>
      </c>
      <c r="AK4" s="56">
        <f>COUNTIF(E4:AH4,"тр")</f>
        <v>12</v>
      </c>
      <c r="AL4" s="57">
        <f>COUNTIF(E4:AH4,"бв")</f>
        <v>6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30</v>
      </c>
      <c r="AJ5" s="70">
        <f>SUM(AJ4:AJ4)</f>
        <v>12</v>
      </c>
      <c r="AK5" s="70">
        <f>SUM(AK4:AK4)</f>
        <v>12</v>
      </c>
      <c r="AL5" s="71">
        <f>SUM(AL4:AL4)</f>
        <v>6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 t="s">
        <v>57</v>
      </c>
      <c r="AD6" s="5">
        <v>1</v>
      </c>
      <c r="AE6" s="5" t="s">
        <v>57</v>
      </c>
      <c r="AF6" s="5">
        <v>1</v>
      </c>
      <c r="AG6" s="5">
        <v>1</v>
      </c>
      <c r="AH6" s="5">
        <v>1</v>
      </c>
      <c r="AI6" s="155">
        <f t="shared" ref="AI6:AI23" si="0">COUNTA(E6:AH6)</f>
        <v>30</v>
      </c>
      <c r="AJ6" s="17">
        <f t="shared" ref="AJ6:AJ23" si="1">COUNTIF(E6:AH6,1)</f>
        <v>22</v>
      </c>
      <c r="AK6" s="17">
        <f t="shared" ref="AK6:AK23" si="2">COUNTIF(E6:AH6,"тр")</f>
        <v>1</v>
      </c>
      <c r="AL6" s="18">
        <f t="shared" ref="AL6:AL23" si="3">COUNTIF(E6:AH6,"бв")</f>
        <v>7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153">
        <f t="shared" si="0"/>
        <v>30</v>
      </c>
      <c r="AJ7" s="54">
        <f t="shared" si="1"/>
        <v>26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>
        <v>1</v>
      </c>
      <c r="AI8" s="153">
        <f t="shared" si="0"/>
        <v>30</v>
      </c>
      <c r="AJ8" s="54">
        <f t="shared" si="1"/>
        <v>22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153">
        <f t="shared" si="0"/>
        <v>30</v>
      </c>
      <c r="AJ9" s="54">
        <f t="shared" si="1"/>
        <v>19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>
        <v>1</v>
      </c>
      <c r="AD10" s="5">
        <v>1</v>
      </c>
      <c r="AE10" s="5" t="s">
        <v>57</v>
      </c>
      <c r="AF10" s="5" t="s">
        <v>57</v>
      </c>
      <c r="AG10" s="5">
        <v>1</v>
      </c>
      <c r="AH10" s="5" t="s">
        <v>57</v>
      </c>
      <c r="AI10" s="153">
        <f t="shared" si="0"/>
        <v>30</v>
      </c>
      <c r="AJ10" s="54">
        <f t="shared" si="1"/>
        <v>21</v>
      </c>
      <c r="AK10" s="54">
        <f t="shared" si="2"/>
        <v>3</v>
      </c>
      <c r="AL10" s="55">
        <f t="shared" si="3"/>
        <v>6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>
        <v>1</v>
      </c>
      <c r="AD11" s="5" t="s">
        <v>58</v>
      </c>
      <c r="AE11" s="5" t="s">
        <v>57</v>
      </c>
      <c r="AF11" s="5" t="s">
        <v>58</v>
      </c>
      <c r="AG11" s="5" t="s">
        <v>58</v>
      </c>
      <c r="AH11" s="5" t="s">
        <v>58</v>
      </c>
      <c r="AI11" s="153">
        <f t="shared" si="0"/>
        <v>30</v>
      </c>
      <c r="AJ11" s="54">
        <f t="shared" si="1"/>
        <v>20</v>
      </c>
      <c r="AK11" s="54">
        <f t="shared" si="2"/>
        <v>7</v>
      </c>
      <c r="AL11" s="55">
        <f t="shared" si="3"/>
        <v>3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153">
        <f t="shared" si="0"/>
        <v>30</v>
      </c>
      <c r="AJ12" s="54">
        <f t="shared" si="1"/>
        <v>25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 t="s">
        <v>58</v>
      </c>
      <c r="AH13" s="5">
        <v>1</v>
      </c>
      <c r="AI13" s="153">
        <f t="shared" si="0"/>
        <v>30</v>
      </c>
      <c r="AJ13" s="54">
        <f t="shared" si="1"/>
        <v>29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153">
        <f t="shared" si="0"/>
        <v>30</v>
      </c>
      <c r="AJ14" s="54">
        <f t="shared" si="1"/>
        <v>26</v>
      </c>
      <c r="AK14" s="54">
        <f t="shared" si="2"/>
        <v>4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153">
        <f t="shared" si="0"/>
        <v>30</v>
      </c>
      <c r="AJ15" s="54">
        <f t="shared" si="1"/>
        <v>29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153">
        <f t="shared" si="0"/>
        <v>30</v>
      </c>
      <c r="AJ16" s="54">
        <f t="shared" si="1"/>
        <v>24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 t="s">
        <v>57</v>
      </c>
      <c r="AF17" s="5" t="s">
        <v>57</v>
      </c>
      <c r="AG17" s="5">
        <v>1</v>
      </c>
      <c r="AH17" s="5">
        <v>1</v>
      </c>
      <c r="AI17" s="153">
        <f t="shared" si="0"/>
        <v>30</v>
      </c>
      <c r="AJ17" s="54">
        <f t="shared" si="1"/>
        <v>24</v>
      </c>
      <c r="AK17" s="54">
        <f t="shared" si="2"/>
        <v>0</v>
      </c>
      <c r="AL17" s="55">
        <f t="shared" si="3"/>
        <v>6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153">
        <f t="shared" si="0"/>
        <v>30</v>
      </c>
      <c r="AJ18" s="54">
        <f t="shared" si="1"/>
        <v>30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153">
        <f t="shared" si="0"/>
        <v>30</v>
      </c>
      <c r="AJ19" s="54">
        <f t="shared" si="1"/>
        <v>30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153">
        <f t="shared" si="0"/>
        <v>30</v>
      </c>
      <c r="AJ20" s="54">
        <f t="shared" si="1"/>
        <v>24</v>
      </c>
      <c r="AK20" s="54">
        <f t="shared" si="2"/>
        <v>0</v>
      </c>
      <c r="AL20" s="55">
        <f t="shared" si="3"/>
        <v>6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 t="s">
        <v>57</v>
      </c>
      <c r="AG22" s="5">
        <v>1</v>
      </c>
      <c r="AH22" s="5">
        <v>1</v>
      </c>
      <c r="AI22" s="153">
        <f t="shared" si="0"/>
        <v>30</v>
      </c>
      <c r="AJ22" s="54">
        <f t="shared" si="1"/>
        <v>29</v>
      </c>
      <c r="AK22" s="54">
        <f t="shared" si="2"/>
        <v>0</v>
      </c>
      <c r="AL22" s="55">
        <f t="shared" si="3"/>
        <v>1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 t="s">
        <v>57</v>
      </c>
      <c r="AD23" s="97" t="s">
        <v>57</v>
      </c>
      <c r="AE23" s="97">
        <v>1</v>
      </c>
      <c r="AF23" s="97">
        <v>1</v>
      </c>
      <c r="AG23" s="97">
        <v>1</v>
      </c>
      <c r="AH23" s="97">
        <v>1</v>
      </c>
      <c r="AI23" s="154">
        <f t="shared" si="0"/>
        <v>30</v>
      </c>
      <c r="AJ23" s="84">
        <f t="shared" si="1"/>
        <v>22</v>
      </c>
      <c r="AK23" s="84">
        <f t="shared" si="2"/>
        <v>3</v>
      </c>
      <c r="AL23" s="85">
        <f t="shared" si="3"/>
        <v>5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540</v>
      </c>
      <c r="AJ24" s="141">
        <f>SUM(AJ6:AJ23)</f>
        <v>422</v>
      </c>
      <c r="AK24" s="141">
        <f>SUM(AK6:AK23)</f>
        <v>75</v>
      </c>
      <c r="AL24" s="142">
        <f>SUM(AL6:AL23)</f>
        <v>43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 t="s">
        <v>58</v>
      </c>
      <c r="AD25" s="35" t="s">
        <v>58</v>
      </c>
      <c r="AE25" s="35" t="s">
        <v>58</v>
      </c>
      <c r="AF25" s="35" t="s">
        <v>58</v>
      </c>
      <c r="AG25" s="35" t="s">
        <v>58</v>
      </c>
      <c r="AH25" s="35" t="s">
        <v>58</v>
      </c>
      <c r="AI25" s="152">
        <f t="shared" ref="AI25:AI31" si="5">COUNTA(E25:AH25)</f>
        <v>30</v>
      </c>
      <c r="AJ25" s="80">
        <f t="shared" ref="AJ25:AJ31" si="6">COUNTIF(E25:AH25,1)</f>
        <v>13</v>
      </c>
      <c r="AK25" s="80">
        <f t="shared" ref="AK25:AK31" si="7">COUNTIF(E25:AH25,"тр")</f>
        <v>13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153">
        <f t="shared" si="5"/>
        <v>30</v>
      </c>
      <c r="AJ26" s="54">
        <f t="shared" si="6"/>
        <v>22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 t="s">
        <v>57</v>
      </c>
      <c r="AG27" s="5">
        <v>1</v>
      </c>
      <c r="AH27" s="5">
        <v>1</v>
      </c>
      <c r="AI27" s="153">
        <f t="shared" si="5"/>
        <v>30</v>
      </c>
      <c r="AJ27" s="54">
        <f t="shared" si="6"/>
        <v>23</v>
      </c>
      <c r="AK27" s="54">
        <f t="shared" si="7"/>
        <v>0</v>
      </c>
      <c r="AL27" s="55">
        <f t="shared" si="8"/>
        <v>7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 t="s">
        <v>57</v>
      </c>
      <c r="AG29" s="5" t="s">
        <v>57</v>
      </c>
      <c r="AH29" s="5">
        <v>1</v>
      </c>
      <c r="AI29" s="153">
        <f t="shared" si="5"/>
        <v>30</v>
      </c>
      <c r="AJ29" s="54">
        <f t="shared" si="6"/>
        <v>21</v>
      </c>
      <c r="AK29" s="54">
        <f t="shared" si="7"/>
        <v>2</v>
      </c>
      <c r="AL29" s="55">
        <f t="shared" si="8"/>
        <v>7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12</v>
      </c>
      <c r="AK30" s="54">
        <f t="shared" si="7"/>
        <v>17</v>
      </c>
      <c r="AL30" s="55">
        <f t="shared" si="8"/>
        <v>1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 t="s">
        <v>57</v>
      </c>
      <c r="AD31" s="42" t="s">
        <v>57</v>
      </c>
      <c r="AE31" s="42" t="s">
        <v>57</v>
      </c>
      <c r="AF31" s="42" t="s">
        <v>57</v>
      </c>
      <c r="AG31" s="42" t="s">
        <v>57</v>
      </c>
      <c r="AH31" s="42" t="s">
        <v>57</v>
      </c>
      <c r="AI31" s="154">
        <f t="shared" si="5"/>
        <v>30</v>
      </c>
      <c r="AJ31" s="84">
        <f t="shared" si="6"/>
        <v>18</v>
      </c>
      <c r="AK31" s="84">
        <f t="shared" si="7"/>
        <v>2</v>
      </c>
      <c r="AL31" s="85">
        <f t="shared" si="8"/>
        <v>10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210</v>
      </c>
      <c r="AJ32" s="135">
        <f>SUM(AJ25:AJ31)</f>
        <v>109</v>
      </c>
      <c r="AK32" s="135">
        <f>SUM(AK25:AK31)</f>
        <v>64</v>
      </c>
      <c r="AL32" s="136">
        <f>SUM(AL25:AL31)</f>
        <v>37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>
        <v>1</v>
      </c>
      <c r="AD33" s="35">
        <v>1</v>
      </c>
      <c r="AE33" s="35">
        <v>1</v>
      </c>
      <c r="AF33" s="35">
        <v>1</v>
      </c>
      <c r="AG33" s="35">
        <v>1</v>
      </c>
      <c r="AH33" s="35">
        <v>1</v>
      </c>
      <c r="AI33" s="155">
        <f>COUNTA(E33:AH33)</f>
        <v>30</v>
      </c>
      <c r="AJ33" s="17">
        <f>COUNTIF(E33:AH33,1)</f>
        <v>30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 t="s">
        <v>57</v>
      </c>
      <c r="AF34" s="5" t="s">
        <v>57</v>
      </c>
      <c r="AG34" s="5">
        <v>1</v>
      </c>
      <c r="AH34" s="5">
        <v>1</v>
      </c>
      <c r="AI34" s="155">
        <f>COUNTA(E34:AH34)</f>
        <v>30</v>
      </c>
      <c r="AJ34" s="54">
        <f>COUNTIF(E34:AH34,1)</f>
        <v>20</v>
      </c>
      <c r="AK34" s="54">
        <f>COUNTIF(E34:AH34,"тр")</f>
        <v>0</v>
      </c>
      <c r="AL34" s="55">
        <f>COUNTIF(E34:AH34,"бв")</f>
        <v>10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90</v>
      </c>
      <c r="AJ36" s="69">
        <f>SUM(AJ33:AJ35)</f>
        <v>50</v>
      </c>
      <c r="AK36" s="69">
        <f>SUM(AK33:AK35)</f>
        <v>30</v>
      </c>
      <c r="AL36" s="75">
        <f>SUM(AL33:AL35)</f>
        <v>10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>
        <v>1</v>
      </c>
      <c r="AD39" s="35">
        <v>1</v>
      </c>
      <c r="AE39" s="35">
        <v>1</v>
      </c>
      <c r="AF39" s="35">
        <v>1</v>
      </c>
      <c r="AG39" s="35" t="s">
        <v>57</v>
      </c>
      <c r="AH39" s="35">
        <v>1</v>
      </c>
      <c r="AI39" s="155">
        <f>COUNTA(E39:AH39)</f>
        <v>30</v>
      </c>
      <c r="AJ39" s="17">
        <f>COUNTIF(E39:AH39,1)</f>
        <v>23</v>
      </c>
      <c r="AK39" s="17">
        <f>COUNTIF(E39:AH39,"тр")</f>
        <v>1</v>
      </c>
      <c r="AL39" s="18">
        <f>COUNTIF(E39:AH39,"бв")</f>
        <v>6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 t="s">
        <v>58</v>
      </c>
      <c r="AD40" s="5" t="s">
        <v>58</v>
      </c>
      <c r="AE40" s="5" t="s">
        <v>58</v>
      </c>
      <c r="AF40" s="5" t="s">
        <v>58</v>
      </c>
      <c r="AG40" s="5" t="s">
        <v>58</v>
      </c>
      <c r="AH40" s="5" t="s">
        <v>58</v>
      </c>
      <c r="AI40" s="155">
        <f>COUNTA(E40:AH40)</f>
        <v>30</v>
      </c>
      <c r="AJ40" s="54">
        <f>COUNTIF(E40:AH40,1)</f>
        <v>16</v>
      </c>
      <c r="AK40" s="54">
        <f>COUNTIF(E40:AH40,"тр")</f>
        <v>9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 t="s">
        <v>57</v>
      </c>
      <c r="AD41" s="42">
        <v>1</v>
      </c>
      <c r="AE41" s="42">
        <v>1</v>
      </c>
      <c r="AF41" s="42">
        <v>1</v>
      </c>
      <c r="AG41" s="42">
        <v>1</v>
      </c>
      <c r="AH41" s="42" t="s">
        <v>57</v>
      </c>
      <c r="AI41" s="155">
        <f>COUNTA(E41:AH41)</f>
        <v>30</v>
      </c>
      <c r="AJ41" s="56">
        <f>COUNTIF(E41:AH41,1)</f>
        <v>16</v>
      </c>
      <c r="AK41" s="56">
        <f>COUNTIF(E41:AH41,"тр")</f>
        <v>6</v>
      </c>
      <c r="AL41" s="57">
        <f>COUNTIF(E41:AH41,"бв")</f>
        <v>8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90</v>
      </c>
      <c r="AJ42" s="69">
        <f>SUM(AJ39:AJ41)</f>
        <v>55</v>
      </c>
      <c r="AK42" s="69">
        <f>SUM(AK39:AK41)</f>
        <v>16</v>
      </c>
      <c r="AL42" s="75">
        <f>SUM(AL39:AL41)</f>
        <v>19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155">
        <f t="shared" ref="AI43:AI49" si="9">COUNTA(E43:AH43)</f>
        <v>30</v>
      </c>
      <c r="AJ43" s="17">
        <f t="shared" ref="AJ43:AJ49" si="10">COUNTIF(E43:AH43,1)</f>
        <v>30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155">
        <f t="shared" si="9"/>
        <v>30</v>
      </c>
      <c r="AJ44" s="54">
        <f t="shared" si="10"/>
        <v>27</v>
      </c>
      <c r="AK44" s="54">
        <f t="shared" si="11"/>
        <v>0</v>
      </c>
      <c r="AL44" s="55">
        <f t="shared" si="12"/>
        <v>3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29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57</v>
      </c>
      <c r="AH46" s="5">
        <v>1</v>
      </c>
      <c r="AI46" s="155">
        <f t="shared" si="9"/>
        <v>30</v>
      </c>
      <c r="AJ46" s="54">
        <f t="shared" si="10"/>
        <v>25</v>
      </c>
      <c r="AK46" s="54">
        <f t="shared" si="11"/>
        <v>0</v>
      </c>
      <c r="AL46" s="55">
        <f t="shared" si="12"/>
        <v>5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 t="s">
        <v>57</v>
      </c>
      <c r="AG47" s="5">
        <v>1</v>
      </c>
      <c r="AH47" s="5">
        <v>1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 t="s">
        <v>58</v>
      </c>
      <c r="AD48" s="5" t="s">
        <v>58</v>
      </c>
      <c r="AE48" s="5" t="s">
        <v>58</v>
      </c>
      <c r="AF48" s="5" t="s">
        <v>58</v>
      </c>
      <c r="AG48" s="5" t="s">
        <v>58</v>
      </c>
      <c r="AH48" s="5" t="s">
        <v>58</v>
      </c>
      <c r="AI48" s="155">
        <f t="shared" si="9"/>
        <v>30</v>
      </c>
      <c r="AJ48" s="54">
        <f t="shared" si="10"/>
        <v>19</v>
      </c>
      <c r="AK48" s="54">
        <f t="shared" si="11"/>
        <v>9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 t="s">
        <v>58</v>
      </c>
      <c r="AG49" s="42">
        <v>1</v>
      </c>
      <c r="AH49" s="42">
        <v>1</v>
      </c>
      <c r="AI49" s="155">
        <f t="shared" si="9"/>
        <v>30</v>
      </c>
      <c r="AJ49" s="56">
        <f t="shared" si="10"/>
        <v>21</v>
      </c>
      <c r="AK49" s="56">
        <f t="shared" si="11"/>
        <v>1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210</v>
      </c>
      <c r="AJ50" s="69">
        <f>SUM(AJ43:AJ49)</f>
        <v>174</v>
      </c>
      <c r="AK50" s="69">
        <f>SUM(AK43:AK49)</f>
        <v>12</v>
      </c>
      <c r="AL50" s="75">
        <f>SUM(AL43:AL49)</f>
        <v>24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>
        <v>1</v>
      </c>
      <c r="AD51" s="42" t="s">
        <v>57</v>
      </c>
      <c r="AE51" s="42">
        <v>1</v>
      </c>
      <c r="AF51" s="42">
        <v>1</v>
      </c>
      <c r="AG51" s="42">
        <v>1</v>
      </c>
      <c r="AH51" s="42">
        <v>1</v>
      </c>
      <c r="AI51" s="155">
        <f>COUNTA(E51:AH51)</f>
        <v>30</v>
      </c>
      <c r="AJ51" s="56">
        <f>COUNTIF(E51:AH51,1)</f>
        <v>8</v>
      </c>
      <c r="AK51" s="56">
        <f>COUNTIF(E51:AH51,"тр")</f>
        <v>1</v>
      </c>
      <c r="AL51" s="57">
        <f>COUNTIF(E51:AH51,"бв")</f>
        <v>21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30</v>
      </c>
      <c r="AJ52" s="69">
        <f>SUM(AJ51:AJ51)</f>
        <v>8</v>
      </c>
      <c r="AK52" s="69">
        <f>SUM(AK51:AK51)</f>
        <v>1</v>
      </c>
      <c r="AL52" s="75">
        <f>SUM(AL51:AL51)</f>
        <v>21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152">
        <f>COUNTA(E53:AH53)</f>
        <v>30</v>
      </c>
      <c r="AJ53" s="80">
        <f>COUNTIF(E53:AH53,1)</f>
        <v>29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155">
        <f>COUNTA(E54:AH54)</f>
        <v>30</v>
      </c>
      <c r="AJ54" s="56">
        <f>COUNTIF(E54:AH54,1)</f>
        <v>30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 t="s">
        <v>57</v>
      </c>
      <c r="AD55" s="97" t="s">
        <v>57</v>
      </c>
      <c r="AE55" s="97">
        <v>1</v>
      </c>
      <c r="AF55" s="97">
        <v>1</v>
      </c>
      <c r="AG55" s="97">
        <v>1</v>
      </c>
      <c r="AH55" s="97">
        <v>1</v>
      </c>
      <c r="AI55" s="157">
        <f>COUNTA(E55:AH55)</f>
        <v>30</v>
      </c>
      <c r="AJ55" s="84">
        <f>COUNTIF(E55:AH55,1)</f>
        <v>25</v>
      </c>
      <c r="AK55" s="84">
        <f>COUNTIF(E55:AH55,"тр")</f>
        <v>3</v>
      </c>
      <c r="AL55" s="85">
        <f>COUNTIF(E55:AH55,"бв")</f>
        <v>2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90</v>
      </c>
      <c r="AJ56" s="69">
        <f>SUM(AJ53:AJ55)</f>
        <v>84</v>
      </c>
      <c r="AK56" s="69">
        <f>SUM(AK53:AK55)</f>
        <v>4</v>
      </c>
      <c r="AL56" s="75">
        <f>SUM(AL53:AL55)</f>
        <v>2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1320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66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Май 2019 автоколонны № 2 г. Смолевичи</v>
      </c>
      <c r="B59" s="166"/>
      <c r="C59" s="166"/>
      <c r="D59" s="166"/>
      <c r="E59" s="166"/>
      <c r="F59" s="166"/>
      <c r="G59" s="166"/>
      <c r="H59" s="166"/>
      <c r="I59" s="166"/>
      <c r="J59" s="166"/>
      <c r="K59" s="166"/>
      <c r="L59" s="166"/>
      <c r="M59" s="166"/>
      <c r="N59" s="166"/>
      <c r="O59" s="166"/>
      <c r="P59" s="166"/>
      <c r="Q59" s="166"/>
      <c r="R59" s="166"/>
      <c r="S59" s="166"/>
      <c r="T59" s="166"/>
      <c r="U59" s="166"/>
      <c r="V59" s="166"/>
      <c r="W59" s="166"/>
      <c r="X59" s="166"/>
      <c r="Y59" s="166"/>
      <c r="Z59" s="166"/>
      <c r="AA59" s="166"/>
      <c r="AB59" s="166"/>
      <c r="AC59" s="166"/>
      <c r="AD59" s="166"/>
      <c r="AE59" s="166"/>
      <c r="AF59" s="166"/>
      <c r="AG59" s="166"/>
      <c r="AH59" s="166"/>
      <c r="AI59" s="166"/>
      <c r="AJ59" s="166"/>
      <c r="AK59" s="166"/>
      <c r="AL59" s="166"/>
    </row>
    <row r="60" spans="1:38" s="33" customFormat="1" ht="16.3" thickBot="1" x14ac:dyDescent="0.3">
      <c r="A60" s="131" t="s">
        <v>56</v>
      </c>
      <c r="B60" s="146" t="s">
        <v>46</v>
      </c>
      <c r="C60" s="146" t="s">
        <v>48</v>
      </c>
      <c r="D60" s="147" t="s">
        <v>47</v>
      </c>
      <c r="E60" s="151">
        <v>1</v>
      </c>
      <c r="F60" s="148">
        <v>2</v>
      </c>
      <c r="G60" s="148">
        <v>3</v>
      </c>
      <c r="H60" s="148">
        <v>4</v>
      </c>
      <c r="I60" s="148">
        <v>5</v>
      </c>
      <c r="J60" s="148">
        <v>6</v>
      </c>
      <c r="K60" s="148">
        <v>7</v>
      </c>
      <c r="L60" s="148">
        <v>8</v>
      </c>
      <c r="M60" s="148">
        <v>9</v>
      </c>
      <c r="N60" s="148">
        <v>10</v>
      </c>
      <c r="O60" s="148">
        <v>11</v>
      </c>
      <c r="P60" s="148">
        <v>12</v>
      </c>
      <c r="Q60" s="148">
        <v>13</v>
      </c>
      <c r="R60" s="148">
        <v>14</v>
      </c>
      <c r="S60" s="148">
        <v>15</v>
      </c>
      <c r="T60" s="148">
        <v>16</v>
      </c>
      <c r="U60" s="148">
        <v>17</v>
      </c>
      <c r="V60" s="148">
        <v>18</v>
      </c>
      <c r="W60" s="148">
        <v>19</v>
      </c>
      <c r="X60" s="148">
        <v>20</v>
      </c>
      <c r="Y60" s="148">
        <v>21</v>
      </c>
      <c r="Z60" s="148">
        <v>22</v>
      </c>
      <c r="AA60" s="148">
        <v>23</v>
      </c>
      <c r="AB60" s="148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30">
        <v>30</v>
      </c>
      <c r="AI60" s="131" t="s">
        <v>62</v>
      </c>
      <c r="AJ60" s="132" t="s">
        <v>61</v>
      </c>
      <c r="AK60" s="132" t="s">
        <v>58</v>
      </c>
      <c r="AL60" s="133" t="s">
        <v>57</v>
      </c>
    </row>
    <row r="61" spans="1:38" x14ac:dyDescent="0.25">
      <c r="A61" s="103">
        <v>1</v>
      </c>
      <c r="B61" s="104" t="s">
        <v>54</v>
      </c>
      <c r="C61" s="111">
        <v>176</v>
      </c>
      <c r="D61" s="106">
        <v>6172</v>
      </c>
      <c r="E61" s="143">
        <v>1</v>
      </c>
      <c r="F61" s="92">
        <v>1</v>
      </c>
      <c r="G61" s="92">
        <v>1</v>
      </c>
      <c r="H61" s="92">
        <v>1</v>
      </c>
      <c r="I61" s="92">
        <v>1</v>
      </c>
      <c r="J61" s="92">
        <v>1</v>
      </c>
      <c r="K61" s="92">
        <v>1</v>
      </c>
      <c r="L61" s="92">
        <v>1</v>
      </c>
      <c r="M61" s="92">
        <v>1</v>
      </c>
      <c r="N61" s="92">
        <v>1</v>
      </c>
      <c r="O61" s="92">
        <v>1</v>
      </c>
      <c r="P61" s="92">
        <v>1</v>
      </c>
      <c r="Q61" s="92">
        <v>1</v>
      </c>
      <c r="R61" s="92">
        <v>1</v>
      </c>
      <c r="S61" s="92">
        <v>1</v>
      </c>
      <c r="T61" s="92">
        <v>1</v>
      </c>
      <c r="U61" s="92">
        <v>1</v>
      </c>
      <c r="V61" s="92">
        <v>1</v>
      </c>
      <c r="W61" s="92">
        <v>1</v>
      </c>
      <c r="X61" s="92">
        <v>1</v>
      </c>
      <c r="Y61" s="92">
        <v>1</v>
      </c>
      <c r="Z61" s="92">
        <v>1</v>
      </c>
      <c r="AA61" s="92">
        <v>1</v>
      </c>
      <c r="AB61" s="92">
        <v>1</v>
      </c>
      <c r="AC61" s="92">
        <v>1</v>
      </c>
      <c r="AD61" s="92">
        <v>1</v>
      </c>
      <c r="AE61" s="92">
        <v>1</v>
      </c>
      <c r="AF61" s="92">
        <v>1</v>
      </c>
      <c r="AG61" s="92">
        <v>1</v>
      </c>
      <c r="AH61" s="92">
        <v>1</v>
      </c>
      <c r="AI61" s="152">
        <f>COUNTA(E61:AH61)</f>
        <v>30</v>
      </c>
      <c r="AJ61" s="80">
        <f>COUNTIF(E61:AH61,1)</f>
        <v>30</v>
      </c>
      <c r="AK61" s="80">
        <f>COUNTIF(E61:AH61,"тр")</f>
        <v>0</v>
      </c>
      <c r="AL61" s="81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22">
        <v>6173</v>
      </c>
      <c r="E62" s="7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5">
        <v>1</v>
      </c>
      <c r="AI62" s="153">
        <f>COUNTA(E62:AH62)</f>
        <v>30</v>
      </c>
      <c r="AJ62" s="54">
        <f>COUNTIF(E62:AH62,1)</f>
        <v>30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22">
        <v>1250</v>
      </c>
      <c r="E63" s="7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 t="s">
        <v>57</v>
      </c>
      <c r="AF63" s="5" t="s">
        <v>57</v>
      </c>
      <c r="AG63" s="5">
        <v>1</v>
      </c>
      <c r="AH63" s="5">
        <v>1</v>
      </c>
      <c r="AI63" s="153">
        <f>COUNTA(E63:AH63)</f>
        <v>30</v>
      </c>
      <c r="AJ63" s="54">
        <f>COUNTIF(E63:AH63,1)</f>
        <v>21</v>
      </c>
      <c r="AK63" s="54">
        <f>COUNTIF(E63:AH63,"тр")</f>
        <v>1</v>
      </c>
      <c r="AL63" s="55">
        <f>COUNTIF(E63:AH63,"бв")</f>
        <v>8</v>
      </c>
    </row>
    <row r="64" spans="1:38" ht="16.3" thickBot="1" x14ac:dyDescent="0.3">
      <c r="A64" s="107">
        <f t="shared" si="13"/>
        <v>4</v>
      </c>
      <c r="B64" s="108" t="s">
        <v>55</v>
      </c>
      <c r="C64" s="109" t="s">
        <v>28</v>
      </c>
      <c r="D64" s="110">
        <v>3810</v>
      </c>
      <c r="E64" s="144" t="s">
        <v>58</v>
      </c>
      <c r="F64" s="97" t="s">
        <v>58</v>
      </c>
      <c r="G64" s="97" t="s">
        <v>58</v>
      </c>
      <c r="H64" s="97" t="s">
        <v>58</v>
      </c>
      <c r="I64" s="97" t="s">
        <v>58</v>
      </c>
      <c r="J64" s="97" t="s">
        <v>58</v>
      </c>
      <c r="K64" s="97" t="s">
        <v>58</v>
      </c>
      <c r="L64" s="97" t="s">
        <v>58</v>
      </c>
      <c r="M64" s="97" t="s">
        <v>58</v>
      </c>
      <c r="N64" s="97" t="s">
        <v>58</v>
      </c>
      <c r="O64" s="97" t="s">
        <v>58</v>
      </c>
      <c r="P64" s="97" t="s">
        <v>58</v>
      </c>
      <c r="Q64" s="97" t="s">
        <v>58</v>
      </c>
      <c r="R64" s="97" t="s">
        <v>58</v>
      </c>
      <c r="S64" s="97" t="s">
        <v>58</v>
      </c>
      <c r="T64" s="97" t="s">
        <v>58</v>
      </c>
      <c r="U64" s="97" t="s">
        <v>58</v>
      </c>
      <c r="V64" s="97" t="s">
        <v>58</v>
      </c>
      <c r="W64" s="97" t="s">
        <v>58</v>
      </c>
      <c r="X64" s="97" t="s">
        <v>58</v>
      </c>
      <c r="Y64" s="97" t="s">
        <v>58</v>
      </c>
      <c r="Z64" s="97" t="s">
        <v>58</v>
      </c>
      <c r="AA64" s="97" t="s">
        <v>58</v>
      </c>
      <c r="AB64" s="97" t="s">
        <v>58</v>
      </c>
      <c r="AC64" s="97" t="s">
        <v>58</v>
      </c>
      <c r="AD64" s="97" t="s">
        <v>58</v>
      </c>
      <c r="AE64" s="97" t="s">
        <v>58</v>
      </c>
      <c r="AF64" s="97" t="s">
        <v>58</v>
      </c>
      <c r="AG64" s="97" t="s">
        <v>58</v>
      </c>
      <c r="AH64" s="97" t="s">
        <v>58</v>
      </c>
      <c r="AI64" s="154">
        <f>COUNTA(E64:AH64)</f>
        <v>30</v>
      </c>
      <c r="AJ64" s="84">
        <f>COUNTIF(E64:AH64,1)</f>
        <v>0</v>
      </c>
      <c r="AK64" s="84">
        <f>COUNTIF(E64:AH64,"тр")</f>
        <v>30</v>
      </c>
      <c r="AL64" s="85">
        <f>COUNTIF(E64:AH64,"бв")</f>
        <v>0</v>
      </c>
    </row>
    <row r="65" spans="1:38" s="33" customFormat="1" ht="16.3" thickBot="1" x14ac:dyDescent="0.3">
      <c r="A65" s="121"/>
      <c r="B65" s="122" t="s">
        <v>63</v>
      </c>
      <c r="C65" s="123"/>
      <c r="D65" s="123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149"/>
      <c r="AC65" s="149"/>
      <c r="AD65" s="149"/>
      <c r="AE65" s="149"/>
      <c r="AF65" s="149"/>
      <c r="AG65" s="149"/>
      <c r="AH65" s="149"/>
      <c r="AI65" s="134">
        <f>SUM(AI61:AI64)</f>
        <v>120</v>
      </c>
      <c r="AJ65" s="135">
        <f t="shared" ref="AJ65:AL65" si="14">SUM(AJ61:AJ64)</f>
        <v>81</v>
      </c>
      <c r="AK65" s="135">
        <f t="shared" si="14"/>
        <v>31</v>
      </c>
      <c r="AL65" s="136">
        <f t="shared" si="14"/>
        <v>8</v>
      </c>
    </row>
    <row r="66" spans="1:38" s="33" customFormat="1" x14ac:dyDescent="0.25">
      <c r="A66" s="158"/>
      <c r="B66" s="49"/>
      <c r="C66" s="50"/>
      <c r="D66" s="50"/>
      <c r="Y66" s="51" t="s">
        <v>68</v>
      </c>
      <c r="AI66" s="76">
        <f>AI65</f>
        <v>120</v>
      </c>
    </row>
    <row r="68" spans="1:38" x14ac:dyDescent="0.25">
      <c r="B68" s="3" t="s">
        <v>75</v>
      </c>
      <c r="E68" s="88"/>
      <c r="F68" s="88"/>
      <c r="G68" s="88"/>
      <c r="H68" s="88"/>
      <c r="I68" s="88"/>
      <c r="J68" s="88"/>
      <c r="K68" s="88"/>
      <c r="L68" s="88"/>
      <c r="S68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5:AL65 E4:AH4 AI4:AI5 E25:AI31 E43:AI49 E51:AI51 E53:AI55 E33:AI35 E37:AI37 E39:AI41 E61:AI64 E6:AI23">
    <cfRule type="containsBlanks" dxfId="1" priority="1">
      <formula>LEN(TRIM(E4))=0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M68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58" sqref="H58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6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Май 2019 автоколонны № 1 г. Жодино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166"/>
      <c r="AC1" s="166"/>
      <c r="AD1" s="166"/>
      <c r="AE1" s="166"/>
      <c r="AF1" s="166"/>
      <c r="AG1" s="166"/>
      <c r="AH1" s="166"/>
      <c r="AI1" s="166"/>
      <c r="AJ1" s="166"/>
      <c r="AK1" s="166"/>
      <c r="AL1" s="166"/>
      <c r="AM1" s="166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57</v>
      </c>
      <c r="F4" s="42">
        <v>1</v>
      </c>
      <c r="G4" s="42">
        <v>1</v>
      </c>
      <c r="H4" s="42">
        <v>1</v>
      </c>
      <c r="I4" s="42"/>
      <c r="J4" s="5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156">
        <f>COUNTA(E4:AI4)</f>
        <v>4</v>
      </c>
      <c r="AK4" s="56">
        <f>COUNTIF(E4:AI4,1)</f>
        <v>3</v>
      </c>
      <c r="AL4" s="56">
        <f>COUNTIF(E4:AI4,"тр")</f>
        <v>0</v>
      </c>
      <c r="AM4" s="57">
        <f>COUNTIF(E4:AI4,"бв")</f>
        <v>1</v>
      </c>
    </row>
    <row r="5" spans="1:39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65"/>
      <c r="AJ5" s="77">
        <f>SUM(AJ4:AJ4)</f>
        <v>4</v>
      </c>
      <c r="AK5" s="70">
        <f>SUM(AK4:AK4)</f>
        <v>3</v>
      </c>
      <c r="AL5" s="70">
        <f>SUM(AL4:AL4)</f>
        <v>0</v>
      </c>
      <c r="AM5" s="71">
        <f>SUM(AM4:AM4)</f>
        <v>1</v>
      </c>
    </row>
    <row r="6" spans="1:39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>
        <v>1</v>
      </c>
      <c r="F6" s="5">
        <v>1</v>
      </c>
      <c r="G6" s="5">
        <v>1</v>
      </c>
      <c r="H6" s="5">
        <v>1</v>
      </c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155">
        <f t="shared" ref="AJ6:AJ23" si="0">COUNTA(E6:AI6)</f>
        <v>4</v>
      </c>
      <c r="AK6" s="17">
        <f t="shared" ref="AK6:AK23" si="1">COUNTIF(E6:AI6,1)</f>
        <v>4</v>
      </c>
      <c r="AL6" s="17">
        <f t="shared" ref="AL6:AL23" si="2">COUNTIF(E6:AI6,"тр")</f>
        <v>0</v>
      </c>
      <c r="AM6" s="18">
        <f t="shared" ref="AM6:AM23" si="3">COUNTIF(E6:AI6,"бв")</f>
        <v>0</v>
      </c>
    </row>
    <row r="7" spans="1:39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153">
        <f t="shared" si="0"/>
        <v>4</v>
      </c>
      <c r="AK7" s="54">
        <f t="shared" si="1"/>
        <v>4</v>
      </c>
      <c r="AL7" s="54">
        <f t="shared" si="2"/>
        <v>0</v>
      </c>
      <c r="AM7" s="55">
        <f t="shared" si="3"/>
        <v>0</v>
      </c>
    </row>
    <row r="8" spans="1:39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>
        <v>1</v>
      </c>
      <c r="F8" s="7">
        <v>1</v>
      </c>
      <c r="G8" s="7" t="s">
        <v>58</v>
      </c>
      <c r="H8" s="5" t="s">
        <v>58</v>
      </c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153">
        <f t="shared" si="0"/>
        <v>4</v>
      </c>
      <c r="AK8" s="54">
        <f t="shared" si="1"/>
        <v>2</v>
      </c>
      <c r="AL8" s="54">
        <f t="shared" si="2"/>
        <v>2</v>
      </c>
      <c r="AM8" s="55">
        <f t="shared" si="3"/>
        <v>0</v>
      </c>
    </row>
    <row r="9" spans="1:39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 t="s">
        <v>58</v>
      </c>
      <c r="G9" s="5" t="s">
        <v>58</v>
      </c>
      <c r="H9" s="5" t="s">
        <v>58</v>
      </c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153">
        <f t="shared" si="0"/>
        <v>4</v>
      </c>
      <c r="AK9" s="54">
        <f t="shared" si="1"/>
        <v>1</v>
      </c>
      <c r="AL9" s="54">
        <f t="shared" si="2"/>
        <v>3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 t="s">
        <v>57</v>
      </c>
      <c r="F10" s="7">
        <v>1</v>
      </c>
      <c r="G10" s="5">
        <v>1</v>
      </c>
      <c r="H10" s="5">
        <v>1</v>
      </c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153">
        <f t="shared" si="0"/>
        <v>4</v>
      </c>
      <c r="AK10" s="54">
        <f t="shared" si="1"/>
        <v>3</v>
      </c>
      <c r="AL10" s="54">
        <f t="shared" si="2"/>
        <v>0</v>
      </c>
      <c r="AM10" s="55">
        <f t="shared" si="3"/>
        <v>1</v>
      </c>
    </row>
    <row r="11" spans="1:39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 t="s">
        <v>58</v>
      </c>
      <c r="F11" s="5" t="s">
        <v>58</v>
      </c>
      <c r="G11" s="5" t="s">
        <v>58</v>
      </c>
      <c r="H11" s="5" t="s">
        <v>58</v>
      </c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153">
        <f t="shared" si="0"/>
        <v>4</v>
      </c>
      <c r="AK11" s="54">
        <f t="shared" si="1"/>
        <v>0</v>
      </c>
      <c r="AL11" s="54">
        <f t="shared" si="2"/>
        <v>4</v>
      </c>
      <c r="AM11" s="55">
        <f t="shared" si="3"/>
        <v>0</v>
      </c>
    </row>
    <row r="12" spans="1:39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153">
        <f t="shared" si="0"/>
        <v>4</v>
      </c>
      <c r="AK12" s="54">
        <f t="shared" si="1"/>
        <v>4</v>
      </c>
      <c r="AL12" s="54">
        <f t="shared" si="2"/>
        <v>0</v>
      </c>
      <c r="AM12" s="55">
        <f t="shared" si="3"/>
        <v>0</v>
      </c>
    </row>
    <row r="13" spans="1:39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 t="s">
        <v>58</v>
      </c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153">
        <f t="shared" si="0"/>
        <v>4</v>
      </c>
      <c r="AK13" s="54">
        <f t="shared" si="1"/>
        <v>3</v>
      </c>
      <c r="AL13" s="54">
        <f t="shared" si="2"/>
        <v>1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153">
        <f t="shared" si="0"/>
        <v>4</v>
      </c>
      <c r="AK14" s="54">
        <f t="shared" si="1"/>
        <v>4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153">
        <f t="shared" si="0"/>
        <v>4</v>
      </c>
      <c r="AK15" s="54">
        <f t="shared" si="1"/>
        <v>4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153">
        <f t="shared" si="0"/>
        <v>4</v>
      </c>
      <c r="AK16" s="54">
        <f t="shared" si="1"/>
        <v>4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153">
        <f t="shared" si="0"/>
        <v>4</v>
      </c>
      <c r="AK17" s="54">
        <f t="shared" si="1"/>
        <v>4</v>
      </c>
      <c r="AL17" s="54">
        <f t="shared" si="2"/>
        <v>0</v>
      </c>
      <c r="AM17" s="55">
        <f t="shared" si="3"/>
        <v>0</v>
      </c>
    </row>
    <row r="18" spans="1:39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153">
        <f t="shared" si="0"/>
        <v>4</v>
      </c>
      <c r="AK18" s="54">
        <f t="shared" si="1"/>
        <v>4</v>
      </c>
      <c r="AL18" s="54">
        <f t="shared" si="2"/>
        <v>0</v>
      </c>
      <c r="AM18" s="55">
        <f t="shared" si="3"/>
        <v>0</v>
      </c>
    </row>
    <row r="19" spans="1:39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153">
        <f t="shared" si="0"/>
        <v>4</v>
      </c>
      <c r="AK19" s="54">
        <f t="shared" si="1"/>
        <v>4</v>
      </c>
      <c r="AL19" s="54">
        <f t="shared" si="2"/>
        <v>0</v>
      </c>
      <c r="AM19" s="55">
        <f t="shared" si="3"/>
        <v>0</v>
      </c>
    </row>
    <row r="20" spans="1:39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 t="s">
        <v>57</v>
      </c>
      <c r="F20" s="5">
        <v>1</v>
      </c>
      <c r="G20" s="5">
        <v>1</v>
      </c>
      <c r="H20" s="5">
        <v>1</v>
      </c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153">
        <f t="shared" si="0"/>
        <v>4</v>
      </c>
      <c r="AK20" s="54">
        <f t="shared" si="1"/>
        <v>3</v>
      </c>
      <c r="AL20" s="54">
        <f t="shared" si="2"/>
        <v>0</v>
      </c>
      <c r="AM20" s="55">
        <f t="shared" si="3"/>
        <v>1</v>
      </c>
    </row>
    <row r="21" spans="1:39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5" t="s">
        <v>58</v>
      </c>
      <c r="AJ21" s="153">
        <f t="shared" si="0"/>
        <v>31</v>
      </c>
      <c r="AK21" s="54">
        <f t="shared" si="1"/>
        <v>0</v>
      </c>
      <c r="AL21" s="54">
        <f t="shared" si="2"/>
        <v>31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153">
        <f t="shared" si="0"/>
        <v>4</v>
      </c>
      <c r="AK22" s="54">
        <f t="shared" si="1"/>
        <v>4</v>
      </c>
      <c r="AL22" s="54">
        <f t="shared" si="2"/>
        <v>0</v>
      </c>
      <c r="AM22" s="55">
        <f t="shared" si="3"/>
        <v>0</v>
      </c>
    </row>
    <row r="23" spans="1:39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>
        <v>1</v>
      </c>
      <c r="I23" s="97"/>
      <c r="J23" s="97"/>
      <c r="K23" s="97"/>
      <c r="L23" s="97"/>
      <c r="M23" s="97"/>
      <c r="N23" s="97"/>
      <c r="O23" s="97"/>
      <c r="P23" s="97"/>
      <c r="Q23" s="97"/>
      <c r="R23" s="97"/>
      <c r="S23" s="97"/>
      <c r="T23" s="97"/>
      <c r="U23" s="97"/>
      <c r="V23" s="97"/>
      <c r="W23" s="97"/>
      <c r="X23" s="97"/>
      <c r="Y23" s="97"/>
      <c r="Z23" s="97"/>
      <c r="AA23" s="97"/>
      <c r="AB23" s="97"/>
      <c r="AC23" s="97"/>
      <c r="AD23" s="97"/>
      <c r="AE23" s="97"/>
      <c r="AF23" s="97"/>
      <c r="AG23" s="97"/>
      <c r="AH23" s="97"/>
      <c r="AI23" s="97"/>
      <c r="AJ23" s="154">
        <f t="shared" si="0"/>
        <v>4</v>
      </c>
      <c r="AK23" s="84">
        <f t="shared" si="1"/>
        <v>4</v>
      </c>
      <c r="AL23" s="84">
        <f t="shared" si="2"/>
        <v>0</v>
      </c>
      <c r="AM23" s="85">
        <f t="shared" si="3"/>
        <v>0</v>
      </c>
    </row>
    <row r="24" spans="1:39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65"/>
      <c r="AJ24" s="140">
        <f>SUM(AJ6:AJ23)</f>
        <v>99</v>
      </c>
      <c r="AK24" s="141">
        <f>SUM(AK6:AK23)</f>
        <v>56</v>
      </c>
      <c r="AL24" s="141">
        <f>SUM(AL6:AL23)</f>
        <v>41</v>
      </c>
      <c r="AM24" s="142">
        <f>SUM(AM6:AM23)</f>
        <v>2</v>
      </c>
    </row>
    <row r="25" spans="1:39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 t="s">
        <v>58</v>
      </c>
      <c r="F25" s="35" t="s">
        <v>58</v>
      </c>
      <c r="G25" s="35" t="s">
        <v>58</v>
      </c>
      <c r="H25" s="35" t="s">
        <v>58</v>
      </c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152">
        <f t="shared" ref="AJ25:AJ31" si="5">COUNTA(E25:AI25)</f>
        <v>4</v>
      </c>
      <c r="AK25" s="80">
        <f t="shared" ref="AK25:AK31" si="6">COUNTIF(E25:AI25,1)</f>
        <v>0</v>
      </c>
      <c r="AL25" s="80">
        <f t="shared" ref="AL25:AL31" si="7">COUNTIF(E25:AI25,"тр")</f>
        <v>4</v>
      </c>
      <c r="AM25" s="81">
        <f t="shared" ref="AM25:AM31" si="8">COUNTIF(E25:AI25,"бв")</f>
        <v>0</v>
      </c>
    </row>
    <row r="26" spans="1:39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>
        <v>1</v>
      </c>
      <c r="G26" s="5">
        <v>1</v>
      </c>
      <c r="H26" s="5">
        <v>1</v>
      </c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153">
        <f t="shared" si="5"/>
        <v>4</v>
      </c>
      <c r="AK26" s="54">
        <f t="shared" si="6"/>
        <v>4</v>
      </c>
      <c r="AL26" s="54">
        <f t="shared" si="7"/>
        <v>0</v>
      </c>
      <c r="AM26" s="55">
        <f t="shared" si="8"/>
        <v>0</v>
      </c>
    </row>
    <row r="27" spans="1:39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>
        <v>1</v>
      </c>
      <c r="F27" s="5">
        <v>1</v>
      </c>
      <c r="G27" s="5">
        <v>1</v>
      </c>
      <c r="H27" s="5" t="s">
        <v>58</v>
      </c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153">
        <f t="shared" si="5"/>
        <v>4</v>
      </c>
      <c r="AK27" s="54">
        <f t="shared" si="6"/>
        <v>3</v>
      </c>
      <c r="AL27" s="54">
        <f t="shared" si="7"/>
        <v>1</v>
      </c>
      <c r="AM27" s="55">
        <f t="shared" si="8"/>
        <v>0</v>
      </c>
    </row>
    <row r="28" spans="1:39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153">
        <f t="shared" si="5"/>
        <v>31</v>
      </c>
      <c r="AK28" s="54">
        <f t="shared" si="6"/>
        <v>0</v>
      </c>
      <c r="AL28" s="54">
        <f t="shared" si="7"/>
        <v>31</v>
      </c>
      <c r="AM28" s="55">
        <f t="shared" si="8"/>
        <v>0</v>
      </c>
    </row>
    <row r="29" spans="1:39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 t="s">
        <v>57</v>
      </c>
      <c r="F29" s="7">
        <v>1</v>
      </c>
      <c r="G29" s="5">
        <v>1</v>
      </c>
      <c r="H29" s="5">
        <v>1</v>
      </c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153">
        <f t="shared" si="5"/>
        <v>4</v>
      </c>
      <c r="AK29" s="54">
        <f t="shared" si="6"/>
        <v>3</v>
      </c>
      <c r="AL29" s="54">
        <f t="shared" si="7"/>
        <v>0</v>
      </c>
      <c r="AM29" s="55">
        <f t="shared" si="8"/>
        <v>1</v>
      </c>
    </row>
    <row r="30" spans="1:39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>
        <v>1</v>
      </c>
      <c r="F30" s="5">
        <v>1</v>
      </c>
      <c r="G30" s="5" t="s">
        <v>58</v>
      </c>
      <c r="H30" s="5" t="s">
        <v>58</v>
      </c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153">
        <f t="shared" si="5"/>
        <v>4</v>
      </c>
      <c r="AK30" s="54">
        <f t="shared" si="6"/>
        <v>2</v>
      </c>
      <c r="AL30" s="54">
        <f t="shared" si="7"/>
        <v>2</v>
      </c>
      <c r="AM30" s="55">
        <f t="shared" si="8"/>
        <v>0</v>
      </c>
    </row>
    <row r="31" spans="1:39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 t="s">
        <v>57</v>
      </c>
      <c r="F31" s="42" t="s">
        <v>57</v>
      </c>
      <c r="G31" s="42" t="s">
        <v>57</v>
      </c>
      <c r="H31" s="42" t="s">
        <v>57</v>
      </c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154">
        <f t="shared" si="5"/>
        <v>4</v>
      </c>
      <c r="AK31" s="84">
        <f t="shared" si="6"/>
        <v>0</v>
      </c>
      <c r="AL31" s="84">
        <f t="shared" si="7"/>
        <v>0</v>
      </c>
      <c r="AM31" s="85">
        <f t="shared" si="8"/>
        <v>4</v>
      </c>
    </row>
    <row r="32" spans="1:39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65"/>
      <c r="AJ32" s="134">
        <f>SUM(AJ25:AJ31)</f>
        <v>55</v>
      </c>
      <c r="AK32" s="135">
        <f>SUM(AK25:AK31)</f>
        <v>12</v>
      </c>
      <c r="AL32" s="135">
        <f>SUM(AL25:AL31)</f>
        <v>38</v>
      </c>
      <c r="AM32" s="136">
        <f>SUM(AM25:AM31)</f>
        <v>5</v>
      </c>
    </row>
    <row r="33" spans="1:39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35"/>
      <c r="AJ33" s="155">
        <f>COUNTA(E33:AI33)</f>
        <v>4</v>
      </c>
      <c r="AK33" s="17">
        <f>COUNTIF(E33:AI33,1)</f>
        <v>4</v>
      </c>
      <c r="AL33" s="17">
        <f>COUNTIF(E33:AI33,"тр")</f>
        <v>0</v>
      </c>
      <c r="AM33" s="18">
        <f>COUNTIF(E33:AI33,"бв")</f>
        <v>0</v>
      </c>
    </row>
    <row r="34" spans="1:39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>
        <v>1</v>
      </c>
      <c r="F34" s="5">
        <v>1</v>
      </c>
      <c r="G34" s="5">
        <v>1</v>
      </c>
      <c r="H34" s="5">
        <v>1</v>
      </c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155">
        <f>COUNTA(E34:AI34)</f>
        <v>4</v>
      </c>
      <c r="AK34" s="54">
        <f>COUNTIF(E34:AI34,1)</f>
        <v>4</v>
      </c>
      <c r="AL34" s="54">
        <f>COUNTIF(E34:AI34,"тр")</f>
        <v>0</v>
      </c>
      <c r="AM34" s="55">
        <f>COUNTIF(E34:AI34,"бв")</f>
        <v>0</v>
      </c>
    </row>
    <row r="35" spans="1:39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42" t="s">
        <v>58</v>
      </c>
      <c r="AJ35" s="155">
        <f>COUNTA(E35:AI35)</f>
        <v>31</v>
      </c>
      <c r="AK35" s="56">
        <f>COUNTIF(E35:AI35,1)</f>
        <v>0</v>
      </c>
      <c r="AL35" s="56">
        <f>COUNTIF(E35:AI35,"тр")</f>
        <v>31</v>
      </c>
      <c r="AM35" s="57">
        <f>COUNTIF(E35:AI35,"бв")</f>
        <v>0</v>
      </c>
    </row>
    <row r="36" spans="1:39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65"/>
      <c r="AJ36" s="77">
        <f>SUM(AJ33:AJ35)</f>
        <v>39</v>
      </c>
      <c r="AK36" s="69">
        <f>SUM(AK33:AK35)</f>
        <v>8</v>
      </c>
      <c r="AL36" s="69">
        <f>SUM(AL33:AL35)</f>
        <v>31</v>
      </c>
      <c r="AM36" s="75">
        <f>SUM(AM33:AM35)</f>
        <v>0</v>
      </c>
    </row>
    <row r="37" spans="1:39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62" t="s">
        <v>58</v>
      </c>
      <c r="AJ37" s="155">
        <f>COUNTA(E37:AI37)</f>
        <v>31</v>
      </c>
      <c r="AK37" s="19">
        <f>COUNTIF(E37:AI37,1)</f>
        <v>0</v>
      </c>
      <c r="AL37" s="19">
        <f>COUNTIF(E37:AI37,"тр")</f>
        <v>31</v>
      </c>
      <c r="AM37" s="20">
        <f>COUNTIF(E37:AI37,"бв")</f>
        <v>0</v>
      </c>
    </row>
    <row r="38" spans="1:39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SUM(AJ37)</f>
        <v>31</v>
      </c>
      <c r="AK38" s="69">
        <f>SUM(AK37)</f>
        <v>0</v>
      </c>
      <c r="AL38" s="69">
        <f>SUM(AL37)</f>
        <v>31</v>
      </c>
      <c r="AM38" s="75">
        <f>SUM(AM37)</f>
        <v>0</v>
      </c>
    </row>
    <row r="39" spans="1:39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>
        <v>1</v>
      </c>
      <c r="F39" s="35">
        <v>1</v>
      </c>
      <c r="G39" s="35">
        <v>1</v>
      </c>
      <c r="H39" s="35">
        <v>1</v>
      </c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35"/>
      <c r="AJ39" s="155">
        <f>COUNTA(E39:AI39)</f>
        <v>4</v>
      </c>
      <c r="AK39" s="17">
        <f>COUNTIF(E39:AI39,1)</f>
        <v>4</v>
      </c>
      <c r="AL39" s="17">
        <f>COUNTIF(E39:AI39,"тр")</f>
        <v>0</v>
      </c>
      <c r="AM39" s="18">
        <f>COUNTIF(E39:AI39,"бв")</f>
        <v>0</v>
      </c>
    </row>
    <row r="40" spans="1:39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 t="s">
        <v>58</v>
      </c>
      <c r="F40" s="7" t="s">
        <v>58</v>
      </c>
      <c r="G40" s="7" t="s">
        <v>58</v>
      </c>
      <c r="H40" s="5" t="s">
        <v>58</v>
      </c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155">
        <f>COUNTA(E40:AI40)</f>
        <v>4</v>
      </c>
      <c r="AK40" s="54">
        <f>COUNTIF(E40:AI40,1)</f>
        <v>0</v>
      </c>
      <c r="AL40" s="54">
        <f>COUNTIF(E40:AI40,"тр")</f>
        <v>4</v>
      </c>
      <c r="AM40" s="55">
        <f>COUNTIF(E40:AI40,"бв")</f>
        <v>0</v>
      </c>
    </row>
    <row r="41" spans="1:39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 t="s">
        <v>57</v>
      </c>
      <c r="F41" s="43">
        <v>1</v>
      </c>
      <c r="G41" s="43">
        <v>1</v>
      </c>
      <c r="H41" s="42">
        <v>1</v>
      </c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155">
        <f>COUNTA(E41:AI41)</f>
        <v>4</v>
      </c>
      <c r="AK41" s="56">
        <f>COUNTIF(E41:AI41,1)</f>
        <v>3</v>
      </c>
      <c r="AL41" s="56">
        <f>COUNTIF(E41:AI41,"тр")</f>
        <v>0</v>
      </c>
      <c r="AM41" s="57">
        <f>COUNTIF(E41:AI41,"бв")</f>
        <v>1</v>
      </c>
    </row>
    <row r="42" spans="1:39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SUM(AJ39:AJ41)</f>
        <v>12</v>
      </c>
      <c r="AK42" s="69">
        <f>SUM(AK39:AK41)</f>
        <v>7</v>
      </c>
      <c r="AL42" s="69">
        <f>SUM(AL39:AL41)</f>
        <v>4</v>
      </c>
      <c r="AM42" s="75">
        <f>SUM(AM39:AM41)</f>
        <v>1</v>
      </c>
    </row>
    <row r="43" spans="1:39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 t="s">
        <v>58</v>
      </c>
      <c r="G43" s="6">
        <v>1</v>
      </c>
      <c r="H43" s="35">
        <v>1</v>
      </c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35"/>
      <c r="AJ43" s="155">
        <f t="shared" ref="AJ43:AJ49" si="9">COUNTA(E43:AI43)</f>
        <v>4</v>
      </c>
      <c r="AK43" s="17">
        <f t="shared" ref="AK43:AK49" si="10">COUNTIF(E43:AI43,1)</f>
        <v>3</v>
      </c>
      <c r="AL43" s="17">
        <f t="shared" ref="AL43:AL49" si="11">COUNTIF(E43:AI43,"тр")</f>
        <v>1</v>
      </c>
      <c r="AM43" s="18">
        <f t="shared" ref="AM43:AM49" si="12">COUNTIF(E43:AI43,"бв")</f>
        <v>0</v>
      </c>
    </row>
    <row r="44" spans="1:39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>
        <v>1</v>
      </c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155">
        <f t="shared" si="9"/>
        <v>4</v>
      </c>
      <c r="AK44" s="54">
        <f t="shared" si="10"/>
        <v>4</v>
      </c>
      <c r="AL44" s="54">
        <f t="shared" si="11"/>
        <v>0</v>
      </c>
      <c r="AM44" s="55">
        <f t="shared" si="12"/>
        <v>0</v>
      </c>
    </row>
    <row r="45" spans="1:39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155">
        <f t="shared" si="9"/>
        <v>4</v>
      </c>
      <c r="AK45" s="54">
        <f t="shared" si="10"/>
        <v>4</v>
      </c>
      <c r="AL45" s="54">
        <f t="shared" si="11"/>
        <v>0</v>
      </c>
      <c r="AM45" s="55">
        <f t="shared" si="12"/>
        <v>0</v>
      </c>
    </row>
    <row r="46" spans="1:39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155">
        <f t="shared" si="9"/>
        <v>4</v>
      </c>
      <c r="AK46" s="54">
        <f t="shared" si="10"/>
        <v>4</v>
      </c>
      <c r="AL46" s="54">
        <f t="shared" si="11"/>
        <v>0</v>
      </c>
      <c r="AM46" s="55">
        <f t="shared" si="12"/>
        <v>0</v>
      </c>
    </row>
    <row r="47" spans="1:39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57</v>
      </c>
      <c r="G47" s="5">
        <v>1</v>
      </c>
      <c r="H47" s="5">
        <v>1</v>
      </c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155">
        <f t="shared" si="9"/>
        <v>4</v>
      </c>
      <c r="AK47" s="54">
        <f t="shared" si="10"/>
        <v>3</v>
      </c>
      <c r="AL47" s="54">
        <f t="shared" si="11"/>
        <v>0</v>
      </c>
      <c r="AM47" s="55">
        <f t="shared" si="12"/>
        <v>1</v>
      </c>
    </row>
    <row r="48" spans="1:39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 t="s">
        <v>58</v>
      </c>
      <c r="F48" s="5" t="s">
        <v>58</v>
      </c>
      <c r="G48" s="5" t="s">
        <v>58</v>
      </c>
      <c r="H48" s="5" t="s">
        <v>58</v>
      </c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155">
        <f t="shared" si="9"/>
        <v>4</v>
      </c>
      <c r="AK48" s="54">
        <f t="shared" si="10"/>
        <v>0</v>
      </c>
      <c r="AL48" s="54">
        <f t="shared" si="11"/>
        <v>4</v>
      </c>
      <c r="AM48" s="55">
        <f t="shared" si="12"/>
        <v>0</v>
      </c>
    </row>
    <row r="49" spans="1:39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155">
        <f t="shared" si="9"/>
        <v>4</v>
      </c>
      <c r="AK49" s="56">
        <f t="shared" si="10"/>
        <v>4</v>
      </c>
      <c r="AL49" s="56">
        <f t="shared" si="11"/>
        <v>0</v>
      </c>
      <c r="AM49" s="57">
        <f t="shared" si="12"/>
        <v>0</v>
      </c>
    </row>
    <row r="50" spans="1:39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65"/>
      <c r="AJ50" s="77">
        <f>SUM(AJ43:AJ49)</f>
        <v>28</v>
      </c>
      <c r="AK50" s="69">
        <f>SUM(AK43:AK49)</f>
        <v>22</v>
      </c>
      <c r="AL50" s="69">
        <f>SUM(AL43:AL49)</f>
        <v>5</v>
      </c>
      <c r="AM50" s="75">
        <f>SUM(AM43:AM49)</f>
        <v>1</v>
      </c>
    </row>
    <row r="51" spans="1:39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>
        <v>1</v>
      </c>
      <c r="G51" s="42">
        <v>1</v>
      </c>
      <c r="H51" s="42">
        <v>1</v>
      </c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155">
        <f>COUNTA(E51:AI51)</f>
        <v>4</v>
      </c>
      <c r="AK51" s="56">
        <f>COUNTIF(E51:AI51,1)</f>
        <v>3</v>
      </c>
      <c r="AL51" s="56">
        <f>COUNTIF(E51:AI51,"тр")</f>
        <v>0</v>
      </c>
      <c r="AM51" s="57">
        <f>COUNTIF(E51:AI51,"бв")</f>
        <v>1</v>
      </c>
    </row>
    <row r="52" spans="1:39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65"/>
      <c r="AJ52" s="77">
        <f>SUM(AJ51:AJ51)</f>
        <v>4</v>
      </c>
      <c r="AK52" s="69">
        <f>SUM(AK51:AK51)</f>
        <v>3</v>
      </c>
      <c r="AL52" s="69">
        <f>SUM(AL51:AL51)</f>
        <v>0</v>
      </c>
      <c r="AM52" s="75">
        <f>SUM(AM51:AM51)</f>
        <v>1</v>
      </c>
    </row>
    <row r="53" spans="1:39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>
        <v>1</v>
      </c>
      <c r="G53" s="92">
        <v>1</v>
      </c>
      <c r="H53" s="92" t="s">
        <v>57</v>
      </c>
      <c r="I53" s="92"/>
      <c r="J53" s="92"/>
      <c r="K53" s="92"/>
      <c r="L53" s="92"/>
      <c r="M53" s="92"/>
      <c r="N53" s="92"/>
      <c r="O53" s="92"/>
      <c r="P53" s="92"/>
      <c r="Q53" s="92"/>
      <c r="R53" s="92"/>
      <c r="S53" s="92"/>
      <c r="T53" s="92"/>
      <c r="U53" s="92"/>
      <c r="V53" s="92"/>
      <c r="W53" s="92"/>
      <c r="X53" s="92"/>
      <c r="Y53" s="92"/>
      <c r="Z53" s="92"/>
      <c r="AA53" s="92"/>
      <c r="AB53" s="92"/>
      <c r="AC53" s="92"/>
      <c r="AD53" s="92"/>
      <c r="AE53" s="92"/>
      <c r="AF53" s="92"/>
      <c r="AG53" s="92"/>
      <c r="AH53" s="92"/>
      <c r="AI53" s="92"/>
      <c r="AJ53" s="152">
        <f>COUNTA(E53:AI53)</f>
        <v>4</v>
      </c>
      <c r="AK53" s="80">
        <f>COUNTIF(E53:AI53,1)</f>
        <v>3</v>
      </c>
      <c r="AL53" s="80">
        <f>COUNTIF(E53:AI53,"тр")</f>
        <v>0</v>
      </c>
      <c r="AM53" s="81">
        <f>COUNTIF(E53:AI53,"бв")</f>
        <v>1</v>
      </c>
    </row>
    <row r="54" spans="1:39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155">
        <f>COUNTA(E54:AI54)</f>
        <v>4</v>
      </c>
      <c r="AK54" s="56">
        <f>COUNTIF(E54:AI54,1)</f>
        <v>4</v>
      </c>
      <c r="AL54" s="56">
        <f>COUNTIF(E54:AI54,"тр")</f>
        <v>0</v>
      </c>
      <c r="AM54" s="57">
        <f>COUNTIF(E54:AI54,"бв")</f>
        <v>0</v>
      </c>
    </row>
    <row r="55" spans="1:39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 t="s">
        <v>57</v>
      </c>
      <c r="G55" s="97" t="s">
        <v>57</v>
      </c>
      <c r="H55" s="97">
        <v>1</v>
      </c>
      <c r="I55" s="97"/>
      <c r="J55" s="97"/>
      <c r="K55" s="97"/>
      <c r="L55" s="97"/>
      <c r="M55" s="97"/>
      <c r="N55" s="97"/>
      <c r="O55" s="97"/>
      <c r="P55" s="97"/>
      <c r="Q55" s="97"/>
      <c r="R55" s="97"/>
      <c r="S55" s="97"/>
      <c r="T55" s="97"/>
      <c r="U55" s="97"/>
      <c r="V55" s="97"/>
      <c r="W55" s="97"/>
      <c r="X55" s="97"/>
      <c r="Y55" s="97"/>
      <c r="Z55" s="97"/>
      <c r="AA55" s="97"/>
      <c r="AB55" s="97"/>
      <c r="AC55" s="97"/>
      <c r="AD55" s="97"/>
      <c r="AE55" s="97"/>
      <c r="AF55" s="97"/>
      <c r="AG55" s="97"/>
      <c r="AH55" s="97"/>
      <c r="AI55" s="97"/>
      <c r="AJ55" s="157">
        <f>COUNTA(E55:AI55)</f>
        <v>4</v>
      </c>
      <c r="AK55" s="84">
        <f>COUNTIF(E55:AI55,1)</f>
        <v>2</v>
      </c>
      <c r="AL55" s="84">
        <f>COUNTIF(E55:AI55,"тр")</f>
        <v>0</v>
      </c>
      <c r="AM55" s="85">
        <f>COUNTIF(E55:AI55,"бв")</f>
        <v>2</v>
      </c>
    </row>
    <row r="56" spans="1:39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SUM(AJ53:AJ55)</f>
        <v>12</v>
      </c>
      <c r="AK56" s="69">
        <f>SUM(AK53:AK55)</f>
        <v>9</v>
      </c>
      <c r="AL56" s="69">
        <f>SUM(AL53:AL55)</f>
        <v>0</v>
      </c>
      <c r="AM56" s="75">
        <f>SUM(AM53:AM55)</f>
        <v>3</v>
      </c>
    </row>
    <row r="57" spans="1:39" s="33" customFormat="1" x14ac:dyDescent="0.25">
      <c r="A57" s="165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2"/>
      <c r="AJ57" s="53">
        <f>AJ5+AJ24+AJ32+AJ36+AJ38+AJ42+AJ50+AJ52+AJ56</f>
        <v>284</v>
      </c>
      <c r="AK57" s="53"/>
      <c r="AL57" s="53"/>
      <c r="AM57" s="53"/>
    </row>
    <row r="58" spans="1:39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7"/>
      <c r="AK58" s="48"/>
      <c r="AL58" s="48"/>
      <c r="AM58" s="48"/>
    </row>
    <row r="59" spans="1:39" ht="16.3" thickBot="1" x14ac:dyDescent="0.3">
      <c r="A59" s="166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Май 2019 автоколонны № 2 г. Смолевичи</v>
      </c>
      <c r="B59" s="166"/>
      <c r="C59" s="166"/>
      <c r="D59" s="166"/>
      <c r="E59" s="166"/>
      <c r="F59" s="166"/>
      <c r="G59" s="166"/>
      <c r="H59" s="166"/>
      <c r="I59" s="166"/>
      <c r="J59" s="166"/>
      <c r="K59" s="166"/>
      <c r="L59" s="166"/>
      <c r="M59" s="166"/>
      <c r="N59" s="166"/>
      <c r="O59" s="166"/>
      <c r="P59" s="166"/>
      <c r="Q59" s="166"/>
      <c r="R59" s="166"/>
      <c r="S59" s="166"/>
      <c r="T59" s="166"/>
      <c r="U59" s="166"/>
      <c r="V59" s="166"/>
      <c r="W59" s="166"/>
      <c r="X59" s="166"/>
      <c r="Y59" s="166"/>
      <c r="Z59" s="166"/>
      <c r="AA59" s="166"/>
      <c r="AB59" s="166"/>
      <c r="AC59" s="166"/>
      <c r="AD59" s="166"/>
      <c r="AE59" s="166"/>
      <c r="AF59" s="166"/>
      <c r="AG59" s="166"/>
      <c r="AH59" s="166"/>
      <c r="AI59" s="166"/>
      <c r="AJ59" s="166"/>
      <c r="AK59" s="166"/>
      <c r="AL59" s="166"/>
      <c r="AM59" s="166"/>
    </row>
    <row r="60" spans="1:39" s="33" customFormat="1" ht="16.3" thickBot="1" x14ac:dyDescent="0.3">
      <c r="A60" s="131" t="s">
        <v>56</v>
      </c>
      <c r="B60" s="146" t="s">
        <v>46</v>
      </c>
      <c r="C60" s="146" t="s">
        <v>48</v>
      </c>
      <c r="D60" s="147" t="s">
        <v>47</v>
      </c>
      <c r="E60" s="151">
        <v>1</v>
      </c>
      <c r="F60" s="148">
        <v>2</v>
      </c>
      <c r="G60" s="148">
        <v>3</v>
      </c>
      <c r="H60" s="148">
        <v>4</v>
      </c>
      <c r="I60" s="148">
        <v>5</v>
      </c>
      <c r="J60" s="148">
        <v>6</v>
      </c>
      <c r="K60" s="148">
        <v>7</v>
      </c>
      <c r="L60" s="148">
        <v>8</v>
      </c>
      <c r="M60" s="148">
        <v>9</v>
      </c>
      <c r="N60" s="148">
        <v>10</v>
      </c>
      <c r="O60" s="148">
        <v>11</v>
      </c>
      <c r="P60" s="148">
        <v>12</v>
      </c>
      <c r="Q60" s="148">
        <v>13</v>
      </c>
      <c r="R60" s="148">
        <v>14</v>
      </c>
      <c r="S60" s="148">
        <v>15</v>
      </c>
      <c r="T60" s="148">
        <v>16</v>
      </c>
      <c r="U60" s="148">
        <v>17</v>
      </c>
      <c r="V60" s="148">
        <v>18</v>
      </c>
      <c r="W60" s="148">
        <v>19</v>
      </c>
      <c r="X60" s="148">
        <v>20</v>
      </c>
      <c r="Y60" s="148">
        <v>21</v>
      </c>
      <c r="Z60" s="148">
        <v>22</v>
      </c>
      <c r="AA60" s="148">
        <v>23</v>
      </c>
      <c r="AB60" s="148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30"/>
      <c r="AI60" s="30">
        <v>30</v>
      </c>
      <c r="AJ60" s="131" t="s">
        <v>62</v>
      </c>
      <c r="AK60" s="132" t="s">
        <v>61</v>
      </c>
      <c r="AL60" s="132" t="s">
        <v>58</v>
      </c>
      <c r="AM60" s="133" t="s">
        <v>57</v>
      </c>
    </row>
    <row r="61" spans="1:39" x14ac:dyDescent="0.25">
      <c r="A61" s="103">
        <v>1</v>
      </c>
      <c r="B61" s="104" t="s">
        <v>54</v>
      </c>
      <c r="C61" s="111">
        <v>176</v>
      </c>
      <c r="D61" s="106">
        <v>6172</v>
      </c>
      <c r="E61" s="143">
        <v>1</v>
      </c>
      <c r="F61" s="92">
        <v>1</v>
      </c>
      <c r="G61" s="92">
        <v>1</v>
      </c>
      <c r="H61" s="92">
        <v>1</v>
      </c>
      <c r="I61" s="92"/>
      <c r="J61" s="92"/>
      <c r="K61" s="92"/>
      <c r="L61" s="92"/>
      <c r="M61" s="92"/>
      <c r="N61" s="92"/>
      <c r="O61" s="92"/>
      <c r="P61" s="92"/>
      <c r="Q61" s="92"/>
      <c r="R61" s="92"/>
      <c r="S61" s="92"/>
      <c r="T61" s="92"/>
      <c r="U61" s="92"/>
      <c r="V61" s="92"/>
      <c r="W61" s="92"/>
      <c r="X61" s="92"/>
      <c r="Y61" s="92"/>
      <c r="Z61" s="92"/>
      <c r="AA61" s="92"/>
      <c r="AB61" s="92"/>
      <c r="AC61" s="92"/>
      <c r="AD61" s="92"/>
      <c r="AE61" s="92"/>
      <c r="AF61" s="92"/>
      <c r="AG61" s="92"/>
      <c r="AH61" s="92"/>
      <c r="AI61" s="92"/>
      <c r="AJ61" s="152">
        <f>COUNTA(E61:AI61)</f>
        <v>4</v>
      </c>
      <c r="AK61" s="80">
        <f>COUNTIF(E61:AI61,1)</f>
        <v>4</v>
      </c>
      <c r="AL61" s="80">
        <f>COUNTIF(E61:AI61,"тр")</f>
        <v>0</v>
      </c>
      <c r="AM61" s="81">
        <f>COUNTIF(E61:AI61,"бв")</f>
        <v>0</v>
      </c>
    </row>
    <row r="62" spans="1:39" x14ac:dyDescent="0.25">
      <c r="A62" s="11">
        <f>A61+1</f>
        <v>2</v>
      </c>
      <c r="B62" s="12" t="s">
        <v>54</v>
      </c>
      <c r="C62" s="15">
        <v>177</v>
      </c>
      <c r="D62" s="22">
        <v>6173</v>
      </c>
      <c r="E62" s="7">
        <v>1</v>
      </c>
      <c r="F62" s="5">
        <v>1</v>
      </c>
      <c r="G62" s="5">
        <v>1</v>
      </c>
      <c r="H62" s="5">
        <v>1</v>
      </c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153">
        <f>COUNTA(E62:AI62)</f>
        <v>4</v>
      </c>
      <c r="AK62" s="54">
        <f>COUNTIF(E62:AI62,1)</f>
        <v>4</v>
      </c>
      <c r="AL62" s="54">
        <f>COUNTIF(E62:AI62,"тр")</f>
        <v>0</v>
      </c>
      <c r="AM62" s="55">
        <f>COUNTIF(E62:AI62,"бв")</f>
        <v>0</v>
      </c>
    </row>
    <row r="63" spans="1:39" x14ac:dyDescent="0.25">
      <c r="A63" s="11">
        <f t="shared" ref="A63:A64" si="13">A62+1</f>
        <v>3</v>
      </c>
      <c r="B63" s="12" t="s">
        <v>43</v>
      </c>
      <c r="C63" s="13" t="s">
        <v>44</v>
      </c>
      <c r="D63" s="22">
        <v>1250</v>
      </c>
      <c r="E63" s="7" t="s">
        <v>57</v>
      </c>
      <c r="F63" s="5">
        <v>1</v>
      </c>
      <c r="G63" s="5">
        <v>1</v>
      </c>
      <c r="H63" s="5">
        <v>1</v>
      </c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153">
        <f>COUNTA(E63:AI63)</f>
        <v>4</v>
      </c>
      <c r="AK63" s="54">
        <f>COUNTIF(E63:AI63,1)</f>
        <v>3</v>
      </c>
      <c r="AL63" s="54">
        <f>COUNTIF(E63:AI63,"тр")</f>
        <v>0</v>
      </c>
      <c r="AM63" s="55">
        <f>COUNTIF(E63:AI63,"бв")</f>
        <v>1</v>
      </c>
    </row>
    <row r="64" spans="1:39" ht="16.3" thickBot="1" x14ac:dyDescent="0.3">
      <c r="A64" s="107">
        <f t="shared" si="13"/>
        <v>4</v>
      </c>
      <c r="B64" s="108" t="s">
        <v>55</v>
      </c>
      <c r="C64" s="109" t="s">
        <v>28</v>
      </c>
      <c r="D64" s="110">
        <v>3810</v>
      </c>
      <c r="E64" s="144" t="s">
        <v>58</v>
      </c>
      <c r="F64" s="97" t="s">
        <v>58</v>
      </c>
      <c r="G64" s="97" t="s">
        <v>58</v>
      </c>
      <c r="H64" s="97" t="s">
        <v>58</v>
      </c>
      <c r="I64" s="97" t="s">
        <v>58</v>
      </c>
      <c r="J64" s="97" t="s">
        <v>58</v>
      </c>
      <c r="K64" s="97" t="s">
        <v>58</v>
      </c>
      <c r="L64" s="97" t="s">
        <v>58</v>
      </c>
      <c r="M64" s="97" t="s">
        <v>58</v>
      </c>
      <c r="N64" s="97" t="s">
        <v>58</v>
      </c>
      <c r="O64" s="97" t="s">
        <v>58</v>
      </c>
      <c r="P64" s="97" t="s">
        <v>58</v>
      </c>
      <c r="Q64" s="97" t="s">
        <v>58</v>
      </c>
      <c r="R64" s="97" t="s">
        <v>58</v>
      </c>
      <c r="S64" s="97" t="s">
        <v>58</v>
      </c>
      <c r="T64" s="97" t="s">
        <v>58</v>
      </c>
      <c r="U64" s="97" t="s">
        <v>58</v>
      </c>
      <c r="V64" s="97" t="s">
        <v>58</v>
      </c>
      <c r="W64" s="97" t="s">
        <v>58</v>
      </c>
      <c r="X64" s="97" t="s">
        <v>58</v>
      </c>
      <c r="Y64" s="97" t="s">
        <v>58</v>
      </c>
      <c r="Z64" s="97" t="s">
        <v>58</v>
      </c>
      <c r="AA64" s="97" t="s">
        <v>58</v>
      </c>
      <c r="AB64" s="97" t="s">
        <v>58</v>
      </c>
      <c r="AC64" s="97" t="s">
        <v>58</v>
      </c>
      <c r="AD64" s="97" t="s">
        <v>58</v>
      </c>
      <c r="AE64" s="97" t="s">
        <v>58</v>
      </c>
      <c r="AF64" s="97" t="s">
        <v>58</v>
      </c>
      <c r="AG64" s="97" t="s">
        <v>58</v>
      </c>
      <c r="AH64" s="97" t="s">
        <v>58</v>
      </c>
      <c r="AI64" s="97" t="s">
        <v>58</v>
      </c>
      <c r="AJ64" s="154">
        <f>COUNTA(E64:AI64)</f>
        <v>31</v>
      </c>
      <c r="AK64" s="84">
        <f>COUNTIF(E64:AI64,1)</f>
        <v>0</v>
      </c>
      <c r="AL64" s="84">
        <f>COUNTIF(E64:AI64,"тр")</f>
        <v>31</v>
      </c>
      <c r="AM64" s="85">
        <f>COUNTIF(E64:AI64,"бв")</f>
        <v>0</v>
      </c>
    </row>
    <row r="65" spans="1:39" s="33" customFormat="1" ht="16.3" thickBot="1" x14ac:dyDescent="0.3">
      <c r="A65" s="121"/>
      <c r="B65" s="122" t="s">
        <v>63</v>
      </c>
      <c r="C65" s="123"/>
      <c r="D65" s="123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149"/>
      <c r="AC65" s="149"/>
      <c r="AD65" s="149"/>
      <c r="AE65" s="149"/>
      <c r="AF65" s="149"/>
      <c r="AG65" s="149"/>
      <c r="AH65" s="149"/>
      <c r="AI65" s="149"/>
      <c r="AJ65" s="134">
        <f>SUM(AJ61:AJ64)</f>
        <v>43</v>
      </c>
      <c r="AK65" s="135">
        <f t="shared" ref="AK65:AM65" si="14">SUM(AK61:AK64)</f>
        <v>11</v>
      </c>
      <c r="AL65" s="135">
        <f t="shared" si="14"/>
        <v>31</v>
      </c>
      <c r="AM65" s="136">
        <f t="shared" si="14"/>
        <v>1</v>
      </c>
    </row>
    <row r="66" spans="1:39" s="33" customFormat="1" x14ac:dyDescent="0.25">
      <c r="A66" s="165"/>
      <c r="B66" s="49"/>
      <c r="C66" s="50"/>
      <c r="D66" s="50"/>
      <c r="Y66" s="51" t="s">
        <v>68</v>
      </c>
      <c r="AJ66" s="76">
        <f>AJ65</f>
        <v>43</v>
      </c>
    </row>
    <row r="68" spans="1:39" x14ac:dyDescent="0.25">
      <c r="B68" s="3" t="s">
        <v>75</v>
      </c>
      <c r="E68" s="88"/>
      <c r="F68" s="88"/>
      <c r="G68" s="88"/>
      <c r="H68" s="88"/>
      <c r="I68" s="88"/>
      <c r="J68" s="88"/>
      <c r="K68" s="88"/>
      <c r="L68" s="88"/>
      <c r="S68" s="3" t="s">
        <v>76</v>
      </c>
    </row>
  </sheetData>
  <autoFilter ref="E2:AM57"/>
  <mergeCells count="2">
    <mergeCell ref="A1:AM1"/>
    <mergeCell ref="A59:AM59"/>
  </mergeCells>
  <conditionalFormatting sqref="AK5:AM5 AJ24:AM24 AJ32:AM32 AJ36:AM36 AJ38:AM38 AJ42:AM42 AJ50:AM50 AJ52:AM52 AJ56:AM56 AJ65:AM65 E4:AI4 AJ4:AJ5 E25:AJ31 E43:AJ49 E51:AJ51 E53:AJ55 E33:AJ35 E37:AJ37 E39:AJ41 E61:AJ64 E6:AJ23">
    <cfRule type="containsBlanks" dxfId="0" priority="1">
      <formula>LEN(TRIM(E4))=0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J5:AM5 AJ52:AM52 AJ50:AN50 AJ42:AM42 AJ38:AM38 AJ36:AM36 AJ32:AM32 AJ24:AM24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5</vt:i4>
      </vt:variant>
    </vt:vector>
  </HeadingPairs>
  <TitlesOfParts>
    <vt:vector size="11" baseType="lpstr">
      <vt:lpstr>Январь 2019</vt:lpstr>
      <vt:lpstr>Февраль 2019</vt:lpstr>
      <vt:lpstr>Март 2019</vt:lpstr>
      <vt:lpstr>Апрель 2019</vt:lpstr>
      <vt:lpstr>Май 2019</vt:lpstr>
      <vt:lpstr>Данные</vt:lpstr>
      <vt:lpstr>АХД</vt:lpstr>
      <vt:lpstr>'Апрель 2019'!Заголовки_для_печати</vt:lpstr>
      <vt:lpstr>'Май 2019'!Заголовки_для_печати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2019-04-01T09:29:13Z</cp:lastPrinted>
  <dcterms:created xsi:type="dcterms:W3CDTF">2018-09-27T18:15:43Z</dcterms:created>
  <dcterms:modified xsi:type="dcterms:W3CDTF">2019-05-04T08:26:06Z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