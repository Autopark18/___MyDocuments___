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2" i="10" l="1"/>
  <c r="AK22" i="10"/>
  <c r="AL22" i="10"/>
  <c r="AM22" i="10"/>
  <c r="AJ23" i="10"/>
  <c r="AK23" i="10"/>
  <c r="AL23" i="10"/>
  <c r="AM23" i="10"/>
  <c r="AJ66" i="9" l="1"/>
  <c r="AK66" i="9"/>
  <c r="AL66" i="9"/>
  <c r="AI66" i="9"/>
  <c r="AL65" i="9"/>
  <c r="AK65" i="9"/>
  <c r="AJ65" i="9"/>
  <c r="AI65" i="9"/>
  <c r="AM64" i="10" l="1"/>
  <c r="AL64" i="10"/>
  <c r="AK64" i="10"/>
  <c r="AJ64" i="10"/>
  <c r="AM63" i="10"/>
  <c r="AL63" i="10"/>
  <c r="AK63" i="10"/>
  <c r="AJ63" i="10"/>
  <c r="AM62" i="10"/>
  <c r="AL62" i="10"/>
  <c r="AK62" i="10"/>
  <c r="AJ62" i="10"/>
  <c r="A62" i="10"/>
  <c r="A63" i="10" s="1"/>
  <c r="A64" i="10" s="1"/>
  <c r="A65" i="10" s="1"/>
  <c r="AM61" i="10"/>
  <c r="AL61" i="10"/>
  <c r="AK61" i="10"/>
  <c r="AJ61" i="10"/>
  <c r="A59" i="10"/>
  <c r="AM55" i="10"/>
  <c r="AL55" i="10"/>
  <c r="AK55" i="10"/>
  <c r="AJ55" i="10"/>
  <c r="AM54" i="10"/>
  <c r="AL54" i="10"/>
  <c r="AK54" i="10"/>
  <c r="AJ54" i="10"/>
  <c r="AM53" i="10"/>
  <c r="AM56" i="10" s="1"/>
  <c r="AL53" i="10"/>
  <c r="AK53" i="10"/>
  <c r="AJ53" i="10"/>
  <c r="AM51" i="10"/>
  <c r="AM52" i="10" s="1"/>
  <c r="AL51" i="10"/>
  <c r="AL52" i="10" s="1"/>
  <c r="AK51" i="10"/>
  <c r="AK52" i="10" s="1"/>
  <c r="AJ51" i="10"/>
  <c r="AJ52" i="10" s="1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1" i="10"/>
  <c r="AL41" i="10"/>
  <c r="AK41" i="10"/>
  <c r="AJ41" i="10"/>
  <c r="AM40" i="10"/>
  <c r="AL40" i="10"/>
  <c r="AK40" i="10"/>
  <c r="AJ40" i="10"/>
  <c r="AM39" i="10"/>
  <c r="AL39" i="10"/>
  <c r="AK39" i="10"/>
  <c r="AJ39" i="10"/>
  <c r="AM37" i="10"/>
  <c r="AM38" i="10" s="1"/>
  <c r="AL37" i="10"/>
  <c r="AL38" i="10" s="1"/>
  <c r="AK37" i="10"/>
  <c r="AK38" i="10" s="1"/>
  <c r="AJ37" i="10"/>
  <c r="AJ38" i="10" s="1"/>
  <c r="AM35" i="10"/>
  <c r="AL35" i="10"/>
  <c r="AK35" i="10"/>
  <c r="AJ35" i="10"/>
  <c r="AM34" i="10"/>
  <c r="AL34" i="10"/>
  <c r="AK34" i="10"/>
  <c r="AJ34" i="10"/>
  <c r="AM33" i="10"/>
  <c r="AL33" i="10"/>
  <c r="AK33" i="10"/>
  <c r="AK36" i="10" s="1"/>
  <c r="AJ33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M24" i="10" s="1"/>
  <c r="AL4" i="10"/>
  <c r="AK4" i="10"/>
  <c r="AK24" i="10" s="1"/>
  <c r="AJ4" i="10"/>
  <c r="AJ24" i="10" s="1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5" i="10"/>
  <c r="AL65" i="10"/>
  <c r="AK65" i="10"/>
  <c r="AJ65" i="10"/>
  <c r="A1" i="10"/>
  <c r="AL24" i="10" l="1"/>
  <c r="A25" i="10"/>
  <c r="A26" i="10" s="1"/>
  <c r="A27" i="10" s="1"/>
  <c r="A28" i="10" s="1"/>
  <c r="A29" i="10" s="1"/>
  <c r="A30" i="10" s="1"/>
  <c r="A31" i="10" s="1"/>
  <c r="A33" i="10" s="1"/>
  <c r="A34" i="10" s="1"/>
  <c r="A35" i="10" s="1"/>
  <c r="A37" i="10" s="1"/>
  <c r="A39" i="10" s="1"/>
  <c r="A40" i="10" s="1"/>
  <c r="A41" i="10" s="1"/>
  <c r="A43" i="10" s="1"/>
  <c r="A44" i="10" s="1"/>
  <c r="A45" i="10" s="1"/>
  <c r="A46" i="10" s="1"/>
  <c r="A47" i="10" s="1"/>
  <c r="A48" i="10" s="1"/>
  <c r="A49" i="10" s="1"/>
  <c r="A51" i="10" s="1"/>
  <c r="A53" i="10" s="1"/>
  <c r="A54" i="10" s="1"/>
  <c r="A55" i="10" s="1"/>
  <c r="AK56" i="10"/>
  <c r="AK42" i="10"/>
  <c r="AK32" i="10"/>
  <c r="AK50" i="10"/>
  <c r="AM36" i="10"/>
  <c r="AM42" i="10"/>
  <c r="AJ36" i="10"/>
  <c r="AJ56" i="10"/>
  <c r="AL42" i="10"/>
  <c r="AM50" i="10"/>
  <c r="AK66" i="10"/>
  <c r="AM66" i="10"/>
  <c r="AJ66" i="10"/>
  <c r="AL66" i="10"/>
  <c r="AJ67" i="10"/>
  <c r="AJ42" i="10"/>
  <c r="AL56" i="10"/>
  <c r="AL32" i="10"/>
  <c r="AL50" i="10"/>
  <c r="AM32" i="10"/>
  <c r="AJ50" i="10"/>
  <c r="AJ32" i="10"/>
  <c r="AL36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7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<sst xmlns="http://schemas.openxmlformats.org/spreadsheetml/2006/main" count="3294" uniqueCount="85">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</sst>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8" sqref="AI4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5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ht="16.3" thickBot="1" x14ac:dyDescent="0.3">
      <c r="A23" s="107">
        <f t="shared" si="4"/>
        <v>20</v>
      </c>
      <c r="B23" s="108" t="s">
        <v>80</v>
      </c>
      <c r="C23" s="109" t="s">
        <v>83</v>
      </c>
      <c r="D23" s="110" t="s">
        <v>82</v>
      </c>
      <c r="E23" s="144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 t="s">
        <v>57</v>
      </c>
      <c r="AF23" s="97" t="s">
        <v>57</v>
      </c>
      <c r="AG23" s="97" t="s">
        <v>57</v>
      </c>
      <c r="AH23" s="97" t="s">
        <v>57</v>
      </c>
      <c r="AI23" s="102" t="s">
        <v>57</v>
      </c>
      <c r="AJ23" s="154">
        <f t="shared" si="5"/>
        <v>5</v>
      </c>
      <c r="AK23" s="84">
        <f t="shared" si="6"/>
        <v>0</v>
      </c>
      <c r="AL23" s="84">
        <f t="shared" si="7"/>
        <v>0</v>
      </c>
      <c r="AM23" s="85">
        <f t="shared" si="8"/>
        <v>5</v>
      </c>
    </row>
    <row r="24" spans="1:39" s="33" customFormat="1" ht="16.3" thickBot="1" x14ac:dyDescent="0.3">
      <c r="A24" s="121"/>
      <c r="B24" s="122" t="s">
        <v>63</v>
      </c>
      <c r="C24" s="123"/>
      <c r="D24" s="123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  <c r="AJ24" s="140">
        <f>SUM(AJ4:AJ23)</f>
        <v>568</v>
      </c>
      <c r="AK24" s="141">
        <f t="shared" ref="AK24:AM24" si="9">SUM(AK4:AK23)</f>
        <v>452</v>
      </c>
      <c r="AL24" s="141">
        <f t="shared" si="9"/>
        <v>79</v>
      </c>
      <c r="AM24" s="142">
        <f t="shared" si="9"/>
        <v>37</v>
      </c>
    </row>
    <row r="25" spans="1:39" x14ac:dyDescent="0.25">
      <c r="A25" s="8">
        <f>A23+1</f>
        <v>21</v>
      </c>
      <c r="B25" s="45" t="s">
        <v>19</v>
      </c>
      <c r="C25" s="10" t="s">
        <v>20</v>
      </c>
      <c r="D25" s="21">
        <v>2961</v>
      </c>
      <c r="E25" s="6" t="s">
        <v>58</v>
      </c>
      <c r="F25" s="35" t="s">
        <v>58</v>
      </c>
      <c r="G25" s="35" t="s">
        <v>58</v>
      </c>
      <c r="H25" s="35" t="s">
        <v>58</v>
      </c>
      <c r="I25" s="35" t="s">
        <v>58</v>
      </c>
      <c r="J25" s="35" t="s">
        <v>58</v>
      </c>
      <c r="K25" s="35" t="s">
        <v>58</v>
      </c>
      <c r="L25" s="35" t="s">
        <v>58</v>
      </c>
      <c r="M25" s="35" t="s">
        <v>58</v>
      </c>
      <c r="N25" s="35" t="s">
        <v>58</v>
      </c>
      <c r="O25" s="35" t="s">
        <v>58</v>
      </c>
      <c r="P25" s="35">
        <v>1</v>
      </c>
      <c r="Q25" s="35">
        <v>1</v>
      </c>
      <c r="R25" s="35">
        <v>1</v>
      </c>
      <c r="S25" s="35">
        <v>1</v>
      </c>
      <c r="T25" s="35">
        <v>1</v>
      </c>
      <c r="U25" s="35">
        <v>1</v>
      </c>
      <c r="V25" s="35">
        <v>1</v>
      </c>
      <c r="W25" s="35">
        <v>1</v>
      </c>
      <c r="X25" s="35">
        <v>1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 t="s">
        <v>57</v>
      </c>
      <c r="AH25" s="35" t="s">
        <v>58</v>
      </c>
      <c r="AI25" s="35">
        <v>1</v>
      </c>
      <c r="AJ25" s="152">
        <f t="shared" ref="AJ25:AJ31" si="10">COUNTA(E25:AI25)</f>
        <v>31</v>
      </c>
      <c r="AK25" s="80">
        <f t="shared" ref="AK25:AK31" si="11">COUNTIF(E25:AI25,1)</f>
        <v>17</v>
      </c>
      <c r="AL25" s="80">
        <f t="shared" ref="AL25:AL31" si="12">COUNTIF(E25:AI25,"тр")</f>
        <v>12</v>
      </c>
      <c r="AM25" s="81">
        <f t="shared" ref="AM25:AM31" si="13">COUNTIF(E25:AI25,"бв")</f>
        <v>2</v>
      </c>
    </row>
    <row r="26" spans="1:39" x14ac:dyDescent="0.25">
      <c r="A26" s="11">
        <f t="shared" si="4"/>
        <v>22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 t="s">
        <v>58</v>
      </c>
      <c r="O26" s="5">
        <v>1</v>
      </c>
      <c r="P26" s="5" t="s">
        <v>57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57</v>
      </c>
      <c r="AE26" s="5" t="s">
        <v>58</v>
      </c>
      <c r="AF26" s="5">
        <v>1</v>
      </c>
      <c r="AG26" s="5">
        <v>1</v>
      </c>
      <c r="AH26" s="5" t="s">
        <v>58</v>
      </c>
      <c r="AI26" s="5" t="s">
        <v>58</v>
      </c>
      <c r="AJ26" s="153">
        <f t="shared" si="10"/>
        <v>31</v>
      </c>
      <c r="AK26" s="54">
        <f t="shared" si="11"/>
        <v>12</v>
      </c>
      <c r="AL26" s="54">
        <f t="shared" si="12"/>
        <v>17</v>
      </c>
      <c r="AM26" s="55">
        <f t="shared" si="13"/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>
        <v>1</v>
      </c>
      <c r="H27" s="5" t="s">
        <v>58</v>
      </c>
      <c r="I27" s="5" t="s">
        <v>57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58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5">
        <v>1</v>
      </c>
      <c r="AJ27" s="153">
        <f t="shared" si="10"/>
        <v>31</v>
      </c>
      <c r="AK27" s="54">
        <f t="shared" si="11"/>
        <v>28</v>
      </c>
      <c r="AL27" s="54">
        <f t="shared" si="12"/>
        <v>2</v>
      </c>
      <c r="AM27" s="55">
        <f t="shared" si="13"/>
        <v>1</v>
      </c>
    </row>
    <row r="28" spans="1:39" x14ac:dyDescent="0.25">
      <c r="A28" s="11">
        <f t="shared" si="4"/>
        <v>24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10"/>
        <v>31</v>
      </c>
      <c r="AK28" s="54">
        <f t="shared" si="11"/>
        <v>0</v>
      </c>
      <c r="AL28" s="54">
        <f t="shared" si="12"/>
        <v>31</v>
      </c>
      <c r="AM28" s="55">
        <f t="shared" si="13"/>
        <v>0</v>
      </c>
    </row>
    <row r="29" spans="1:39" x14ac:dyDescent="0.25">
      <c r="A29" s="11">
        <f t="shared" si="4"/>
        <v>25</v>
      </c>
      <c r="B29" s="14" t="s">
        <v>19</v>
      </c>
      <c r="C29" s="15">
        <v>162</v>
      </c>
      <c r="D29" s="22" t="s">
        <v>51</v>
      </c>
      <c r="E29" s="7" t="s">
        <v>57</v>
      </c>
      <c r="F29" s="7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 s="5">
        <v>1</v>
      </c>
      <c r="M29" s="5" t="s">
        <v>57</v>
      </c>
      <c r="N29" s="5" t="s">
        <v>57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 t="s">
        <v>57</v>
      </c>
      <c r="W29" s="5" t="s">
        <v>57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153">
        <f t="shared" si="10"/>
        <v>31</v>
      </c>
      <c r="AK29" s="54">
        <f t="shared" si="11"/>
        <v>24</v>
      </c>
      <c r="AL29" s="54">
        <f t="shared" si="12"/>
        <v>0</v>
      </c>
      <c r="AM29" s="55">
        <f t="shared" si="13"/>
        <v>7</v>
      </c>
    </row>
    <row r="30" spans="1:39" x14ac:dyDescent="0.25">
      <c r="A30" s="11">
        <f t="shared" si="4"/>
        <v>26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>
        <v>1</v>
      </c>
      <c r="AH30" s="5" t="s">
        <v>58</v>
      </c>
      <c r="AI30" s="5">
        <v>1</v>
      </c>
      <c r="AJ30" s="153">
        <f t="shared" si="10"/>
        <v>31</v>
      </c>
      <c r="AK30" s="54">
        <f t="shared" si="11"/>
        <v>18</v>
      </c>
      <c r="AL30" s="54">
        <f t="shared" si="12"/>
        <v>13</v>
      </c>
      <c r="AM30" s="55">
        <f t="shared" si="13"/>
        <v>0</v>
      </c>
    </row>
    <row r="31" spans="1:39" ht="16.3" thickBot="1" x14ac:dyDescent="0.3">
      <c r="A31" s="44">
        <f t="shared" si="4"/>
        <v>27</v>
      </c>
      <c r="B31" s="67" t="s">
        <v>19</v>
      </c>
      <c r="C31" s="40" t="s">
        <v>24</v>
      </c>
      <c r="D31" s="41">
        <v>1276</v>
      </c>
      <c r="E31" s="43" t="s">
        <v>57</v>
      </c>
      <c r="F31" s="42" t="s">
        <v>57</v>
      </c>
      <c r="G31" s="42" t="s">
        <v>57</v>
      </c>
      <c r="H31" s="42" t="s">
        <v>57</v>
      </c>
      <c r="I31" s="42" t="s">
        <v>57</v>
      </c>
      <c r="J31" s="42" t="s">
        <v>57</v>
      </c>
      <c r="K31" s="42" t="s">
        <v>57</v>
      </c>
      <c r="L31" s="42" t="s">
        <v>57</v>
      </c>
      <c r="M31" s="42" t="s">
        <v>57</v>
      </c>
      <c r="N31" s="42" t="s">
        <v>57</v>
      </c>
      <c r="O31" s="42" t="s">
        <v>57</v>
      </c>
      <c r="P31" s="42" t="s">
        <v>57</v>
      </c>
      <c r="Q31" s="42" t="s">
        <v>57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 t="s">
        <v>58</v>
      </c>
      <c r="Y31" s="42" t="s">
        <v>58</v>
      </c>
      <c r="Z31" s="42" t="s">
        <v>58</v>
      </c>
      <c r="AA31" s="42" t="s">
        <v>58</v>
      </c>
      <c r="AB31" s="42" t="s">
        <v>58</v>
      </c>
      <c r="AC31" s="42" t="s">
        <v>58</v>
      </c>
      <c r="AD31" s="42" t="s">
        <v>58</v>
      </c>
      <c r="AE31" s="42">
        <v>1</v>
      </c>
      <c r="AF31" s="42" t="s">
        <v>58</v>
      </c>
      <c r="AG31" s="42" t="s">
        <v>58</v>
      </c>
      <c r="AH31" s="42" t="s">
        <v>58</v>
      </c>
      <c r="AI31" s="42" t="s">
        <v>58</v>
      </c>
      <c r="AJ31" s="154">
        <f t="shared" si="10"/>
        <v>31</v>
      </c>
      <c r="AK31" s="84">
        <f t="shared" si="11"/>
        <v>7</v>
      </c>
      <c r="AL31" s="84">
        <f t="shared" si="12"/>
        <v>11</v>
      </c>
      <c r="AM31" s="85">
        <f t="shared" si="13"/>
        <v>13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217</v>
      </c>
      <c r="AK32" s="135">
        <f>SUM(AK25:AK31)</f>
        <v>106</v>
      </c>
      <c r="AL32" s="135">
        <f>SUM(AL25:AL31)</f>
        <v>86</v>
      </c>
      <c r="AM32" s="136">
        <f>SUM(AM25:AM31)</f>
        <v>25</v>
      </c>
    </row>
    <row r="33" spans="1:39" x14ac:dyDescent="0.25">
      <c r="A33" s="8">
        <f>A31+1</f>
        <v>28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 t="s">
        <v>57</v>
      </c>
      <c r="L33" s="35" t="s">
        <v>57</v>
      </c>
      <c r="M33" s="35" t="s">
        <v>57</v>
      </c>
      <c r="N33" s="35">
        <v>1</v>
      </c>
      <c r="O33" s="35">
        <v>1</v>
      </c>
      <c r="P33" s="35" t="s">
        <v>57</v>
      </c>
      <c r="Q33" s="35" t="s">
        <v>57</v>
      </c>
      <c r="R33" s="35" t="s">
        <v>57</v>
      </c>
      <c r="S33" s="35" t="s">
        <v>57</v>
      </c>
      <c r="T33" s="35" t="s">
        <v>57</v>
      </c>
      <c r="U33" s="35" t="s">
        <v>57</v>
      </c>
      <c r="V33" s="35" t="s">
        <v>57</v>
      </c>
      <c r="W33" s="35" t="s">
        <v>57</v>
      </c>
      <c r="X33" s="35" t="s">
        <v>57</v>
      </c>
      <c r="Y33" s="35" t="s">
        <v>57</v>
      </c>
      <c r="Z33" s="35" t="s">
        <v>57</v>
      </c>
      <c r="AA33" s="35" t="s">
        <v>57</v>
      </c>
      <c r="AB33" s="35" t="s">
        <v>57</v>
      </c>
      <c r="AC33" s="35" t="s">
        <v>57</v>
      </c>
      <c r="AD33" s="35" t="s">
        <v>57</v>
      </c>
      <c r="AE33" s="35" t="s">
        <v>57</v>
      </c>
      <c r="AF33" s="35" t="s">
        <v>57</v>
      </c>
      <c r="AG33" s="35" t="s">
        <v>57</v>
      </c>
      <c r="AH33" s="35" t="s">
        <v>57</v>
      </c>
      <c r="AI33" s="35" t="s">
        <v>57</v>
      </c>
      <c r="AJ33" s="155">
        <f>COUNTA(E33:AI33)</f>
        <v>31</v>
      </c>
      <c r="AK33" s="17">
        <f>COUNTIF(E33:AI33,1)</f>
        <v>8</v>
      </c>
      <c r="AL33" s="17">
        <f>COUNTIF(E33:AI33,"тр")</f>
        <v>0</v>
      </c>
      <c r="AM33" s="18">
        <f>COUNTIF(E33:AI33,"бв")</f>
        <v>23</v>
      </c>
    </row>
    <row r="34" spans="1:39" x14ac:dyDescent="0.25">
      <c r="A34" s="11">
        <f t="shared" si="4"/>
        <v>29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>
        <v>1</v>
      </c>
      <c r="J34" s="5" t="s">
        <v>57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57</v>
      </c>
      <c r="S34" s="5" t="s">
        <v>57</v>
      </c>
      <c r="T34" s="5">
        <v>1</v>
      </c>
      <c r="U34" s="5">
        <v>1</v>
      </c>
      <c r="V34" s="5">
        <v>1</v>
      </c>
      <c r="W34" s="5">
        <v>1</v>
      </c>
      <c r="X34" s="5">
        <v>1</v>
      </c>
      <c r="Y34" s="5">
        <v>1</v>
      </c>
      <c r="Z34" s="5" t="s">
        <v>57</v>
      </c>
      <c r="AA34" s="5" t="s">
        <v>57</v>
      </c>
      <c r="AB34" s="5">
        <v>1</v>
      </c>
      <c r="AC34" s="5">
        <v>1</v>
      </c>
      <c r="AD34" s="5">
        <v>1</v>
      </c>
      <c r="AE34" s="5">
        <v>1</v>
      </c>
      <c r="AF34" s="5" t="s">
        <v>57</v>
      </c>
      <c r="AG34" s="5" t="s">
        <v>57</v>
      </c>
      <c r="AH34" s="5" t="s">
        <v>57</v>
      </c>
      <c r="AI34" s="5" t="s">
        <v>57</v>
      </c>
      <c r="AJ34" s="155">
        <f>COUNTA(E34:AI34)</f>
        <v>31</v>
      </c>
      <c r="AK34" s="54">
        <f>COUNTIF(E34:AI34,1)</f>
        <v>22</v>
      </c>
      <c r="AL34" s="54">
        <f>COUNTIF(E34:AI34,"тр")</f>
        <v>0</v>
      </c>
      <c r="AM34" s="55">
        <f>COUNTIF(E34:AI34,"бв")</f>
        <v>9</v>
      </c>
    </row>
    <row r="35" spans="1:39" ht="16.3" thickBot="1" x14ac:dyDescent="0.3">
      <c r="A35" s="44">
        <f t="shared" si="4"/>
        <v>30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93</v>
      </c>
      <c r="AK36" s="69">
        <f>SUM(AK33:AK35)</f>
        <v>30</v>
      </c>
      <c r="AL36" s="69">
        <f>SUM(AL33:AL35)</f>
        <v>31</v>
      </c>
      <c r="AM36" s="75">
        <f>SUM(AM33:AM35)</f>
        <v>32</v>
      </c>
    </row>
    <row r="37" spans="1:39" ht="16.3" thickBot="1" x14ac:dyDescent="0.3">
      <c r="A37" s="58">
        <f>A35+1</f>
        <v>31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32</v>
      </c>
      <c r="B39" s="9" t="s">
        <v>33</v>
      </c>
      <c r="C39" s="10" t="s">
        <v>32</v>
      </c>
      <c r="D39" s="21">
        <v>2831</v>
      </c>
      <c r="E39" s="35">
        <v>1</v>
      </c>
      <c r="F39" s="35">
        <v>1</v>
      </c>
      <c r="G39" s="35">
        <v>1</v>
      </c>
      <c r="H39" s="35">
        <v>1</v>
      </c>
      <c r="I39" s="35" t="s">
        <v>57</v>
      </c>
      <c r="J39" s="35" t="s">
        <v>57</v>
      </c>
      <c r="K39" s="35" t="s">
        <v>57</v>
      </c>
      <c r="L39" s="35">
        <v>1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>
        <v>1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>
        <v>1</v>
      </c>
      <c r="AJ39" s="155">
        <f>COUNTA(E39:AI39)</f>
        <v>31</v>
      </c>
      <c r="AK39" s="17">
        <f>COUNTIF(E39:AI39,1)</f>
        <v>18</v>
      </c>
      <c r="AL39" s="17">
        <f>COUNTIF(E39:AI39,"тр")</f>
        <v>8</v>
      </c>
      <c r="AM39" s="18">
        <f>COUNTIF(E39:AI39,"бв")</f>
        <v>5</v>
      </c>
    </row>
    <row r="40" spans="1:39" x14ac:dyDescent="0.25">
      <c r="A40" s="11">
        <f t="shared" si="4"/>
        <v>33</v>
      </c>
      <c r="B40" s="12" t="s">
        <v>33</v>
      </c>
      <c r="C40" s="13" t="s">
        <v>34</v>
      </c>
      <c r="D40" s="22">
        <v>7945</v>
      </c>
      <c r="E40" s="7" t="s">
        <v>58</v>
      </c>
      <c r="F40" s="7" t="s">
        <v>58</v>
      </c>
      <c r="G40" s="7" t="s">
        <v>58</v>
      </c>
      <c r="H40" s="5" t="s">
        <v>58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 t="s">
        <v>58</v>
      </c>
      <c r="R40" s="5" t="s">
        <v>58</v>
      </c>
      <c r="S40" s="5" t="s">
        <v>58</v>
      </c>
      <c r="T40" s="5" t="s">
        <v>58</v>
      </c>
      <c r="U40" s="5">
        <v>1</v>
      </c>
      <c r="V40" s="5">
        <v>1</v>
      </c>
      <c r="W40" s="5">
        <v>1</v>
      </c>
      <c r="X40" s="5">
        <v>1</v>
      </c>
      <c r="Y40" s="5">
        <v>1</v>
      </c>
      <c r="Z40" s="5">
        <v>1</v>
      </c>
      <c r="AA40" s="5">
        <v>1</v>
      </c>
      <c r="AB40" s="5" t="s">
        <v>57</v>
      </c>
      <c r="AC40" s="5" t="s">
        <v>57</v>
      </c>
      <c r="AD40" s="5" t="s">
        <v>57</v>
      </c>
      <c r="AE40" s="5">
        <v>1</v>
      </c>
      <c r="AF40" s="5">
        <v>1</v>
      </c>
      <c r="AG40" s="5">
        <v>1</v>
      </c>
      <c r="AH40" s="5">
        <v>1</v>
      </c>
      <c r="AI40" s="5">
        <v>1</v>
      </c>
      <c r="AJ40" s="155">
        <f>COUNTA(E40:AI40)</f>
        <v>31</v>
      </c>
      <c r="AK40" s="54">
        <f>COUNTIF(E40:AI40,1)</f>
        <v>15</v>
      </c>
      <c r="AL40" s="54">
        <f>COUNTIF(E40:AI40,"тр")</f>
        <v>13</v>
      </c>
      <c r="AM40" s="55">
        <f>COUNTIF(E40:AI40,"бв")</f>
        <v>3</v>
      </c>
    </row>
    <row r="41" spans="1:39" ht="16.3" thickBot="1" x14ac:dyDescent="0.3">
      <c r="A41" s="44">
        <f t="shared" si="4"/>
        <v>34</v>
      </c>
      <c r="B41" s="39" t="s">
        <v>35</v>
      </c>
      <c r="C41" s="68">
        <v>135</v>
      </c>
      <c r="D41" s="41">
        <v>8933</v>
      </c>
      <c r="E41" s="43" t="s">
        <v>57</v>
      </c>
      <c r="F41" s="43">
        <v>1</v>
      </c>
      <c r="G41" s="43">
        <v>1</v>
      </c>
      <c r="H41" s="42">
        <v>1</v>
      </c>
      <c r="I41" s="42">
        <v>1</v>
      </c>
      <c r="J41" s="42" t="s">
        <v>57</v>
      </c>
      <c r="K41" s="42">
        <v>1</v>
      </c>
      <c r="L41" s="42">
        <v>1</v>
      </c>
      <c r="M41" s="42">
        <v>1</v>
      </c>
      <c r="N41" s="42">
        <v>1</v>
      </c>
      <c r="O41" s="42">
        <v>1</v>
      </c>
      <c r="P41" s="42" t="s">
        <v>57</v>
      </c>
      <c r="Q41" s="42">
        <v>1</v>
      </c>
      <c r="R41" s="42">
        <v>1</v>
      </c>
      <c r="S41" s="42">
        <v>1</v>
      </c>
      <c r="T41" s="42">
        <v>1</v>
      </c>
      <c r="U41" s="42">
        <v>1</v>
      </c>
      <c r="V41" s="42" t="s">
        <v>57</v>
      </c>
      <c r="W41" s="42" t="s">
        <v>57</v>
      </c>
      <c r="X41" s="42">
        <v>1</v>
      </c>
      <c r="Y41" s="42" t="s">
        <v>57</v>
      </c>
      <c r="Z41" s="42">
        <v>1</v>
      </c>
      <c r="AA41" s="42">
        <v>1</v>
      </c>
      <c r="AB41" s="42">
        <v>1</v>
      </c>
      <c r="AC41" s="42">
        <v>1</v>
      </c>
      <c r="AD41" s="42">
        <v>1</v>
      </c>
      <c r="AE41" s="42">
        <v>1</v>
      </c>
      <c r="AF41" s="42" t="s">
        <v>57</v>
      </c>
      <c r="AG41" s="42" t="s">
        <v>57</v>
      </c>
      <c r="AH41" s="42">
        <v>1</v>
      </c>
      <c r="AI41" s="42">
        <v>1</v>
      </c>
      <c r="AJ41" s="155">
        <f>COUNTA(E41:AI41)</f>
        <v>31</v>
      </c>
      <c r="AK41" s="56">
        <f>COUNTIF(E41:AI41,1)</f>
        <v>23</v>
      </c>
      <c r="AL41" s="56">
        <f>COUNTIF(E41:AI41,"тр")</f>
        <v>0</v>
      </c>
      <c r="AM41" s="57">
        <f>COUNTIF(E41:AI41,"бв")</f>
        <v>8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93</v>
      </c>
      <c r="AK42" s="69">
        <f>SUM(AK39:AK41)</f>
        <v>56</v>
      </c>
      <c r="AL42" s="69">
        <f>SUM(AL39:AL41)</f>
        <v>21</v>
      </c>
      <c r="AM42" s="75">
        <f>SUM(AM39:AM41)</f>
        <v>16</v>
      </c>
    </row>
    <row r="43" spans="1:39" x14ac:dyDescent="0.25">
      <c r="A43" s="8">
        <f>A41+1</f>
        <v>35</v>
      </c>
      <c r="B43" s="9" t="s">
        <v>54</v>
      </c>
      <c r="C43" s="10" t="s">
        <v>36</v>
      </c>
      <c r="D43" s="21">
        <v>4994</v>
      </c>
      <c r="E43" s="6">
        <v>1</v>
      </c>
      <c r="F43" s="6" t="s">
        <v>58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35">
        <v>1</v>
      </c>
      <c r="AJ43" s="155">
        <f t="shared" ref="AJ43:AJ49" si="14">COUNTA(E43:AI43)</f>
        <v>31</v>
      </c>
      <c r="AK43" s="17">
        <f t="shared" ref="AK43:AK49" si="15">COUNTIF(E43:AI43,1)</f>
        <v>30</v>
      </c>
      <c r="AL43" s="17">
        <f t="shared" ref="AL43:AL49" si="16">COUNTIF(E43:AI43,"тр")</f>
        <v>1</v>
      </c>
      <c r="AM43" s="18">
        <f t="shared" ref="AM43:AM49" si="17">COUNTIF(E43:AI43,"бв")</f>
        <v>0</v>
      </c>
    </row>
    <row r="44" spans="1:39" x14ac:dyDescent="0.25">
      <c r="A44" s="11">
        <f t="shared" si="4"/>
        <v>36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>
        <v>1</v>
      </c>
      <c r="I44" s="5">
        <v>1</v>
      </c>
      <c r="J44" s="5" t="s">
        <v>57</v>
      </c>
      <c r="K44" s="5">
        <v>1</v>
      </c>
      <c r="L44" s="5">
        <v>1</v>
      </c>
      <c r="M44" s="5">
        <v>1</v>
      </c>
      <c r="N44" s="5">
        <v>1</v>
      </c>
      <c r="O44" s="5">
        <v>1</v>
      </c>
      <c r="P44" s="5" t="s">
        <v>57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 t="s">
        <v>57</v>
      </c>
      <c r="AE44" s="5">
        <v>1</v>
      </c>
      <c r="AF44" s="5">
        <v>1</v>
      </c>
      <c r="AG44" s="5">
        <v>1</v>
      </c>
      <c r="AH44" s="5" t="s">
        <v>57</v>
      </c>
      <c r="AI44" s="5">
        <v>1</v>
      </c>
      <c r="AJ44" s="155">
        <f t="shared" si="14"/>
        <v>31</v>
      </c>
      <c r="AK44" s="54">
        <f t="shared" si="15"/>
        <v>27</v>
      </c>
      <c r="AL44" s="54">
        <f t="shared" si="16"/>
        <v>0</v>
      </c>
      <c r="AM44" s="55">
        <f t="shared" si="17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 t="s">
        <v>58</v>
      </c>
      <c r="AH45" s="5">
        <v>1</v>
      </c>
      <c r="AI45" s="5">
        <v>1</v>
      </c>
      <c r="AJ45" s="155">
        <f t="shared" si="14"/>
        <v>31</v>
      </c>
      <c r="AK45" s="54">
        <f t="shared" si="15"/>
        <v>29</v>
      </c>
      <c r="AL45" s="54">
        <f t="shared" si="16"/>
        <v>1</v>
      </c>
      <c r="AM45" s="55">
        <f t="shared" si="17"/>
        <v>1</v>
      </c>
    </row>
    <row r="46" spans="1:39" x14ac:dyDescent="0.25">
      <c r="A46" s="11">
        <f t="shared" si="4"/>
        <v>38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 t="s">
        <v>57</v>
      </c>
      <c r="J46" s="5">
        <v>1</v>
      </c>
      <c r="K46" s="5">
        <v>1</v>
      </c>
      <c r="L46" s="5" t="s">
        <v>57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 t="s">
        <v>57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>
        <v>1</v>
      </c>
      <c r="AJ46" s="155">
        <f t="shared" si="14"/>
        <v>31</v>
      </c>
      <c r="AK46" s="54">
        <f t="shared" si="15"/>
        <v>27</v>
      </c>
      <c r="AL46" s="54">
        <f t="shared" si="16"/>
        <v>0</v>
      </c>
      <c r="AM46" s="55">
        <f t="shared" si="17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4"/>
        <v>31</v>
      </c>
      <c r="AK47" s="54">
        <f t="shared" si="15"/>
        <v>29</v>
      </c>
      <c r="AL47" s="54">
        <f t="shared" si="16"/>
        <v>0</v>
      </c>
      <c r="AM47" s="55">
        <f t="shared" si="17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41</v>
      </c>
      <c r="D48" s="22">
        <v>1296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 t="s">
        <v>58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 t="s">
        <v>58</v>
      </c>
      <c r="R48" s="5" t="s">
        <v>58</v>
      </c>
      <c r="S48" s="5" t="s">
        <v>58</v>
      </c>
      <c r="T48" s="5" t="s">
        <v>58</v>
      </c>
      <c r="U48" s="5" t="s">
        <v>58</v>
      </c>
      <c r="V48" s="5" t="s">
        <v>58</v>
      </c>
      <c r="W48" s="5" t="s">
        <v>58</v>
      </c>
      <c r="X48" s="5" t="s">
        <v>58</v>
      </c>
      <c r="Y48" s="5" t="s">
        <v>58</v>
      </c>
      <c r="Z48" s="5" t="s">
        <v>58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 t="s">
        <v>57</v>
      </c>
      <c r="AG48" s="5">
        <v>1</v>
      </c>
      <c r="AH48" s="5">
        <v>1</v>
      </c>
      <c r="AI48" s="5" t="s">
        <v>58</v>
      </c>
      <c r="AJ48" s="155">
        <f t="shared" si="14"/>
        <v>31</v>
      </c>
      <c r="AK48" s="54">
        <f t="shared" si="15"/>
        <v>5</v>
      </c>
      <c r="AL48" s="54">
        <f t="shared" si="16"/>
        <v>23</v>
      </c>
      <c r="AM48" s="55">
        <f t="shared" si="17"/>
        <v>3</v>
      </c>
    </row>
    <row r="49" spans="1:39" ht="16.3" thickBot="1" x14ac:dyDescent="0.3">
      <c r="A49" s="44">
        <f t="shared" si="4"/>
        <v>41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>
        <v>1</v>
      </c>
      <c r="K49" s="42" t="s">
        <v>57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 t="s">
        <v>58</v>
      </c>
      <c r="X49" s="42" t="s">
        <v>58</v>
      </c>
      <c r="Y49" s="42" t="s">
        <v>58</v>
      </c>
      <c r="Z49" s="42">
        <v>1</v>
      </c>
      <c r="AA49" s="42" t="s">
        <v>57</v>
      </c>
      <c r="AB49" s="42">
        <v>1</v>
      </c>
      <c r="AC49" s="42">
        <v>1</v>
      </c>
      <c r="AD49" s="42" t="s">
        <v>57</v>
      </c>
      <c r="AE49" s="42" t="s">
        <v>57</v>
      </c>
      <c r="AF49" s="42" t="s">
        <v>57</v>
      </c>
      <c r="AG49" s="42">
        <v>1</v>
      </c>
      <c r="AH49" s="42" t="s">
        <v>58</v>
      </c>
      <c r="AI49" s="42">
        <v>1</v>
      </c>
      <c r="AJ49" s="155">
        <f t="shared" si="14"/>
        <v>31</v>
      </c>
      <c r="AK49" s="56">
        <f t="shared" si="15"/>
        <v>22</v>
      </c>
      <c r="AL49" s="56">
        <f t="shared" si="16"/>
        <v>4</v>
      </c>
      <c r="AM49" s="57">
        <f t="shared" si="17"/>
        <v>5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217</v>
      </c>
      <c r="AK50" s="69">
        <f>SUM(AK43:AK49)</f>
        <v>169</v>
      </c>
      <c r="AL50" s="69">
        <f>SUM(AL43:AL49)</f>
        <v>29</v>
      </c>
      <c r="AM50" s="75">
        <f>SUM(AM43:AM49)</f>
        <v>19</v>
      </c>
    </row>
    <row r="51" spans="1:39" ht="16.3" thickBot="1" x14ac:dyDescent="0.3">
      <c r="A51" s="44">
        <f>A49+1</f>
        <v>42</v>
      </c>
      <c r="B51" s="39" t="s">
        <v>43</v>
      </c>
      <c r="C51" s="40" t="s">
        <v>45</v>
      </c>
      <c r="D51" s="41">
        <v>1252</v>
      </c>
      <c r="E51" s="43" t="s">
        <v>57</v>
      </c>
      <c r="F51" s="42">
        <v>1</v>
      </c>
      <c r="G51" s="42">
        <v>1</v>
      </c>
      <c r="H51" s="42">
        <v>1</v>
      </c>
      <c r="I51" s="42" t="s">
        <v>57</v>
      </c>
      <c r="J51" s="42">
        <v>1</v>
      </c>
      <c r="K51" s="42">
        <v>1</v>
      </c>
      <c r="L51" s="42">
        <v>1</v>
      </c>
      <c r="M51" s="42">
        <v>1</v>
      </c>
      <c r="N51" s="42">
        <v>1</v>
      </c>
      <c r="O51" s="42">
        <v>1</v>
      </c>
      <c r="P51" s="42">
        <v>1</v>
      </c>
      <c r="Q51" s="42">
        <v>1</v>
      </c>
      <c r="R51" s="42">
        <v>1</v>
      </c>
      <c r="S51" s="42">
        <v>1</v>
      </c>
      <c r="T51" s="42">
        <v>1</v>
      </c>
      <c r="U51" s="42">
        <v>1</v>
      </c>
      <c r="V51" s="42">
        <v>1</v>
      </c>
      <c r="W51" s="42">
        <v>1</v>
      </c>
      <c r="X51" s="42">
        <v>1</v>
      </c>
      <c r="Y51" s="42">
        <v>1</v>
      </c>
      <c r="Z51" s="42">
        <v>1</v>
      </c>
      <c r="AA51" s="42" t="s">
        <v>58</v>
      </c>
      <c r="AB51" s="42" t="s">
        <v>58</v>
      </c>
      <c r="AC51" s="42">
        <v>1</v>
      </c>
      <c r="AD51" s="42">
        <v>1</v>
      </c>
      <c r="AE51" s="42" t="s">
        <v>57</v>
      </c>
      <c r="AF51" s="42">
        <v>1</v>
      </c>
      <c r="AG51" s="42">
        <v>1</v>
      </c>
      <c r="AH51" s="42" t="s">
        <v>57</v>
      </c>
      <c r="AI51" s="42" t="s">
        <v>57</v>
      </c>
      <c r="AJ51" s="155">
        <f>COUNTA(E51:AI51)</f>
        <v>31</v>
      </c>
      <c r="AK51" s="56">
        <f>COUNTIF(E51:AI51,1)</f>
        <v>24</v>
      </c>
      <c r="AL51" s="56">
        <f>COUNTIF(E51:AI51,"тр")</f>
        <v>2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31</v>
      </c>
      <c r="AK52" s="69">
        <f>SUM(AK51:AK51)</f>
        <v>24</v>
      </c>
      <c r="AL52" s="69">
        <f>SUM(AL51:AL51)</f>
        <v>2</v>
      </c>
      <c r="AM52" s="75">
        <f>SUM(AM51:AM51)</f>
        <v>5</v>
      </c>
    </row>
    <row r="53" spans="1:39" x14ac:dyDescent="0.25">
      <c r="A53" s="103">
        <f>A51+1</f>
        <v>43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>
        <v>1</v>
      </c>
      <c r="H53" s="92" t="s">
        <v>57</v>
      </c>
      <c r="I53" s="92" t="s">
        <v>57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 t="s">
        <v>58</v>
      </c>
      <c r="P53" s="92">
        <v>1</v>
      </c>
      <c r="Q53" s="92">
        <v>1</v>
      </c>
      <c r="R53" s="92">
        <v>1</v>
      </c>
      <c r="S53" s="5" t="s">
        <v>58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 t="s">
        <v>57</v>
      </c>
      <c r="AB53" s="92" t="s">
        <v>57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92">
        <v>1</v>
      </c>
      <c r="AJ53" s="152">
        <f>COUNTA(E53:AI53)</f>
        <v>31</v>
      </c>
      <c r="AK53" s="80">
        <f>COUNTIF(E53:AI53,1)</f>
        <v>25</v>
      </c>
      <c r="AL53" s="80">
        <f>COUNTIF(E53:AI53,"тр")</f>
        <v>2</v>
      </c>
      <c r="AM53" s="81">
        <f>COUNTIF(E53:AI53,"бв")</f>
        <v>4</v>
      </c>
    </row>
    <row r="54" spans="1:39" x14ac:dyDescent="0.25">
      <c r="A54" s="58">
        <f t="shared" si="4"/>
        <v>44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 t="s">
        <v>57</v>
      </c>
      <c r="M54" s="42" t="s">
        <v>57</v>
      </c>
      <c r="N54" s="42">
        <v>1</v>
      </c>
      <c r="O54" s="42">
        <v>1</v>
      </c>
      <c r="P54" s="42" t="s">
        <v>57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57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155">
        <f>COUNTA(E54:AI54)</f>
        <v>31</v>
      </c>
      <c r="AK54" s="56">
        <f>COUNTIF(E54:AI54,1)</f>
        <v>27</v>
      </c>
      <c r="AL54" s="56">
        <f>COUNTIF(E54:AI54,"тр")</f>
        <v>0</v>
      </c>
      <c r="AM54" s="57">
        <f>COUNTIF(E54:AI54,"бв")</f>
        <v>4</v>
      </c>
    </row>
    <row r="55" spans="1:39" ht="16.3" thickBot="1" x14ac:dyDescent="0.3">
      <c r="A55" s="107">
        <f t="shared" si="4"/>
        <v>45</v>
      </c>
      <c r="B55" s="108" t="s">
        <v>79</v>
      </c>
      <c r="C55" s="109" t="s">
        <v>77</v>
      </c>
      <c r="D55" s="110" t="s">
        <v>78</v>
      </c>
      <c r="E55" s="144">
        <v>1</v>
      </c>
      <c r="F55" s="97" t="s">
        <v>57</v>
      </c>
      <c r="G55" s="97" t="s">
        <v>57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 t="s">
        <v>58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>
        <v>1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>
        <v>1</v>
      </c>
      <c r="AH55" s="97">
        <v>1</v>
      </c>
      <c r="AI55" s="97">
        <v>1</v>
      </c>
      <c r="AJ55" s="157">
        <f>COUNTA(E55:AI55)</f>
        <v>31</v>
      </c>
      <c r="AK55" s="84">
        <f>COUNTIF(E55:AI55,1)</f>
        <v>27</v>
      </c>
      <c r="AL55" s="84">
        <f>COUNTIF(E55:AI55,"тр")</f>
        <v>1</v>
      </c>
      <c r="AM55" s="85">
        <f>COUNTIF(E55:AI55,"бв")</f>
        <v>3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SUM(AJ53:AJ55)</f>
        <v>93</v>
      </c>
      <c r="AK56" s="69">
        <f>SUM(AK53:AK55)</f>
        <v>79</v>
      </c>
      <c r="AL56" s="69">
        <f>SUM(AL53:AL55)</f>
        <v>3</v>
      </c>
      <c r="AM56" s="75">
        <f>SUM(AM53:AM55)</f>
        <v>11</v>
      </c>
    </row>
    <row r="57" spans="1:39" s="33" customFormat="1" x14ac:dyDescent="0.25">
      <c r="A57" s="16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AJ24+AJ32+AJ36+AJ38+AJ42+AJ50+AJ52+AJ56</f>
        <v>1343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</row>
    <row r="60" spans="1:39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/>
      <c r="AI60" s="87">
        <v>30</v>
      </c>
      <c r="AJ60" s="27" t="s">
        <v>62</v>
      </c>
      <c r="AK60" s="31" t="s">
        <v>61</v>
      </c>
      <c r="AL60" s="31" t="s">
        <v>58</v>
      </c>
      <c r="AM60" s="32" t="s">
        <v>57</v>
      </c>
    </row>
    <row r="61" spans="1:39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35">
        <v>1</v>
      </c>
      <c r="AI61" s="125">
        <v>1</v>
      </c>
      <c r="AJ61" s="155">
        <f>COUNTA(E61:AI61)</f>
        <v>31</v>
      </c>
      <c r="AK61" s="17">
        <f>COUNTIF(E61:AI61,1)</f>
        <v>31</v>
      </c>
      <c r="AL61" s="17">
        <f>COUNTIF(E61:AI61,"тр")</f>
        <v>0</v>
      </c>
      <c r="AM61" s="18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78">
        <v>1</v>
      </c>
      <c r="AJ62" s="153">
        <f>COUNTA(E62:AI62)</f>
        <v>31</v>
      </c>
      <c r="AK62" s="54">
        <f>COUNTIF(E62:AI62,1)</f>
        <v>31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5" si="18">A62+1</f>
        <v>3</v>
      </c>
      <c r="B63" s="12" t="s">
        <v>43</v>
      </c>
      <c r="C63" s="13" t="s">
        <v>44</v>
      </c>
      <c r="D63" s="13">
        <v>1250</v>
      </c>
      <c r="E63" s="5" t="s">
        <v>57</v>
      </c>
      <c r="F63" s="5">
        <v>1</v>
      </c>
      <c r="G63" s="5">
        <v>1</v>
      </c>
      <c r="H63" s="5">
        <v>1</v>
      </c>
      <c r="I63" s="5" t="s">
        <v>57</v>
      </c>
      <c r="J63" s="5" t="s">
        <v>57</v>
      </c>
      <c r="K63" s="5" t="s">
        <v>57</v>
      </c>
      <c r="L63" s="5" t="s">
        <v>57</v>
      </c>
      <c r="M63" s="5" t="s">
        <v>57</v>
      </c>
      <c r="N63" s="5">
        <v>1</v>
      </c>
      <c r="O63" s="5">
        <v>1</v>
      </c>
      <c r="P63" s="5" t="s">
        <v>57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 t="s">
        <v>58</v>
      </c>
      <c r="W63" s="5" t="s">
        <v>58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 t="s">
        <v>57</v>
      </c>
      <c r="AD63" s="5" t="s">
        <v>57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20</v>
      </c>
      <c r="AL63" s="54">
        <f>COUNTIF(E63:AI63,"тр")</f>
        <v>2</v>
      </c>
      <c r="AM63" s="55">
        <f>COUNTIF(E63:AI63,"бв")</f>
        <v>9</v>
      </c>
    </row>
    <row r="64" spans="1:39" x14ac:dyDescent="0.25">
      <c r="A64" s="11">
        <f t="shared" si="18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5" t="s">
        <v>58</v>
      </c>
      <c r="AI64" s="78" t="s">
        <v>58</v>
      </c>
      <c r="AJ64" s="153">
        <f>COUNTA(E64:AI64)</f>
        <v>31</v>
      </c>
      <c r="AK64" s="54">
        <f>COUNTIF(E64:AI64,1)</f>
        <v>0</v>
      </c>
      <c r="AL64" s="54">
        <f>COUNTIF(E64:AI64,"тр")</f>
        <v>31</v>
      </c>
      <c r="AM64" s="55">
        <f>COUNTIF(E64:AI64,"бв")</f>
        <v>0</v>
      </c>
    </row>
    <row r="65" spans="1:39" ht="16.3" thickBot="1" x14ac:dyDescent="0.3">
      <c r="A65" s="44">
        <f t="shared" si="18"/>
        <v>5</v>
      </c>
      <c r="B65" s="39" t="s">
        <v>0</v>
      </c>
      <c r="C65" s="40" t="s">
        <v>2</v>
      </c>
      <c r="D65" s="40">
        <v>1637</v>
      </c>
      <c r="E65" s="42" t="s">
        <v>57</v>
      </c>
      <c r="F65" s="42">
        <v>1</v>
      </c>
      <c r="G65" s="42">
        <v>1</v>
      </c>
      <c r="H65" s="42">
        <v>1</v>
      </c>
      <c r="I65" s="42" t="s">
        <v>58</v>
      </c>
      <c r="J65" s="42" t="s">
        <v>58</v>
      </c>
      <c r="K65" s="42" t="s">
        <v>58</v>
      </c>
      <c r="L65" s="42" t="s">
        <v>58</v>
      </c>
      <c r="M65" s="42" t="s">
        <v>58</v>
      </c>
      <c r="N65" s="42">
        <v>1</v>
      </c>
      <c r="O65" s="42">
        <v>1</v>
      </c>
      <c r="P65" s="42" t="s">
        <v>57</v>
      </c>
      <c r="Q65" s="42">
        <v>1</v>
      </c>
      <c r="R65" s="42" t="s">
        <v>58</v>
      </c>
      <c r="S65" s="42" t="s">
        <v>58</v>
      </c>
      <c r="T65" s="42" t="s">
        <v>57</v>
      </c>
      <c r="U65" s="42">
        <v>1</v>
      </c>
      <c r="V65" s="42" t="s">
        <v>58</v>
      </c>
      <c r="W65" s="42" t="s">
        <v>58</v>
      </c>
      <c r="X65" s="42">
        <v>1</v>
      </c>
      <c r="Y65" s="42">
        <v>1</v>
      </c>
      <c r="Z65" s="42">
        <v>1</v>
      </c>
      <c r="AA65" s="42" t="s">
        <v>58</v>
      </c>
      <c r="AB65" s="42" t="s">
        <v>58</v>
      </c>
      <c r="AC65" s="42" t="s">
        <v>58</v>
      </c>
      <c r="AD65" s="42" t="s">
        <v>58</v>
      </c>
      <c r="AE65" s="42">
        <v>1</v>
      </c>
      <c r="AF65" s="42" t="s">
        <v>58</v>
      </c>
      <c r="AG65" s="42" t="s">
        <v>58</v>
      </c>
      <c r="AH65" s="42" t="s">
        <v>58</v>
      </c>
      <c r="AI65" s="126" t="s">
        <v>58</v>
      </c>
      <c r="AJ65" s="156">
        <f>COUNTA(E65:AI65)</f>
        <v>31</v>
      </c>
      <c r="AK65" s="56">
        <f>COUNTIF(E65:AI65,1)</f>
        <v>11</v>
      </c>
      <c r="AL65" s="56">
        <f>COUNTIF(E65:AI65,"тр")</f>
        <v>17</v>
      </c>
      <c r="AM65" s="57">
        <f>COUNTIF(E65:AI65,"бв")</f>
        <v>3</v>
      </c>
    </row>
    <row r="66" spans="1:39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77">
        <f>SUM(AJ61:AJ65)</f>
        <v>155</v>
      </c>
      <c r="AK66" s="69">
        <f t="shared" ref="AK66:AM66" si="19">SUM(AK61:AK65)</f>
        <v>93</v>
      </c>
      <c r="AL66" s="69">
        <f t="shared" si="19"/>
        <v>50</v>
      </c>
      <c r="AM66" s="75">
        <f t="shared" si="19"/>
        <v>12</v>
      </c>
    </row>
    <row r="67" spans="1:39" s="33" customFormat="1" x14ac:dyDescent="0.25">
      <c r="A67" s="165"/>
      <c r="B67" s="49"/>
      <c r="C67" s="50"/>
      <c r="D67" s="50"/>
      <c r="Y67" s="51" t="s">
        <v>68</v>
      </c>
      <c r="AJ67" s="76">
        <f>AJ66</f>
        <v>155</v>
      </c>
    </row>
    <row r="69" spans="1:39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M57"/>
  <mergeCells count="2">
    <mergeCell ref="A1:AM1"/>
    <mergeCell ref="A59:AM59"/>
  </mergeCells>
  <conditionalFormatting sqref="AJ24:AM24 AJ32:AM32 AJ36:AM36 AJ38:AM38 AJ42:AM42 AJ50:AM50 AJ52:AM52 AJ56:AM56 AJ66:AM66 E51:AJ51 E33:AJ35 E37:AJ37 E61:AJ65 E25:AJ31 E39:AJ41 E43:AJ49 E53:AJ55 E4:AJ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J52:AM52 AJ50:AN50 AJ42:AM42 AJ38:AM38 AJ36:AM36 AJ32:AM32 AJ24:AM2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2019-05-30T06:53:36Z</cp:lastPrinted>
  <dcterms:created xsi:type="dcterms:W3CDTF">2018-09-27T18:15:43Z</dcterms:created>
  <dcterms:modified xsi:type="dcterms:W3CDTF">2019-05-31T07:58:57Z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