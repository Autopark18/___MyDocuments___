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L42" i="9" l="1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<sst xmlns="http://schemas.openxmlformats.org/spreadsheetml/2006/main" count="2662" uniqueCount="80">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</sst>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G58" sqref="AG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>
        <v>1</v>
      </c>
      <c r="O4" s="42">
        <v>1</v>
      </c>
      <c r="P4" s="42">
        <v>1</v>
      </c>
      <c r="Q4" s="42" t="s">
        <v>57</v>
      </c>
      <c r="R4" s="42" t="s">
        <v>57</v>
      </c>
      <c r="S4" s="42">
        <v>1</v>
      </c>
      <c r="T4" s="42">
        <v>1</v>
      </c>
      <c r="U4" s="42">
        <v>1</v>
      </c>
      <c r="V4" s="42">
        <v>1</v>
      </c>
      <c r="W4" s="42">
        <v>1</v>
      </c>
      <c r="X4" s="42" t="s">
        <v>57</v>
      </c>
      <c r="Y4" s="42" t="s">
        <v>57</v>
      </c>
      <c r="Z4" s="42">
        <v>1</v>
      </c>
      <c r="AA4" s="42" t="s">
        <v>58</v>
      </c>
      <c r="AB4" s="42">
        <v>1</v>
      </c>
      <c r="AC4" s="42" t="s">
        <v>58</v>
      </c>
      <c r="AD4" s="42" t="s">
        <v>58</v>
      </c>
      <c r="AE4" s="42" t="s">
        <v>57</v>
      </c>
      <c r="AF4" s="42" t="s">
        <v>57</v>
      </c>
      <c r="AG4" s="42">
        <v>1</v>
      </c>
      <c r="AH4" s="42"/>
      <c r="AI4" s="156">
        <f>COUNTA(E4:AH4)</f>
        <v>29</v>
      </c>
      <c r="AJ4" s="56">
        <f>COUNTIF(E4:AH4,1)</f>
        <v>11</v>
      </c>
      <c r="AK4" s="56">
        <f>COUNTIF(E4:AH4,"тр")</f>
        <v>12</v>
      </c>
      <c r="AL4" s="57">
        <f>COUNTIF(E4:AH4,"бв")</f>
        <v>6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29</v>
      </c>
      <c r="AJ5" s="70">
        <f>SUM(AJ4:AJ4)</f>
        <v>11</v>
      </c>
      <c r="AK5" s="70">
        <f>SUM(AK4:AK4)</f>
        <v>12</v>
      </c>
      <c r="AL5" s="71">
        <f>SUM(AL4:AL4)</f>
        <v>6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/>
      <c r="AI6" s="155">
        <f t="shared" ref="AI6:AI23" si="0">COUNTA(E6:AH6)</f>
        <v>29</v>
      </c>
      <c r="AJ6" s="17">
        <f t="shared" ref="AJ6:AJ23" si="1">COUNTIF(E6:AH6,1)</f>
        <v>21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/>
      <c r="AI7" s="153">
        <f t="shared" si="0"/>
        <v>29</v>
      </c>
      <c r="AJ7" s="54">
        <f t="shared" si="1"/>
        <v>25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/>
      <c r="AI8" s="153">
        <f t="shared" si="0"/>
        <v>29</v>
      </c>
      <c r="AJ8" s="54">
        <f t="shared" si="1"/>
        <v>21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/>
      <c r="AI9" s="153">
        <f t="shared" si="0"/>
        <v>29</v>
      </c>
      <c r="AJ9" s="54">
        <f t="shared" si="1"/>
        <v>18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/>
      <c r="AI10" s="153">
        <f t="shared" si="0"/>
        <v>29</v>
      </c>
      <c r="AJ10" s="54">
        <f t="shared" si="1"/>
        <v>21</v>
      </c>
      <c r="AK10" s="54">
        <f t="shared" si="2"/>
        <v>3</v>
      </c>
      <c r="AL10" s="55">
        <f t="shared" si="3"/>
        <v>5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/>
      <c r="AI11" s="153">
        <f t="shared" si="0"/>
        <v>29</v>
      </c>
      <c r="AJ11" s="54">
        <f t="shared" si="1"/>
        <v>20</v>
      </c>
      <c r="AK11" s="54">
        <f t="shared" si="2"/>
        <v>6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/>
      <c r="AI12" s="153">
        <f t="shared" si="0"/>
        <v>29</v>
      </c>
      <c r="AJ12" s="54">
        <f t="shared" si="1"/>
        <v>24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/>
      <c r="AI13" s="153">
        <f t="shared" si="0"/>
        <v>29</v>
      </c>
      <c r="AJ13" s="54">
        <f t="shared" si="1"/>
        <v>28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/>
      <c r="AI14" s="153">
        <f t="shared" si="0"/>
        <v>29</v>
      </c>
      <c r="AJ14" s="54">
        <f t="shared" si="1"/>
        <v>25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/>
      <c r="AI15" s="153">
        <f t="shared" si="0"/>
        <v>29</v>
      </c>
      <c r="AJ15" s="54">
        <f t="shared" si="1"/>
        <v>28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/>
      <c r="AI16" s="153">
        <f t="shared" si="0"/>
        <v>29</v>
      </c>
      <c r="AJ16" s="54">
        <f t="shared" si="1"/>
        <v>23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/>
      <c r="AI17" s="153">
        <f t="shared" si="0"/>
        <v>29</v>
      </c>
      <c r="AJ17" s="54">
        <f t="shared" si="1"/>
        <v>23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/>
      <c r="AI18" s="153">
        <f t="shared" si="0"/>
        <v>29</v>
      </c>
      <c r="AJ18" s="54">
        <f t="shared" si="1"/>
        <v>29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/>
      <c r="AI19" s="153">
        <f t="shared" si="0"/>
        <v>29</v>
      </c>
      <c r="AJ19" s="54">
        <f t="shared" si="1"/>
        <v>29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/>
      <c r="AI20" s="153">
        <f t="shared" si="0"/>
        <v>29</v>
      </c>
      <c r="AJ20" s="54">
        <f t="shared" si="1"/>
        <v>23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/>
      <c r="AI22" s="153">
        <f t="shared" si="0"/>
        <v>29</v>
      </c>
      <c r="AJ22" s="54">
        <f t="shared" si="1"/>
        <v>28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/>
      <c r="AI23" s="154">
        <f t="shared" si="0"/>
        <v>29</v>
      </c>
      <c r="AJ23" s="84">
        <f t="shared" si="1"/>
        <v>21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523</v>
      </c>
      <c r="AJ24" s="141">
        <f>SUM(AJ6:AJ23)</f>
        <v>407</v>
      </c>
      <c r="AK24" s="141">
        <f>SUM(AK6:AK23)</f>
        <v>74</v>
      </c>
      <c r="AL24" s="142">
        <f>SUM(AL6:AL23)</f>
        <v>42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/>
      <c r="AI25" s="152">
        <f t="shared" ref="AI25:AI31" si="5">COUNTA(E25:AH25)</f>
        <v>29</v>
      </c>
      <c r="AJ25" s="80">
        <f t="shared" ref="AJ25:AJ31" si="6">COUNTIF(E25:AH25,1)</f>
        <v>13</v>
      </c>
      <c r="AK25" s="80">
        <f t="shared" ref="AK25:AK31" si="7">COUNTIF(E25:AH25,"тр")</f>
        <v>12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/>
      <c r="AI26" s="153">
        <f t="shared" si="5"/>
        <v>29</v>
      </c>
      <c r="AJ26" s="54">
        <f t="shared" si="6"/>
        <v>21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/>
      <c r="AI27" s="153">
        <f t="shared" si="5"/>
        <v>29</v>
      </c>
      <c r="AJ27" s="54">
        <f t="shared" si="6"/>
        <v>22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/>
      <c r="AI29" s="153">
        <f t="shared" si="5"/>
        <v>29</v>
      </c>
      <c r="AJ29" s="54">
        <f t="shared" si="6"/>
        <v>20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/>
      <c r="AI30" s="153">
        <f t="shared" si="5"/>
        <v>29</v>
      </c>
      <c r="AJ30" s="54">
        <f t="shared" si="6"/>
        <v>11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/>
      <c r="AI31" s="154">
        <f t="shared" si="5"/>
        <v>29</v>
      </c>
      <c r="AJ31" s="84">
        <f t="shared" si="6"/>
        <v>18</v>
      </c>
      <c r="AK31" s="84">
        <f t="shared" si="7"/>
        <v>2</v>
      </c>
      <c r="AL31" s="85">
        <f t="shared" si="8"/>
        <v>9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204</v>
      </c>
      <c r="AJ32" s="135">
        <f>SUM(AJ25:AJ31)</f>
        <v>105</v>
      </c>
      <c r="AK32" s="135">
        <f>SUM(AK25:AK31)</f>
        <v>63</v>
      </c>
      <c r="AL32" s="136">
        <f>SUM(AL25:AL31)</f>
        <v>36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/>
      <c r="AI33" s="155">
        <f>COUNTA(E33:AH33)</f>
        <v>29</v>
      </c>
      <c r="AJ33" s="17">
        <f>COUNTIF(E33:AH33,1)</f>
        <v>29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/>
      <c r="AI34" s="155">
        <f>COUNTA(E34:AH34)</f>
        <v>29</v>
      </c>
      <c r="AJ34" s="54">
        <f>COUNTIF(E34:AH34,1)</f>
        <v>19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88</v>
      </c>
      <c r="AJ36" s="69">
        <f>SUM(AJ33:AJ35)</f>
        <v>48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/>
      <c r="AI39" s="155">
        <f>COUNTA(E39:AH39)</f>
        <v>29</v>
      </c>
      <c r="AJ39" s="17">
        <f>COUNTIF(E39:AH39,1)</f>
        <v>22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/>
      <c r="AI40" s="155">
        <f>COUNTA(E40:AH40)</f>
        <v>29</v>
      </c>
      <c r="AJ40" s="54">
        <f>COUNTIF(E40:AH40,1)</f>
        <v>16</v>
      </c>
      <c r="AK40" s="54">
        <f>COUNTIF(E40:AH40,"тр")</f>
        <v>8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/>
      <c r="AI41" s="155">
        <f>COUNTA(E41:AH41)</f>
        <v>29</v>
      </c>
      <c r="AJ41" s="56">
        <f>COUNTIF(E41:AH41,1)</f>
        <v>16</v>
      </c>
      <c r="AK41" s="56">
        <f>COUNTIF(E41:AH41,"тр")</f>
        <v>6</v>
      </c>
      <c r="AL41" s="57">
        <f>COUNTIF(E41:AH41,"бв")</f>
        <v>7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87</v>
      </c>
      <c r="AJ42" s="69">
        <f>SUM(AJ39:AJ41)</f>
        <v>54</v>
      </c>
      <c r="AK42" s="69">
        <f>SUM(AK39:AK41)</f>
        <v>15</v>
      </c>
      <c r="AL42" s="75">
        <f>SUM(AL39:AL41)</f>
        <v>18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/>
      <c r="AI43" s="155">
        <f t="shared" ref="AI43:AI49" si="9">COUNTA(E43:AH43)</f>
        <v>29</v>
      </c>
      <c r="AJ43" s="17">
        <f t="shared" ref="AJ43:AJ49" si="10">COUNTIF(E43:AH43,1)</f>
        <v>29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/>
      <c r="AI44" s="155">
        <f t="shared" si="9"/>
        <v>29</v>
      </c>
      <c r="AJ44" s="54">
        <f t="shared" si="10"/>
        <v>26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/>
      <c r="AI45" s="155">
        <f t="shared" si="9"/>
        <v>29</v>
      </c>
      <c r="AJ45" s="54">
        <f t="shared" si="10"/>
        <v>28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/>
      <c r="AI46" s="155">
        <f t="shared" si="9"/>
        <v>29</v>
      </c>
      <c r="AJ46" s="54">
        <f t="shared" si="10"/>
        <v>24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/>
      <c r="AI47" s="155">
        <f t="shared" si="9"/>
        <v>29</v>
      </c>
      <c r="AJ47" s="54">
        <f t="shared" si="10"/>
        <v>22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/>
      <c r="AI48" s="155">
        <f t="shared" si="9"/>
        <v>29</v>
      </c>
      <c r="AJ48" s="54">
        <f t="shared" si="10"/>
        <v>19</v>
      </c>
      <c r="AK48" s="54">
        <f t="shared" si="11"/>
        <v>8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/>
      <c r="AI49" s="155">
        <f t="shared" si="9"/>
        <v>29</v>
      </c>
      <c r="AJ49" s="56">
        <f t="shared" si="10"/>
        <v>20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203</v>
      </c>
      <c r="AJ50" s="69">
        <f>SUM(AJ43:AJ49)</f>
        <v>168</v>
      </c>
      <c r="AK50" s="69">
        <f>SUM(AK43:AK49)</f>
        <v>11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/>
      <c r="AI51" s="155">
        <f>COUNTA(E51:AH51)</f>
        <v>29</v>
      </c>
      <c r="AJ51" s="56">
        <f>COUNTIF(E51:AH51,1)</f>
        <v>7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29</v>
      </c>
      <c r="AJ52" s="69">
        <f>SUM(AJ51:AJ51)</f>
        <v>7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/>
      <c r="AI53" s="152">
        <f>COUNTA(E53:AH53)</f>
        <v>29</v>
      </c>
      <c r="AJ53" s="80">
        <f>COUNTIF(E53:AH53,1)</f>
        <v>28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/>
      <c r="AI54" s="155">
        <f>COUNTA(E54:AH54)</f>
        <v>29</v>
      </c>
      <c r="AJ54" s="56">
        <f>COUNTIF(E54:AH54,1)</f>
        <v>29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/>
      <c r="AI55" s="157">
        <f>COUNTA(E55:AH55)</f>
        <v>29</v>
      </c>
      <c r="AJ55" s="84">
        <f>COUNTIF(E55:AH55,1)</f>
        <v>24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87</v>
      </c>
      <c r="AJ56" s="69">
        <f>SUM(AJ53:AJ55)</f>
        <v>81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1280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>
        <v>1</v>
      </c>
      <c r="AA61" s="92">
        <v>1</v>
      </c>
      <c r="AB61" s="92">
        <v>1</v>
      </c>
      <c r="AC61" s="92">
        <v>1</v>
      </c>
      <c r="AD61" s="92">
        <v>1</v>
      </c>
      <c r="AE61" s="92">
        <v>1</v>
      </c>
      <c r="AF61" s="92">
        <v>1</v>
      </c>
      <c r="AG61" s="92">
        <v>1</v>
      </c>
      <c r="AH61" s="92"/>
      <c r="AI61" s="152">
        <f>COUNTA(E61:AH61)</f>
        <v>29</v>
      </c>
      <c r="AJ61" s="80">
        <f>COUNTIF(E61:AH61,1)</f>
        <v>29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5"/>
      <c r="AI62" s="153">
        <f>COUNTA(E62:AH62)</f>
        <v>29</v>
      </c>
      <c r="AJ62" s="54">
        <f>COUNTIF(E62:AH62,1)</f>
        <v>29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5"/>
      <c r="AI63" s="153">
        <f>COUNTA(E63:AH63)</f>
        <v>29</v>
      </c>
      <c r="AJ63" s="54">
        <f>COUNTIF(E63:AH63,1)</f>
        <v>20</v>
      </c>
      <c r="AK63" s="54">
        <f>COUNTIF(E63:AH63,"тр")</f>
        <v>1</v>
      </c>
      <c r="AL63" s="55">
        <f>COUNTIF(E63:AH63,"бв")</f>
        <v>8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117</v>
      </c>
      <c r="AJ65" s="135">
        <f t="shared" ref="AJ65:AL65" si="14">SUM(AJ61:AJ64)</f>
        <v>78</v>
      </c>
      <c r="AK65" s="135">
        <f t="shared" si="14"/>
        <v>31</v>
      </c>
      <c r="AL65" s="136">
        <f t="shared" si="14"/>
        <v>8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117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2019-04-29T08:21:52Z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