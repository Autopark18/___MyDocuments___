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8" i="8" l="1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L60" i="8" s="1"/>
  <c r="AK57" i="8"/>
  <c r="AK60" i="8" s="1"/>
  <c r="AJ57" i="8"/>
  <c r="AJ60" i="8" s="1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M54" i="8" s="1"/>
  <c r="AL47" i="8"/>
  <c r="AL54" i="8" s="1"/>
  <c r="AK47" i="8"/>
  <c r="AK54" i="8" s="1"/>
  <c r="AJ47" i="8"/>
  <c r="AJ54" i="8" s="1"/>
  <c r="AM45" i="8"/>
  <c r="AL45" i="8"/>
  <c r="AK45" i="8"/>
  <c r="AJ45" i="8"/>
  <c r="AM44" i="8"/>
  <c r="AL44" i="8"/>
  <c r="AK44" i="8"/>
  <c r="AJ44" i="8"/>
  <c r="AM43" i="8"/>
  <c r="AM46" i="8" s="1"/>
  <c r="AL43" i="8"/>
  <c r="AL46" i="8" s="1"/>
  <c r="AK43" i="8"/>
  <c r="AK46" i="8" s="1"/>
  <c r="AJ43" i="8"/>
  <c r="AJ46" i="8" s="1"/>
  <c r="AM41" i="8"/>
  <c r="AM42" i="8" s="1"/>
  <c r="AL41" i="8"/>
  <c r="AL42" i="8" s="1"/>
  <c r="AK41" i="8"/>
  <c r="AK42" i="8" s="1"/>
  <c r="AJ41" i="8"/>
  <c r="AJ42" i="8" s="1"/>
  <c r="AM39" i="8"/>
  <c r="AM40" i="8" s="1"/>
  <c r="AL39" i="8"/>
  <c r="AL40" i="8" s="1"/>
  <c r="AK39" i="8"/>
  <c r="AK40" i="8" s="1"/>
  <c r="AJ39" i="8"/>
  <c r="AJ40" i="8" s="1"/>
  <c r="AM37" i="8"/>
  <c r="AL37" i="8"/>
  <c r="AK37" i="8"/>
  <c r="AJ37" i="8"/>
  <c r="AM36" i="8"/>
  <c r="AL36" i="8"/>
  <c r="AK36" i="8"/>
  <c r="AJ36" i="8"/>
  <c r="AM35" i="8"/>
  <c r="AM38" i="8" s="1"/>
  <c r="AL35" i="8"/>
  <c r="AL38" i="8" s="1"/>
  <c r="AK35" i="8"/>
  <c r="AK38" i="8" s="1"/>
  <c r="AJ35" i="8"/>
  <c r="AJ38" i="8" s="1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M34" i="8" s="1"/>
  <c r="AL27" i="8"/>
  <c r="AL34" i="8" s="1"/>
  <c r="AK27" i="8"/>
  <c r="AK34" i="8" s="1"/>
  <c r="AJ27" i="8"/>
  <c r="AJ34" i="8" s="1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M26" i="8" s="1"/>
  <c r="AL7" i="8"/>
  <c r="AL26" i="8" s="1"/>
  <c r="AK7" i="8"/>
  <c r="AK26" i="8" s="1"/>
  <c r="AJ7" i="8"/>
  <c r="AJ26" i="8" s="1"/>
  <c r="AM5" i="8"/>
  <c r="AL5" i="8"/>
  <c r="AK5" i="8"/>
  <c r="AJ5" i="8"/>
  <c r="A5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7" i="8" s="1"/>
  <c r="A28" i="8" s="1"/>
  <c r="A29" i="8" s="1"/>
  <c r="A30" i="8" s="1"/>
  <c r="A31" i="8" s="1"/>
  <c r="A32" i="8" s="1"/>
  <c r="A33" i="8" s="1"/>
  <c r="A35" i="8" s="1"/>
  <c r="A36" i="8" s="1"/>
  <c r="A37" i="8" s="1"/>
  <c r="A39" i="8" s="1"/>
  <c r="A41" i="8" s="1"/>
  <c r="A43" i="8" s="1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M4" i="8"/>
  <c r="AL4" i="8"/>
  <c r="AK4" i="8"/>
  <c r="AJ4" i="8"/>
  <c r="A1" i="8"/>
  <c r="A59" i="7"/>
  <c r="A55" i="7"/>
  <c r="A39" i="7"/>
  <c r="AH69" i="7"/>
  <c r="AI69" i="7"/>
  <c r="AJ69" i="7"/>
  <c r="AG69" i="7"/>
  <c r="A67" i="7"/>
  <c r="A68" i="7"/>
  <c r="A66" i="7"/>
  <c r="AJ6" i="8" l="1"/>
  <c r="AL6" i="8"/>
  <c r="AM6" i="8"/>
  <c r="AK6" i="8"/>
  <c r="AJ69" i="8"/>
  <c r="AJ70" i="8" s="1"/>
  <c r="AL69" i="8"/>
  <c r="AK69" i="8"/>
  <c r="AM69" i="8"/>
  <c r="AJ61" i="8"/>
  <c r="AG66" i="7"/>
  <c r="AG67" i="7"/>
  <c r="AG65" i="7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G60" i="7" l="1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I65" i="7"/>
  <c r="AH65" i="7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<sst xmlns="http://schemas.openxmlformats.org/spreadsheetml/2006/main" count="1817" uniqueCount="81">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</sst>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:XFD3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</row>
    <row r="64" spans="1:36" s="33" customFormat="1" ht="16.3" thickBot="1" x14ac:dyDescent="0.3">
      <c r="A64" s="131" t="s">
        <v>56</v>
      </c>
      <c r="B64" s="147" t="s">
        <v>46</v>
      </c>
      <c r="C64" s="147" t="s">
        <v>48</v>
      </c>
      <c r="D64" s="148" t="s">
        <v>47</v>
      </c>
      <c r="E64" s="152">
        <v>1</v>
      </c>
      <c r="F64" s="149">
        <v>2</v>
      </c>
      <c r="G64" s="149">
        <v>3</v>
      </c>
      <c r="H64" s="149">
        <v>4</v>
      </c>
      <c r="I64" s="149">
        <v>5</v>
      </c>
      <c r="J64" s="149">
        <v>6</v>
      </c>
      <c r="K64" s="149">
        <v>7</v>
      </c>
      <c r="L64" s="149">
        <v>8</v>
      </c>
      <c r="M64" s="149">
        <v>9</v>
      </c>
      <c r="N64" s="149">
        <v>10</v>
      </c>
      <c r="O64" s="149">
        <v>11</v>
      </c>
      <c r="P64" s="149">
        <v>12</v>
      </c>
      <c r="Q64" s="149">
        <v>13</v>
      </c>
      <c r="R64" s="149">
        <v>14</v>
      </c>
      <c r="S64" s="149">
        <v>15</v>
      </c>
      <c r="T64" s="149">
        <v>16</v>
      </c>
      <c r="U64" s="149">
        <v>17</v>
      </c>
      <c r="V64" s="149">
        <v>18</v>
      </c>
      <c r="W64" s="149">
        <v>19</v>
      </c>
      <c r="X64" s="149">
        <v>20</v>
      </c>
      <c r="Y64" s="149">
        <v>21</v>
      </c>
      <c r="Z64" s="149">
        <v>22</v>
      </c>
      <c r="AA64" s="149">
        <v>23</v>
      </c>
      <c r="AB64" s="149">
        <v>24</v>
      </c>
      <c r="AC64" s="149">
        <v>25</v>
      </c>
      <c r="AD64" s="149">
        <v>26</v>
      </c>
      <c r="AE64" s="149">
        <v>27</v>
      </c>
      <c r="AF64" s="151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80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5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33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F68" sqref="AF6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156">
        <f>COUNTA(E4:AI4)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157">
        <f>COUNTA(E5:AI5)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137">
        <f>SUM(AJ4:AJ5)</f>
        <v>62</v>
      </c>
      <c r="AK6" s="138">
        <f>SUM(AK4:AK5)</f>
        <v>0</v>
      </c>
      <c r="AL6" s="138">
        <f>SUM(AL4:AL5)</f>
        <v>62</v>
      </c>
      <c r="AM6" s="139">
        <f>SUM(AM4:AM5)</f>
        <v>0</v>
      </c>
    </row>
    <row r="7" spans="1:39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92" t="s">
        <v>58</v>
      </c>
      <c r="AI7" s="101" t="s">
        <v>58</v>
      </c>
      <c r="AJ7" s="153">
        <f>COUNTA(E7:AI7)</f>
        <v>31</v>
      </c>
      <c r="AK7" s="80">
        <f t="shared" ref="AK7:AK25" si="0">COUNTIF(E7:AI7,1)</f>
        <v>0</v>
      </c>
      <c r="AL7" s="80">
        <f t="shared" ref="AL7:AL25" si="1">COUNTIF(E7:AI7,"тр")</f>
        <v>31</v>
      </c>
      <c r="AM7" s="81">
        <f t="shared" ref="AM7:AM25" si="2">COUNTIF(E7:AI7,"бв")</f>
        <v>0</v>
      </c>
    </row>
    <row r="8" spans="1:39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4">
        <f t="shared" ref="AJ8:AJ59" si="4">COUNTA(E8:AI8)</f>
        <v>0</v>
      </c>
      <c r="AK8" s="54">
        <f t="shared" si="0"/>
        <v>0</v>
      </c>
      <c r="AL8" s="54">
        <f t="shared" si="1"/>
        <v>0</v>
      </c>
      <c r="AM8" s="55">
        <f t="shared" si="2"/>
        <v>0</v>
      </c>
    </row>
    <row r="9" spans="1:39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/>
      <c r="F9" s="7"/>
      <c r="G9" s="7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4">
        <f t="shared" si="4"/>
        <v>0</v>
      </c>
      <c r="AK9" s="54">
        <f t="shared" si="0"/>
        <v>0</v>
      </c>
      <c r="AL9" s="54">
        <f t="shared" si="1"/>
        <v>0</v>
      </c>
      <c r="AM9" s="55">
        <f t="shared" si="2"/>
        <v>0</v>
      </c>
    </row>
    <row r="10" spans="1:39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/>
      <c r="F10" s="7"/>
      <c r="G10" s="7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4">
        <f t="shared" si="4"/>
        <v>0</v>
      </c>
      <c r="AK10" s="54">
        <f t="shared" si="0"/>
        <v>0</v>
      </c>
      <c r="AL10" s="54">
        <f t="shared" si="1"/>
        <v>0</v>
      </c>
      <c r="AM10" s="55">
        <f t="shared" si="2"/>
        <v>0</v>
      </c>
    </row>
    <row r="11" spans="1:39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4">
        <f t="shared" si="4"/>
        <v>0</v>
      </c>
      <c r="AK11" s="54">
        <f t="shared" si="0"/>
        <v>0</v>
      </c>
      <c r="AL11" s="54">
        <f t="shared" si="1"/>
        <v>0</v>
      </c>
      <c r="AM11" s="55">
        <f t="shared" si="2"/>
        <v>0</v>
      </c>
    </row>
    <row r="12" spans="1:39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/>
      <c r="F12" s="7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4">
        <f t="shared" si="4"/>
        <v>0</v>
      </c>
      <c r="AK12" s="54">
        <f t="shared" si="0"/>
        <v>0</v>
      </c>
      <c r="AL12" s="54">
        <f t="shared" si="1"/>
        <v>0</v>
      </c>
      <c r="AM12" s="55">
        <f t="shared" si="2"/>
        <v>0</v>
      </c>
    </row>
    <row r="13" spans="1:39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4">
        <f t="shared" si="4"/>
        <v>0</v>
      </c>
      <c r="AK13" s="54">
        <f t="shared" si="0"/>
        <v>0</v>
      </c>
      <c r="AL13" s="54">
        <f t="shared" si="1"/>
        <v>0</v>
      </c>
      <c r="AM13" s="55">
        <f t="shared" si="2"/>
        <v>0</v>
      </c>
    </row>
    <row r="14" spans="1:39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4">
        <f t="shared" si="4"/>
        <v>0</v>
      </c>
      <c r="AK14" s="54">
        <f t="shared" si="0"/>
        <v>0</v>
      </c>
      <c r="AL14" s="54">
        <f t="shared" si="1"/>
        <v>0</v>
      </c>
      <c r="AM14" s="55">
        <f t="shared" si="2"/>
        <v>0</v>
      </c>
    </row>
    <row r="15" spans="1:39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4">
        <f t="shared" si="4"/>
        <v>0</v>
      </c>
      <c r="AK15" s="54">
        <f t="shared" si="0"/>
        <v>0</v>
      </c>
      <c r="AL15" s="54">
        <f t="shared" si="1"/>
        <v>0</v>
      </c>
      <c r="AM15" s="55">
        <f t="shared" si="2"/>
        <v>0</v>
      </c>
    </row>
    <row r="16" spans="1:39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4">
        <f t="shared" si="4"/>
        <v>0</v>
      </c>
      <c r="AK16" s="54">
        <f t="shared" si="0"/>
        <v>0</v>
      </c>
      <c r="AL16" s="54">
        <f t="shared" si="1"/>
        <v>0</v>
      </c>
      <c r="AM16" s="55">
        <f t="shared" si="2"/>
        <v>0</v>
      </c>
    </row>
    <row r="17" spans="1:39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4">
        <f t="shared" si="4"/>
        <v>0</v>
      </c>
      <c r="AK17" s="54">
        <f t="shared" si="0"/>
        <v>0</v>
      </c>
      <c r="AL17" s="54">
        <f t="shared" si="1"/>
        <v>0</v>
      </c>
      <c r="AM17" s="55">
        <f t="shared" si="2"/>
        <v>0</v>
      </c>
    </row>
    <row r="18" spans="1:39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4">
        <f t="shared" si="4"/>
        <v>0</v>
      </c>
      <c r="AK18" s="54">
        <f t="shared" si="0"/>
        <v>0</v>
      </c>
      <c r="AL18" s="54">
        <f t="shared" si="1"/>
        <v>0</v>
      </c>
      <c r="AM18" s="55">
        <f t="shared" si="2"/>
        <v>0</v>
      </c>
    </row>
    <row r="19" spans="1:39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/>
      <c r="F19" s="7"/>
      <c r="G19" s="7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4">
        <f t="shared" si="4"/>
        <v>0</v>
      </c>
      <c r="AK19" s="54">
        <f t="shared" si="0"/>
        <v>0</v>
      </c>
      <c r="AL19" s="54">
        <f t="shared" si="1"/>
        <v>0</v>
      </c>
      <c r="AM19" s="55">
        <f t="shared" si="2"/>
        <v>0</v>
      </c>
    </row>
    <row r="20" spans="1:39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4">
        <f t="shared" si="4"/>
        <v>0</v>
      </c>
      <c r="AK20" s="54">
        <f t="shared" si="0"/>
        <v>0</v>
      </c>
      <c r="AL20" s="54">
        <f t="shared" si="1"/>
        <v>0</v>
      </c>
      <c r="AM20" s="55">
        <f t="shared" si="2"/>
        <v>0</v>
      </c>
    </row>
    <row r="21" spans="1:39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4">
        <f>COUNTA(E21:AI21)</f>
        <v>0</v>
      </c>
      <c r="AK21" s="54">
        <f t="shared" si="0"/>
        <v>0</v>
      </c>
      <c r="AL21" s="54">
        <f t="shared" si="1"/>
        <v>0</v>
      </c>
      <c r="AM21" s="55">
        <f t="shared" si="2"/>
        <v>0</v>
      </c>
    </row>
    <row r="22" spans="1:39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4">
        <f t="shared" si="4"/>
        <v>0</v>
      </c>
      <c r="AK22" s="54">
        <f t="shared" si="0"/>
        <v>0</v>
      </c>
      <c r="AL22" s="54">
        <f t="shared" si="1"/>
        <v>0</v>
      </c>
      <c r="AM22" s="55">
        <f t="shared" si="2"/>
        <v>0</v>
      </c>
    </row>
    <row r="23" spans="1:39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78"/>
      <c r="AJ23" s="154">
        <f t="shared" si="4"/>
        <v>0</v>
      </c>
      <c r="AK23" s="54">
        <f t="shared" si="0"/>
        <v>0</v>
      </c>
      <c r="AL23" s="54">
        <f t="shared" si="1"/>
        <v>0</v>
      </c>
      <c r="AM23" s="55">
        <f t="shared" si="2"/>
        <v>0</v>
      </c>
    </row>
    <row r="24" spans="1:39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78"/>
      <c r="AJ24" s="154">
        <f t="shared" si="4"/>
        <v>0</v>
      </c>
      <c r="AK24" s="54">
        <f t="shared" si="0"/>
        <v>0</v>
      </c>
      <c r="AL24" s="54">
        <f t="shared" si="1"/>
        <v>0</v>
      </c>
      <c r="AM24" s="55">
        <f t="shared" si="2"/>
        <v>0</v>
      </c>
    </row>
    <row r="25" spans="1:39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102"/>
      <c r="AJ25" s="155">
        <f t="shared" si="4"/>
        <v>0</v>
      </c>
      <c r="AK25" s="84">
        <f t="shared" si="0"/>
        <v>0</v>
      </c>
      <c r="AL25" s="84">
        <f t="shared" si="1"/>
        <v>0</v>
      </c>
      <c r="AM25" s="85">
        <f t="shared" si="2"/>
        <v>0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31</v>
      </c>
      <c r="AK26" s="141">
        <f t="shared" ref="AK26:AM26" si="5">SUM(AK7:AK25)</f>
        <v>0</v>
      </c>
      <c r="AL26" s="141">
        <f t="shared" si="5"/>
        <v>31</v>
      </c>
      <c r="AM26" s="142">
        <f t="shared" si="5"/>
        <v>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125"/>
      <c r="AJ27" s="153">
        <f t="shared" si="4"/>
        <v>0</v>
      </c>
      <c r="AK27" s="80">
        <f t="shared" ref="AK27:AK33" si="6">COUNTIF(E27:AI27,1)</f>
        <v>0</v>
      </c>
      <c r="AL27" s="80">
        <f t="shared" ref="AL27:AL33" si="7">COUNTIF(E27:AI27,"тр")</f>
        <v>0</v>
      </c>
      <c r="AM27" s="81">
        <f t="shared" ref="AM27:AM33" si="8">COUNTIF(E27:AI27,"бв")</f>
        <v>0</v>
      </c>
    </row>
    <row r="28" spans="1:39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4">
        <f t="shared" si="4"/>
        <v>0</v>
      </c>
      <c r="AK28" s="54">
        <f t="shared" si="6"/>
        <v>0</v>
      </c>
      <c r="AL28" s="54">
        <f t="shared" si="7"/>
        <v>0</v>
      </c>
      <c r="AM28" s="55">
        <f t="shared" si="8"/>
        <v>0</v>
      </c>
    </row>
    <row r="29" spans="1:39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4">
        <f t="shared" si="4"/>
        <v>0</v>
      </c>
      <c r="AK29" s="54">
        <f t="shared" si="6"/>
        <v>0</v>
      </c>
      <c r="AL29" s="54">
        <f t="shared" si="7"/>
        <v>0</v>
      </c>
      <c r="AM29" s="55">
        <f t="shared" si="8"/>
        <v>0</v>
      </c>
    </row>
    <row r="30" spans="1:39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4">
        <f t="shared" si="4"/>
        <v>0</v>
      </c>
      <c r="AK30" s="54">
        <f t="shared" si="6"/>
        <v>0</v>
      </c>
      <c r="AL30" s="54">
        <f t="shared" si="7"/>
        <v>0</v>
      </c>
      <c r="AM30" s="55">
        <f t="shared" si="8"/>
        <v>0</v>
      </c>
    </row>
    <row r="31" spans="1:39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/>
      <c r="F31" s="7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8"/>
      <c r="AJ31" s="154">
        <f t="shared" si="4"/>
        <v>0</v>
      </c>
      <c r="AK31" s="54">
        <f t="shared" si="6"/>
        <v>0</v>
      </c>
      <c r="AL31" s="54">
        <f t="shared" si="7"/>
        <v>0</v>
      </c>
      <c r="AM31" s="55">
        <f t="shared" si="8"/>
        <v>0</v>
      </c>
    </row>
    <row r="32" spans="1:39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8"/>
      <c r="AJ32" s="154">
        <f t="shared" si="4"/>
        <v>0</v>
      </c>
      <c r="AK32" s="54">
        <f t="shared" si="6"/>
        <v>0</v>
      </c>
      <c r="AL32" s="54">
        <f t="shared" si="7"/>
        <v>0</v>
      </c>
      <c r="AM32" s="55">
        <f t="shared" si="8"/>
        <v>0</v>
      </c>
    </row>
    <row r="33" spans="1:39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126"/>
      <c r="AJ33" s="155">
        <f t="shared" si="4"/>
        <v>0</v>
      </c>
      <c r="AK33" s="84">
        <f t="shared" si="6"/>
        <v>0</v>
      </c>
      <c r="AL33" s="84">
        <f t="shared" si="7"/>
        <v>0</v>
      </c>
      <c r="AM33" s="85">
        <f t="shared" si="8"/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0</v>
      </c>
      <c r="AK34" s="135">
        <f>SUM(AK27:AK33)</f>
        <v>0</v>
      </c>
      <c r="AL34" s="135">
        <f>SUM(AL27:AL33)</f>
        <v>0</v>
      </c>
      <c r="AM34" s="136">
        <f>SUM(AM27:AM33)</f>
        <v>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156">
        <f t="shared" si="4"/>
        <v>0</v>
      </c>
      <c r="AK35" s="17">
        <f>COUNTIF(E35:AI35,1)</f>
        <v>0</v>
      </c>
      <c r="AL35" s="17">
        <f>COUNTIF(E35:AI35,"тр")</f>
        <v>0</v>
      </c>
      <c r="AM35" s="18">
        <f>COUNTIF(E35:AI35,"бв")</f>
        <v>0</v>
      </c>
    </row>
    <row r="36" spans="1:39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156">
        <f t="shared" si="4"/>
        <v>0</v>
      </c>
      <c r="AK36" s="54">
        <f>COUNTIF(E36:AI36,1)</f>
        <v>0</v>
      </c>
      <c r="AL36" s="54">
        <f>COUNTIF(E36:AI36,"тр")</f>
        <v>0</v>
      </c>
      <c r="AM36" s="55">
        <f>COUNTIF(E36:AI36,"бв")</f>
        <v>0</v>
      </c>
    </row>
    <row r="37" spans="1:39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6">
        <f t="shared" si="4"/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31</v>
      </c>
      <c r="AK38" s="69">
        <f>SUM(AK35:AK37)</f>
        <v>0</v>
      </c>
      <c r="AL38" s="69">
        <f>SUM(AL35:AL37)</f>
        <v>31</v>
      </c>
      <c r="AM38" s="75">
        <f>SUM(AM35:AM37)</f>
        <v>0</v>
      </c>
    </row>
    <row r="39" spans="1:39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42" t="s">
        <v>58</v>
      </c>
      <c r="AH39" s="42" t="s">
        <v>58</v>
      </c>
      <c r="AI39" s="42" t="s">
        <v>58</v>
      </c>
      <c r="AJ39" s="156">
        <f t="shared" si="4"/>
        <v>31</v>
      </c>
      <c r="AK39" s="56">
        <f>COUNTIF(E39:AI39,1)</f>
        <v>0</v>
      </c>
      <c r="AL39" s="56">
        <f>COUNTIF(E39:AI39,"тр")</f>
        <v>31</v>
      </c>
      <c r="AM39" s="57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SUM(AJ39:AJ39)</f>
        <v>31</v>
      </c>
      <c r="AK40" s="69">
        <f>SUM(AK39:AK39)</f>
        <v>0</v>
      </c>
      <c r="AL40" s="69">
        <f>SUM(AL39:AL39)</f>
        <v>31</v>
      </c>
      <c r="AM40" s="75">
        <f>SUM(AM39:AM39)</f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6">
        <f t="shared" si="4"/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6">
        <f t="shared" si="4"/>
        <v>0</v>
      </c>
      <c r="AK43" s="17">
        <f>COUNTIF(E43:AI43,1)</f>
        <v>0</v>
      </c>
      <c r="AL43" s="17">
        <f>COUNTIF(E43:AI43,"тр")</f>
        <v>0</v>
      </c>
      <c r="AM43" s="18">
        <f>COUNTIF(E43:AI43,"бв")</f>
        <v>0</v>
      </c>
    </row>
    <row r="44" spans="1:39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/>
      <c r="F44" s="7"/>
      <c r="G44" s="7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6">
        <f t="shared" si="4"/>
        <v>0</v>
      </c>
      <c r="AK44" s="54">
        <f>COUNTIF(E44:AI44,1)</f>
        <v>0</v>
      </c>
      <c r="AL44" s="54">
        <f>COUNTIF(E44:AI44,"тр")</f>
        <v>0</v>
      </c>
      <c r="AM44" s="55">
        <f>COUNTIF(E44:AI44,"бв")</f>
        <v>0</v>
      </c>
    </row>
    <row r="45" spans="1:39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 t="s">
        <v>58</v>
      </c>
      <c r="AI45" s="42" t="s">
        <v>58</v>
      </c>
      <c r="AJ45" s="156">
        <f t="shared" si="4"/>
        <v>31</v>
      </c>
      <c r="AK45" s="56">
        <f>COUNTIF(E45:AI45,1)</f>
        <v>0</v>
      </c>
      <c r="AL45" s="56">
        <f>COUNTIF(E45:AI45,"тр")</f>
        <v>31</v>
      </c>
      <c r="AM45" s="57">
        <f>COUNTIF(E45:AI45,"бв")</f>
        <v>0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31</v>
      </c>
      <c r="AK46" s="69">
        <f>SUM(AK43:AK45)</f>
        <v>0</v>
      </c>
      <c r="AL46" s="69">
        <f>SUM(AL43:AL45)</f>
        <v>31</v>
      </c>
      <c r="AM46" s="75">
        <f>SUM(AM43:AM45)</f>
        <v>0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/>
      <c r="F47" s="6"/>
      <c r="G47" s="6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156">
        <f t="shared" si="4"/>
        <v>0</v>
      </c>
      <c r="AK47" s="17">
        <f t="shared" ref="AK47:AK53" si="9">COUNTIF(E47:AI47,1)</f>
        <v>0</v>
      </c>
      <c r="AL47" s="17">
        <f t="shared" ref="AL47:AL53" si="10">COUNTIF(E47:AI47,"тр")</f>
        <v>0</v>
      </c>
      <c r="AM47" s="18">
        <f t="shared" ref="AM47:AM53" si="11">COUNTIF(E47:AI47,"бв")</f>
        <v>0</v>
      </c>
    </row>
    <row r="48" spans="1:39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6">
        <f t="shared" si="4"/>
        <v>0</v>
      </c>
      <c r="AK48" s="54">
        <f t="shared" si="9"/>
        <v>0</v>
      </c>
      <c r="AL48" s="54">
        <f t="shared" si="10"/>
        <v>0</v>
      </c>
      <c r="AM48" s="55">
        <f t="shared" si="11"/>
        <v>0</v>
      </c>
    </row>
    <row r="49" spans="1:39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6">
        <f t="shared" si="4"/>
        <v>0</v>
      </c>
      <c r="AK49" s="54">
        <f t="shared" si="9"/>
        <v>0</v>
      </c>
      <c r="AL49" s="54">
        <f t="shared" si="10"/>
        <v>0</v>
      </c>
      <c r="AM49" s="55">
        <f t="shared" si="11"/>
        <v>0</v>
      </c>
    </row>
    <row r="50" spans="1:39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156">
        <f t="shared" si="4"/>
        <v>0</v>
      </c>
      <c r="AK50" s="54">
        <f t="shared" si="9"/>
        <v>0</v>
      </c>
      <c r="AL50" s="54">
        <f t="shared" si="10"/>
        <v>0</v>
      </c>
      <c r="AM50" s="55">
        <f t="shared" si="11"/>
        <v>0</v>
      </c>
    </row>
    <row r="51" spans="1:39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156">
        <f t="shared" si="4"/>
        <v>0</v>
      </c>
      <c r="AK51" s="54">
        <f t="shared" si="9"/>
        <v>0</v>
      </c>
      <c r="AL51" s="54">
        <f t="shared" si="10"/>
        <v>0</v>
      </c>
      <c r="AM51" s="55">
        <f t="shared" si="11"/>
        <v>0</v>
      </c>
    </row>
    <row r="52" spans="1:39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156">
        <f t="shared" si="4"/>
        <v>0</v>
      </c>
      <c r="AK52" s="54">
        <f t="shared" si="9"/>
        <v>0</v>
      </c>
      <c r="AL52" s="54">
        <f t="shared" si="10"/>
        <v>0</v>
      </c>
      <c r="AM52" s="55">
        <f t="shared" si="11"/>
        <v>0</v>
      </c>
    </row>
    <row r="53" spans="1:39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156">
        <f t="shared" si="4"/>
        <v>0</v>
      </c>
      <c r="AK53" s="56">
        <f t="shared" si="9"/>
        <v>0</v>
      </c>
      <c r="AL53" s="56">
        <f t="shared" si="10"/>
        <v>0</v>
      </c>
      <c r="AM53" s="57">
        <f t="shared" si="11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0</v>
      </c>
      <c r="AK54" s="69">
        <f>SUM(AK47:AK53)</f>
        <v>0</v>
      </c>
      <c r="AL54" s="69">
        <f>SUM(AL47:AL53)</f>
        <v>0</v>
      </c>
      <c r="AM54" s="75">
        <f>SUM(AM47:AM53)</f>
        <v>0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6">
        <f t="shared" si="4"/>
        <v>0</v>
      </c>
      <c r="AK55" s="56">
        <f>COUNTIF(E55:AI55,1)</f>
        <v>0</v>
      </c>
      <c r="AL55" s="56">
        <f>COUNTIF(E55:AI55,"тр")</f>
        <v>0</v>
      </c>
      <c r="AM55" s="57">
        <f>COUNTIF(E55:AI55,"бв")</f>
        <v>0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0</v>
      </c>
      <c r="AK56" s="69">
        <f>SUM(AK55:AK55)</f>
        <v>0</v>
      </c>
      <c r="AL56" s="69">
        <f>SUM(AL55:AL55)</f>
        <v>0</v>
      </c>
      <c r="AM56" s="75">
        <f>SUM(AM55:AM55)</f>
        <v>0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101"/>
      <c r="AJ57" s="153">
        <f t="shared" si="4"/>
        <v>0</v>
      </c>
      <c r="AK57" s="80">
        <f>COUNTIF(E57:AI57,1)</f>
        <v>0</v>
      </c>
      <c r="AL57" s="80">
        <f>COUNTIF(E57:AI57,"тр")</f>
        <v>0</v>
      </c>
      <c r="AM57" s="81">
        <f>COUNTIF(E57:AI57,"бв")</f>
        <v>0</v>
      </c>
    </row>
    <row r="58" spans="1:39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126"/>
      <c r="AJ58" s="156">
        <f t="shared" si="4"/>
        <v>0</v>
      </c>
      <c r="AK58" s="56">
        <f>COUNTIF(E58:AI58,1)</f>
        <v>0</v>
      </c>
      <c r="AL58" s="56">
        <f>COUNTIF(E58:AI58,"тр")</f>
        <v>0</v>
      </c>
      <c r="AM58" s="57">
        <f>COUNTIF(E58:AI58,"бв")</f>
        <v>0</v>
      </c>
    </row>
    <row r="59" spans="1:39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102"/>
      <c r="AJ59" s="158">
        <f t="shared" si="4"/>
        <v>0</v>
      </c>
      <c r="AK59" s="84">
        <f>COUNTIF(E59:AI59,1)</f>
        <v>0</v>
      </c>
      <c r="AL59" s="84">
        <f>COUNTIF(E59:AI59,"тр")</f>
        <v>0</v>
      </c>
      <c r="AM59" s="85">
        <f>COUNTIF(E59:AI59,"бв")</f>
        <v>0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0</v>
      </c>
      <c r="AK60" s="69">
        <f t="shared" ref="AK60:AM60" si="12">SUM(AK57:AK59)</f>
        <v>0</v>
      </c>
      <c r="AL60" s="69">
        <f t="shared" si="12"/>
        <v>0</v>
      </c>
      <c r="AM60" s="75">
        <f t="shared" si="12"/>
        <v>0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217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131" t="s">
        <v>56</v>
      </c>
      <c r="B64" s="147" t="s">
        <v>46</v>
      </c>
      <c r="C64" s="147" t="s">
        <v>48</v>
      </c>
      <c r="D64" s="148" t="s">
        <v>47</v>
      </c>
      <c r="E64" s="152">
        <v>1</v>
      </c>
      <c r="F64" s="149">
        <v>2</v>
      </c>
      <c r="G64" s="149">
        <v>3</v>
      </c>
      <c r="H64" s="149">
        <v>4</v>
      </c>
      <c r="I64" s="149">
        <v>5</v>
      </c>
      <c r="J64" s="149">
        <v>6</v>
      </c>
      <c r="K64" s="149">
        <v>7</v>
      </c>
      <c r="L64" s="149">
        <v>8</v>
      </c>
      <c r="M64" s="149">
        <v>9</v>
      </c>
      <c r="N64" s="149">
        <v>10</v>
      </c>
      <c r="O64" s="149">
        <v>11</v>
      </c>
      <c r="P64" s="149">
        <v>12</v>
      </c>
      <c r="Q64" s="149">
        <v>13</v>
      </c>
      <c r="R64" s="149">
        <v>14</v>
      </c>
      <c r="S64" s="149">
        <v>15</v>
      </c>
      <c r="T64" s="149">
        <v>16</v>
      </c>
      <c r="U64" s="149">
        <v>17</v>
      </c>
      <c r="V64" s="149">
        <v>18</v>
      </c>
      <c r="W64" s="149">
        <v>19</v>
      </c>
      <c r="X64" s="149">
        <v>20</v>
      </c>
      <c r="Y64" s="149">
        <v>21</v>
      </c>
      <c r="Z64" s="149">
        <v>22</v>
      </c>
      <c r="AA64" s="149">
        <v>23</v>
      </c>
      <c r="AB64" s="149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101"/>
      <c r="AJ65" s="153">
        <f t="shared" ref="AJ65:AJ67" si="13">COUNTA(E65:AI65)</f>
        <v>0</v>
      </c>
      <c r="AK65" s="80">
        <f>COUNTIF(E65:AI65,1)</f>
        <v>0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78"/>
      <c r="AJ66" s="154">
        <f t="shared" si="13"/>
        <v>0</v>
      </c>
      <c r="AK66" s="54">
        <f>COUNTIF(E66:AI66,1)</f>
        <v>0</v>
      </c>
      <c r="AL66" s="54">
        <f>COUNTIF(E66:AI66,"тр")</f>
        <v>0</v>
      </c>
      <c r="AM66" s="55">
        <f>COUNTIF(E66:AI66,"бв")</f>
        <v>0</v>
      </c>
    </row>
    <row r="67" spans="1:39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78"/>
      <c r="AJ67" s="154">
        <f t="shared" si="13"/>
        <v>0</v>
      </c>
      <c r="AK67" s="54">
        <f>COUNTIF(E67:AI67,1)</f>
        <v>0</v>
      </c>
      <c r="AL67" s="54">
        <f>COUNTIF(E67:AI67,"тр")</f>
        <v>0</v>
      </c>
      <c r="AM67" s="55">
        <f>COUNTIF(E67:AI67,"бв")</f>
        <v>0</v>
      </c>
    </row>
    <row r="68" spans="1:39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5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  <c r="AH69" s="150"/>
      <c r="AI69" s="150"/>
      <c r="AJ69" s="134">
        <f>SUM(AJ65:AJ68)</f>
        <v>31</v>
      </c>
      <c r="AK69" s="135">
        <f t="shared" ref="AK69:AM69" si="15">SUM(AK65:AK68)</f>
        <v>0</v>
      </c>
      <c r="AL69" s="135">
        <f t="shared" si="15"/>
        <v>31</v>
      </c>
      <c r="AM69" s="136">
        <f t="shared" si="15"/>
        <v>0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31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38:AM38 AJ40:AM40 AJ42:AM42 AJ46:AM46 AJ54:AM54 AJ56:AM56 AJ60:AM60 AJ69:AM69 AJ4:AJ25 E27:AJ33 E47:AJ53 E55:AJ55 E57:AJ59 E4:AI5 E7:AI25 E35:AJ37 E39:AJ39 E41:AJ41 E43:AJ45 E65:AJ68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  <ignoredErrors>
    <ignoredError sqref="AJ6:AM6 AJ26:AM26 AJ34:AM34 AJ38:AM38 AJ40:AM40 AJ42:AM42 AJ46:AM46 AJ54:AM54 AJ56:AM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2019-03-01T12:08:41Z</cp:lastPrinted>
  <dcterms:created xsi:type="dcterms:W3CDTF">2018-09-27T18:15:43Z</dcterms:created>
  <dcterms:modified xsi:type="dcterms:W3CDTF">2019-03-01T12:22:25Z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