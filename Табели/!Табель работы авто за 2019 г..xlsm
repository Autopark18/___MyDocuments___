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K42" i="9" l="1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<sst xmlns="http://schemas.openxmlformats.org/spreadsheetml/2006/main" count="2516" uniqueCount="80">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</sst>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S7" sqref="S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15</v>
      </c>
      <c r="AJ4" s="56">
        <f>COUNTIF(E4:AH4,1)</f>
        <v>4</v>
      </c>
      <c r="AK4" s="56">
        <f>COUNTIF(E4:AH4,"тр")</f>
        <v>9</v>
      </c>
      <c r="AL4" s="57">
        <f>COUNTIF(E4:AH4,"бв")</f>
        <v>2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15</v>
      </c>
      <c r="AJ5" s="70">
        <f>SUM(AJ4:AJ4)</f>
        <v>4</v>
      </c>
      <c r="AK5" s="70">
        <f>SUM(AK4:AK4)</f>
        <v>9</v>
      </c>
      <c r="AL5" s="71">
        <f>SUM(AL4:AL4)</f>
        <v>2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15</v>
      </c>
      <c r="AJ6" s="17">
        <f t="shared" ref="AJ6:AJ23" si="1">COUNTIF(E6:AH6,1)</f>
        <v>12</v>
      </c>
      <c r="AK6" s="17">
        <f t="shared" ref="AK6:AK23" si="2">COUNTIF(E6:AH6,"тр")</f>
        <v>1</v>
      </c>
      <c r="AL6" s="18">
        <f t="shared" ref="AL6:AL23" si="3">COUNTIF(E6:AH6,"бв")</f>
        <v>2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15</v>
      </c>
      <c r="AJ7" s="54">
        <f t="shared" si="1"/>
        <v>11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15</v>
      </c>
      <c r="AJ8" s="54">
        <f t="shared" si="1"/>
        <v>8</v>
      </c>
      <c r="AK8" s="54">
        <f t="shared" si="2"/>
        <v>4</v>
      </c>
      <c r="AL8" s="55">
        <f t="shared" si="3"/>
        <v>3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15</v>
      </c>
      <c r="AJ9" s="54">
        <f t="shared" si="1"/>
        <v>8</v>
      </c>
      <c r="AK9" s="54">
        <f t="shared" si="2"/>
        <v>7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15</v>
      </c>
      <c r="AJ10" s="54">
        <f t="shared" si="1"/>
        <v>11</v>
      </c>
      <c r="AK10" s="54">
        <f t="shared" si="2"/>
        <v>2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15</v>
      </c>
      <c r="AJ11" s="54">
        <f t="shared" si="1"/>
        <v>11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15</v>
      </c>
      <c r="AJ12" s="54">
        <f t="shared" si="1"/>
        <v>10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15</v>
      </c>
      <c r="AJ13" s="54">
        <f t="shared" si="1"/>
        <v>15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15</v>
      </c>
      <c r="AJ14" s="54">
        <f t="shared" si="1"/>
        <v>15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15</v>
      </c>
      <c r="AJ15" s="54">
        <f t="shared" si="1"/>
        <v>15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15</v>
      </c>
      <c r="AJ16" s="54">
        <f t="shared" si="1"/>
        <v>15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15</v>
      </c>
      <c r="AJ17" s="54">
        <f t="shared" si="1"/>
        <v>12</v>
      </c>
      <c r="AK17" s="54">
        <f t="shared" si="2"/>
        <v>0</v>
      </c>
      <c r="AL17" s="55">
        <f t="shared" si="3"/>
        <v>3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15</v>
      </c>
      <c r="AJ18" s="54">
        <f t="shared" si="1"/>
        <v>15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15</v>
      </c>
      <c r="AJ19" s="54">
        <f t="shared" si="1"/>
        <v>15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15</v>
      </c>
      <c r="AJ20" s="54">
        <f t="shared" si="1"/>
        <v>12</v>
      </c>
      <c r="AK20" s="54">
        <f t="shared" si="2"/>
        <v>0</v>
      </c>
      <c r="AL20" s="55">
        <f t="shared" si="3"/>
        <v>3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15</v>
      </c>
      <c r="AJ22" s="54">
        <f t="shared" si="1"/>
        <v>15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15</v>
      </c>
      <c r="AJ23" s="84">
        <f t="shared" si="1"/>
        <v>12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285</v>
      </c>
      <c r="AJ24" s="141">
        <f>SUM(AJ6:AJ23)</f>
        <v>212</v>
      </c>
      <c r="AK24" s="141">
        <f>SUM(AK6:AK23)</f>
        <v>52</v>
      </c>
      <c r="AL24" s="142">
        <f>SUM(AL6:AL23)</f>
        <v>21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15</v>
      </c>
      <c r="AJ25" s="80">
        <f t="shared" ref="AJ25:AJ31" si="6">COUNTIF(E25:AH25,1)</f>
        <v>11</v>
      </c>
      <c r="AK25" s="80">
        <f t="shared" ref="AK25:AK31" si="7">COUNTIF(E25:AH25,"тр")</f>
        <v>0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15</v>
      </c>
      <c r="AJ26" s="54">
        <f t="shared" si="6"/>
        <v>11</v>
      </c>
      <c r="AK26" s="54">
        <f t="shared" si="7"/>
        <v>0</v>
      </c>
      <c r="AL26" s="55">
        <f t="shared" si="8"/>
        <v>4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15</v>
      </c>
      <c r="AJ27" s="54">
        <f t="shared" si="6"/>
        <v>10</v>
      </c>
      <c r="AK27" s="54">
        <f t="shared" si="7"/>
        <v>0</v>
      </c>
      <c r="AL27" s="55">
        <f t="shared" si="8"/>
        <v>5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15</v>
      </c>
      <c r="AJ29" s="54">
        <f t="shared" si="6"/>
        <v>10</v>
      </c>
      <c r="AK29" s="54">
        <f t="shared" si="7"/>
        <v>2</v>
      </c>
      <c r="AL29" s="55">
        <f t="shared" si="8"/>
        <v>3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15</v>
      </c>
      <c r="AJ30" s="54">
        <f t="shared" si="6"/>
        <v>0</v>
      </c>
      <c r="AK30" s="54">
        <f t="shared" si="7"/>
        <v>15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15</v>
      </c>
      <c r="AJ31" s="84">
        <f t="shared" si="6"/>
        <v>13</v>
      </c>
      <c r="AK31" s="84">
        <f t="shared" si="7"/>
        <v>2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120</v>
      </c>
      <c r="AJ32" s="135">
        <f>SUM(AJ25:AJ31)</f>
        <v>55</v>
      </c>
      <c r="AK32" s="135">
        <f>SUM(AK25:AK31)</f>
        <v>49</v>
      </c>
      <c r="AL32" s="136">
        <f>SUM(AL25:AL31)</f>
        <v>16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15</v>
      </c>
      <c r="AJ33" s="17">
        <f>COUNTIF(E33:AH33,1)</f>
        <v>15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15</v>
      </c>
      <c r="AJ34" s="54">
        <f>COUNTIF(E34:AH34,1)</f>
        <v>9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60</v>
      </c>
      <c r="AJ36" s="69">
        <f>SUM(AJ33:AJ35)</f>
        <v>24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15</v>
      </c>
      <c r="AJ39" s="17">
        <f>COUNTIF(E39:AH39,1)</f>
        <v>11</v>
      </c>
      <c r="AK39" s="17">
        <f>COUNTIF(E39:AH39,"тр")</f>
        <v>1</v>
      </c>
      <c r="AL39" s="18">
        <f>COUNTIF(E39:AH39,"бв")</f>
        <v>3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15</v>
      </c>
      <c r="AJ40" s="54">
        <f>COUNTIF(E40:AH40,1)</f>
        <v>12</v>
      </c>
      <c r="AK40" s="54">
        <f>COUNTIF(E40:AH40,"тр")</f>
        <v>0</v>
      </c>
      <c r="AL40" s="55">
        <f>COUNTIF(E40:AH40,"бв")</f>
        <v>3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15</v>
      </c>
      <c r="AJ41" s="56">
        <f>COUNTIF(E41:AH41,1)</f>
        <v>7</v>
      </c>
      <c r="AK41" s="56">
        <f>COUNTIF(E41:AH41,"тр")</f>
        <v>4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45</v>
      </c>
      <c r="AJ42" s="69">
        <f>SUM(AJ39:AJ41)</f>
        <v>30</v>
      </c>
      <c r="AK42" s="69">
        <f>SUM(AK39:AK41)</f>
        <v>5</v>
      </c>
      <c r="AL42" s="75">
        <f>SUM(AL39:AL41)</f>
        <v>10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15</v>
      </c>
      <c r="AJ43" s="17">
        <f t="shared" ref="AJ43:AJ49" si="10">COUNTIF(E43:AH43,1)</f>
        <v>15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15</v>
      </c>
      <c r="AJ44" s="54">
        <f t="shared" si="10"/>
        <v>13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15</v>
      </c>
      <c r="AJ45" s="54">
        <f t="shared" si="10"/>
        <v>15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15</v>
      </c>
      <c r="AJ46" s="54">
        <f t="shared" si="10"/>
        <v>12</v>
      </c>
      <c r="AK46" s="54">
        <f t="shared" si="11"/>
        <v>0</v>
      </c>
      <c r="AL46" s="55">
        <f t="shared" si="12"/>
        <v>3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15</v>
      </c>
      <c r="AJ47" s="54">
        <f t="shared" si="10"/>
        <v>10</v>
      </c>
      <c r="AK47" s="54">
        <f t="shared" si="11"/>
        <v>1</v>
      </c>
      <c r="AL47" s="55">
        <f t="shared" si="12"/>
        <v>4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15</v>
      </c>
      <c r="AJ48" s="54">
        <f t="shared" si="10"/>
        <v>15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15</v>
      </c>
      <c r="AJ49" s="56">
        <f t="shared" si="10"/>
        <v>10</v>
      </c>
      <c r="AK49" s="56">
        <f t="shared" si="11"/>
        <v>0</v>
      </c>
      <c r="AL49" s="57">
        <f t="shared" si="12"/>
        <v>5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105</v>
      </c>
      <c r="AJ50" s="69">
        <f>SUM(AJ43:AJ49)</f>
        <v>90</v>
      </c>
      <c r="AK50" s="69">
        <f>SUM(AK43:AK49)</f>
        <v>1</v>
      </c>
      <c r="AL50" s="75">
        <f>SUM(AL43:AL49)</f>
        <v>14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15</v>
      </c>
      <c r="AJ51" s="56">
        <f>COUNTIF(E51:AH51,1)</f>
        <v>3</v>
      </c>
      <c r="AK51" s="56">
        <f>COUNTIF(E51:AH51,"тр")</f>
        <v>1</v>
      </c>
      <c r="AL51" s="57">
        <f>COUNTIF(E51:AH51,"бв")</f>
        <v>11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15</v>
      </c>
      <c r="AJ52" s="69">
        <f>SUM(AJ51:AJ51)</f>
        <v>3</v>
      </c>
      <c r="AK52" s="69">
        <f>SUM(AK51:AK51)</f>
        <v>1</v>
      </c>
      <c r="AL52" s="75">
        <f>SUM(AL51:AL51)</f>
        <v>11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15</v>
      </c>
      <c r="AJ53" s="80">
        <f>COUNTIF(E53:AH53,1)</f>
        <v>14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15</v>
      </c>
      <c r="AJ54" s="56">
        <f>COUNTIF(E54:AH54,1)</f>
        <v>15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15</v>
      </c>
      <c r="AJ55" s="84">
        <f>COUNTIF(E55:AH55,1)</f>
        <v>15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45</v>
      </c>
      <c r="AJ56" s="69">
        <f>SUM(AJ53:AJ55)</f>
        <v>44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720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15</v>
      </c>
      <c r="AJ61" s="80">
        <f>COUNTIF(E61:AH61,1)</f>
        <v>15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15</v>
      </c>
      <c r="AJ62" s="54">
        <f>COUNTIF(E62:AH62,1)</f>
        <v>15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15</v>
      </c>
      <c r="AJ63" s="54">
        <f>COUNTIF(E63:AH63,1)</f>
        <v>11</v>
      </c>
      <c r="AK63" s="54">
        <f>COUNTIF(E63:AH63,"тр")</f>
        <v>0</v>
      </c>
      <c r="AL63" s="55">
        <f>COUNTIF(E63:AH63,"бв")</f>
        <v>4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75</v>
      </c>
      <c r="AJ65" s="135">
        <f t="shared" ref="AJ65:AL65" si="14">SUM(AJ61:AJ64)</f>
        <v>41</v>
      </c>
      <c r="AK65" s="135">
        <f t="shared" si="14"/>
        <v>30</v>
      </c>
      <c r="AL65" s="136">
        <f t="shared" si="14"/>
        <v>4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75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2019-04-15T10:14:01Z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