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M63" i="13"/>
  <c r="AL63" i="13"/>
  <c r="AK63" i="13"/>
  <c r="AJ63" i="13"/>
  <c r="A63" i="13"/>
  <c r="A64" i="13" s="1"/>
  <c r="A65" i="13" s="1"/>
  <c r="A66" i="13" s="1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L54" i="13"/>
  <c r="AK54" i="13"/>
  <c r="AJ54" i="13"/>
  <c r="AJ57" i="13" s="1"/>
  <c r="AM52" i="13"/>
  <c r="AL52" i="13"/>
  <c r="AK52" i="13"/>
  <c r="AJ52" i="13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L44" i="13"/>
  <c r="AK44" i="13"/>
  <c r="AJ44" i="13"/>
  <c r="AM42" i="13"/>
  <c r="AL42" i="13"/>
  <c r="AK42" i="13"/>
  <c r="AJ42" i="13"/>
  <c r="AM41" i="13"/>
  <c r="AL41" i="13"/>
  <c r="AK41" i="13"/>
  <c r="AJ41" i="13"/>
  <c r="AM40" i="13"/>
  <c r="AL40" i="13"/>
  <c r="AK40" i="13"/>
  <c r="AJ40" i="13"/>
  <c r="AM38" i="13"/>
  <c r="AL38" i="13"/>
  <c r="AK38" i="13"/>
  <c r="AJ38" i="13"/>
  <c r="AM36" i="13"/>
  <c r="AL36" i="13"/>
  <c r="AK36" i="13"/>
  <c r="AJ36" i="13"/>
  <c r="AM35" i="13"/>
  <c r="AL35" i="13"/>
  <c r="AK35" i="13"/>
  <c r="AJ35" i="13"/>
  <c r="AM34" i="13"/>
  <c r="AL34" i="13"/>
  <c r="AK34" i="13"/>
  <c r="AJ34" i="13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J26" i="13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57" i="13" l="1"/>
  <c r="AK57" i="13"/>
  <c r="AL57" i="13"/>
  <c r="AM33" i="13"/>
  <c r="AJ67" i="13"/>
  <c r="AJ68" i="13" s="1"/>
  <c r="AL67" i="13"/>
  <c r="AJ25" i="13"/>
  <c r="AL25" i="13"/>
  <c r="AL33" i="13" s="1"/>
  <c r="AK67" i="13"/>
  <c r="AM67" i="13"/>
  <c r="AK25" i="13"/>
  <c r="AK33" i="13" s="1"/>
  <c r="AM25" i="13"/>
  <c r="AM37" i="13" s="1"/>
  <c r="AM39" i="13" s="1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L37" i="13" l="1"/>
  <c r="AL39" i="13" s="1"/>
  <c r="AM43" i="13"/>
  <c r="AJ33" i="13"/>
  <c r="AM51" i="13"/>
  <c r="AM53" i="13" s="1"/>
  <c r="AK37" i="13"/>
  <c r="AK39" i="13" s="1"/>
  <c r="AK43" i="12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37" i="13" l="1"/>
  <c r="AJ39" i="13" s="1"/>
  <c r="AK43" i="13"/>
  <c r="AK51" i="13" s="1"/>
  <c r="AK53" i="13" s="1"/>
  <c r="AL43" i="13"/>
  <c r="AL51" i="13" s="1"/>
  <c r="AL53" i="13" s="1"/>
  <c r="AJ58" i="12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43" i="13" l="1"/>
  <c r="AJ51" i="13" s="1"/>
  <c r="AJ53" i="13" s="1"/>
  <c r="AJ58" i="13" s="1"/>
  <c r="AJ33" i="1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<sst xmlns="http://schemas.openxmlformats.org/spreadsheetml/2006/main" count="5504" uniqueCount="87">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</sst>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 t="s">
        <v>57</v>
      </c>
      <c r="R4" s="92" t="s">
        <v>57</v>
      </c>
      <c r="S4" s="92">
        <v>1</v>
      </c>
      <c r="T4" s="92">
        <v>1</v>
      </c>
      <c r="U4" s="92">
        <v>1</v>
      </c>
      <c r="V4" s="92">
        <v>1</v>
      </c>
      <c r="W4" s="92" t="s">
        <v>57</v>
      </c>
      <c r="X4" s="92">
        <v>1</v>
      </c>
      <c r="Y4" s="92">
        <v>1</v>
      </c>
      <c r="Z4" s="92">
        <v>1</v>
      </c>
      <c r="AA4" s="92">
        <v>1</v>
      </c>
      <c r="AB4" s="92" t="s">
        <v>58</v>
      </c>
      <c r="AC4" s="92">
        <v>1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01"/>
      <c r="AJ4" s="152">
        <f t="shared" ref="AJ4:AJ24" si="0">COUNTA(E4:AI4)</f>
        <v>30</v>
      </c>
      <c r="AK4" s="80">
        <f t="shared" ref="AK4:AK24" si="1">COUNTIF(E4:AI4,1)</f>
        <v>26</v>
      </c>
      <c r="AL4" s="80">
        <f t="shared" ref="AL4:AL24" si="2">COUNTIF(E4:AI4,"тр")</f>
        <v>1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 t="s">
        <v>58</v>
      </c>
      <c r="H5" s="5" t="s">
        <v>58</v>
      </c>
      <c r="I5" s="5" t="s">
        <v>58</v>
      </c>
      <c r="J5" s="5" t="s">
        <v>58</v>
      </c>
      <c r="K5" s="5" t="s">
        <v>58</v>
      </c>
      <c r="L5" s="5" t="s">
        <v>58</v>
      </c>
      <c r="M5" s="5" t="s">
        <v>58</v>
      </c>
      <c r="N5" s="5" t="s">
        <v>58</v>
      </c>
      <c r="O5" s="5" t="s">
        <v>58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0</v>
      </c>
      <c r="AL5" s="54">
        <f t="shared" si="2"/>
        <v>30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57</v>
      </c>
      <c r="H6" s="5" t="s">
        <v>57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/>
      <c r="AJ6" s="153">
        <f t="shared" si="0"/>
        <v>30</v>
      </c>
      <c r="AK6" s="54">
        <f t="shared" si="1"/>
        <v>28</v>
      </c>
      <c r="AL6" s="54">
        <f t="shared" si="2"/>
        <v>0</v>
      </c>
      <c r="AM6" s="55">
        <f t="shared" si="3"/>
        <v>2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78" t="s">
        <v>58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11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 t="s">
        <v>57</v>
      </c>
      <c r="I8" s="5">
        <v>1</v>
      </c>
      <c r="J8" s="5">
        <v>1</v>
      </c>
      <c r="K8" s="5">
        <v>1</v>
      </c>
      <c r="L8" s="5">
        <v>1</v>
      </c>
      <c r="M8" s="5">
        <v>1</v>
      </c>
      <c r="N8" s="5" t="s">
        <v>57</v>
      </c>
      <c r="O8" s="5" t="s">
        <v>57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 t="s">
        <v>57</v>
      </c>
      <c r="V8" s="5" t="s">
        <v>57</v>
      </c>
      <c r="W8" s="5">
        <v>1</v>
      </c>
      <c r="X8" s="5" t="s">
        <v>57</v>
      </c>
      <c r="Y8" s="5" t="s">
        <v>57</v>
      </c>
      <c r="Z8" s="5" t="s">
        <v>57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78"/>
      <c r="AJ9" s="153">
        <f t="shared" si="0"/>
        <v>30</v>
      </c>
      <c r="AK9" s="54">
        <f t="shared" si="1"/>
        <v>28</v>
      </c>
      <c r="AL9" s="54">
        <f t="shared" si="2"/>
        <v>2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 t="s">
        <v>57</v>
      </c>
      <c r="H10" s="5" t="s">
        <v>57</v>
      </c>
      <c r="I10" s="5">
        <v>1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>
        <v>1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/>
      <c r="AJ10" s="153">
        <f t="shared" si="0"/>
        <v>30</v>
      </c>
      <c r="AK10" s="54">
        <f t="shared" si="1"/>
        <v>8</v>
      </c>
      <c r="AL10" s="54">
        <f t="shared" si="2"/>
        <v>19</v>
      </c>
      <c r="AM10" s="55">
        <f t="shared" si="3"/>
        <v>3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 t="s">
        <v>57</v>
      </c>
      <c r="H11" s="5" t="s">
        <v>57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/>
      <c r="AJ11" s="153">
        <f t="shared" si="0"/>
        <v>30</v>
      </c>
      <c r="AK11" s="54">
        <f t="shared" si="1"/>
        <v>28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 t="s">
        <v>58</v>
      </c>
      <c r="H12" s="5" t="s">
        <v>58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 t="s">
        <v>58</v>
      </c>
      <c r="P12" s="5" t="s">
        <v>58</v>
      </c>
      <c r="Q12" s="5" t="s">
        <v>58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 t="s">
        <v>58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78"/>
      <c r="AJ12" s="153">
        <f t="shared" si="0"/>
        <v>30</v>
      </c>
      <c r="AK12" s="54">
        <f t="shared" si="1"/>
        <v>15</v>
      </c>
      <c r="AL12" s="54">
        <f t="shared" si="2"/>
        <v>15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/>
      <c r="AJ13" s="153">
        <f t="shared" si="0"/>
        <v>30</v>
      </c>
      <c r="AK13" s="54">
        <f t="shared" si="1"/>
        <v>30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 t="s">
        <v>58</v>
      </c>
      <c r="K14" s="5" t="s">
        <v>58</v>
      </c>
      <c r="L14" s="5" t="s">
        <v>58</v>
      </c>
      <c r="M14" s="5" t="s">
        <v>58</v>
      </c>
      <c r="N14" s="5" t="s">
        <v>58</v>
      </c>
      <c r="O14" s="5" t="s">
        <v>58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 t="s">
        <v>58</v>
      </c>
      <c r="W14" s="5" t="s">
        <v>58</v>
      </c>
      <c r="X14" s="5" t="s">
        <v>58</v>
      </c>
      <c r="Y14" s="5" t="s">
        <v>58</v>
      </c>
      <c r="Z14" s="5" t="s">
        <v>58</v>
      </c>
      <c r="AA14" s="5" t="s">
        <v>58</v>
      </c>
      <c r="AB14" s="5" t="s">
        <v>58</v>
      </c>
      <c r="AC14" s="5" t="s">
        <v>58</v>
      </c>
      <c r="AD14" s="5" t="s">
        <v>58</v>
      </c>
      <c r="AE14" s="5" t="s">
        <v>58</v>
      </c>
      <c r="AF14" s="5" t="s">
        <v>58</v>
      </c>
      <c r="AG14" s="5" t="s">
        <v>58</v>
      </c>
      <c r="AH14" s="78" t="s">
        <v>58</v>
      </c>
      <c r="AI14" s="78"/>
      <c r="AJ14" s="153">
        <f t="shared" si="0"/>
        <v>30</v>
      </c>
      <c r="AK14" s="54">
        <f t="shared" si="1"/>
        <v>5</v>
      </c>
      <c r="AL14" s="54">
        <f t="shared" si="2"/>
        <v>25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 t="s">
        <v>57</v>
      </c>
      <c r="H15" s="5" t="s">
        <v>57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 t="s">
        <v>57</v>
      </c>
      <c r="W15" s="5" t="s">
        <v>57</v>
      </c>
      <c r="X15" s="5" t="s">
        <v>57</v>
      </c>
      <c r="Y15" s="5" t="s">
        <v>57</v>
      </c>
      <c r="Z15" s="5" t="s">
        <v>57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78">
        <v>1</v>
      </c>
      <c r="AI15" s="78"/>
      <c r="AJ15" s="153">
        <f t="shared" si="0"/>
        <v>30</v>
      </c>
      <c r="AK15" s="54">
        <f t="shared" si="1"/>
        <v>21</v>
      </c>
      <c r="AL15" s="54">
        <f t="shared" si="2"/>
        <v>0</v>
      </c>
      <c r="AM15" s="55">
        <f t="shared" si="3"/>
        <v>9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 t="s">
        <v>57</v>
      </c>
      <c r="P16" s="5" t="s">
        <v>57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57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/>
      <c r="AJ16" s="153">
        <f t="shared" si="0"/>
        <v>30</v>
      </c>
      <c r="AK16" s="54">
        <f t="shared" si="1"/>
        <v>27</v>
      </c>
      <c r="AL16" s="54">
        <f t="shared" si="2"/>
        <v>0</v>
      </c>
      <c r="AM16" s="55">
        <f t="shared" si="3"/>
        <v>3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/>
      <c r="AJ17" s="153">
        <f t="shared" si="0"/>
        <v>30</v>
      </c>
      <c r="AK17" s="54">
        <f t="shared" si="1"/>
        <v>30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 t="s">
        <v>58</v>
      </c>
      <c r="H18" s="5" t="s">
        <v>58</v>
      </c>
      <c r="I18" s="5" t="s">
        <v>58</v>
      </c>
      <c r="J18" s="5" t="s">
        <v>58</v>
      </c>
      <c r="K18" s="5" t="s">
        <v>58</v>
      </c>
      <c r="L18" s="5" t="s">
        <v>58</v>
      </c>
      <c r="M18" s="5" t="s">
        <v>58</v>
      </c>
      <c r="N18" s="5">
        <v>1</v>
      </c>
      <c r="O18" s="5" t="s">
        <v>57</v>
      </c>
      <c r="P18" s="5">
        <v>1</v>
      </c>
      <c r="Q18" s="5" t="s">
        <v>58</v>
      </c>
      <c r="R18" s="5" t="s">
        <v>58</v>
      </c>
      <c r="S18" s="5" t="s">
        <v>58</v>
      </c>
      <c r="T18" s="5" t="s">
        <v>58</v>
      </c>
      <c r="U18" s="5">
        <v>1</v>
      </c>
      <c r="V18" s="5">
        <v>1</v>
      </c>
      <c r="W18" s="5">
        <v>1</v>
      </c>
      <c r="X18" s="5" t="s">
        <v>57</v>
      </c>
      <c r="Y18" s="5">
        <v>1</v>
      </c>
      <c r="Z18" s="5">
        <v>1</v>
      </c>
      <c r="AA18" s="5">
        <v>1</v>
      </c>
      <c r="AB18" s="5" t="s">
        <v>57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78"/>
      <c r="AJ18" s="153">
        <f t="shared" si="0"/>
        <v>30</v>
      </c>
      <c r="AK18" s="54">
        <f t="shared" si="1"/>
        <v>14</v>
      </c>
      <c r="AL18" s="54">
        <f t="shared" si="2"/>
        <v>13</v>
      </c>
      <c r="AM18" s="55">
        <f t="shared" si="3"/>
        <v>3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>
        <v>1</v>
      </c>
      <c r="H19" s="5">
        <v>1</v>
      </c>
      <c r="I19" s="5" t="s">
        <v>57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 t="s">
        <v>57</v>
      </c>
      <c r="R19" s="5">
        <v>1</v>
      </c>
      <c r="S19" s="5">
        <v>1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78"/>
      <c r="AJ19" s="153">
        <f t="shared" si="0"/>
        <v>30</v>
      </c>
      <c r="AK19" s="54">
        <f t="shared" si="1"/>
        <v>12</v>
      </c>
      <c r="AL19" s="54">
        <f t="shared" si="2"/>
        <v>16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 t="s">
        <v>58</v>
      </c>
      <c r="K20" s="5" t="s">
        <v>58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/>
      <c r="AJ20" s="153">
        <f t="shared" si="0"/>
        <v>30</v>
      </c>
      <c r="AK20" s="54">
        <f t="shared" si="1"/>
        <v>0</v>
      </c>
      <c r="AL20" s="54">
        <f t="shared" si="2"/>
        <v>30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 t="s">
        <v>57</v>
      </c>
      <c r="AC21" s="5" t="s">
        <v>57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78"/>
      <c r="AJ21" s="153">
        <f t="shared" si="0"/>
        <v>30</v>
      </c>
      <c r="AK21" s="54">
        <f t="shared" si="1"/>
        <v>28</v>
      </c>
      <c r="AL21" s="54">
        <f t="shared" si="2"/>
        <v>0</v>
      </c>
      <c r="AM21" s="55">
        <f t="shared" si="3"/>
        <v>2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>
        <v>1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/>
      <c r="AJ22" s="153">
        <f t="shared" si="0"/>
        <v>30</v>
      </c>
      <c r="AK22" s="54">
        <f t="shared" si="1"/>
        <v>29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 t="s">
        <v>57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78"/>
      <c r="AJ23" s="153">
        <f t="shared" si="0"/>
        <v>30</v>
      </c>
      <c r="AK23" s="54">
        <f t="shared" si="1"/>
        <v>29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/>
      <c r="AJ24" s="156">
        <f t="shared" si="0"/>
        <v>30</v>
      </c>
      <c r="AK24" s="56">
        <f t="shared" si="1"/>
        <v>29</v>
      </c>
      <c r="AL24" s="56">
        <f t="shared" si="2"/>
        <v>0</v>
      </c>
      <c r="AM24" s="57">
        <f t="shared" si="3"/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630</v>
      </c>
      <c r="AK25" s="69">
        <f>SUM(AK4:AK24)</f>
        <v>427</v>
      </c>
      <c r="AL25" s="69">
        <f>SUM(AL4:AL24)</f>
        <v>162</v>
      </c>
      <c r="AM25" s="75">
        <f>SUM(AM4:AM24)</f>
        <v>41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 t="s">
        <v>57</v>
      </c>
      <c r="H26" s="35" t="s">
        <v>57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 t="s">
        <v>57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 t="s">
        <v>57</v>
      </c>
      <c r="V26" s="35" t="s">
        <v>57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>
        <v>1</v>
      </c>
      <c r="AG26" s="35">
        <v>1</v>
      </c>
      <c r="AH26" s="35">
        <v>1</v>
      </c>
      <c r="AI26" s="35"/>
      <c r="AJ26" s="152">
        <f t="shared" ref="AJ26:AJ32" si="5">COUNTA(E26:AI26)</f>
        <v>30</v>
      </c>
      <c r="AK26" s="80">
        <f t="shared" ref="AK26:AK32" si="6">COUNTIF(E26:AI26,1)</f>
        <v>25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/>
      <c r="AJ27" s="153">
        <f t="shared" si="5"/>
        <v>30</v>
      </c>
      <c r="AK27" s="54">
        <f t="shared" si="6"/>
        <v>0</v>
      </c>
      <c r="AL27" s="54">
        <f t="shared" si="7"/>
        <v>30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/>
      <c r="AJ28" s="153">
        <f t="shared" si="5"/>
        <v>30</v>
      </c>
      <c r="AK28" s="54">
        <f t="shared" si="6"/>
        <v>0</v>
      </c>
      <c r="AL28" s="54">
        <f t="shared" si="7"/>
        <v>30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/>
      <c r="AJ29" s="153">
        <f t="shared" si="5"/>
        <v>30</v>
      </c>
      <c r="AK29" s="54">
        <f t="shared" si="6"/>
        <v>0</v>
      </c>
      <c r="AL29" s="54">
        <f t="shared" si="7"/>
        <v>30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>
        <v>1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5"/>
      <c r="AJ30" s="153">
        <f t="shared" si="5"/>
        <v>30</v>
      </c>
      <c r="AK30" s="54">
        <f t="shared" si="6"/>
        <v>1</v>
      </c>
      <c r="AL30" s="54">
        <f t="shared" si="7"/>
        <v>29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>
        <v>1</v>
      </c>
      <c r="H31" s="5">
        <v>1</v>
      </c>
      <c r="I31" s="5" t="s">
        <v>57</v>
      </c>
      <c r="J31" s="5">
        <v>1</v>
      </c>
      <c r="K31" s="5">
        <v>1</v>
      </c>
      <c r="L31" s="5">
        <v>1</v>
      </c>
      <c r="M31" s="5">
        <v>1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 t="s">
        <v>58</v>
      </c>
      <c r="T31" s="5" t="s">
        <v>58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 t="s">
        <v>58</v>
      </c>
      <c r="AC31" s="5" t="s">
        <v>58</v>
      </c>
      <c r="AD31" s="5" t="s">
        <v>58</v>
      </c>
      <c r="AE31" s="5">
        <v>1</v>
      </c>
      <c r="AF31" s="5">
        <v>1</v>
      </c>
      <c r="AG31" s="5">
        <v>1</v>
      </c>
      <c r="AH31" s="5" t="s">
        <v>58</v>
      </c>
      <c r="AI31" s="5"/>
      <c r="AJ31" s="153">
        <f t="shared" si="5"/>
        <v>30</v>
      </c>
      <c r="AK31" s="54">
        <f t="shared" si="6"/>
        <v>9</v>
      </c>
      <c r="AL31" s="54">
        <f t="shared" si="7"/>
        <v>18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>
        <v>1</v>
      </c>
      <c r="L32" s="42">
        <v>1</v>
      </c>
      <c r="M32" s="42" t="s">
        <v>57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>
        <v>1</v>
      </c>
      <c r="AC32" s="42" t="s">
        <v>57</v>
      </c>
      <c r="AD32" s="42" t="s">
        <v>57</v>
      </c>
      <c r="AE32" s="42">
        <v>1</v>
      </c>
      <c r="AF32" s="42">
        <v>1</v>
      </c>
      <c r="AG32" s="42">
        <v>1</v>
      </c>
      <c r="AH32" s="42">
        <v>1</v>
      </c>
      <c r="AI32" s="42"/>
      <c r="AJ32" s="154">
        <f t="shared" si="5"/>
        <v>30</v>
      </c>
      <c r="AK32" s="84">
        <f t="shared" si="6"/>
        <v>27</v>
      </c>
      <c r="AL32" s="84">
        <f t="shared" si="7"/>
        <v>0</v>
      </c>
      <c r="AM32" s="85">
        <f t="shared" si="8"/>
        <v>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210</v>
      </c>
      <c r="AK33" s="135">
        <f>SUM(AK26:AK32)</f>
        <v>62</v>
      </c>
      <c r="AL33" s="135">
        <f>SUM(AL26:AL32)</f>
        <v>137</v>
      </c>
      <c r="AM33" s="136">
        <f>SUM(AM26:AM32)</f>
        <v>11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58</v>
      </c>
      <c r="AC34" s="35" t="s">
        <v>58</v>
      </c>
      <c r="AD34" s="35" t="s">
        <v>58</v>
      </c>
      <c r="AE34" s="35" t="s">
        <v>58</v>
      </c>
      <c r="AF34" s="35" t="s">
        <v>58</v>
      </c>
      <c r="AG34" s="35" t="s">
        <v>58</v>
      </c>
      <c r="AH34" s="35" t="s">
        <v>58</v>
      </c>
      <c r="AI34" s="35"/>
      <c r="AJ34" s="155">
        <f>COUNTA(E34:AI34)</f>
        <v>30</v>
      </c>
      <c r="AK34" s="17">
        <f>COUNTIF(E34:AI34,1)</f>
        <v>0</v>
      </c>
      <c r="AL34" s="17">
        <f>COUNTIF(E34:AI34,"тр")</f>
        <v>7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58</v>
      </c>
      <c r="AC35" s="5" t="s">
        <v>58</v>
      </c>
      <c r="AD35" s="5" t="s">
        <v>58</v>
      </c>
      <c r="AE35" s="5" t="s">
        <v>58</v>
      </c>
      <c r="AF35" s="5" t="s">
        <v>58</v>
      </c>
      <c r="AG35" s="5" t="s">
        <v>58</v>
      </c>
      <c r="AH35" s="5" t="s">
        <v>58</v>
      </c>
      <c r="AI35" s="5"/>
      <c r="AJ35" s="155">
        <f>COUNTA(E35:AI35)</f>
        <v>30</v>
      </c>
      <c r="AK35" s="54">
        <f>COUNTIF(E35:AI35,1)</f>
        <v>0</v>
      </c>
      <c r="AL35" s="54">
        <f>COUNTIF(E35:AI35,"тр")</f>
        <v>7</v>
      </c>
      <c r="AM35" s="55">
        <f>COUNTIF(E35:AI35,"бв")</f>
        <v>23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/>
      <c r="AJ36" s="155">
        <f>COUNTA(E36:AI36)</f>
        <v>30</v>
      </c>
      <c r="AK36" s="56">
        <f>COUNTIF(E36:AI36,1)</f>
        <v>0</v>
      </c>
      <c r="AL36" s="56">
        <f>COUNTIF(E36:AI36,"тр")</f>
        <v>30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90</v>
      </c>
      <c r="AK37" s="69">
        <f>SUM(AK34:AK36)</f>
        <v>0</v>
      </c>
      <c r="AL37" s="69">
        <f>SUM(AL34:AL36)</f>
        <v>44</v>
      </c>
      <c r="AM37" s="75">
        <f>SUM(AM34:AM36)</f>
        <v>46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/>
      <c r="AJ38" s="155">
        <f>COUNTA(E38:AI38)</f>
        <v>30</v>
      </c>
      <c r="AK38" s="19">
        <f>COUNTIF(E38:AI38,1)</f>
        <v>0</v>
      </c>
      <c r="AL38" s="19">
        <f>COUNTIF(E38:AI38,"тр")</f>
        <v>30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30</v>
      </c>
      <c r="AK39" s="69">
        <f>SUM(AK38)</f>
        <v>0</v>
      </c>
      <c r="AL39" s="69">
        <f>SUM(AL38)</f>
        <v>30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/>
      <c r="AJ40" s="155">
        <f>COUNTA(E40:AI40)</f>
        <v>30</v>
      </c>
      <c r="AK40" s="17">
        <f>COUNTIF(E40:AI40,1)</f>
        <v>0</v>
      </c>
      <c r="AL40" s="17">
        <f>COUNTIF(E40:AI40,"тр")</f>
        <v>30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 t="s">
        <v>57</v>
      </c>
      <c r="I41" s="5">
        <v>1</v>
      </c>
      <c r="J41" s="5" t="s">
        <v>57</v>
      </c>
      <c r="K41" s="5">
        <v>1</v>
      </c>
      <c r="L41" s="5">
        <v>1</v>
      </c>
      <c r="M41" s="5">
        <v>1</v>
      </c>
      <c r="N41" s="5" t="s">
        <v>58</v>
      </c>
      <c r="O41" s="5" t="s">
        <v>58</v>
      </c>
      <c r="P41" s="5">
        <v>1</v>
      </c>
      <c r="Q41" s="5" t="s">
        <v>58</v>
      </c>
      <c r="R41" s="5" t="s">
        <v>58</v>
      </c>
      <c r="S41" s="5" t="s">
        <v>58</v>
      </c>
      <c r="T41" s="5">
        <v>1</v>
      </c>
      <c r="U41" s="5">
        <v>1</v>
      </c>
      <c r="V41" s="5" t="s">
        <v>57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 t="s">
        <v>57</v>
      </c>
      <c r="AD41" s="5">
        <v>1</v>
      </c>
      <c r="AE41" s="5">
        <v>1</v>
      </c>
      <c r="AF41" s="5">
        <v>1</v>
      </c>
      <c r="AG41" s="5" t="s">
        <v>58</v>
      </c>
      <c r="AH41" s="5">
        <v>1</v>
      </c>
      <c r="AI41" s="5"/>
      <c r="AJ41" s="155">
        <f>COUNTA(E41:AI41)</f>
        <v>30</v>
      </c>
      <c r="AK41" s="54">
        <f>COUNTIF(E41:AI41,1)</f>
        <v>20</v>
      </c>
      <c r="AL41" s="54">
        <f>COUNTIF(E41:AI41,"тр")</f>
        <v>6</v>
      </c>
      <c r="AM41" s="55">
        <f>COUNTIF(E41:AI41,"бв")</f>
        <v>4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 t="s">
        <v>57</v>
      </c>
      <c r="M42" s="42">
        <v>1</v>
      </c>
      <c r="N42" s="42">
        <v>1</v>
      </c>
      <c r="O42" s="42">
        <v>1</v>
      </c>
      <c r="P42" s="42">
        <v>1</v>
      </c>
      <c r="Q42" s="42" t="s">
        <v>58</v>
      </c>
      <c r="R42" s="42" t="s">
        <v>58</v>
      </c>
      <c r="S42" s="42">
        <v>1</v>
      </c>
      <c r="T42" s="42">
        <v>1</v>
      </c>
      <c r="U42" s="42">
        <v>1</v>
      </c>
      <c r="V42" s="42">
        <v>1</v>
      </c>
      <c r="W42" s="42">
        <v>1</v>
      </c>
      <c r="X42" s="42" t="s">
        <v>57</v>
      </c>
      <c r="Y42" s="42" t="s">
        <v>57</v>
      </c>
      <c r="Z42" s="42" t="s">
        <v>58</v>
      </c>
      <c r="AA42" s="42">
        <v>1</v>
      </c>
      <c r="AB42" s="42" t="s">
        <v>58</v>
      </c>
      <c r="AC42" s="42" t="s">
        <v>58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42"/>
      <c r="AJ42" s="155">
        <f>COUNTA(E42:AI42)</f>
        <v>30</v>
      </c>
      <c r="AK42" s="56">
        <f>COUNTIF(E42:AI42,1)</f>
        <v>15</v>
      </c>
      <c r="AL42" s="56">
        <f>COUNTIF(E42:AI42,"тр")</f>
        <v>10</v>
      </c>
      <c r="AM42" s="57">
        <f>COUNTIF(E42:AI42,"бв")</f>
        <v>5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90</v>
      </c>
      <c r="AK43" s="69">
        <f>SUM(AK40:AK42)</f>
        <v>35</v>
      </c>
      <c r="AL43" s="69">
        <f>SUM(AL40:AL42)</f>
        <v>46</v>
      </c>
      <c r="AM43" s="75">
        <f>SUM(AM40:AM42)</f>
        <v>9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 t="s">
        <v>57</v>
      </c>
      <c r="H44" s="35" t="s">
        <v>57</v>
      </c>
      <c r="I44" s="35">
        <v>1</v>
      </c>
      <c r="J44" s="35" t="s">
        <v>58</v>
      </c>
      <c r="K44" s="35">
        <v>1</v>
      </c>
      <c r="L44" s="35" t="s">
        <v>58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 t="s">
        <v>57</v>
      </c>
      <c r="V44" s="35" t="s">
        <v>57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/>
      <c r="AJ44" s="155">
        <f t="shared" ref="AJ44:AJ50" si="9">COUNTA(E44:AI44)</f>
        <v>30</v>
      </c>
      <c r="AK44" s="17">
        <f t="shared" ref="AK44:AK50" si="10">COUNTIF(E44:AI44,1)</f>
        <v>24</v>
      </c>
      <c r="AL44" s="17">
        <f t="shared" ref="AL44:AL50" si="11">COUNTIF(E44:AI44,"тр")</f>
        <v>2</v>
      </c>
      <c r="AM44" s="18">
        <f t="shared" ref="AM44:AM50" si="12">COUNTIF(E44:AI44,"бв")</f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58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/>
      <c r="AJ45" s="155">
        <f t="shared" si="9"/>
        <v>30</v>
      </c>
      <c r="AK45" s="54">
        <f t="shared" si="10"/>
        <v>29</v>
      </c>
      <c r="AL45" s="54">
        <f t="shared" si="11"/>
        <v>1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 t="s">
        <v>57</v>
      </c>
      <c r="H46" s="5">
        <v>1</v>
      </c>
      <c r="I46" s="5" t="s">
        <v>57</v>
      </c>
      <c r="J46" s="5" t="s">
        <v>57</v>
      </c>
      <c r="K46" s="5" t="s">
        <v>57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 t="s">
        <v>57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5"/>
      <c r="AJ46" s="155">
        <f t="shared" si="9"/>
        <v>30</v>
      </c>
      <c r="AK46" s="54">
        <f t="shared" si="10"/>
        <v>24</v>
      </c>
      <c r="AL46" s="54">
        <f t="shared" si="11"/>
        <v>0</v>
      </c>
      <c r="AM46" s="55">
        <f t="shared" si="12"/>
        <v>6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58</v>
      </c>
      <c r="N47" s="5">
        <v>1</v>
      </c>
      <c r="O47" s="5" t="s">
        <v>57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 t="s">
        <v>57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>
        <v>1</v>
      </c>
      <c r="AI47" s="5"/>
      <c r="AJ47" s="155">
        <f t="shared" si="9"/>
        <v>30</v>
      </c>
      <c r="AK47" s="54">
        <f t="shared" si="10"/>
        <v>24</v>
      </c>
      <c r="AL47" s="54">
        <f t="shared" si="11"/>
        <v>1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 t="s">
        <v>57</v>
      </c>
      <c r="H48" s="5" t="s">
        <v>57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 t="s">
        <v>57</v>
      </c>
      <c r="AB48" s="5">
        <v>1</v>
      </c>
      <c r="AC48" s="5">
        <v>1</v>
      </c>
      <c r="AD48" s="5">
        <v>1</v>
      </c>
      <c r="AE48" s="5" t="s">
        <v>57</v>
      </c>
      <c r="AF48" s="5" t="s">
        <v>58</v>
      </c>
      <c r="AG48" s="5">
        <v>1</v>
      </c>
      <c r="AH48" s="5">
        <v>1</v>
      </c>
      <c r="AI48" s="5"/>
      <c r="AJ48" s="155">
        <f t="shared" si="9"/>
        <v>30</v>
      </c>
      <c r="AK48" s="54">
        <f t="shared" si="10"/>
        <v>25</v>
      </c>
      <c r="AL48" s="54">
        <f t="shared" si="11"/>
        <v>1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 t="s">
        <v>57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 t="s">
        <v>57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 t="s">
        <v>57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/>
      <c r="AJ49" s="155">
        <f t="shared" si="9"/>
        <v>30</v>
      </c>
      <c r="AK49" s="54">
        <f t="shared" si="10"/>
        <v>27</v>
      </c>
      <c r="AL49" s="54">
        <f t="shared" si="11"/>
        <v>0</v>
      </c>
      <c r="AM49" s="55">
        <f t="shared" si="12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>
        <v>1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 t="s">
        <v>57</v>
      </c>
      <c r="W50" s="42">
        <v>1</v>
      </c>
      <c r="X50" s="42">
        <v>1</v>
      </c>
      <c r="Y50" s="42" t="s">
        <v>58</v>
      </c>
      <c r="Z50" s="42">
        <v>1</v>
      </c>
      <c r="AA50" s="42">
        <v>1</v>
      </c>
      <c r="AB50" s="42">
        <v>1</v>
      </c>
      <c r="AC50" s="42" t="s">
        <v>57</v>
      </c>
      <c r="AD50" s="42" t="s">
        <v>57</v>
      </c>
      <c r="AE50" s="42">
        <v>1</v>
      </c>
      <c r="AF50" s="42">
        <v>1</v>
      </c>
      <c r="AG50" s="42">
        <v>1</v>
      </c>
      <c r="AH50" s="42">
        <v>1</v>
      </c>
      <c r="AI50" s="42"/>
      <c r="AJ50" s="155">
        <f t="shared" si="9"/>
        <v>30</v>
      </c>
      <c r="AK50" s="56">
        <f t="shared" si="10"/>
        <v>26</v>
      </c>
      <c r="AL50" s="56">
        <f t="shared" si="11"/>
        <v>1</v>
      </c>
      <c r="AM50" s="57">
        <f t="shared" si="12"/>
        <v>3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210</v>
      </c>
      <c r="AK51" s="69">
        <f>SUM(AK44:AK50)</f>
        <v>179</v>
      </c>
      <c r="AL51" s="69">
        <f>SUM(AL44:AL50)</f>
        <v>6</v>
      </c>
      <c r="AM51" s="75">
        <f>SUM(AM44:AM50)</f>
        <v>25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>
        <v>1</v>
      </c>
      <c r="H52" s="42">
        <v>1</v>
      </c>
      <c r="I52" s="42">
        <v>1</v>
      </c>
      <c r="J52" s="42" t="s">
        <v>57</v>
      </c>
      <c r="K52" s="42">
        <v>1</v>
      </c>
      <c r="L52" s="42">
        <v>1</v>
      </c>
      <c r="M52" s="42">
        <v>1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 t="s">
        <v>57</v>
      </c>
      <c r="Z52" s="42">
        <v>1</v>
      </c>
      <c r="AA52" s="42">
        <v>1</v>
      </c>
      <c r="AB52" s="42">
        <v>1</v>
      </c>
      <c r="AC52" s="42" t="s">
        <v>57</v>
      </c>
      <c r="AD52" s="42">
        <v>1</v>
      </c>
      <c r="AE52" s="42">
        <v>1</v>
      </c>
      <c r="AF52" s="42">
        <v>1</v>
      </c>
      <c r="AG52" s="42">
        <v>1</v>
      </c>
      <c r="AH52" s="42" t="s">
        <v>57</v>
      </c>
      <c r="AI52" s="42"/>
      <c r="AJ52" s="155">
        <f>COUNTA(E52:AI52)</f>
        <v>30</v>
      </c>
      <c r="AK52" s="56">
        <f>COUNTIF(E52:AI52,1)</f>
        <v>23</v>
      </c>
      <c r="AL52" s="56">
        <f>COUNTIF(E52:AI52,"тр")</f>
        <v>0</v>
      </c>
      <c r="AM52" s="57">
        <f>COUNTIF(E52:AI52,"бв")</f>
        <v>7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30</v>
      </c>
      <c r="AK53" s="69">
        <f>SUM(AK52:AK52)</f>
        <v>23</v>
      </c>
      <c r="AL53" s="69">
        <f>SUM(AL52:AL52)</f>
        <v>0</v>
      </c>
      <c r="AM53" s="75">
        <f>SUM(AM52:AM52)</f>
        <v>7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 t="s">
        <v>57</v>
      </c>
      <c r="Z54" s="92" t="s">
        <v>57</v>
      </c>
      <c r="AA54" s="92">
        <v>1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 t="s">
        <v>57</v>
      </c>
      <c r="AH54" s="92" t="s">
        <v>57</v>
      </c>
      <c r="AI54" s="92"/>
      <c r="AJ54" s="152">
        <f>COUNTA(E54:AI54)</f>
        <v>30</v>
      </c>
      <c r="AK54" s="80">
        <f>COUNTIF(E54:AI54,1)</f>
        <v>25</v>
      </c>
      <c r="AL54" s="80">
        <f>COUNTIF(E54:AI54,"тр")</f>
        <v>0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 t="s">
        <v>57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 t="s">
        <v>57</v>
      </c>
      <c r="V55" s="42" t="s">
        <v>57</v>
      </c>
      <c r="W55" s="42" t="s">
        <v>57</v>
      </c>
      <c r="X55" s="42">
        <v>1</v>
      </c>
      <c r="Y55" s="42">
        <v>1</v>
      </c>
      <c r="Z55" s="42">
        <v>1</v>
      </c>
      <c r="AA55" s="42">
        <v>1</v>
      </c>
      <c r="AB55" s="42" t="s">
        <v>57</v>
      </c>
      <c r="AC55" s="42" t="s">
        <v>57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/>
      <c r="AJ55" s="155">
        <f>COUNTA(E55:AI55)</f>
        <v>30</v>
      </c>
      <c r="AK55" s="56">
        <f>COUNTIF(E55:AI55,1)</f>
        <v>23</v>
      </c>
      <c r="AL55" s="56">
        <f>COUNTIF(E55:AI55,"тр")</f>
        <v>0</v>
      </c>
      <c r="AM55" s="57">
        <f>COUNTIF(E55:AI55,"бв")</f>
        <v>7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 t="s">
        <v>57</v>
      </c>
      <c r="K56" s="97">
        <v>1</v>
      </c>
      <c r="L56" s="97">
        <v>1</v>
      </c>
      <c r="M56" s="97">
        <v>1</v>
      </c>
      <c r="N56" s="97">
        <v>1</v>
      </c>
      <c r="O56" s="97" t="s">
        <v>57</v>
      </c>
      <c r="P56" s="97">
        <v>1</v>
      </c>
      <c r="Q56" s="97">
        <v>1</v>
      </c>
      <c r="R56" s="97">
        <v>1</v>
      </c>
      <c r="S56" s="97">
        <v>1</v>
      </c>
      <c r="T56" s="97">
        <v>1</v>
      </c>
      <c r="U56" s="97">
        <v>1</v>
      </c>
      <c r="V56" s="97">
        <v>1</v>
      </c>
      <c r="W56" s="97" t="s">
        <v>57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/>
      <c r="AJ56" s="157">
        <f>COUNTA(E56:AI56)</f>
        <v>30</v>
      </c>
      <c r="AK56" s="84">
        <f>COUNTIF(E56:AI56,1)</f>
        <v>27</v>
      </c>
      <c r="AL56" s="84">
        <f>COUNTIF(E56:AI56,"тр")</f>
        <v>0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90</v>
      </c>
      <c r="AK57" s="69">
        <f>SUM(AK54:AK56)</f>
        <v>75</v>
      </c>
      <c r="AL57" s="69">
        <f>SUM(AL54:AL56)</f>
        <v>0</v>
      </c>
      <c r="AM57" s="75">
        <f>SUM(AM54:AM56)</f>
        <v>15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1380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/>
      <c r="AJ62" s="155">
        <f>COUNTA(E62:AI62)</f>
        <v>30</v>
      </c>
      <c r="AK62" s="17">
        <f>COUNTIF(E62:AI62,1)</f>
        <v>30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/>
      <c r="AJ63" s="153">
        <f>COUNTA(E63:AI63)</f>
        <v>30</v>
      </c>
      <c r="AK63" s="54">
        <f>COUNTIF(E63:AI63,1)</f>
        <v>30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>
        <v>1</v>
      </c>
      <c r="H64" s="5" t="s">
        <v>57</v>
      </c>
      <c r="I64" s="5">
        <v>1</v>
      </c>
      <c r="J64" s="5">
        <v>1</v>
      </c>
      <c r="K64" s="5">
        <v>1</v>
      </c>
      <c r="L64" s="5">
        <v>1</v>
      </c>
      <c r="M64" s="5">
        <v>1</v>
      </c>
      <c r="N64" s="5">
        <v>1</v>
      </c>
      <c r="O64" s="5" t="s">
        <v>57</v>
      </c>
      <c r="P64" s="5">
        <v>1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57</v>
      </c>
      <c r="W64" s="5">
        <v>1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>
        <v>1</v>
      </c>
      <c r="AE64" s="5">
        <v>1</v>
      </c>
      <c r="AF64" s="5">
        <v>1</v>
      </c>
      <c r="AG64" s="5">
        <v>1</v>
      </c>
      <c r="AH64" s="5">
        <v>1</v>
      </c>
      <c r="AI64" s="5"/>
      <c r="AJ64" s="153">
        <f>COUNTA(E64:AI64)</f>
        <v>30</v>
      </c>
      <c r="AK64" s="54">
        <f>COUNTIF(E64:AI64,1)</f>
        <v>26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/>
      <c r="AJ65" s="153">
        <f>COUNTA(E65:AI65)</f>
        <v>30</v>
      </c>
      <c r="AK65" s="54">
        <f>COUNTIF(E65:AI65,1)</f>
        <v>0</v>
      </c>
      <c r="AL65" s="54">
        <f>COUNTIF(E65:AI65,"тр")</f>
        <v>30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/>
      <c r="AJ66" s="156">
        <f>COUNTA(E66:AI66)</f>
        <v>30</v>
      </c>
      <c r="AK66" s="56">
        <f>COUNTIF(E66:AI66,1)</f>
        <v>0</v>
      </c>
      <c r="AL66" s="56">
        <f>COUNTIF(E66:AI66,"тр")</f>
        <v>30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150</v>
      </c>
      <c r="AK67" s="69">
        <f t="shared" ref="AK67:AM67" si="14">SUM(AK62:AK66)</f>
        <v>86</v>
      </c>
      <c r="AL67" s="69">
        <f t="shared" si="14"/>
        <v>60</v>
      </c>
      <c r="AM67" s="75">
        <f t="shared" si="14"/>
        <v>4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150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2019-08-30T06:09:47Z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