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<sst xmlns="http://schemas.openxmlformats.org/spreadsheetml/2006/main" count="1279" uniqueCount="81">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</sst>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S9" sqref="S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14</v>
      </c>
      <c r="AH8" s="54">
        <f t="shared" si="0"/>
        <v>11</v>
      </c>
      <c r="AI8" s="54">
        <f t="shared" si="1"/>
        <v>0</v>
      </c>
      <c r="AJ8" s="55">
        <f t="shared" si="2"/>
        <v>3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79"/>
      <c r="AG9" s="83">
        <f t="shared" si="4"/>
        <v>14</v>
      </c>
      <c r="AH9" s="54">
        <f t="shared" si="0"/>
        <v>1</v>
      </c>
      <c r="AI9" s="54">
        <f t="shared" si="1"/>
        <v>13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14</v>
      </c>
      <c r="AH10" s="54">
        <f t="shared" si="0"/>
        <v>9</v>
      </c>
      <c r="AI10" s="54">
        <f t="shared" si="1"/>
        <v>5</v>
      </c>
      <c r="AJ10" s="55">
        <f t="shared" si="2"/>
        <v>0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14</v>
      </c>
      <c r="AH11" s="54">
        <f t="shared" si="0"/>
        <v>14</v>
      </c>
      <c r="AI11" s="54">
        <f t="shared" si="1"/>
        <v>0</v>
      </c>
      <c r="AJ11" s="55">
        <f t="shared" si="2"/>
        <v>0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14</v>
      </c>
      <c r="AH12" s="54">
        <f t="shared" si="0"/>
        <v>10</v>
      </c>
      <c r="AI12" s="54">
        <f t="shared" si="1"/>
        <v>0</v>
      </c>
      <c r="AJ12" s="55">
        <f t="shared" si="2"/>
        <v>4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14</v>
      </c>
      <c r="AH13" s="54">
        <f t="shared" si="0"/>
        <v>11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14</v>
      </c>
      <c r="AH14" s="54">
        <f t="shared" si="0"/>
        <v>13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14</v>
      </c>
      <c r="AH15" s="54">
        <f t="shared" si="0"/>
        <v>12</v>
      </c>
      <c r="AI15" s="54">
        <f t="shared" si="1"/>
        <v>0</v>
      </c>
      <c r="AJ15" s="55">
        <f t="shared" si="2"/>
        <v>2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14</v>
      </c>
      <c r="AH16" s="54">
        <f t="shared" si="0"/>
        <v>9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14</v>
      </c>
      <c r="AH17" s="54">
        <f t="shared" si="0"/>
        <v>14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14</v>
      </c>
      <c r="AH18" s="54">
        <f t="shared" si="0"/>
        <v>9</v>
      </c>
      <c r="AI18" s="54">
        <f t="shared" si="1"/>
        <v>2</v>
      </c>
      <c r="AJ18" s="55">
        <f t="shared" si="2"/>
        <v>3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14</v>
      </c>
      <c r="AH19" s="54">
        <f t="shared" si="0"/>
        <v>12</v>
      </c>
      <c r="AI19" s="54">
        <f t="shared" si="1"/>
        <v>0</v>
      </c>
      <c r="AJ19" s="55">
        <f t="shared" si="2"/>
        <v>2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14</v>
      </c>
      <c r="AH20" s="54">
        <f t="shared" si="0"/>
        <v>14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14</v>
      </c>
      <c r="AH21" s="54">
        <f t="shared" si="0"/>
        <v>14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14</v>
      </c>
      <c r="AH22" s="54">
        <f t="shared" si="0"/>
        <v>12</v>
      </c>
      <c r="AI22" s="54">
        <f t="shared" si="1"/>
        <v>0</v>
      </c>
      <c r="AJ22" s="55">
        <f t="shared" si="2"/>
        <v>2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14</v>
      </c>
      <c r="AH24" s="54">
        <f t="shared" si="0"/>
        <v>12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14</v>
      </c>
      <c r="AH25" s="85">
        <f t="shared" si="0"/>
        <v>14</v>
      </c>
      <c r="AI25" s="85">
        <f t="shared" si="1"/>
        <v>0</v>
      </c>
      <c r="AJ25" s="86">
        <f t="shared" si="2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294</v>
      </c>
      <c r="AH26" s="142">
        <f t="shared" ref="AH26:AJ26" si="5">SUM(AH7:AH25)</f>
        <v>191</v>
      </c>
      <c r="AI26" s="142">
        <f t="shared" si="5"/>
        <v>81</v>
      </c>
      <c r="AJ26" s="143">
        <f t="shared" si="5"/>
        <v>22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14</v>
      </c>
      <c r="AH27" s="81">
        <f t="shared" ref="AH27:AH33" si="6">COUNTIF(E27:AF27,1)</f>
        <v>2</v>
      </c>
      <c r="AI27" s="81">
        <f t="shared" ref="AI27:AI33" si="7">COUNTIF(E27:AF27,"тр")</f>
        <v>10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14</v>
      </c>
      <c r="AH29" s="54">
        <f t="shared" si="6"/>
        <v>10</v>
      </c>
      <c r="AI29" s="54">
        <f t="shared" si="7"/>
        <v>0</v>
      </c>
      <c r="AJ29" s="55">
        <f t="shared" si="8"/>
        <v>4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14</v>
      </c>
      <c r="AH30" s="54">
        <f t="shared" si="6"/>
        <v>6</v>
      </c>
      <c r="AI30" s="54">
        <f t="shared" si="7"/>
        <v>0</v>
      </c>
      <c r="AJ30" s="55">
        <f t="shared" si="8"/>
        <v>8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14</v>
      </c>
      <c r="AH31" s="54">
        <f t="shared" si="6"/>
        <v>12</v>
      </c>
      <c r="AI31" s="54">
        <f t="shared" si="7"/>
        <v>0</v>
      </c>
      <c r="AJ31" s="55">
        <f t="shared" si="8"/>
        <v>2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14</v>
      </c>
      <c r="AH32" s="54">
        <f t="shared" si="6"/>
        <v>11</v>
      </c>
      <c r="AI32" s="54">
        <f t="shared" si="7"/>
        <v>0</v>
      </c>
      <c r="AJ32" s="55">
        <f t="shared" si="8"/>
        <v>3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14</v>
      </c>
      <c r="AH33" s="85">
        <f t="shared" si="6"/>
        <v>12</v>
      </c>
      <c r="AI33" s="85">
        <f t="shared" si="7"/>
        <v>1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112</v>
      </c>
      <c r="AH34" s="136">
        <f>SUM(AH27:AH33)</f>
        <v>53</v>
      </c>
      <c r="AI34" s="136">
        <f>SUM(AI27:AI33)</f>
        <v>39</v>
      </c>
      <c r="AJ34" s="137">
        <f>SUM(AJ27:AJ33)</f>
        <v>20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14</v>
      </c>
      <c r="AH35" s="17">
        <f>COUNTIF(E35:AF35,1)</f>
        <v>6</v>
      </c>
      <c r="AI35" s="17">
        <f>COUNTIF(E35:AF35,"тр")</f>
        <v>6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14</v>
      </c>
      <c r="AH36" s="54">
        <f>COUNTIF(E36:AF36,1)</f>
        <v>8</v>
      </c>
      <c r="AI36" s="54">
        <f>COUNTIF(E36:AF36,"тр")</f>
        <v>0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56</v>
      </c>
      <c r="AH38" s="70">
        <f>SUM(AH35:AH37)</f>
        <v>14</v>
      </c>
      <c r="AI38" s="70">
        <f>SUM(AI35:AI37)</f>
        <v>34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14</v>
      </c>
      <c r="AH44" s="17">
        <f>COUNTIF(E44:AF44,1)</f>
        <v>11</v>
      </c>
      <c r="AI44" s="17">
        <f>COUNTIF(E44:AF44,"тр")</f>
        <v>2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14</v>
      </c>
      <c r="AH45" s="54">
        <f>COUNTIF(E45:AF45,1)</f>
        <v>6</v>
      </c>
      <c r="AI45" s="54">
        <f>COUNTIF(E45:AF45,"тр")</f>
        <v>0</v>
      </c>
      <c r="AJ45" s="55">
        <f>COUNTIF(E45:AF45,"бв")</f>
        <v>8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14</v>
      </c>
      <c r="AH46" s="56">
        <f>COUNTIF(E46:AF46,1)</f>
        <v>0</v>
      </c>
      <c r="AI46" s="56">
        <f>COUNTIF(E46:AF46,"тр")</f>
        <v>14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42</v>
      </c>
      <c r="AH47" s="70">
        <f>SUM(AH44:AH46)</f>
        <v>17</v>
      </c>
      <c r="AI47" s="70">
        <f>SUM(AI44:AI46)</f>
        <v>16</v>
      </c>
      <c r="AJ47" s="76">
        <f>SUM(AJ44:AJ46)</f>
        <v>9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14</v>
      </c>
      <c r="AH48" s="17">
        <f t="shared" ref="AH48:AH54" si="9">COUNTIF(E48:AF48,1)</f>
        <v>13</v>
      </c>
      <c r="AI48" s="17">
        <f t="shared" ref="AI48:AI54" si="10">COUNTIF(E48:AF48,"тр")</f>
        <v>1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14</v>
      </c>
      <c r="AH49" s="54">
        <f t="shared" si="9"/>
        <v>14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14</v>
      </c>
      <c r="AH50" s="54">
        <f t="shared" si="9"/>
        <v>13</v>
      </c>
      <c r="AI50" s="54">
        <f t="shared" si="10"/>
        <v>0</v>
      </c>
      <c r="AJ50" s="55">
        <f t="shared" si="11"/>
        <v>1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14</v>
      </c>
      <c r="AH51" s="54">
        <f t="shared" si="9"/>
        <v>14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14</v>
      </c>
      <c r="AH52" s="54">
        <f t="shared" si="9"/>
        <v>13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14</v>
      </c>
      <c r="AH53" s="54">
        <f t="shared" si="9"/>
        <v>14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14</v>
      </c>
      <c r="AH54" s="56">
        <f t="shared" si="9"/>
        <v>14</v>
      </c>
      <c r="AI54" s="56">
        <f t="shared" si="10"/>
        <v>0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98</v>
      </c>
      <c r="AH55" s="70">
        <f>SUM(AH48:AH54)</f>
        <v>95</v>
      </c>
      <c r="AI55" s="70">
        <f>SUM(AI48:AI54)</f>
        <v>1</v>
      </c>
      <c r="AJ55" s="76">
        <f>SUM(AJ48:AJ54)</f>
        <v>2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14</v>
      </c>
      <c r="AH56" s="56">
        <f>COUNTIF(E56:AF56,1)</f>
        <v>6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14</v>
      </c>
      <c r="AH57" s="70">
        <f>SUM(AH56:AH56)</f>
        <v>6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14</v>
      </c>
      <c r="AH58" s="81">
        <f>COUNTIF(E58:AF58,1)</f>
        <v>10</v>
      </c>
      <c r="AI58" s="81">
        <f>COUNTIF(E58:AF58,"тр")</f>
        <v>3</v>
      </c>
      <c r="AJ58" s="82">
        <f>COUNTIF(E58:AF58,"бв")</f>
        <v>1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14</v>
      </c>
      <c r="AH59" s="56">
        <f>COUNTIF(E59:AF59,1)</f>
        <v>13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14</v>
      </c>
      <c r="AH60" s="85">
        <f>COUNTIF(E60:AF60,1)</f>
        <v>6</v>
      </c>
      <c r="AI60" s="85">
        <f>COUNTIF(E60:AF60,"тр")</f>
        <v>0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42</v>
      </c>
      <c r="AH61" s="70">
        <f t="shared" ref="AH61:AJ61" si="12">SUM(AH58:AH60)</f>
        <v>29</v>
      </c>
      <c r="AI61" s="70">
        <f t="shared" si="12"/>
        <v>3</v>
      </c>
      <c r="AJ61" s="76">
        <f t="shared" si="12"/>
        <v>10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798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14</v>
      </c>
      <c r="AH66" s="81">
        <f>COUNTIF(E66:AF66,1)</f>
        <v>7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14</v>
      </c>
      <c r="AH67" s="54">
        <f>COUNTIF(E67:AF67,1)</f>
        <v>14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14</v>
      </c>
      <c r="AH68" s="85">
        <f>COUNTIF(E68:AF68,1)</f>
        <v>10</v>
      </c>
      <c r="AI68" s="85">
        <f>COUNTIF(E68:AF68,"тр")</f>
        <v>0</v>
      </c>
      <c r="AJ68" s="86">
        <f>COUNTIF(E68:AF68,"бв")</f>
        <v>4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42</v>
      </c>
      <c r="AH69" s="136">
        <f t="shared" ref="AH69:AJ69" si="14">SUM(AH66:AH68)</f>
        <v>31</v>
      </c>
      <c r="AI69" s="136">
        <f t="shared" si="14"/>
        <v>5</v>
      </c>
      <c r="AJ69" s="137">
        <f t="shared" si="14"/>
        <v>5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42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2019-02-14T07:19:58Z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