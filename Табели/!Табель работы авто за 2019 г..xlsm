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L26" i="15"/>
  <c r="AK26" i="15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L43" i="15" l="1"/>
  <c r="AK57" i="15"/>
  <c r="AK33" i="15"/>
  <c r="AM33" i="15"/>
  <c r="AM37" i="15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<sst xmlns="http://schemas.openxmlformats.org/spreadsheetml/2006/main" count="6615" uniqueCount="87">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</sst>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2" fillId="0" borderId="53" xfId="0" applyFont="1" applyFill="1" applyBorder="1" applyAlignment="1">
      <alignment horizontal="center" vertical="center"/>
    </xf>
    <xf numFmtId="0" fontId="2" fillId="0" borderId="54" xfId="0" applyFont="1" applyFill="1" applyBorder="1" applyAlignment="1">
      <alignment horizontal="center"/>
    </xf>
    <xf numFmtId="0" fontId="2" fillId="0" borderId="55" xfId="0" applyFont="1" applyFill="1" applyBorder="1" applyAlignment="1">
      <alignment horizontal="center"/>
    </xf>
    <xf numFmtId="0" fontId="3" fillId="2" borderId="56" xfId="0" applyFont="1" applyFill="1" applyBorder="1" applyAlignment="1">
      <alignment horizontal="center"/>
    </xf>
    <xf numFmtId="0" fontId="3" fillId="2" borderId="57" xfId="0" applyFont="1" applyFill="1" applyBorder="1" applyAlignment="1">
      <alignment horizontal="center"/>
    </xf>
    <xf numFmtId="0" fontId="2" fillId="0" borderId="58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60" xfId="0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0" fontId="2" fillId="0" borderId="62" xfId="0" applyFont="1" applyFill="1" applyBorder="1" applyAlignment="1">
      <alignment horizontal="center" vertical="center"/>
    </xf>
    <xf numFmtId="0" fontId="2" fillId="0" borderId="63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horizontal="center" vertical="center"/>
    </xf>
    <xf numFmtId="0" fontId="2" fillId="0" borderId="66" xfId="0" applyFont="1" applyFill="1" applyBorder="1" applyAlignment="1">
      <alignment horizontal="center" vertical="center"/>
    </xf>
    <xf numFmtId="0" fontId="2" fillId="0" borderId="67" xfId="0" applyFont="1" applyFill="1" applyBorder="1" applyAlignment="1">
      <alignment horizontal="center" vertical="center"/>
    </xf>
    <xf numFmtId="0" fontId="2" fillId="0" borderId="68" xfId="0" applyFont="1" applyFill="1" applyBorder="1" applyAlignment="1">
      <alignment horizontal="center" vertical="center"/>
    </xf>
    <xf numFmtId="0" fontId="2" fillId="0" borderId="69" xfId="0" applyFont="1" applyFill="1" applyBorder="1" applyAlignment="1">
      <alignment horizontal="center" vertical="center"/>
    </xf>
    <xf numFmtId="0" fontId="2" fillId="0" borderId="70" xfId="0" applyFont="1" applyFill="1" applyBorder="1" applyAlignment="1">
      <alignment horizontal="center" vertical="center"/>
    </xf>
    <xf numFmtId="0" fontId="2" fillId="0" borderId="71" xfId="0" applyFont="1" applyFill="1" applyBorder="1" applyAlignment="1">
      <alignment horizontal="center" vertical="center"/>
    </xf>
    <xf numFmtId="0" fontId="3" fillId="0" borderId="72" xfId="0" applyFont="1" applyFill="1" applyBorder="1" applyAlignment="1">
      <alignment horizontal="center" vertical="center"/>
    </xf>
    <xf numFmtId="0" fontId="3" fillId="0" borderId="73" xfId="0" applyFont="1" applyFill="1" applyBorder="1" applyAlignment="1">
      <alignment horizontal="center" vertical="center"/>
    </xf>
    <xf numFmtId="0" fontId="2" fillId="0" borderId="72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/>
    </xf>
    <xf numFmtId="0" fontId="3" fillId="0" borderId="74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2" xfId="0" applyFont="1" applyFill="1" applyBorder="1"/>
    <xf numFmtId="0" fontId="3" fillId="0" borderId="73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4" sqref="V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15" width="3.75" style="3" customWidth="1"/>
    <col min="16" max="16" width="3.75" style="202" customWidth="1"/>
    <col min="17" max="21" width="3.75" style="3" customWidth="1"/>
    <col min="22" max="22" width="3.75" style="203" customWidth="1"/>
    <col min="23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176"/>
      <c r="Q2" s="23"/>
      <c r="R2" s="23"/>
      <c r="S2" s="23"/>
      <c r="T2" s="23"/>
      <c r="U2" s="23"/>
      <c r="V2" s="177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50">
        <v>11</v>
      </c>
      <c r="P3" s="17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79">
        <v>18</v>
      </c>
      <c r="W3" s="151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101">
        <v>1</v>
      </c>
      <c r="P4" s="180">
        <v>1</v>
      </c>
      <c r="Q4" s="92"/>
      <c r="R4" s="92">
        <v>1</v>
      </c>
      <c r="S4" s="92">
        <v>1</v>
      </c>
      <c r="T4" s="92">
        <v>1</v>
      </c>
      <c r="U4" s="92">
        <v>1</v>
      </c>
      <c r="V4" s="181"/>
      <c r="W4" s="143">
        <v>1</v>
      </c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17</v>
      </c>
      <c r="AK4" s="80">
        <f t="shared" ref="AK4:AK24" si="1">COUNTIF(E4:AI4,1)</f>
        <v>17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78" t="s">
        <v>58</v>
      </c>
      <c r="P5" s="182"/>
      <c r="Q5" s="5"/>
      <c r="R5" s="5"/>
      <c r="S5" s="5"/>
      <c r="T5" s="5"/>
      <c r="U5" s="5"/>
      <c r="V5" s="183"/>
      <c r="W5" s="7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11</v>
      </c>
      <c r="AK5" s="54">
        <f t="shared" si="1"/>
        <v>0</v>
      </c>
      <c r="AL5" s="54">
        <f t="shared" si="2"/>
        <v>11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78">
        <v>1</v>
      </c>
      <c r="P6" s="182"/>
      <c r="Q6" s="5"/>
      <c r="R6" s="5">
        <v>1</v>
      </c>
      <c r="S6" s="5">
        <v>1</v>
      </c>
      <c r="T6" s="5">
        <v>1</v>
      </c>
      <c r="U6" s="5">
        <v>1</v>
      </c>
      <c r="V6" s="183">
        <v>1</v>
      </c>
      <c r="W6" s="7">
        <v>1</v>
      </c>
      <c r="X6" s="5">
        <v>1</v>
      </c>
      <c r="Y6" s="5">
        <v>1</v>
      </c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19</v>
      </c>
      <c r="AK6" s="54">
        <f t="shared" si="1"/>
        <v>19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78" t="s">
        <v>58</v>
      </c>
      <c r="P7" s="182"/>
      <c r="Q7" s="5"/>
      <c r="R7" s="5"/>
      <c r="S7" s="5"/>
      <c r="T7" s="5"/>
      <c r="U7" s="5"/>
      <c r="V7" s="183">
        <v>1</v>
      </c>
      <c r="W7" s="7">
        <v>1</v>
      </c>
      <c r="X7" s="5">
        <v>1</v>
      </c>
      <c r="Y7" s="5">
        <v>1</v>
      </c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15</v>
      </c>
      <c r="AK7" s="54">
        <f t="shared" si="1"/>
        <v>4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78">
        <v>1</v>
      </c>
      <c r="P8" s="182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183"/>
      <c r="W8" s="7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17</v>
      </c>
      <c r="AK8" s="54">
        <f t="shared" si="1"/>
        <v>12</v>
      </c>
      <c r="AL8" s="54">
        <f t="shared" si="2"/>
        <v>1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 t="s">
        <v>58</v>
      </c>
      <c r="M9" s="5" t="s">
        <v>58</v>
      </c>
      <c r="N9" s="5" t="s">
        <v>58</v>
      </c>
      <c r="O9" s="78" t="s">
        <v>58</v>
      </c>
      <c r="P9" s="182"/>
      <c r="Q9" s="5"/>
      <c r="R9" s="5"/>
      <c r="S9" s="5"/>
      <c r="T9" s="5"/>
      <c r="U9" s="5">
        <v>1</v>
      </c>
      <c r="V9" s="183">
        <v>1</v>
      </c>
      <c r="W9" s="7">
        <v>1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14</v>
      </c>
      <c r="AK9" s="54">
        <f t="shared" si="1"/>
        <v>10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78">
        <v>1</v>
      </c>
      <c r="P10" s="182"/>
      <c r="Q10" s="5"/>
      <c r="R10" s="5">
        <v>1</v>
      </c>
      <c r="S10" s="5">
        <v>1</v>
      </c>
      <c r="T10" s="5">
        <v>1</v>
      </c>
      <c r="U10" s="5">
        <v>1</v>
      </c>
      <c r="V10" s="183">
        <v>1</v>
      </c>
      <c r="W10" s="7"/>
      <c r="X10" s="5"/>
      <c r="Y10" s="5">
        <v>1</v>
      </c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17</v>
      </c>
      <c r="AK10" s="54">
        <f t="shared" si="1"/>
        <v>15</v>
      </c>
      <c r="AL10" s="54">
        <f t="shared" si="2"/>
        <v>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78">
        <v>1</v>
      </c>
      <c r="P11" s="182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183">
        <v>1</v>
      </c>
      <c r="W11" s="7">
        <v>1</v>
      </c>
      <c r="X11" s="5"/>
      <c r="Y11" s="5">
        <v>1</v>
      </c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20</v>
      </c>
      <c r="AK11" s="54">
        <f t="shared" si="1"/>
        <v>18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57</v>
      </c>
      <c r="M12" s="5">
        <v>1</v>
      </c>
      <c r="N12" s="5">
        <v>1</v>
      </c>
      <c r="O12" s="78">
        <v>1</v>
      </c>
      <c r="P12" s="182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183">
        <v>1</v>
      </c>
      <c r="W12" s="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18</v>
      </c>
      <c r="AK12" s="54">
        <f t="shared" si="1"/>
        <v>17</v>
      </c>
      <c r="AL12" s="54">
        <f t="shared" si="2"/>
        <v>0</v>
      </c>
      <c r="AM12" s="55">
        <f t="shared" si="3"/>
        <v>1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78">
        <v>1</v>
      </c>
      <c r="P13" s="182">
        <v>1</v>
      </c>
      <c r="Q13" s="5">
        <v>1</v>
      </c>
      <c r="R13" s="5">
        <v>1</v>
      </c>
      <c r="S13" s="5">
        <v>1</v>
      </c>
      <c r="T13" s="5"/>
      <c r="U13" s="5"/>
      <c r="V13" s="183"/>
      <c r="W13" s="7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15</v>
      </c>
      <c r="AK13" s="54">
        <f t="shared" si="1"/>
        <v>15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78">
        <v>1</v>
      </c>
      <c r="P14" s="182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183">
        <v>1</v>
      </c>
      <c r="W14" s="7">
        <v>1</v>
      </c>
      <c r="X14" s="5">
        <v>1</v>
      </c>
      <c r="Y14" s="5">
        <v>1</v>
      </c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21</v>
      </c>
      <c r="AK14" s="54">
        <f t="shared" si="1"/>
        <v>21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 t="s">
        <v>57</v>
      </c>
      <c r="K15" s="5">
        <v>1</v>
      </c>
      <c r="L15" s="5">
        <v>1</v>
      </c>
      <c r="M15" s="5">
        <v>1</v>
      </c>
      <c r="N15" s="5">
        <v>1</v>
      </c>
      <c r="O15" s="78">
        <v>1</v>
      </c>
      <c r="P15" s="182">
        <v>1</v>
      </c>
      <c r="Q15" s="5"/>
      <c r="R15" s="5">
        <v>1</v>
      </c>
      <c r="S15" s="5">
        <v>1</v>
      </c>
      <c r="T15" s="5">
        <v>1</v>
      </c>
      <c r="U15" s="5">
        <v>1</v>
      </c>
      <c r="V15" s="183">
        <v>1</v>
      </c>
      <c r="W15" s="7">
        <v>1</v>
      </c>
      <c r="X15" s="5"/>
      <c r="Y15" s="5">
        <v>1</v>
      </c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19</v>
      </c>
      <c r="AK15" s="54">
        <f t="shared" si="1"/>
        <v>18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78">
        <v>1</v>
      </c>
      <c r="P16" s="182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183">
        <v>1</v>
      </c>
      <c r="W16" s="7">
        <v>1</v>
      </c>
      <c r="X16" s="5">
        <v>1</v>
      </c>
      <c r="Y16" s="5">
        <v>1</v>
      </c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21</v>
      </c>
      <c r="AK16" s="54">
        <f t="shared" si="1"/>
        <v>21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78">
        <v>1</v>
      </c>
      <c r="P17" s="182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183">
        <v>1</v>
      </c>
      <c r="W17" s="7">
        <v>1</v>
      </c>
      <c r="X17" s="5">
        <v>1</v>
      </c>
      <c r="Y17" s="5">
        <v>1</v>
      </c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21</v>
      </c>
      <c r="AK17" s="54">
        <f t="shared" si="1"/>
        <v>21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>
        <v>1</v>
      </c>
      <c r="M18" s="5">
        <v>1</v>
      </c>
      <c r="N18" s="5">
        <v>1</v>
      </c>
      <c r="O18" s="78">
        <v>1</v>
      </c>
      <c r="P18" s="182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183">
        <v>1</v>
      </c>
      <c r="W18" s="7">
        <v>1</v>
      </c>
      <c r="X18" s="5">
        <v>1</v>
      </c>
      <c r="Y18" s="5">
        <v>1</v>
      </c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21</v>
      </c>
      <c r="AK18" s="54">
        <f t="shared" si="1"/>
        <v>14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 t="s">
        <v>57</v>
      </c>
      <c r="J19" s="5" t="s">
        <v>57</v>
      </c>
      <c r="K19" s="5" t="s">
        <v>57</v>
      </c>
      <c r="L19" s="5">
        <v>1</v>
      </c>
      <c r="M19" s="5">
        <v>1</v>
      </c>
      <c r="N19" s="5">
        <v>1</v>
      </c>
      <c r="O19" s="78">
        <v>1</v>
      </c>
      <c r="P19" s="182"/>
      <c r="Q19" s="5"/>
      <c r="R19" s="5">
        <v>1</v>
      </c>
      <c r="S19" s="5">
        <v>1</v>
      </c>
      <c r="T19" s="5">
        <v>1</v>
      </c>
      <c r="U19" s="5">
        <v>1</v>
      </c>
      <c r="V19" s="183">
        <v>1</v>
      </c>
      <c r="W19" s="7">
        <v>1</v>
      </c>
      <c r="X19" s="5">
        <v>1</v>
      </c>
      <c r="Y19" s="5">
        <v>1</v>
      </c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19</v>
      </c>
      <c r="AK19" s="54">
        <f t="shared" si="1"/>
        <v>15</v>
      </c>
      <c r="AL19" s="54">
        <f t="shared" si="2"/>
        <v>0</v>
      </c>
      <c r="AM19" s="55">
        <f t="shared" si="3"/>
        <v>4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78" t="s">
        <v>58</v>
      </c>
      <c r="P20" s="182"/>
      <c r="Q20" s="5"/>
      <c r="R20" s="5"/>
      <c r="S20" s="5"/>
      <c r="T20" s="5"/>
      <c r="U20" s="5"/>
      <c r="V20" s="183"/>
      <c r="W20" s="7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11</v>
      </c>
      <c r="AK20" s="54">
        <f t="shared" si="1"/>
        <v>0</v>
      </c>
      <c r="AL20" s="54">
        <f t="shared" si="2"/>
        <v>11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78" t="s">
        <v>58</v>
      </c>
      <c r="P21" s="182"/>
      <c r="Q21" s="5"/>
      <c r="R21" s="5"/>
      <c r="S21" s="5"/>
      <c r="T21" s="5"/>
      <c r="U21" s="5"/>
      <c r="V21" s="183"/>
      <c r="W21" s="7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11</v>
      </c>
      <c r="AK21" s="54">
        <f t="shared" si="1"/>
        <v>0</v>
      </c>
      <c r="AL21" s="54">
        <f t="shared" si="2"/>
        <v>11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126">
        <v>1</v>
      </c>
      <c r="P22" s="184">
        <v>1</v>
      </c>
      <c r="Q22" s="42">
        <v>1</v>
      </c>
      <c r="R22" s="42">
        <v>1</v>
      </c>
      <c r="S22" s="42"/>
      <c r="T22" s="42">
        <v>1</v>
      </c>
      <c r="U22" s="42">
        <v>1</v>
      </c>
      <c r="V22" s="185">
        <v>1</v>
      </c>
      <c r="W22" s="43">
        <v>1</v>
      </c>
      <c r="X22" s="42">
        <v>1</v>
      </c>
      <c r="Y22" s="42">
        <v>1</v>
      </c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20</v>
      </c>
      <c r="AK22" s="54">
        <f t="shared" si="1"/>
        <v>20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 t="s">
        <v>57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78">
        <v>1</v>
      </c>
      <c r="P23" s="182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183">
        <v>1</v>
      </c>
      <c r="W23" s="7">
        <v>1</v>
      </c>
      <c r="X23" s="5">
        <v>1</v>
      </c>
      <c r="Y23" s="5">
        <v>1</v>
      </c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21</v>
      </c>
      <c r="AK23" s="54">
        <f t="shared" si="1"/>
        <v>20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78">
        <v>1</v>
      </c>
      <c r="P24" s="182">
        <v>1</v>
      </c>
      <c r="Q24" s="5"/>
      <c r="R24" s="5">
        <v>1</v>
      </c>
      <c r="S24" s="5">
        <v>1</v>
      </c>
      <c r="T24" s="5">
        <v>1</v>
      </c>
      <c r="U24" s="5">
        <v>1</v>
      </c>
      <c r="V24" s="183">
        <v>1</v>
      </c>
      <c r="W24" s="7">
        <v>1</v>
      </c>
      <c r="X24" s="5">
        <v>1</v>
      </c>
      <c r="Y24" s="5">
        <v>1</v>
      </c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20</v>
      </c>
      <c r="AK24" s="56">
        <f t="shared" si="1"/>
        <v>20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186"/>
      <c r="Q25" s="173"/>
      <c r="R25" s="173"/>
      <c r="S25" s="173"/>
      <c r="T25" s="173"/>
      <c r="U25" s="173"/>
      <c r="V25" s="187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368</v>
      </c>
      <c r="AK25" s="69">
        <f>SUM(AK4:AK24)</f>
        <v>297</v>
      </c>
      <c r="AL25" s="69">
        <f>SUM(AL4:AL24)</f>
        <v>58</v>
      </c>
      <c r="AM25" s="75">
        <f>SUM(AM4:AM24)</f>
        <v>13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 t="s">
        <v>57</v>
      </c>
      <c r="O26" s="125" t="s">
        <v>57</v>
      </c>
      <c r="P26" s="188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189">
        <v>1</v>
      </c>
      <c r="W26" s="6">
        <v>1</v>
      </c>
      <c r="X26" s="35">
        <v>1</v>
      </c>
      <c r="Y26" s="35">
        <v>1</v>
      </c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21</v>
      </c>
      <c r="AK26" s="80">
        <f t="shared" ref="AK26:AK32" si="6">COUNTIF(E26:AI26,1)</f>
        <v>19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78" t="s">
        <v>58</v>
      </c>
      <c r="P27" s="182"/>
      <c r="Q27" s="5"/>
      <c r="R27" s="5"/>
      <c r="S27" s="5"/>
      <c r="T27" s="5"/>
      <c r="U27" s="5"/>
      <c r="V27" s="183"/>
      <c r="W27" s="7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11</v>
      </c>
      <c r="AK27" s="54">
        <f t="shared" si="6"/>
        <v>0</v>
      </c>
      <c r="AL27" s="54">
        <f t="shared" si="7"/>
        <v>9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78" t="s">
        <v>58</v>
      </c>
      <c r="P28" s="182"/>
      <c r="Q28" s="5"/>
      <c r="R28" s="5"/>
      <c r="S28" s="5"/>
      <c r="T28" s="5"/>
      <c r="U28" s="5"/>
      <c r="V28" s="183"/>
      <c r="W28" s="7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11</v>
      </c>
      <c r="AK28" s="54">
        <f t="shared" si="6"/>
        <v>0</v>
      </c>
      <c r="AL28" s="54">
        <f t="shared" si="7"/>
        <v>11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 t="s">
        <v>57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78">
        <v>1</v>
      </c>
      <c r="P29" s="182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183">
        <v>1</v>
      </c>
      <c r="W29" s="7">
        <v>1</v>
      </c>
      <c r="X29" s="5">
        <v>1</v>
      </c>
      <c r="Y29" s="5">
        <v>1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21</v>
      </c>
      <c r="AK29" s="54">
        <f t="shared" si="6"/>
        <v>19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 t="s">
        <v>57</v>
      </c>
      <c r="J30" s="5" t="s">
        <v>57</v>
      </c>
      <c r="K30" s="5" t="s">
        <v>57</v>
      </c>
      <c r="L30" s="5">
        <v>1</v>
      </c>
      <c r="M30" s="5">
        <v>1</v>
      </c>
      <c r="N30" s="5" t="s">
        <v>57</v>
      </c>
      <c r="O30" s="78">
        <v>1</v>
      </c>
      <c r="P30" s="182">
        <v>1</v>
      </c>
      <c r="Q30" s="5">
        <v>1</v>
      </c>
      <c r="R30" s="5"/>
      <c r="S30" s="5">
        <v>1</v>
      </c>
      <c r="T30" s="5">
        <v>1</v>
      </c>
      <c r="U30" s="5">
        <v>1</v>
      </c>
      <c r="V30" s="183"/>
      <c r="W30" s="7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16</v>
      </c>
      <c r="AK30" s="54">
        <f t="shared" si="6"/>
        <v>9</v>
      </c>
      <c r="AL30" s="54">
        <f t="shared" si="7"/>
        <v>1</v>
      </c>
      <c r="AM30" s="55">
        <f t="shared" si="8"/>
        <v>6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78">
        <v>1</v>
      </c>
      <c r="P31" s="182"/>
      <c r="Q31" s="5"/>
      <c r="R31" s="5">
        <v>1</v>
      </c>
      <c r="S31" s="5">
        <v>1</v>
      </c>
      <c r="T31" s="5">
        <v>1</v>
      </c>
      <c r="U31" s="5">
        <v>1</v>
      </c>
      <c r="V31" s="183">
        <v>1</v>
      </c>
      <c r="W31" s="7">
        <v>1</v>
      </c>
      <c r="X31" s="5"/>
      <c r="Y31" s="5">
        <v>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18</v>
      </c>
      <c r="AK31" s="54">
        <f t="shared" si="6"/>
        <v>8</v>
      </c>
      <c r="AL31" s="54">
        <f t="shared" si="7"/>
        <v>3</v>
      </c>
      <c r="AM31" s="55">
        <f t="shared" si="8"/>
        <v>7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 t="s">
        <v>58</v>
      </c>
      <c r="M32" s="42" t="s">
        <v>58</v>
      </c>
      <c r="N32" s="42">
        <v>1</v>
      </c>
      <c r="O32" s="126">
        <v>1</v>
      </c>
      <c r="P32" s="184">
        <v>1</v>
      </c>
      <c r="Q32" s="42">
        <v>1</v>
      </c>
      <c r="R32" s="42">
        <v>1</v>
      </c>
      <c r="S32" s="42"/>
      <c r="T32" s="42">
        <v>1</v>
      </c>
      <c r="U32" s="42">
        <v>1</v>
      </c>
      <c r="V32" s="185">
        <v>1</v>
      </c>
      <c r="W32" s="43">
        <v>1</v>
      </c>
      <c r="X32" s="42">
        <v>1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19</v>
      </c>
      <c r="AK32" s="84">
        <f t="shared" si="6"/>
        <v>17</v>
      </c>
      <c r="AL32" s="84">
        <f t="shared" si="7"/>
        <v>2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186"/>
      <c r="Q33" s="173"/>
      <c r="R33" s="173"/>
      <c r="S33" s="173"/>
      <c r="T33" s="173"/>
      <c r="U33" s="173"/>
      <c r="V33" s="187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117</v>
      </c>
      <c r="AK33" s="135">
        <f>SUM(AK26:AK32)</f>
        <v>72</v>
      </c>
      <c r="AL33" s="135">
        <f>SUM(AL26:AL32)</f>
        <v>26</v>
      </c>
      <c r="AM33" s="136">
        <f>SUM(AM26:AM32)</f>
        <v>19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125" t="s">
        <v>58</v>
      </c>
      <c r="P34" s="188"/>
      <c r="Q34" s="35"/>
      <c r="R34" s="35"/>
      <c r="S34" s="35"/>
      <c r="T34" s="35"/>
      <c r="U34" s="35"/>
      <c r="V34" s="189"/>
      <c r="W34" s="6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11</v>
      </c>
      <c r="AK34" s="17">
        <f>COUNTIF(E34:AI34,1)</f>
        <v>0</v>
      </c>
      <c r="AL34" s="17">
        <f>COUNTIF(E34:AI34,"тр")</f>
        <v>11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78" t="s">
        <v>58</v>
      </c>
      <c r="P35" s="182"/>
      <c r="Q35" s="5"/>
      <c r="R35" s="5"/>
      <c r="S35" s="5"/>
      <c r="T35" s="5"/>
      <c r="U35" s="5"/>
      <c r="V35" s="183"/>
      <c r="W35" s="7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11</v>
      </c>
      <c r="AK35" s="54">
        <f>COUNTIF(E35:AI35,1)</f>
        <v>0</v>
      </c>
      <c r="AL35" s="54">
        <f>COUNTIF(E35:AI35,"тр")</f>
        <v>11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126" t="s">
        <v>58</v>
      </c>
      <c r="P36" s="184"/>
      <c r="Q36" s="42"/>
      <c r="R36" s="42"/>
      <c r="S36" s="42"/>
      <c r="T36" s="42"/>
      <c r="U36" s="42"/>
      <c r="V36" s="185"/>
      <c r="W36" s="43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11</v>
      </c>
      <c r="AK36" s="56">
        <f>COUNTIF(E36:AI36,1)</f>
        <v>0</v>
      </c>
      <c r="AL36" s="56">
        <f>COUNTIF(E36:AI36,"тр")</f>
        <v>11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186"/>
      <c r="Q37" s="173"/>
      <c r="R37" s="173"/>
      <c r="S37" s="173"/>
      <c r="T37" s="173"/>
      <c r="U37" s="173"/>
      <c r="V37" s="187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33</v>
      </c>
      <c r="AK37" s="69">
        <f>SUM(AK34:AK36)</f>
        <v>0</v>
      </c>
      <c r="AL37" s="69">
        <f>SUM(AL34:AL36)</f>
        <v>33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175" t="s">
        <v>58</v>
      </c>
      <c r="P38" s="190"/>
      <c r="Q38" s="62"/>
      <c r="R38" s="62"/>
      <c r="S38" s="62"/>
      <c r="T38" s="62"/>
      <c r="U38" s="62"/>
      <c r="V38" s="191"/>
      <c r="W38" s="38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11</v>
      </c>
      <c r="AK38" s="19">
        <f>COUNTIF(E38:AI38,1)</f>
        <v>0</v>
      </c>
      <c r="AL38" s="19">
        <f>COUNTIF(E38:AI38,"тр")</f>
        <v>11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186"/>
      <c r="Q39" s="173"/>
      <c r="R39" s="173"/>
      <c r="S39" s="173"/>
      <c r="T39" s="173"/>
      <c r="U39" s="173"/>
      <c r="V39" s="187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11</v>
      </c>
      <c r="AK39" s="69">
        <f>SUM(AK38)</f>
        <v>0</v>
      </c>
      <c r="AL39" s="69">
        <f>SUM(AL38)</f>
        <v>11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125" t="s">
        <v>57</v>
      </c>
      <c r="P40" s="188"/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189"/>
      <c r="W40" s="6">
        <v>1</v>
      </c>
      <c r="X40" s="35">
        <v>1</v>
      </c>
      <c r="Y40" s="35">
        <v>1</v>
      </c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19</v>
      </c>
      <c r="AK40" s="17">
        <f>COUNTIF(E40:AI40,1)</f>
        <v>16</v>
      </c>
      <c r="AL40" s="17">
        <f>COUNTIF(E40:AI40,"тр")</f>
        <v>0</v>
      </c>
      <c r="AM40" s="18">
        <f>COUNTIF(E40:AI40,"бв")</f>
        <v>3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78">
        <v>1</v>
      </c>
      <c r="P41" s="182">
        <v>1</v>
      </c>
      <c r="Q41" s="5">
        <v>1</v>
      </c>
      <c r="R41" s="5">
        <v>1</v>
      </c>
      <c r="S41" s="5">
        <v>1</v>
      </c>
      <c r="T41" s="5">
        <v>1</v>
      </c>
      <c r="U41" s="5">
        <v>1</v>
      </c>
      <c r="V41" s="183">
        <v>1</v>
      </c>
      <c r="W41" s="7">
        <v>1</v>
      </c>
      <c r="X41" s="5"/>
      <c r="Y41" s="5">
        <v>1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20</v>
      </c>
      <c r="AK41" s="54">
        <f>COUNTIF(E41:AI41,1)</f>
        <v>19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126" t="s">
        <v>58</v>
      </c>
      <c r="P42" s="184"/>
      <c r="Q42" s="42"/>
      <c r="R42" s="42"/>
      <c r="S42" s="42"/>
      <c r="T42" s="42"/>
      <c r="U42" s="42"/>
      <c r="V42" s="185"/>
      <c r="W42" s="43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11</v>
      </c>
      <c r="AK42" s="56">
        <f>COUNTIF(E42:AI42,1)</f>
        <v>0</v>
      </c>
      <c r="AL42" s="56">
        <f>COUNTIF(E42:AI42,"тр")</f>
        <v>11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186"/>
      <c r="Q43" s="173"/>
      <c r="R43" s="173"/>
      <c r="S43" s="173"/>
      <c r="T43" s="173"/>
      <c r="U43" s="173"/>
      <c r="V43" s="187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50</v>
      </c>
      <c r="AK43" s="69">
        <f>SUM(AK40:AK42)</f>
        <v>35</v>
      </c>
      <c r="AL43" s="69">
        <f>SUM(AL40:AL42)</f>
        <v>11</v>
      </c>
      <c r="AM43" s="75">
        <f>SUM(AM40:AM42)</f>
        <v>4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 t="s">
        <v>57</v>
      </c>
      <c r="J44" s="35" t="s">
        <v>57</v>
      </c>
      <c r="K44" s="35">
        <v>1</v>
      </c>
      <c r="L44" s="35">
        <v>1</v>
      </c>
      <c r="M44" s="35">
        <v>1</v>
      </c>
      <c r="N44" s="35">
        <v>1</v>
      </c>
      <c r="O44" s="125">
        <v>1</v>
      </c>
      <c r="P44" s="188"/>
      <c r="Q44" s="35"/>
      <c r="R44" s="35"/>
      <c r="S44" s="35">
        <v>1</v>
      </c>
      <c r="T44" s="35">
        <v>1</v>
      </c>
      <c r="U44" s="35">
        <v>1</v>
      </c>
      <c r="V44" s="189">
        <v>1</v>
      </c>
      <c r="W44" s="6">
        <v>1</v>
      </c>
      <c r="X44" s="35">
        <v>1</v>
      </c>
      <c r="Y44" s="35">
        <v>1</v>
      </c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18</v>
      </c>
      <c r="AK44" s="17">
        <f t="shared" ref="AK44:AK50" si="10">COUNTIF(E44:AI44,1)</f>
        <v>16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 t="s">
        <v>58</v>
      </c>
      <c r="O45" s="78" t="s">
        <v>58</v>
      </c>
      <c r="P45" s="182">
        <v>1</v>
      </c>
      <c r="Q45" s="5"/>
      <c r="R45" s="5">
        <v>1</v>
      </c>
      <c r="S45" s="5">
        <v>1</v>
      </c>
      <c r="T45" s="5">
        <v>1</v>
      </c>
      <c r="U45" s="5">
        <v>1</v>
      </c>
      <c r="V45" s="183">
        <v>1</v>
      </c>
      <c r="W45" s="7">
        <v>1</v>
      </c>
      <c r="X45" s="5">
        <v>1</v>
      </c>
      <c r="Y45" s="5">
        <v>1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20</v>
      </c>
      <c r="AK45" s="54">
        <f t="shared" si="10"/>
        <v>18</v>
      </c>
      <c r="AL45" s="54">
        <f t="shared" si="11"/>
        <v>2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>
        <v>1</v>
      </c>
      <c r="J46" s="5">
        <v>1</v>
      </c>
      <c r="K46" s="5">
        <v>1</v>
      </c>
      <c r="L46" s="5">
        <v>1</v>
      </c>
      <c r="M46" s="5" t="s">
        <v>58</v>
      </c>
      <c r="N46" s="5">
        <v>1</v>
      </c>
      <c r="O46" s="78">
        <v>1</v>
      </c>
      <c r="P46" s="182">
        <v>1</v>
      </c>
      <c r="Q46" s="5">
        <v>1</v>
      </c>
      <c r="R46" s="5">
        <v>1</v>
      </c>
      <c r="S46" s="5"/>
      <c r="T46" s="5"/>
      <c r="U46" s="5">
        <v>1</v>
      </c>
      <c r="V46" s="183">
        <v>1</v>
      </c>
      <c r="W46" s="7">
        <v>1</v>
      </c>
      <c r="X46" s="5"/>
      <c r="Y46" s="5">
        <v>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18</v>
      </c>
      <c r="AK46" s="54">
        <f t="shared" si="10"/>
        <v>16</v>
      </c>
      <c r="AL46" s="54">
        <f t="shared" si="11"/>
        <v>1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78">
        <v>1</v>
      </c>
      <c r="P47" s="182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183"/>
      <c r="W47" s="7"/>
      <c r="X47" s="5">
        <v>1</v>
      </c>
      <c r="Y47" s="5">
        <v>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19</v>
      </c>
      <c r="AK47" s="54">
        <f t="shared" si="10"/>
        <v>19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78">
        <v>1</v>
      </c>
      <c r="P48" s="182"/>
      <c r="Q48" s="5"/>
      <c r="R48" s="5">
        <v>1</v>
      </c>
      <c r="S48" s="5">
        <v>1</v>
      </c>
      <c r="T48" s="5">
        <v>1</v>
      </c>
      <c r="U48" s="5">
        <v>1</v>
      </c>
      <c r="V48" s="183">
        <v>1</v>
      </c>
      <c r="W48" s="7">
        <v>1</v>
      </c>
      <c r="X48" s="5">
        <v>1</v>
      </c>
      <c r="Y48" s="5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19</v>
      </c>
      <c r="AK48" s="54">
        <f t="shared" si="10"/>
        <v>19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78">
        <v>1</v>
      </c>
      <c r="P49" s="182">
        <v>1</v>
      </c>
      <c r="Q49" s="5">
        <v>1</v>
      </c>
      <c r="R49" s="5"/>
      <c r="S49" s="5"/>
      <c r="T49" s="5">
        <v>1</v>
      </c>
      <c r="U49" s="5">
        <v>1</v>
      </c>
      <c r="V49" s="183">
        <v>1</v>
      </c>
      <c r="W49" s="7">
        <v>1</v>
      </c>
      <c r="X49" s="5">
        <v>1</v>
      </c>
      <c r="Y49" s="5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19</v>
      </c>
      <c r="AK49" s="54">
        <f t="shared" si="10"/>
        <v>19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126">
        <v>1</v>
      </c>
      <c r="P50" s="184">
        <v>1</v>
      </c>
      <c r="Q50" s="42">
        <v>1</v>
      </c>
      <c r="R50" s="42">
        <v>1</v>
      </c>
      <c r="S50" s="42">
        <v>1</v>
      </c>
      <c r="T50" s="42">
        <v>1</v>
      </c>
      <c r="U50" s="42"/>
      <c r="V50" s="185">
        <v>1</v>
      </c>
      <c r="W50" s="43">
        <v>1</v>
      </c>
      <c r="X50" s="42">
        <v>1</v>
      </c>
      <c r="Y50" s="42">
        <v>1</v>
      </c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20</v>
      </c>
      <c r="AK50" s="56">
        <f t="shared" si="10"/>
        <v>19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186"/>
      <c r="Q51" s="173"/>
      <c r="R51" s="173"/>
      <c r="S51" s="173"/>
      <c r="T51" s="173"/>
      <c r="U51" s="173"/>
      <c r="V51" s="187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133</v>
      </c>
      <c r="AK51" s="69">
        <f>SUM(AK44:AK50)</f>
        <v>126</v>
      </c>
      <c r="AL51" s="69">
        <f>SUM(AL44:AL50)</f>
        <v>3</v>
      </c>
      <c r="AM51" s="75">
        <f>SUM(AM44:AM50)</f>
        <v>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126">
        <v>1</v>
      </c>
      <c r="P52" s="184">
        <v>1</v>
      </c>
      <c r="Q52" s="42">
        <v>1</v>
      </c>
      <c r="R52" s="42">
        <v>1</v>
      </c>
      <c r="S52" s="42">
        <v>1</v>
      </c>
      <c r="T52" s="42"/>
      <c r="U52" s="42"/>
      <c r="V52" s="185">
        <v>1</v>
      </c>
      <c r="W52" s="43">
        <v>1</v>
      </c>
      <c r="X52" s="42">
        <v>1</v>
      </c>
      <c r="Y52" s="42">
        <v>1</v>
      </c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19</v>
      </c>
      <c r="AK52" s="56">
        <f>COUNTIF(E52:AI52,1)</f>
        <v>18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186"/>
      <c r="Q53" s="173"/>
      <c r="R53" s="173"/>
      <c r="S53" s="173"/>
      <c r="T53" s="173"/>
      <c r="U53" s="173"/>
      <c r="V53" s="187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19</v>
      </c>
      <c r="AK53" s="69">
        <f>SUM(AK52:AK52)</f>
        <v>18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 t="s">
        <v>58</v>
      </c>
      <c r="N54" s="92" t="s">
        <v>58</v>
      </c>
      <c r="O54" s="101" t="s">
        <v>58</v>
      </c>
      <c r="P54" s="180"/>
      <c r="Q54" s="92"/>
      <c r="R54" s="92">
        <v>1</v>
      </c>
      <c r="S54" s="5">
        <v>1</v>
      </c>
      <c r="T54" s="92">
        <v>1</v>
      </c>
      <c r="U54" s="92">
        <v>1</v>
      </c>
      <c r="V54" s="181">
        <v>1</v>
      </c>
      <c r="W54" s="143"/>
      <c r="X54" s="92">
        <v>1</v>
      </c>
      <c r="Y54" s="92">
        <v>1</v>
      </c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18</v>
      </c>
      <c r="AK54" s="80">
        <f>COUNTIF(E54:AI54,1)</f>
        <v>15</v>
      </c>
      <c r="AL54" s="80">
        <f>COUNTIF(E54:AI54,"тр")</f>
        <v>3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 t="s">
        <v>57</v>
      </c>
      <c r="L55" s="42">
        <v>1</v>
      </c>
      <c r="M55" s="42">
        <v>1</v>
      </c>
      <c r="N55" s="42">
        <v>1</v>
      </c>
      <c r="O55" s="126">
        <v>1</v>
      </c>
      <c r="P55" s="184">
        <v>1</v>
      </c>
      <c r="Q55" s="42">
        <v>1</v>
      </c>
      <c r="R55" s="42">
        <v>1</v>
      </c>
      <c r="S55" s="42">
        <v>1</v>
      </c>
      <c r="T55" s="42">
        <v>1</v>
      </c>
      <c r="U55" s="42"/>
      <c r="V55" s="185">
        <v>1</v>
      </c>
      <c r="W55" s="43">
        <v>1</v>
      </c>
      <c r="X55" s="42">
        <v>1</v>
      </c>
      <c r="Y55" s="42">
        <v>1</v>
      </c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20</v>
      </c>
      <c r="AK55" s="56">
        <f>COUNTIF(E55:AI55,1)</f>
        <v>19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102">
        <v>1</v>
      </c>
      <c r="P56" s="192">
        <v>1</v>
      </c>
      <c r="Q56" s="97">
        <v>1</v>
      </c>
      <c r="R56" s="97">
        <v>1</v>
      </c>
      <c r="S56" s="97">
        <v>1</v>
      </c>
      <c r="T56" s="97"/>
      <c r="U56" s="97">
        <v>1</v>
      </c>
      <c r="V56" s="193">
        <v>1</v>
      </c>
      <c r="W56" s="144">
        <v>1</v>
      </c>
      <c r="X56" s="97">
        <v>1</v>
      </c>
      <c r="Y56" s="97">
        <v>1</v>
      </c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20</v>
      </c>
      <c r="AK56" s="84">
        <f>COUNTIF(E56:AI56,1)</f>
        <v>20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186"/>
      <c r="Q57" s="173"/>
      <c r="R57" s="173"/>
      <c r="S57" s="173"/>
      <c r="T57" s="173"/>
      <c r="U57" s="173"/>
      <c r="V57" s="187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58</v>
      </c>
      <c r="AK57" s="69">
        <f>SUM(AK54:AK56)</f>
        <v>54</v>
      </c>
      <c r="AL57" s="69">
        <f>SUM(AL54:AL56)</f>
        <v>3</v>
      </c>
      <c r="AM57" s="75">
        <f>SUM(AM54:AM56)</f>
        <v>1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194"/>
      <c r="Q58" s="52"/>
      <c r="R58" s="52"/>
      <c r="S58" s="52"/>
      <c r="T58" s="52"/>
      <c r="U58" s="52"/>
      <c r="V58" s="195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789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196"/>
      <c r="Q59" s="47"/>
      <c r="R59" s="47"/>
      <c r="S59" s="47"/>
      <c r="T59" s="47"/>
      <c r="U59" s="47"/>
      <c r="V59" s="19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87">
        <v>11</v>
      </c>
      <c r="P61" s="198">
        <v>12</v>
      </c>
      <c r="Q61" s="174">
        <v>13</v>
      </c>
      <c r="R61" s="174">
        <v>14</v>
      </c>
      <c r="S61" s="174">
        <v>15</v>
      </c>
      <c r="T61" s="174">
        <v>16</v>
      </c>
      <c r="U61" s="174">
        <v>17</v>
      </c>
      <c r="V61" s="199">
        <v>18</v>
      </c>
      <c r="W61" s="34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125">
        <v>1</v>
      </c>
      <c r="P62" s="188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189">
        <v>1</v>
      </c>
      <c r="W62" s="6">
        <v>1</v>
      </c>
      <c r="X62" s="35">
        <v>1</v>
      </c>
      <c r="Y62" s="35">
        <v>1</v>
      </c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21</v>
      </c>
      <c r="AK62" s="17">
        <f>COUNTIF(E62:AI62,1)</f>
        <v>21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78">
        <v>1</v>
      </c>
      <c r="P63" s="182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183">
        <v>1</v>
      </c>
      <c r="W63" s="7">
        <v>1</v>
      </c>
      <c r="X63" s="5">
        <v>1</v>
      </c>
      <c r="Y63" s="5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21</v>
      </c>
      <c r="AK63" s="54">
        <f>COUNTIF(E63:AI63,1)</f>
        <v>21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 t="s">
        <v>57</v>
      </c>
      <c r="K64" s="5">
        <v>1</v>
      </c>
      <c r="L64" s="5">
        <v>1</v>
      </c>
      <c r="M64" s="5">
        <v>1</v>
      </c>
      <c r="N64" s="5">
        <v>1</v>
      </c>
      <c r="O64" s="78">
        <v>1</v>
      </c>
      <c r="P64" s="182">
        <v>1</v>
      </c>
      <c r="Q64" s="5"/>
      <c r="R64" s="5">
        <v>1</v>
      </c>
      <c r="S64" s="5">
        <v>1</v>
      </c>
      <c r="T64" s="5">
        <v>1</v>
      </c>
      <c r="U64" s="5">
        <v>1</v>
      </c>
      <c r="V64" s="183">
        <v>1</v>
      </c>
      <c r="W64" s="7">
        <v>1</v>
      </c>
      <c r="X64" s="5"/>
      <c r="Y64" s="5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19</v>
      </c>
      <c r="AK64" s="54">
        <f>COUNTIF(E64:AI64,1)</f>
        <v>18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78" t="s">
        <v>58</v>
      </c>
      <c r="P65" s="182"/>
      <c r="Q65" s="5"/>
      <c r="R65" s="5"/>
      <c r="S65" s="5"/>
      <c r="T65" s="5"/>
      <c r="U65" s="5"/>
      <c r="V65" s="183"/>
      <c r="W65" s="7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11</v>
      </c>
      <c r="AK65" s="54">
        <f>COUNTIF(E65:AI65,1)</f>
        <v>0</v>
      </c>
      <c r="AL65" s="54">
        <f>COUNTIF(E65:AI65,"тр")</f>
        <v>11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126" t="s">
        <v>58</v>
      </c>
      <c r="P66" s="184"/>
      <c r="Q66" s="42"/>
      <c r="R66" s="42"/>
      <c r="S66" s="42"/>
      <c r="T66" s="42"/>
      <c r="U66" s="42"/>
      <c r="V66" s="185"/>
      <c r="W66" s="43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11</v>
      </c>
      <c r="AK66" s="56">
        <f>COUNTIF(E66:AI66,1)</f>
        <v>0</v>
      </c>
      <c r="AL66" s="56">
        <f>COUNTIF(E66:AI66,"тр")</f>
        <v>11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186"/>
      <c r="Q67" s="173"/>
      <c r="R67" s="173"/>
      <c r="S67" s="173"/>
      <c r="T67" s="173"/>
      <c r="U67" s="173"/>
      <c r="V67" s="187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83</v>
      </c>
      <c r="AK67" s="69">
        <f t="shared" ref="AK67:AM67" si="14">SUM(AK62:AK66)</f>
        <v>60</v>
      </c>
      <c r="AL67" s="69">
        <f t="shared" si="14"/>
        <v>22</v>
      </c>
      <c r="AM67" s="75">
        <f t="shared" si="14"/>
        <v>1</v>
      </c>
    </row>
    <row r="68" spans="1:39" s="33" customFormat="1" x14ac:dyDescent="0.25">
      <c r="A68" s="171"/>
      <c r="B68" s="49"/>
      <c r="C68" s="50"/>
      <c r="D68" s="50"/>
      <c r="P68" s="200"/>
      <c r="V68" s="201"/>
      <c r="Y68" s="51" t="s">
        <v>68</v>
      </c>
      <c r="AJ68" s="76">
        <f>AJ67</f>
        <v>83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2019-10-21T12:22:00Z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