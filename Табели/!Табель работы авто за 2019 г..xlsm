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Октябрь 2019" sheetId="15" r:id="rId10"/>
    <sheet name="Данные" sheetId="5" state="hidden" r:id="rId11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9" hidden="1">'Октябрь 2019'!$E$2:$AM$58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9">'Октябрь 2019'!$3:$3</definedName>
    <definedName name="_xlnm.Print_Titles" localSheetId="8">'Сентябрь 2019'!$3:$3</definedName>
    <definedName name="_xlnm.Print_Titles" localSheetId="1">'Февраль 2019'!$3:$3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5" l="1"/>
  <c r="AL66" i="15"/>
  <c r="AK66" i="15"/>
  <c r="AJ66" i="15"/>
  <c r="AM65" i="15"/>
  <c r="AL65" i="15"/>
  <c r="AK65" i="15"/>
  <c r="AJ65" i="15"/>
  <c r="AM64" i="15"/>
  <c r="AL64" i="15"/>
  <c r="AK64" i="15"/>
  <c r="AJ64" i="15"/>
  <c r="A64" i="15"/>
  <c r="A65" i="15" s="1"/>
  <c r="A66" i="15" s="1"/>
  <c r="AM63" i="15"/>
  <c r="AL63" i="15"/>
  <c r="AK63" i="15"/>
  <c r="AJ63" i="15"/>
  <c r="A63" i="15"/>
  <c r="AM62" i="15"/>
  <c r="AL62" i="15"/>
  <c r="AK62" i="15"/>
  <c r="AJ62" i="15"/>
  <c r="A60" i="15"/>
  <c r="AM56" i="15"/>
  <c r="AL56" i="15"/>
  <c r="AK56" i="15"/>
  <c r="AJ56" i="15"/>
  <c r="AM55" i="15"/>
  <c r="AL55" i="15"/>
  <c r="AK55" i="15"/>
  <c r="AJ55" i="15"/>
  <c r="AM54" i="15"/>
  <c r="AM57" i="15" s="1"/>
  <c r="AL54" i="15"/>
  <c r="AK54" i="15"/>
  <c r="AJ54" i="15"/>
  <c r="AJ57" i="15" s="1"/>
  <c r="AM52" i="15"/>
  <c r="AM53" i="15" s="1"/>
  <c r="AL52" i="15"/>
  <c r="AL53" i="15" s="1"/>
  <c r="AK52" i="15"/>
  <c r="AK53" i="15" s="1"/>
  <c r="AJ52" i="15"/>
  <c r="AJ53" i="15" s="1"/>
  <c r="AM50" i="15"/>
  <c r="AL50" i="15"/>
  <c r="AK50" i="15"/>
  <c r="AJ50" i="15"/>
  <c r="AM49" i="15"/>
  <c r="AL49" i="15"/>
  <c r="AK49" i="15"/>
  <c r="AJ49" i="15"/>
  <c r="AM48" i="15"/>
  <c r="AL48" i="15"/>
  <c r="AK48" i="15"/>
  <c r="AJ48" i="15"/>
  <c r="AM47" i="15"/>
  <c r="AL47" i="15"/>
  <c r="AK47" i="15"/>
  <c r="AJ47" i="15"/>
  <c r="AM46" i="15"/>
  <c r="AL46" i="15"/>
  <c r="AK46" i="15"/>
  <c r="AJ46" i="15"/>
  <c r="AM45" i="15"/>
  <c r="AL45" i="15"/>
  <c r="AK45" i="15"/>
  <c r="AJ45" i="15"/>
  <c r="AM44" i="15"/>
  <c r="AL44" i="15"/>
  <c r="AK44" i="15"/>
  <c r="AK51" i="15" s="1"/>
  <c r="AJ44" i="15"/>
  <c r="AM42" i="15"/>
  <c r="AL42" i="15"/>
  <c r="AK42" i="15"/>
  <c r="AJ42" i="15"/>
  <c r="AM41" i="15"/>
  <c r="AL41" i="15"/>
  <c r="AK41" i="15"/>
  <c r="AJ41" i="15"/>
  <c r="AM40" i="15"/>
  <c r="AM43" i="15" s="1"/>
  <c r="AL40" i="15"/>
  <c r="AL43" i="15" s="1"/>
  <c r="AK40" i="15"/>
  <c r="AK43" i="15" s="1"/>
  <c r="AJ40" i="15"/>
  <c r="AM38" i="15"/>
  <c r="AM39" i="15" s="1"/>
  <c r="AL38" i="15"/>
  <c r="AL39" i="15" s="1"/>
  <c r="AK38" i="15"/>
  <c r="AK39" i="15" s="1"/>
  <c r="AJ38" i="15"/>
  <c r="AJ39" i="15" s="1"/>
  <c r="AM36" i="15"/>
  <c r="AL36" i="15"/>
  <c r="AK36" i="15"/>
  <c r="AJ36" i="15"/>
  <c r="AM35" i="15"/>
  <c r="AL35" i="15"/>
  <c r="AK35" i="15"/>
  <c r="AJ35" i="15"/>
  <c r="AM34" i="15"/>
  <c r="AL34" i="15"/>
  <c r="AK34" i="15"/>
  <c r="AK37" i="15" s="1"/>
  <c r="AJ34" i="15"/>
  <c r="AM32" i="15"/>
  <c r="AL32" i="15"/>
  <c r="AK32" i="15"/>
  <c r="AJ32" i="15"/>
  <c r="AM31" i="15"/>
  <c r="AL31" i="15"/>
  <c r="AK31" i="15"/>
  <c r="AJ31" i="15"/>
  <c r="AM30" i="15"/>
  <c r="AL30" i="15"/>
  <c r="AK30" i="15"/>
  <c r="AJ30" i="15"/>
  <c r="AM29" i="15"/>
  <c r="AL29" i="15"/>
  <c r="AK29" i="15"/>
  <c r="AJ29" i="15"/>
  <c r="AM28" i="15"/>
  <c r="AL28" i="15"/>
  <c r="AK28" i="15"/>
  <c r="AJ28" i="15"/>
  <c r="AM27" i="15"/>
  <c r="AL27" i="15"/>
  <c r="AK27" i="15"/>
  <c r="AJ27" i="15"/>
  <c r="AM26" i="15"/>
  <c r="AL26" i="15"/>
  <c r="AK26" i="15"/>
  <c r="AJ26" i="15"/>
  <c r="AM24" i="15"/>
  <c r="AL24" i="15"/>
  <c r="AK24" i="15"/>
  <c r="AJ24" i="15"/>
  <c r="AM23" i="15"/>
  <c r="AL23" i="15"/>
  <c r="AK23" i="15"/>
  <c r="AJ23" i="15"/>
  <c r="AM22" i="15"/>
  <c r="AL22" i="15"/>
  <c r="AK22" i="15"/>
  <c r="AJ22" i="15"/>
  <c r="AM21" i="15"/>
  <c r="AL21" i="15"/>
  <c r="AK21" i="15"/>
  <c r="AJ21" i="15"/>
  <c r="AM20" i="15"/>
  <c r="AL20" i="15"/>
  <c r="AK20" i="15"/>
  <c r="AJ20" i="15"/>
  <c r="AM19" i="15"/>
  <c r="AL19" i="15"/>
  <c r="AK19" i="15"/>
  <c r="AJ19" i="15"/>
  <c r="AM18" i="15"/>
  <c r="AL18" i="15"/>
  <c r="AK18" i="15"/>
  <c r="AJ18" i="15"/>
  <c r="AM17" i="15"/>
  <c r="AL17" i="15"/>
  <c r="AK17" i="15"/>
  <c r="AJ17" i="15"/>
  <c r="AM16" i="15"/>
  <c r="AL16" i="15"/>
  <c r="AK16" i="15"/>
  <c r="AJ16" i="15"/>
  <c r="AM15" i="15"/>
  <c r="AL15" i="15"/>
  <c r="AK15" i="15"/>
  <c r="AJ15" i="15"/>
  <c r="AM14" i="15"/>
  <c r="AL14" i="15"/>
  <c r="AK14" i="15"/>
  <c r="AJ14" i="15"/>
  <c r="AM13" i="15"/>
  <c r="AL13" i="15"/>
  <c r="AK13" i="15"/>
  <c r="AJ13" i="15"/>
  <c r="AM12" i="15"/>
  <c r="AL12" i="15"/>
  <c r="AK12" i="15"/>
  <c r="AJ12" i="15"/>
  <c r="AM11" i="15"/>
  <c r="AL11" i="15"/>
  <c r="AK11" i="15"/>
  <c r="AJ11" i="15"/>
  <c r="AM10" i="15"/>
  <c r="AL10" i="15"/>
  <c r="AK10" i="15"/>
  <c r="AJ10" i="15"/>
  <c r="AM9" i="15"/>
  <c r="AL9" i="15"/>
  <c r="AK9" i="15"/>
  <c r="AJ9" i="15"/>
  <c r="AM8" i="15"/>
  <c r="AL8" i="15"/>
  <c r="AK8" i="15"/>
  <c r="AJ8" i="15"/>
  <c r="AM7" i="15"/>
  <c r="AL7" i="15"/>
  <c r="AK7" i="15"/>
  <c r="AJ7" i="15"/>
  <c r="AM6" i="15"/>
  <c r="AL6" i="15"/>
  <c r="AK6" i="15"/>
  <c r="AJ6" i="15"/>
  <c r="AM5" i="15"/>
  <c r="AL5" i="15"/>
  <c r="AK5" i="15"/>
  <c r="AJ5" i="15"/>
  <c r="A5" i="15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6" i="15" s="1"/>
  <c r="A27" i="15" s="1"/>
  <c r="A28" i="15" s="1"/>
  <c r="A29" i="15" s="1"/>
  <c r="A30" i="15" s="1"/>
  <c r="A31" i="15" s="1"/>
  <c r="A32" i="15" s="1"/>
  <c r="A34" i="15" s="1"/>
  <c r="A35" i="15" s="1"/>
  <c r="A36" i="15" s="1"/>
  <c r="A38" i="15" s="1"/>
  <c r="A40" i="15" s="1"/>
  <c r="A41" i="15" s="1"/>
  <c r="A42" i="15" s="1"/>
  <c r="A44" i="15" s="1"/>
  <c r="A45" i="15" s="1"/>
  <c r="A46" i="15" s="1"/>
  <c r="A47" i="15" s="1"/>
  <c r="A48" i="15" s="1"/>
  <c r="A49" i="15" s="1"/>
  <c r="A50" i="15" s="1"/>
  <c r="A52" i="15" s="1"/>
  <c r="A54" i="15" s="1"/>
  <c r="A55" i="15" s="1"/>
  <c r="A56" i="15" s="1"/>
  <c r="AM4" i="15"/>
  <c r="AL4" i="15"/>
  <c r="AK4" i="15"/>
  <c r="AJ4" i="15"/>
  <c r="A1" i="15"/>
  <c r="AK57" i="15" l="1"/>
  <c r="AK33" i="15"/>
  <c r="AM33" i="15"/>
  <c r="AM37" i="15"/>
  <c r="AL51" i="15"/>
  <c r="AM51" i="15"/>
  <c r="AK25" i="15"/>
  <c r="AM25" i="15"/>
  <c r="AJ67" i="15"/>
  <c r="AJ68" i="15" s="1"/>
  <c r="AL67" i="15"/>
  <c r="AJ37" i="15"/>
  <c r="AL37" i="15"/>
  <c r="AJ43" i="15"/>
  <c r="AL33" i="15"/>
  <c r="AJ33" i="15"/>
  <c r="AJ51" i="15"/>
  <c r="AL57" i="15"/>
  <c r="AK67" i="15"/>
  <c r="AM67" i="15"/>
  <c r="AJ25" i="15"/>
  <c r="AL25" i="15"/>
  <c r="AI4" i="14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K40" i="14"/>
  <c r="AJ40" i="14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58" i="15" l="1"/>
  <c r="AL43" i="14"/>
  <c r="AJ43" i="14"/>
  <c r="AJ57" i="14"/>
  <c r="AJ33" i="14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<sst xmlns="http://schemas.openxmlformats.org/spreadsheetml/2006/main" count="6597" uniqueCount="87">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</sst>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3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4" priority="2">
      <formula>LEN(TRIM(E4))=0</formula>
    </cfRule>
  </conditionalFormatting>
  <conditionalFormatting sqref="AJ38:AM38">
    <cfRule type="containsBlanks" dxfId="1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59" s="172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2" priority="2">
      <formula>LEN(TRIM(E4))=0</formula>
    </cfRule>
  </conditionalFormatting>
  <conditionalFormatting sqref="E65:AI65">
    <cfRule type="containsBlanks" dxfId="1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10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9" priority="3">
      <formula>LEN(TRIM(E4))=0</formula>
    </cfRule>
  </conditionalFormatting>
  <conditionalFormatting sqref="E24:AH24">
    <cfRule type="containsBlanks" dxfId="8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7" priority="2">
      <formula>LEN(TRIM(E4))=0</formula>
    </cfRule>
  </conditionalFormatting>
  <conditionalFormatting sqref="E24:AI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27" sqref="AH2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>
        <v>1</v>
      </c>
      <c r="AC4" s="92">
        <v>1</v>
      </c>
      <c r="AD4" s="92">
        <v>1</v>
      </c>
      <c r="AE4" s="92">
        <v>1</v>
      </c>
      <c r="AF4" s="92" t="s">
        <v>57</v>
      </c>
      <c r="AG4" s="92" t="s">
        <v>57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26</v>
      </c>
      <c r="AK4" s="80">
        <f t="shared" ref="AK4:AK24" si="2">COUNTIF(E4:AH4,"тр")</f>
        <v>0</v>
      </c>
      <c r="AL4" s="81">
        <f t="shared" ref="AL4:AL24" si="3">COUNTIF(E4:AH4,"бв")</f>
        <v>4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153">
        <f t="shared" si="0"/>
        <v>30</v>
      </c>
      <c r="AJ5" s="54">
        <f t="shared" si="1"/>
        <v>0</v>
      </c>
      <c r="AK5" s="54">
        <f t="shared" si="2"/>
        <v>30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 t="s">
        <v>57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25</v>
      </c>
      <c r="AK6" s="54">
        <f t="shared" si="2"/>
        <v>3</v>
      </c>
      <c r="AL6" s="55">
        <f t="shared" si="3"/>
        <v>2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153">
        <f t="shared" si="0"/>
        <v>30</v>
      </c>
      <c r="AJ7" s="54">
        <f t="shared" si="1"/>
        <v>0</v>
      </c>
      <c r="AK7" s="54">
        <f t="shared" si="2"/>
        <v>30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 t="s">
        <v>57</v>
      </c>
      <c r="Z8" s="5" t="s">
        <v>57</v>
      </c>
      <c r="AA8" s="5" t="s">
        <v>58</v>
      </c>
      <c r="AB8" s="5" t="s">
        <v>58</v>
      </c>
      <c r="AC8" s="5" t="s">
        <v>58</v>
      </c>
      <c r="AD8" s="5" t="s">
        <v>57</v>
      </c>
      <c r="AE8" s="5">
        <v>1</v>
      </c>
      <c r="AF8" s="5" t="s">
        <v>57</v>
      </c>
      <c r="AG8" s="5" t="s">
        <v>57</v>
      </c>
      <c r="AH8" s="78">
        <v>1</v>
      </c>
      <c r="AI8" s="153">
        <f t="shared" si="0"/>
        <v>30</v>
      </c>
      <c r="AJ8" s="54">
        <f t="shared" si="1"/>
        <v>22</v>
      </c>
      <c r="AK8" s="54">
        <f t="shared" si="2"/>
        <v>3</v>
      </c>
      <c r="AL8" s="55">
        <f t="shared" si="3"/>
        <v>5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 t="s">
        <v>57</v>
      </c>
      <c r="AG9" s="5" t="s">
        <v>57</v>
      </c>
      <c r="AH9" s="78">
        <v>1</v>
      </c>
      <c r="AI9" s="153">
        <f t="shared" si="0"/>
        <v>30</v>
      </c>
      <c r="AJ9" s="54">
        <f t="shared" si="1"/>
        <v>27</v>
      </c>
      <c r="AK9" s="54">
        <f t="shared" si="2"/>
        <v>0</v>
      </c>
      <c r="AL9" s="55">
        <f t="shared" si="3"/>
        <v>3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 t="s">
        <v>58</v>
      </c>
      <c r="AB10" s="5">
        <v>1</v>
      </c>
      <c r="AC10" s="5">
        <v>1</v>
      </c>
      <c r="AD10" s="5">
        <v>1</v>
      </c>
      <c r="AE10" s="5">
        <v>1</v>
      </c>
      <c r="AF10" s="5" t="s">
        <v>57</v>
      </c>
      <c r="AG10" s="5" t="s">
        <v>57</v>
      </c>
      <c r="AH10" s="78">
        <v>1</v>
      </c>
      <c r="AI10" s="153">
        <f t="shared" si="0"/>
        <v>30</v>
      </c>
      <c r="AJ10" s="54">
        <f t="shared" si="1"/>
        <v>21</v>
      </c>
      <c r="AK10" s="54">
        <f t="shared" si="2"/>
        <v>6</v>
      </c>
      <c r="AL10" s="55">
        <f t="shared" si="3"/>
        <v>3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19</v>
      </c>
      <c r="AK11" s="54">
        <f t="shared" si="2"/>
        <v>11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 t="s">
        <v>57</v>
      </c>
      <c r="Z12" s="5" t="s">
        <v>57</v>
      </c>
      <c r="AA12" s="5" t="s">
        <v>57</v>
      </c>
      <c r="AB12" s="5">
        <v>1</v>
      </c>
      <c r="AC12" s="5">
        <v>1</v>
      </c>
      <c r="AD12" s="5">
        <v>1</v>
      </c>
      <c r="AE12" s="5" t="s">
        <v>58</v>
      </c>
      <c r="AF12" s="5">
        <v>1</v>
      </c>
      <c r="AG12" s="5">
        <v>1</v>
      </c>
      <c r="AH12" s="78" t="s">
        <v>57</v>
      </c>
      <c r="AI12" s="153">
        <f t="shared" si="0"/>
        <v>30</v>
      </c>
      <c r="AJ12" s="54">
        <f t="shared" si="1"/>
        <v>21</v>
      </c>
      <c r="AK12" s="54">
        <f t="shared" si="2"/>
        <v>1</v>
      </c>
      <c r="AL12" s="55">
        <f t="shared" si="3"/>
        <v>8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29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 t="s">
        <v>57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>
        <v>1</v>
      </c>
      <c r="AI15" s="153">
        <f t="shared" si="0"/>
        <v>30</v>
      </c>
      <c r="AJ15" s="54">
        <f t="shared" si="1"/>
        <v>28</v>
      </c>
      <c r="AK15" s="54">
        <f t="shared" si="2"/>
        <v>0</v>
      </c>
      <c r="AL15" s="55">
        <f t="shared" si="3"/>
        <v>2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30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153">
        <f t="shared" si="0"/>
        <v>30</v>
      </c>
      <c r="AJ18" s="54">
        <f t="shared" si="1"/>
        <v>5</v>
      </c>
      <c r="AK18" s="54">
        <f t="shared" si="2"/>
        <v>25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58</v>
      </c>
      <c r="AC19" s="5" t="s">
        <v>58</v>
      </c>
      <c r="AD19" s="5" t="s">
        <v>58</v>
      </c>
      <c r="AE19" s="5">
        <v>1</v>
      </c>
      <c r="AF19" s="5" t="s">
        <v>57</v>
      </c>
      <c r="AG19" s="5" t="s">
        <v>57</v>
      </c>
      <c r="AH19" s="78" t="s">
        <v>57</v>
      </c>
      <c r="AI19" s="153">
        <f t="shared" si="0"/>
        <v>30</v>
      </c>
      <c r="AJ19" s="54">
        <f t="shared" si="1"/>
        <v>13</v>
      </c>
      <c r="AK19" s="54">
        <f t="shared" si="2"/>
        <v>14</v>
      </c>
      <c r="AL19" s="55">
        <f t="shared" si="3"/>
        <v>3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0</v>
      </c>
      <c r="AK20" s="54">
        <f t="shared" si="2"/>
        <v>30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153">
        <f t="shared" si="0"/>
        <v>30</v>
      </c>
      <c r="AJ21" s="54">
        <f t="shared" si="1"/>
        <v>26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53">
        <f t="shared" si="0"/>
        <v>30</v>
      </c>
      <c r="AJ22" s="54">
        <f t="shared" si="1"/>
        <v>30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 t="s">
        <v>57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29</v>
      </c>
      <c r="AK23" s="54">
        <f t="shared" si="2"/>
        <v>0</v>
      </c>
      <c r="AL23" s="55">
        <f t="shared" si="3"/>
        <v>1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30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441</v>
      </c>
      <c r="AK25" s="69">
        <f>SUM(AK4:AK24)</f>
        <v>154</v>
      </c>
      <c r="AL25" s="75">
        <f>SUM(AL4:AL24)</f>
        <v>35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 t="s">
        <v>58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25</v>
      </c>
      <c r="AK26" s="80">
        <f t="shared" ref="AK26:AK32" si="7">COUNTIF(E26:AH26,"тр")</f>
        <v>1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>
        <v>1</v>
      </c>
      <c r="AG27" s="5">
        <v>1</v>
      </c>
      <c r="AH27" s="5" t="s">
        <v>57</v>
      </c>
      <c r="AI27" s="153">
        <f t="shared" si="5"/>
        <v>30</v>
      </c>
      <c r="AJ27" s="54">
        <f t="shared" si="6"/>
        <v>3</v>
      </c>
      <c r="AK27" s="54">
        <f t="shared" si="7"/>
        <v>26</v>
      </c>
      <c r="AL27" s="55">
        <f t="shared" si="8"/>
        <v>1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153">
        <f t="shared" si="5"/>
        <v>30</v>
      </c>
      <c r="AJ29" s="54">
        <f t="shared" si="6"/>
        <v>23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>
        <v>1</v>
      </c>
      <c r="Z30" s="5">
        <v>1</v>
      </c>
      <c r="AA30" s="5" t="s">
        <v>57</v>
      </c>
      <c r="AB30" s="5">
        <v>1</v>
      </c>
      <c r="AC30" s="5">
        <v>1</v>
      </c>
      <c r="AD30" s="5">
        <v>1</v>
      </c>
      <c r="AE30" s="5">
        <v>1</v>
      </c>
      <c r="AF30" s="5" t="s">
        <v>57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18</v>
      </c>
      <c r="AK30" s="54">
        <f t="shared" si="7"/>
        <v>5</v>
      </c>
      <c r="AL30" s="55">
        <f t="shared" si="8"/>
        <v>7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 t="s">
        <v>58</v>
      </c>
      <c r="AF31" s="5" t="s">
        <v>58</v>
      </c>
      <c r="AG31" s="5" t="s">
        <v>58</v>
      </c>
      <c r="AH31" s="5" t="s">
        <v>58</v>
      </c>
      <c r="AI31" s="153">
        <f t="shared" si="5"/>
        <v>30</v>
      </c>
      <c r="AJ31" s="54">
        <f t="shared" si="6"/>
        <v>0</v>
      </c>
      <c r="AK31" s="54">
        <f t="shared" si="7"/>
        <v>30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 t="s">
        <v>57</v>
      </c>
      <c r="Z32" s="42">
        <v>1</v>
      </c>
      <c r="AA32" s="42">
        <v>1</v>
      </c>
      <c r="AB32" s="42">
        <v>1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27</v>
      </c>
      <c r="AK32" s="84">
        <f t="shared" si="7"/>
        <v>0</v>
      </c>
      <c r="AL32" s="85">
        <f t="shared" si="8"/>
        <v>3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96</v>
      </c>
      <c r="AK33" s="135">
        <f>SUM(AK26:AK32)</f>
        <v>96</v>
      </c>
      <c r="AL33" s="136">
        <f>SUM(AL26:AL32)</f>
        <v>18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 t="s">
        <v>58</v>
      </c>
      <c r="Z34" s="35" t="s">
        <v>58</v>
      </c>
      <c r="AA34" s="35" t="s">
        <v>58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155">
        <f>COUNTA(E34:AH34)</f>
        <v>30</v>
      </c>
      <c r="AJ34" s="17">
        <f>COUNTIF(E34:AH34,1)</f>
        <v>0</v>
      </c>
      <c r="AK34" s="17">
        <f>COUNTIF(E34:AH34,"тр")</f>
        <v>30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 t="s">
        <v>58</v>
      </c>
      <c r="Z35" s="5" t="s">
        <v>58</v>
      </c>
      <c r="AA35" s="5" t="s">
        <v>58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155">
        <f>COUNTA(E35:AH35)</f>
        <v>30</v>
      </c>
      <c r="AJ35" s="54">
        <f>COUNTIF(E35:AH35,1)</f>
        <v>0</v>
      </c>
      <c r="AK35" s="54">
        <f>COUNTIF(E35:AH35,"тр")</f>
        <v>30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0</v>
      </c>
      <c r="AK37" s="69">
        <f>SUM(AK34:AK36)</f>
        <v>90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>
        <v>1</v>
      </c>
      <c r="Z40" s="35" t="s">
        <v>57</v>
      </c>
      <c r="AA40" s="35">
        <v>1</v>
      </c>
      <c r="AB40" s="35">
        <v>1</v>
      </c>
      <c r="AC40" s="35" t="s">
        <v>58</v>
      </c>
      <c r="AD40" s="35" t="s">
        <v>58</v>
      </c>
      <c r="AE40" s="35" t="s">
        <v>58</v>
      </c>
      <c r="AF40" s="35">
        <v>1</v>
      </c>
      <c r="AG40" s="35">
        <v>1</v>
      </c>
      <c r="AH40" s="35" t="s">
        <v>57</v>
      </c>
      <c r="AI40" s="155">
        <f>COUNTA(E40:AH40)</f>
        <v>30</v>
      </c>
      <c r="AJ40" s="17">
        <f>COUNTIF(E40:AH40,1)</f>
        <v>15</v>
      </c>
      <c r="AK40" s="17">
        <f>COUNTIF(E40:AH40,"тр")</f>
        <v>9</v>
      </c>
      <c r="AL40" s="18">
        <f>COUNTIF(E40:AH40,"бв")</f>
        <v>6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 t="s">
        <v>57</v>
      </c>
      <c r="Z41" s="5">
        <v>1</v>
      </c>
      <c r="AA41" s="5">
        <v>1</v>
      </c>
      <c r="AB41" s="5">
        <v>1</v>
      </c>
      <c r="AC41" s="5">
        <v>1</v>
      </c>
      <c r="AD41" s="5" t="s">
        <v>58</v>
      </c>
      <c r="AE41" s="5">
        <v>1</v>
      </c>
      <c r="AF41" s="5">
        <v>1</v>
      </c>
      <c r="AG41" s="5">
        <v>1</v>
      </c>
      <c r="AH41" s="5">
        <v>1</v>
      </c>
      <c r="AI41" s="155">
        <f>COUNTA(E41:AH41)</f>
        <v>30</v>
      </c>
      <c r="AJ41" s="54">
        <f>COUNTIF(E41:AH41,1)</f>
        <v>26</v>
      </c>
      <c r="AK41" s="54">
        <f>COUNTIF(E41:AH41,"тр")</f>
        <v>1</v>
      </c>
      <c r="AL41" s="55">
        <f>COUNTIF(E41:AH41,"бв")</f>
        <v>3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0</v>
      </c>
      <c r="AK42" s="56">
        <f>COUNTIF(E42:AH42,"тр")</f>
        <v>30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41</v>
      </c>
      <c r="AK43" s="69">
        <f>SUM(AK40:AK42)</f>
        <v>40</v>
      </c>
      <c r="AL43" s="75">
        <f>SUM(AL40:AL42)</f>
        <v>9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 t="s">
        <v>57</v>
      </c>
      <c r="Z44" s="35" t="s">
        <v>57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26</v>
      </c>
      <c r="AK44" s="17">
        <f t="shared" ref="AK44:AK50" si="11">COUNTIF(E44:AH44,"тр")</f>
        <v>0</v>
      </c>
      <c r="AL44" s="18">
        <f t="shared" ref="AL44:AL50" si="12">COUNTIF(E44:AH44,"бв")</f>
        <v>4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 t="s">
        <v>58</v>
      </c>
      <c r="AC45" s="5">
        <v>1</v>
      </c>
      <c r="AD45" s="5">
        <v>1</v>
      </c>
      <c r="AE45" s="5" t="s">
        <v>58</v>
      </c>
      <c r="AF45" s="5">
        <v>1</v>
      </c>
      <c r="AG45" s="5" t="s">
        <v>57</v>
      </c>
      <c r="AH45" s="5">
        <v>1</v>
      </c>
      <c r="AI45" s="155">
        <f t="shared" si="9"/>
        <v>30</v>
      </c>
      <c r="AJ45" s="54">
        <f t="shared" si="10"/>
        <v>23</v>
      </c>
      <c r="AK45" s="54">
        <f t="shared" si="11"/>
        <v>2</v>
      </c>
      <c r="AL45" s="55">
        <f t="shared" si="12"/>
        <v>5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58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155">
        <f t="shared" si="9"/>
        <v>30</v>
      </c>
      <c r="AJ47" s="54">
        <f t="shared" si="10"/>
        <v>24</v>
      </c>
      <c r="AK47" s="54">
        <f t="shared" si="11"/>
        <v>4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24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 t="s">
        <v>57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155">
        <f t="shared" si="9"/>
        <v>30</v>
      </c>
      <c r="AJ49" s="54">
        <f t="shared" si="10"/>
        <v>26</v>
      </c>
      <c r="AK49" s="54">
        <f t="shared" si="11"/>
        <v>0</v>
      </c>
      <c r="AL49" s="55">
        <f t="shared" si="12"/>
        <v>4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 t="s">
        <v>57</v>
      </c>
      <c r="AB50" s="42">
        <v>1</v>
      </c>
      <c r="AC50" s="42">
        <v>1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155">
        <f t="shared" si="9"/>
        <v>30</v>
      </c>
      <c r="AJ50" s="56">
        <f t="shared" si="10"/>
        <v>24</v>
      </c>
      <c r="AK50" s="56">
        <f t="shared" si="11"/>
        <v>2</v>
      </c>
      <c r="AL50" s="57">
        <f t="shared" si="12"/>
        <v>4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175</v>
      </c>
      <c r="AK51" s="69">
        <f>SUM(AK44:AK50)</f>
        <v>11</v>
      </c>
      <c r="AL51" s="75">
        <f>SUM(AL44:AL50)</f>
        <v>24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21</v>
      </c>
      <c r="AK52" s="56">
        <f>COUNTIF(E52:AH52,"тр")</f>
        <v>1</v>
      </c>
      <c r="AL52" s="57">
        <f>COUNTIF(E52:AH52,"бв")</f>
        <v>8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21</v>
      </c>
      <c r="AK53" s="69">
        <f>SUM(AK52:AK52)</f>
        <v>1</v>
      </c>
      <c r="AL53" s="75">
        <f>SUM(AL52:AL52)</f>
        <v>8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20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 t="s">
        <v>57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23</v>
      </c>
      <c r="AK55" s="56">
        <f>COUNTIF(E55:AH55,"тр")</f>
        <v>0</v>
      </c>
      <c r="AL55" s="57">
        <f>COUNTIF(E55:AH55,"бв")</f>
        <v>7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157">
        <f>COUNTA(E56:AH56)</f>
        <v>30</v>
      </c>
      <c r="AJ56" s="84">
        <f>COUNTIF(E56:AH56,1)</f>
        <v>26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69</v>
      </c>
      <c r="AK57" s="69">
        <f>SUM(AK54:AK56)</f>
        <v>0</v>
      </c>
      <c r="AL57" s="75">
        <f>SUM(AL54:AL56)</f>
        <v>21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 t="s">
        <v>58</v>
      </c>
      <c r="AG62" s="35" t="s">
        <v>58</v>
      </c>
      <c r="AH62" s="35">
        <v>1</v>
      </c>
      <c r="AI62" s="155">
        <f>COUNTA(E62:AH62)</f>
        <v>30</v>
      </c>
      <c r="AJ62" s="17">
        <f>COUNTIF(E62:AH62,1)</f>
        <v>28</v>
      </c>
      <c r="AK62" s="17">
        <f>COUNTIF(E62:AH62,"тр")</f>
        <v>2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>
        <v>1</v>
      </c>
      <c r="Z64" s="5" t="s">
        <v>57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24</v>
      </c>
      <c r="AK64" s="54">
        <f>COUNTIF(E64:AH64,"тр")</f>
        <v>0</v>
      </c>
      <c r="AL64" s="55">
        <f>COUNTIF(E64:AH64,"бв")</f>
        <v>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82</v>
      </c>
      <c r="AK67" s="69">
        <f t="shared" si="14"/>
        <v>62</v>
      </c>
      <c r="AL67" s="75">
        <f t="shared" si="14"/>
        <v>6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3" priority="2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4" sqref="N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71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10</v>
      </c>
      <c r="AK4" s="80">
        <f t="shared" ref="AK4:AK24" si="1">COUNTIF(E4:AI4,1)</f>
        <v>10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10</v>
      </c>
      <c r="AK5" s="54">
        <f t="shared" si="1"/>
        <v>0</v>
      </c>
      <c r="AL5" s="54">
        <f t="shared" si="2"/>
        <v>10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10</v>
      </c>
      <c r="AK6" s="54">
        <f t="shared" si="1"/>
        <v>10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10</v>
      </c>
      <c r="AK7" s="54">
        <f t="shared" si="1"/>
        <v>0</v>
      </c>
      <c r="AL7" s="54">
        <f t="shared" si="2"/>
        <v>10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58</v>
      </c>
      <c r="F8" s="5">
        <v>1</v>
      </c>
      <c r="G8" s="5">
        <v>1</v>
      </c>
      <c r="H8" s="5" t="s">
        <v>57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10</v>
      </c>
      <c r="AK8" s="54">
        <f t="shared" si="1"/>
        <v>5</v>
      </c>
      <c r="AL8" s="54">
        <f t="shared" si="2"/>
        <v>1</v>
      </c>
      <c r="AM8" s="55">
        <f t="shared" si="3"/>
        <v>4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 t="s">
        <v>58</v>
      </c>
      <c r="M9" s="5" t="s">
        <v>58</v>
      </c>
      <c r="N9" s="5" t="s">
        <v>58</v>
      </c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10</v>
      </c>
      <c r="AK9" s="54">
        <f t="shared" si="1"/>
        <v>7</v>
      </c>
      <c r="AL9" s="54">
        <f t="shared" si="2"/>
        <v>3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10</v>
      </c>
      <c r="AK10" s="54">
        <f t="shared" si="1"/>
        <v>8</v>
      </c>
      <c r="AL10" s="54">
        <f t="shared" si="2"/>
        <v>0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 t="s">
        <v>58</v>
      </c>
      <c r="F11" s="5" t="s">
        <v>58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10</v>
      </c>
      <c r="AK11" s="54">
        <f t="shared" si="1"/>
        <v>8</v>
      </c>
      <c r="AL11" s="54">
        <f t="shared" si="2"/>
        <v>2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57</v>
      </c>
      <c r="M12" s="5">
        <v>1</v>
      </c>
      <c r="N12" s="5">
        <v>1</v>
      </c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10</v>
      </c>
      <c r="AK12" s="54">
        <f t="shared" si="1"/>
        <v>9</v>
      </c>
      <c r="AL12" s="54">
        <f t="shared" si="2"/>
        <v>0</v>
      </c>
      <c r="AM12" s="55">
        <f t="shared" si="3"/>
        <v>1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10</v>
      </c>
      <c r="AK13" s="54">
        <f t="shared" si="1"/>
        <v>10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10</v>
      </c>
      <c r="AK14" s="54">
        <f t="shared" si="1"/>
        <v>10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 t="s">
        <v>57</v>
      </c>
      <c r="K15" s="5">
        <v>1</v>
      </c>
      <c r="L15" s="5">
        <v>1</v>
      </c>
      <c r="M15" s="5">
        <v>1</v>
      </c>
      <c r="N15" s="5">
        <v>1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10</v>
      </c>
      <c r="AK15" s="54">
        <f t="shared" si="1"/>
        <v>9</v>
      </c>
      <c r="AL15" s="54">
        <f t="shared" si="2"/>
        <v>0</v>
      </c>
      <c r="AM15" s="55">
        <f t="shared" si="3"/>
        <v>1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10</v>
      </c>
      <c r="AK16" s="54">
        <f t="shared" si="1"/>
        <v>10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10</v>
      </c>
      <c r="AK17" s="54">
        <f t="shared" si="1"/>
        <v>10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>
        <v>1</v>
      </c>
      <c r="M18" s="5">
        <v>1</v>
      </c>
      <c r="N18" s="5">
        <v>1</v>
      </c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10</v>
      </c>
      <c r="AK18" s="54">
        <f t="shared" si="1"/>
        <v>3</v>
      </c>
      <c r="AL18" s="54">
        <f t="shared" si="2"/>
        <v>7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>
        <v>1</v>
      </c>
      <c r="F19" s="5">
        <v>1</v>
      </c>
      <c r="G19" s="5" t="s">
        <v>57</v>
      </c>
      <c r="H19" s="5">
        <v>1</v>
      </c>
      <c r="I19" s="5" t="s">
        <v>57</v>
      </c>
      <c r="J19" s="5" t="s">
        <v>57</v>
      </c>
      <c r="K19" s="5" t="s">
        <v>57</v>
      </c>
      <c r="L19" s="5">
        <v>1</v>
      </c>
      <c r="M19" s="5">
        <v>1</v>
      </c>
      <c r="N19" s="5">
        <v>1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10</v>
      </c>
      <c r="AK19" s="54">
        <f t="shared" si="1"/>
        <v>6</v>
      </c>
      <c r="AL19" s="54">
        <f t="shared" si="2"/>
        <v>0</v>
      </c>
      <c r="AM19" s="55">
        <f t="shared" si="3"/>
        <v>4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10</v>
      </c>
      <c r="AK20" s="54">
        <f t="shared" si="1"/>
        <v>0</v>
      </c>
      <c r="AL20" s="54">
        <f t="shared" si="2"/>
        <v>10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10</v>
      </c>
      <c r="AK21" s="54">
        <f t="shared" si="1"/>
        <v>0</v>
      </c>
      <c r="AL21" s="54">
        <f t="shared" si="2"/>
        <v>10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10</v>
      </c>
      <c r="AK22" s="54">
        <f t="shared" si="1"/>
        <v>10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 t="s">
        <v>57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10</v>
      </c>
      <c r="AK23" s="54">
        <f t="shared" si="1"/>
        <v>9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10</v>
      </c>
      <c r="AK24" s="56">
        <f t="shared" si="1"/>
        <v>10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210</v>
      </c>
      <c r="AK25" s="69">
        <f>SUM(AK4:AK24)</f>
        <v>144</v>
      </c>
      <c r="AL25" s="69">
        <f>SUM(AL4:AL24)</f>
        <v>53</v>
      </c>
      <c r="AM25" s="75">
        <f>SUM(AM4:AM24)</f>
        <v>13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 t="s">
        <v>57</v>
      </c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10</v>
      </c>
      <c r="AK26" s="80">
        <f t="shared" ref="AK26:AK32" si="6">COUNTIF(E26:AI26,1)</f>
        <v>9</v>
      </c>
      <c r="AL26" s="80">
        <f t="shared" ref="AL26:AL32" si="7">COUNTIF(E26:AI26,"тр")</f>
        <v>0</v>
      </c>
      <c r="AM26" s="81">
        <f t="shared" ref="AM26:AM32" si="8">COUNTIF(E26:AI26,"бв")</f>
        <v>1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57</v>
      </c>
      <c r="F27" s="5" t="s">
        <v>57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10</v>
      </c>
      <c r="AK27" s="54">
        <f t="shared" si="6"/>
        <v>0</v>
      </c>
      <c r="AL27" s="54">
        <f t="shared" si="7"/>
        <v>8</v>
      </c>
      <c r="AM27" s="55">
        <f t="shared" si="8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10</v>
      </c>
      <c r="AK28" s="54">
        <f t="shared" si="6"/>
        <v>0</v>
      </c>
      <c r="AL28" s="54">
        <f t="shared" si="7"/>
        <v>10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>
        <v>1</v>
      </c>
      <c r="F29" s="5">
        <v>1</v>
      </c>
      <c r="G29" s="5">
        <v>1</v>
      </c>
      <c r="H29" s="5">
        <v>1</v>
      </c>
      <c r="I29" s="5" t="s">
        <v>57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10</v>
      </c>
      <c r="AK29" s="54">
        <f t="shared" si="6"/>
        <v>8</v>
      </c>
      <c r="AL29" s="54">
        <f t="shared" si="7"/>
        <v>0</v>
      </c>
      <c r="AM29" s="55">
        <f t="shared" si="8"/>
        <v>2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 t="s">
        <v>58</v>
      </c>
      <c r="H30" s="5" t="s">
        <v>57</v>
      </c>
      <c r="I30" s="5" t="s">
        <v>57</v>
      </c>
      <c r="J30" s="5" t="s">
        <v>57</v>
      </c>
      <c r="K30" s="5" t="s">
        <v>57</v>
      </c>
      <c r="L30" s="5">
        <v>1</v>
      </c>
      <c r="M30" s="5">
        <v>1</v>
      </c>
      <c r="N30" s="5" t="s">
        <v>57</v>
      </c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10</v>
      </c>
      <c r="AK30" s="54">
        <f t="shared" si="6"/>
        <v>3</v>
      </c>
      <c r="AL30" s="54">
        <f t="shared" si="7"/>
        <v>1</v>
      </c>
      <c r="AM30" s="55">
        <f t="shared" si="8"/>
        <v>6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10</v>
      </c>
      <c r="AK31" s="54">
        <f t="shared" si="6"/>
        <v>0</v>
      </c>
      <c r="AL31" s="54">
        <f t="shared" si="7"/>
        <v>3</v>
      </c>
      <c r="AM31" s="55">
        <f t="shared" si="8"/>
        <v>7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 t="s">
        <v>58</v>
      </c>
      <c r="M32" s="42" t="s">
        <v>58</v>
      </c>
      <c r="N32" s="42">
        <v>1</v>
      </c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10</v>
      </c>
      <c r="AK32" s="84">
        <f t="shared" si="6"/>
        <v>8</v>
      </c>
      <c r="AL32" s="84">
        <f t="shared" si="7"/>
        <v>2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70</v>
      </c>
      <c r="AK33" s="135">
        <f>SUM(AK26:AK32)</f>
        <v>28</v>
      </c>
      <c r="AL33" s="135">
        <f>SUM(AL26:AL32)</f>
        <v>24</v>
      </c>
      <c r="AM33" s="136">
        <f>SUM(AM26:AM32)</f>
        <v>18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10</v>
      </c>
      <c r="AK34" s="17">
        <f>COUNTIF(E34:AI34,1)</f>
        <v>0</v>
      </c>
      <c r="AL34" s="17">
        <f>COUNTIF(E34:AI34,"тр")</f>
        <v>10</v>
      </c>
      <c r="AM34" s="18">
        <f>COUNTIF(E34:AI34,"бв")</f>
        <v>0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10</v>
      </c>
      <c r="AK35" s="54">
        <f>COUNTIF(E35:AI35,1)</f>
        <v>0</v>
      </c>
      <c r="AL35" s="54">
        <f>COUNTIF(E35:AI35,"тр")</f>
        <v>10</v>
      </c>
      <c r="AM35" s="55">
        <f>COUNTIF(E35:AI35,"бв")</f>
        <v>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10</v>
      </c>
      <c r="AK36" s="56">
        <f>COUNTIF(E36:AI36,1)</f>
        <v>0</v>
      </c>
      <c r="AL36" s="56">
        <f>COUNTIF(E36:AI36,"тр")</f>
        <v>10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30</v>
      </c>
      <c r="AK37" s="69">
        <f>SUM(AK34:AK36)</f>
        <v>0</v>
      </c>
      <c r="AL37" s="69">
        <f>SUM(AL34:AL36)</f>
        <v>30</v>
      </c>
      <c r="AM37" s="75">
        <f>SUM(AM34:AM36)</f>
        <v>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10</v>
      </c>
      <c r="AK38" s="19">
        <f>COUNTIF(E38:AI38,1)</f>
        <v>0</v>
      </c>
      <c r="AL38" s="19">
        <f>COUNTIF(E38:AI38,"тр")</f>
        <v>10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10</v>
      </c>
      <c r="AK39" s="69">
        <f>SUM(AK38)</f>
        <v>0</v>
      </c>
      <c r="AL39" s="69">
        <f>SUM(AL38)</f>
        <v>10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57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10</v>
      </c>
      <c r="AK40" s="17">
        <f>COUNTIF(E40:AI40,1)</f>
        <v>8</v>
      </c>
      <c r="AL40" s="17">
        <f>COUNTIF(E40:AI40,"тр")</f>
        <v>0</v>
      </c>
      <c r="AM40" s="18">
        <f>COUNTIF(E40:AI40,"бв")</f>
        <v>2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 t="s">
        <v>57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10</v>
      </c>
      <c r="AK41" s="54">
        <f>COUNTIF(E41:AI41,1)</f>
        <v>9</v>
      </c>
      <c r="AL41" s="54">
        <f>COUNTIF(E41:AI41,"тр")</f>
        <v>0</v>
      </c>
      <c r="AM41" s="55">
        <f>COUNTIF(E41:AI41,"бв")</f>
        <v>1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10</v>
      </c>
      <c r="AK42" s="56">
        <f>COUNTIF(E42:AI42,1)</f>
        <v>0</v>
      </c>
      <c r="AL42" s="56">
        <f>COUNTIF(E42:AI42,"тр")</f>
        <v>10</v>
      </c>
      <c r="AM42" s="57">
        <f>COUNTIF(E42:AI42,"бв")</f>
        <v>0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30</v>
      </c>
      <c r="AK43" s="69">
        <f>SUM(AK40:AK42)</f>
        <v>17</v>
      </c>
      <c r="AL43" s="69">
        <f>SUM(AL40:AL42)</f>
        <v>10</v>
      </c>
      <c r="AM43" s="75">
        <f>SUM(AM40:AM42)</f>
        <v>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 t="s">
        <v>57</v>
      </c>
      <c r="J44" s="35" t="s">
        <v>57</v>
      </c>
      <c r="K44" s="35">
        <v>1</v>
      </c>
      <c r="L44" s="35">
        <v>1</v>
      </c>
      <c r="M44" s="35">
        <v>1</v>
      </c>
      <c r="N44" s="35">
        <v>1</v>
      </c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10</v>
      </c>
      <c r="AK44" s="17">
        <f t="shared" ref="AK44:AK50" si="10">COUNTIF(E44:AI44,1)</f>
        <v>8</v>
      </c>
      <c r="AL44" s="17">
        <f t="shared" ref="AL44:AL50" si="11">COUNTIF(E44:AI44,"тр")</f>
        <v>0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 t="s">
        <v>58</v>
      </c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10</v>
      </c>
      <c r="AK45" s="54">
        <f t="shared" si="10"/>
        <v>9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 t="s">
        <v>57</v>
      </c>
      <c r="I46" s="5">
        <v>1</v>
      </c>
      <c r="J46" s="5">
        <v>1</v>
      </c>
      <c r="K46" s="5">
        <v>1</v>
      </c>
      <c r="L46" s="5">
        <v>1</v>
      </c>
      <c r="M46" s="5" t="s">
        <v>58</v>
      </c>
      <c r="N46" s="5">
        <v>1</v>
      </c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10</v>
      </c>
      <c r="AK46" s="54">
        <f t="shared" si="10"/>
        <v>8</v>
      </c>
      <c r="AL46" s="54">
        <f t="shared" si="11"/>
        <v>1</v>
      </c>
      <c r="AM46" s="55">
        <f t="shared" si="12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10</v>
      </c>
      <c r="AK47" s="54">
        <f t="shared" si="10"/>
        <v>10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10</v>
      </c>
      <c r="AK48" s="54">
        <f t="shared" si="10"/>
        <v>10</v>
      </c>
      <c r="AL48" s="54">
        <f t="shared" si="11"/>
        <v>0</v>
      </c>
      <c r="AM48" s="55">
        <f t="shared" si="12"/>
        <v>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10</v>
      </c>
      <c r="AK49" s="54">
        <f t="shared" si="10"/>
        <v>10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 t="s">
        <v>57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10</v>
      </c>
      <c r="AK50" s="56">
        <f t="shared" si="10"/>
        <v>9</v>
      </c>
      <c r="AL50" s="56">
        <f t="shared" si="11"/>
        <v>0</v>
      </c>
      <c r="AM50" s="57">
        <f t="shared" si="12"/>
        <v>1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70</v>
      </c>
      <c r="AK51" s="69">
        <f>SUM(AK44:AK50)</f>
        <v>64</v>
      </c>
      <c r="AL51" s="69">
        <f>SUM(AL44:AL50)</f>
        <v>2</v>
      </c>
      <c r="AM51" s="75">
        <f>SUM(AM44:AM50)</f>
        <v>4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 t="s">
        <v>57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10</v>
      </c>
      <c r="AK52" s="56">
        <f>COUNTIF(E52:AI52,1)</f>
        <v>9</v>
      </c>
      <c r="AL52" s="56">
        <f>COUNTIF(E52:AI52,"тр")</f>
        <v>0</v>
      </c>
      <c r="AM52" s="57">
        <f>COUNTIF(E52:AI52,"бв")</f>
        <v>1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10</v>
      </c>
      <c r="AK53" s="69">
        <f>SUM(AK52:AK52)</f>
        <v>9</v>
      </c>
      <c r="AL53" s="69">
        <f>SUM(AL52:AL52)</f>
        <v>0</v>
      </c>
      <c r="AM53" s="75">
        <f>SUM(AM52:AM52)</f>
        <v>1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 t="s">
        <v>58</v>
      </c>
      <c r="N54" s="92" t="s">
        <v>58</v>
      </c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10</v>
      </c>
      <c r="AK54" s="80">
        <f>COUNTIF(E54:AI54,1)</f>
        <v>8</v>
      </c>
      <c r="AL54" s="80">
        <f>COUNTIF(E54:AI54,"тр")</f>
        <v>2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 t="s">
        <v>57</v>
      </c>
      <c r="L55" s="42">
        <v>1</v>
      </c>
      <c r="M55" s="42">
        <v>1</v>
      </c>
      <c r="N55" s="42">
        <v>1</v>
      </c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10</v>
      </c>
      <c r="AK55" s="56">
        <f>COUNTIF(E55:AI55,1)</f>
        <v>9</v>
      </c>
      <c r="AL55" s="56">
        <f>COUNTIF(E55:AI55,"тр")</f>
        <v>0</v>
      </c>
      <c r="AM55" s="57">
        <f>COUNTIF(E55:AI55,"бв")</f>
        <v>1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10</v>
      </c>
      <c r="AK56" s="84">
        <f>COUNTIF(E56:AI56,1)</f>
        <v>10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30</v>
      </c>
      <c r="AK57" s="69">
        <f>SUM(AK54:AK56)</f>
        <v>27</v>
      </c>
      <c r="AL57" s="69">
        <f>SUM(AL54:AL56)</f>
        <v>2</v>
      </c>
      <c r="AM57" s="75">
        <f>SUM(AM54:AM56)</f>
        <v>1</v>
      </c>
    </row>
    <row r="58" spans="1:39" s="33" customFormat="1" x14ac:dyDescent="0.25">
      <c r="A58" s="171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460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10</v>
      </c>
      <c r="AK62" s="17">
        <f>COUNTIF(E62:AI62,1)</f>
        <v>10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10</v>
      </c>
      <c r="AK63" s="54">
        <f>COUNTIF(E63:AI63,1)</f>
        <v>10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 t="s">
        <v>57</v>
      </c>
      <c r="K64" s="5">
        <v>1</v>
      </c>
      <c r="L64" s="5">
        <v>1</v>
      </c>
      <c r="M64" s="5">
        <v>1</v>
      </c>
      <c r="N64" s="5">
        <v>1</v>
      </c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10</v>
      </c>
      <c r="AK64" s="54">
        <f>COUNTIF(E64:AI64,1)</f>
        <v>9</v>
      </c>
      <c r="AL64" s="54">
        <f>COUNTIF(E64:AI64,"тр")</f>
        <v>0</v>
      </c>
      <c r="AM64" s="55">
        <f>COUNTIF(E64:AI64,"бв")</f>
        <v>1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10</v>
      </c>
      <c r="AK65" s="54">
        <f>COUNTIF(E65:AI65,1)</f>
        <v>0</v>
      </c>
      <c r="AL65" s="54">
        <f>COUNTIF(E65:AI65,"тр")</f>
        <v>10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10</v>
      </c>
      <c r="AK66" s="56">
        <f>COUNTIF(E66:AI66,1)</f>
        <v>0</v>
      </c>
      <c r="AL66" s="56">
        <f>COUNTIF(E66:AI66,"тр")</f>
        <v>10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50</v>
      </c>
      <c r="AK67" s="69">
        <f t="shared" ref="AK67:AM67" si="14">SUM(AK62:AK66)</f>
        <v>29</v>
      </c>
      <c r="AL67" s="69">
        <f t="shared" si="14"/>
        <v>20</v>
      </c>
      <c r="AM67" s="75">
        <f t="shared" si="14"/>
        <v>1</v>
      </c>
    </row>
    <row r="68" spans="1:39" s="33" customFormat="1" x14ac:dyDescent="0.25">
      <c r="A68" s="171"/>
      <c r="B68" s="49"/>
      <c r="C68" s="50"/>
      <c r="D68" s="50"/>
      <c r="Y68" s="51" t="s">
        <v>68</v>
      </c>
      <c r="AJ68" s="76">
        <f>AJ67</f>
        <v>50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AJ24 E52:AJ52 E34:AJ36 E38:AJ38 E62:AJ66 E26:AJ32 E40:AJ42 E44:AJ50 E54:AJ56 E4:AJ23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10</vt:i4>
      </vt:variant>
    </vt:vector>
  </HeadingPairs>
  <TitlesOfParts>
    <vt:vector size="2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'Октябрь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2019-10-02T07:27:08Z</cp:lastPrinted>
  <dcterms:created xsi:type="dcterms:W3CDTF">2018-09-27T18:15:43Z</dcterms:created>
  <dcterms:modified xsi:type="dcterms:W3CDTF">2019-10-10T07:07:03Z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