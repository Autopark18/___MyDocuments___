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<sst xmlns="http://schemas.openxmlformats.org/spreadsheetml/2006/main" count="654" uniqueCount="72">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</sst>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B63" sqref="AB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12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/>
      <c r="AD10" s="5"/>
      <c r="AE10" s="5"/>
      <c r="AF10" s="5"/>
      <c r="AG10" s="5"/>
      <c r="AH10" s="82"/>
      <c r="AI10" s="73">
        <f t="shared" si="0"/>
        <v>30</v>
      </c>
      <c r="AJ10" s="54">
        <f t="shared" si="1"/>
        <v>6</v>
      </c>
      <c r="AK10" s="54">
        <f t="shared" si="2"/>
        <v>18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12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16</v>
      </c>
      <c r="AK12" s="54">
        <f t="shared" si="2"/>
        <v>0</v>
      </c>
      <c r="AL12" s="55">
        <f t="shared" si="3"/>
        <v>8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21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18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24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21</v>
      </c>
      <c r="AK16" s="54">
        <f t="shared" si="2"/>
        <v>3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21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24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2</v>
      </c>
      <c r="AK19" s="54">
        <f t="shared" si="2"/>
        <v>21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24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17</v>
      </c>
      <c r="AK22" s="54">
        <f t="shared" si="2"/>
        <v>2</v>
      </c>
      <c r="AL22" s="55">
        <f t="shared" si="3"/>
        <v>5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16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15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>
        <v>1</v>
      </c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14</v>
      </c>
      <c r="AK25" s="89">
        <f t="shared" si="6"/>
        <v>2</v>
      </c>
      <c r="AL25" s="90">
        <f t="shared" si="7"/>
        <v>1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241</v>
      </c>
      <c r="AK26" s="70">
        <f>SUM(AK7:AK22)</f>
        <v>133</v>
      </c>
      <c r="AL26" s="76">
        <f>SUM(AL7:AL22)</f>
        <v>22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19</v>
      </c>
      <c r="AK27" s="17">
        <f t="shared" ref="AK27:AK33" si="10">COUNTIF(E27:AH27,"тр")</f>
        <v>1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22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19</v>
      </c>
      <c r="AK30" s="54">
        <f t="shared" si="10"/>
        <v>0</v>
      </c>
      <c r="AL30" s="55">
        <f t="shared" si="11"/>
        <v>5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5</v>
      </c>
      <c r="AK31" s="54">
        <f t="shared" si="10"/>
        <v>8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17</v>
      </c>
      <c r="AK32" s="54">
        <f t="shared" si="10"/>
        <v>4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21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103</v>
      </c>
      <c r="AK34" s="70">
        <f>SUM(AK27:AK33)</f>
        <v>46</v>
      </c>
      <c r="AL34" s="76">
        <f>SUM(AL27:AL33)</f>
        <v>25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23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17</v>
      </c>
      <c r="AK36" s="54">
        <f>COUNTIF(E36:AH36,"тр")</f>
        <v>0</v>
      </c>
      <c r="AL36" s="55">
        <f>COUNTIF(E36:AH36,"бв")</f>
        <v>7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40</v>
      </c>
      <c r="AK38" s="70">
        <f>SUM(AK35:AK37)</f>
        <v>30</v>
      </c>
      <c r="AL38" s="76">
        <f>SUM(AL35:AL37)</f>
        <v>8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21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17</v>
      </c>
      <c r="AK46" s="56">
        <f>COUNTIF(E46:AH46,"тр")</f>
        <v>3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38</v>
      </c>
      <c r="AK47" s="70">
        <f>SUM(AK44:AK46)</f>
        <v>33</v>
      </c>
      <c r="AL47" s="76">
        <f>SUM(AL44:AL46)</f>
        <v>7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24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22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21</v>
      </c>
      <c r="AK50" s="54">
        <f t="shared" si="14"/>
        <v>3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21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19</v>
      </c>
      <c r="AK52" s="54">
        <f t="shared" si="14"/>
        <v>0</v>
      </c>
      <c r="AL52" s="55">
        <f t="shared" si="15"/>
        <v>5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22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7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146</v>
      </c>
      <c r="AK55" s="70">
        <f>SUM(AK48:AK54)</f>
        <v>13</v>
      </c>
      <c r="AL55" s="76">
        <f>SUM(AL48:AL54)</f>
        <v>9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>
        <v>1</v>
      </c>
      <c r="AB56" s="35">
        <v>1</v>
      </c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15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 t="s">
        <v>58</v>
      </c>
      <c r="AB57" s="42">
        <v>1</v>
      </c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7</v>
      </c>
      <c r="AK57" s="56">
        <f>COUNTIF(E57:AH57,"тр")</f>
        <v>16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22</v>
      </c>
      <c r="AK58" s="70">
        <f>SUM(AK56:AK57)</f>
        <v>16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24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>
        <v>1</v>
      </c>
      <c r="AB60" s="42">
        <v>1</v>
      </c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24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48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>
        <v>1</v>
      </c>
      <c r="AB66" s="35">
        <v>1</v>
      </c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24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>
        <v>1</v>
      </c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24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48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  <ignoredError sqref="AJ15:AL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2019-01-24T07:18:57Z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