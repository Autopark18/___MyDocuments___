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2019'!$E$2:$AM$62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3" i="6" l="1"/>
  <c r="AK23" i="6"/>
  <c r="AL23" i="6"/>
  <c r="AM23" i="6"/>
  <c r="AJ24" i="6"/>
  <c r="AK24" i="6"/>
  <c r="AL24" i="6"/>
  <c r="AM24" i="6"/>
  <c r="AJ25" i="6"/>
  <c r="AK25" i="6"/>
  <c r="AL25" i="6"/>
  <c r="AM25" i="6"/>
  <c r="AJ67" i="6" l="1"/>
  <c r="AJ68" i="6" s="1"/>
  <c r="AJ69" i="6" s="1"/>
  <c r="AJ66" i="6"/>
  <c r="AJ60" i="6"/>
  <c r="AJ59" i="6"/>
  <c r="AJ57" i="6"/>
  <c r="AJ56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7" i="6"/>
  <c r="AL67" i="6"/>
  <c r="AK67" i="6"/>
  <c r="AM66" i="6"/>
  <c r="AL66" i="6"/>
  <c r="AK66" i="6"/>
  <c r="A64" i="6"/>
  <c r="AM60" i="6"/>
  <c r="AL60" i="6"/>
  <c r="AK60" i="6"/>
  <c r="AM59" i="6"/>
  <c r="AL59" i="6"/>
  <c r="AK59" i="6"/>
  <c r="AM57" i="6"/>
  <c r="AL57" i="6"/>
  <c r="AK57" i="6"/>
  <c r="AM56" i="6"/>
  <c r="AL56" i="6"/>
  <c r="AK56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J26" i="6" l="1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K43" i="6"/>
  <c r="AM43" i="6"/>
  <c r="AL43" i="6"/>
  <c r="AK68" i="6"/>
  <c r="AM68" i="6"/>
  <c r="AL68" i="6"/>
  <c r="AM6" i="6" l="1"/>
  <c r="AM26" i="6" s="1"/>
  <c r="AM34" i="6" s="1"/>
  <c r="AM38" i="6" s="1"/>
  <c r="AM41" i="6" s="1"/>
  <c r="AM47" i="6" s="1"/>
  <c r="AM55" i="6" s="1"/>
  <c r="AM58" i="6" s="1"/>
  <c r="AM61" i="6" s="1"/>
  <c r="AJ43" i="6" l="1"/>
  <c r="AJ41" i="6" l="1"/>
  <c r="AJ6" i="6" l="1"/>
  <c r="AJ34" i="6"/>
  <c r="AJ47" i="6"/>
  <c r="AJ55" i="6" s="1"/>
  <c r="AJ58" i="6"/>
  <c r="AL47" i="6"/>
  <c r="AL55" i="6" s="1"/>
  <c r="AL6" i="6" s="1"/>
  <c r="AL26" i="6" s="1"/>
  <c r="AL34" i="6" s="1"/>
  <c r="AL38" i="6" s="1"/>
  <c r="AL41" i="6" s="1"/>
  <c r="AJ38" i="6" l="1"/>
  <c r="AL58" i="6"/>
  <c r="AL61" i="6" s="1"/>
  <c r="AJ61" i="6"/>
  <c r="AK6" i="6"/>
  <c r="AK26" i="6"/>
  <c r="AK34" i="6"/>
  <c r="AK38" i="6"/>
  <c r="AK41" i="6"/>
  <c r="AK47" i="6"/>
  <c r="AK55" i="6"/>
  <c r="AK58" i="6"/>
  <c r="AK61" i="6"/>
  <c r="AJ62" i="6" l="1"/>
</calcChain>
</file>

<file path=xl/sharedStrings.xml><?xml version="1.0" encoding="utf-8"?>
<sst xmlns="http://schemas.openxmlformats.org/spreadsheetml/2006/main" count="718" uniqueCount="72">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</sst>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69"/>
  <sheetViews>
    <sheetView tabSelected="1" zoomScale="90" zoomScaleNormal="90" workbookViewId="0">
      <pane xSplit="4" ySplit="3" topLeftCell="E16" activePane="bottomRight" state="frozen"/>
      <selection pane="topRight" activeCell="E1" sqref="E1"/>
      <selection pane="bottomLeft" activeCell="A4" sqref="A4"/>
      <selection pane="bottomRight" activeCell="AH23" sqref="AH2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1" t="s">
        <v>58</v>
      </c>
      <c r="AJ7" s="84">
        <f t="shared" ref="AJ7:AJ25" si="0">АХД</f>
        <v>31</v>
      </c>
      <c r="AK7" s="85">
        <f t="shared" ref="AK7:AK22" si="1">COUNTIF(E7:AI7,1)</f>
        <v>0</v>
      </c>
      <c r="AL7" s="85">
        <f t="shared" ref="AL7:AL22" si="2">COUNTIF(E7:AI7,"тр")</f>
        <v>31</v>
      </c>
      <c r="AM7" s="86">
        <f t="shared" ref="AM7:AM22" si="3">COUNTIF(E7:AI7,"бв")</f>
        <v>0</v>
      </c>
    </row>
    <row r="8" spans="1:39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82">
        <v>1</v>
      </c>
      <c r="AI8" s="82"/>
      <c r="AJ8" s="73">
        <f t="shared" si="0"/>
        <v>31</v>
      </c>
      <c r="AK8" s="54">
        <f t="shared" si="1"/>
        <v>18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82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82">
        <v>1</v>
      </c>
      <c r="AI10" s="82"/>
      <c r="AJ10" s="73">
        <f t="shared" si="0"/>
        <v>31</v>
      </c>
      <c r="AK10" s="54">
        <f t="shared" si="1"/>
        <v>11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82">
        <v>1</v>
      </c>
      <c r="AI11" s="82"/>
      <c r="AJ11" s="73">
        <f t="shared" si="0"/>
        <v>31</v>
      </c>
      <c r="AK11" s="54">
        <f t="shared" si="1"/>
        <v>13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82">
        <v>1</v>
      </c>
      <c r="AI12" s="82"/>
      <c r="AJ12" s="73">
        <f t="shared" si="0"/>
        <v>31</v>
      </c>
      <c r="AK12" s="54">
        <f t="shared" si="1"/>
        <v>20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82">
        <v>1</v>
      </c>
      <c r="AI13" s="82"/>
      <c r="AJ13" s="73">
        <f t="shared" si="0"/>
        <v>31</v>
      </c>
      <c r="AK13" s="54">
        <f t="shared" si="1"/>
        <v>27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82">
        <v>1</v>
      </c>
      <c r="AI14" s="82"/>
      <c r="AJ14" s="73">
        <f t="shared" si="0"/>
        <v>31</v>
      </c>
      <c r="AK14" s="54">
        <f t="shared" si="1"/>
        <v>24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82">
        <v>1</v>
      </c>
      <c r="AI15" s="82"/>
      <c r="AJ15" s="73">
        <f t="shared" si="0"/>
        <v>31</v>
      </c>
      <c r="AK15" s="54">
        <f t="shared" si="1"/>
        <v>30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82">
        <v>1</v>
      </c>
      <c r="AI16" s="82"/>
      <c r="AJ16" s="73">
        <f t="shared" si="0"/>
        <v>31</v>
      </c>
      <c r="AK16" s="54">
        <f t="shared" si="1"/>
        <v>22</v>
      </c>
      <c r="AL16" s="54">
        <f t="shared" si="2"/>
        <v>8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82">
        <v>1</v>
      </c>
      <c r="AI17" s="82"/>
      <c r="AJ17" s="73">
        <f t="shared" si="0"/>
        <v>31</v>
      </c>
      <c r="AK17" s="54">
        <f t="shared" si="1"/>
        <v>27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82">
        <v>1</v>
      </c>
      <c r="AI18" s="82"/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0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82">
        <v>1</v>
      </c>
      <c r="AI19" s="82"/>
      <c r="AJ19" s="73">
        <f t="shared" si="0"/>
        <v>31</v>
      </c>
      <c r="AK19" s="54">
        <f t="shared" si="1"/>
        <v>7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82">
        <v>1</v>
      </c>
      <c r="AI20" s="82"/>
      <c r="AJ20" s="73">
        <f t="shared" si="0"/>
        <v>31</v>
      </c>
      <c r="AK20" s="54">
        <f t="shared" si="1"/>
        <v>30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82">
        <v>1</v>
      </c>
      <c r="AI21" s="82"/>
      <c r="AJ21" s="73">
        <f t="shared" si="0"/>
        <v>31</v>
      </c>
      <c r="AK21" s="54">
        <f t="shared" si="1"/>
        <v>30</v>
      </c>
      <c r="AL21" s="54">
        <f t="shared" si="2"/>
        <v>0</v>
      </c>
      <c r="AM21" s="55">
        <f t="shared" si="3"/>
        <v>0</v>
      </c>
    </row>
    <row r="22" spans="1:39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82">
        <v>1</v>
      </c>
      <c r="AI22" s="82"/>
      <c r="AJ22" s="87">
        <f t="shared" si="0"/>
        <v>31</v>
      </c>
      <c r="AK22" s="54">
        <f t="shared" si="1"/>
        <v>21</v>
      </c>
      <c r="AL22" s="54">
        <f t="shared" si="2"/>
        <v>2</v>
      </c>
      <c r="AM22" s="55">
        <f t="shared" si="3"/>
        <v>7</v>
      </c>
    </row>
    <row r="23" spans="1:39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82" t="s">
        <v>58</v>
      </c>
      <c r="AI23" s="82"/>
      <c r="AJ23" s="87">
        <f t="shared" si="0"/>
        <v>31</v>
      </c>
      <c r="AK23" s="54">
        <f t="shared" ref="AK23:AK25" si="5">COUNTIF(E23:AI23,1)</f>
        <v>0</v>
      </c>
      <c r="AL23" s="54">
        <f t="shared" ref="AL23:AL25" si="6">COUNTIF(E23:AI23,"тр")</f>
        <v>22</v>
      </c>
      <c r="AM23" s="55">
        <f t="shared" ref="AM23:AM25" si="7">COUNTIF(E23:AI23,"бв")</f>
        <v>1</v>
      </c>
    </row>
    <row r="24" spans="1:39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82">
        <v>1</v>
      </c>
      <c r="AI24" s="82"/>
      <c r="AJ24" s="87">
        <f t="shared" si="0"/>
        <v>31</v>
      </c>
      <c r="AK24" s="54">
        <f t="shared" si="5"/>
        <v>21</v>
      </c>
      <c r="AL24" s="54">
        <f t="shared" si="6"/>
        <v>0</v>
      </c>
      <c r="AM24" s="55">
        <f t="shared" si="7"/>
        <v>2</v>
      </c>
    </row>
    <row r="25" spans="1:39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>
        <v>1</v>
      </c>
      <c r="AC25" s="42">
        <v>1</v>
      </c>
      <c r="AD25" s="42">
        <v>1</v>
      </c>
      <c r="AE25" s="42" t="s">
        <v>57</v>
      </c>
      <c r="AF25" s="42">
        <v>1</v>
      </c>
      <c r="AG25" s="42">
        <v>1</v>
      </c>
      <c r="AH25" s="83" t="s">
        <v>58</v>
      </c>
      <c r="AI25" s="83"/>
      <c r="AJ25" s="88">
        <f t="shared" si="0"/>
        <v>31</v>
      </c>
      <c r="AK25" s="89">
        <f t="shared" si="5"/>
        <v>18</v>
      </c>
      <c r="AL25" s="89">
        <f t="shared" si="6"/>
        <v>3</v>
      </c>
      <c r="AM25" s="90">
        <f t="shared" si="7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589</v>
      </c>
      <c r="AK26" s="70">
        <f>SUM(AK7:AK22)</f>
        <v>310</v>
      </c>
      <c r="AL26" s="70">
        <f>SUM(AL7:AL22)</f>
        <v>145</v>
      </c>
      <c r="AM26" s="76">
        <f>SUM(AM7:AM22)</f>
        <v>27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/>
      <c r="AJ27" s="73">
        <f t="shared" ref="AJ27:AJ33" si="8">АХД</f>
        <v>31</v>
      </c>
      <c r="AK27" s="17">
        <f t="shared" ref="AK27:AK33" si="9">COUNTIF(E27:AI27,1)</f>
        <v>24</v>
      </c>
      <c r="AL27" s="17">
        <f t="shared" ref="AL27:AL33" si="10">COUNTIF(E27:AI27,"тр")</f>
        <v>2</v>
      </c>
      <c r="AM27" s="18">
        <f t="shared" ref="AM27:AM33" si="11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8"/>
        <v>31</v>
      </c>
      <c r="AK28" s="54">
        <f t="shared" si="9"/>
        <v>0</v>
      </c>
      <c r="AL28" s="54">
        <f t="shared" si="10"/>
        <v>31</v>
      </c>
      <c r="AM28" s="55">
        <f t="shared" si="11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/>
      <c r="AJ29" s="73">
        <f t="shared" si="8"/>
        <v>31</v>
      </c>
      <c r="AK29" s="54">
        <f t="shared" si="9"/>
        <v>26</v>
      </c>
      <c r="AL29" s="54">
        <f t="shared" si="10"/>
        <v>2</v>
      </c>
      <c r="AM29" s="55">
        <f t="shared" si="11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/>
      <c r="AJ30" s="73">
        <f t="shared" si="8"/>
        <v>31</v>
      </c>
      <c r="AK30" s="54">
        <f t="shared" si="9"/>
        <v>23</v>
      </c>
      <c r="AL30" s="54">
        <f t="shared" si="10"/>
        <v>0</v>
      </c>
      <c r="AM30" s="55">
        <f t="shared" si="11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/>
      <c r="AJ31" s="73">
        <f t="shared" si="8"/>
        <v>31</v>
      </c>
      <c r="AK31" s="54">
        <f t="shared" si="9"/>
        <v>11</v>
      </c>
      <c r="AL31" s="54">
        <f t="shared" si="10"/>
        <v>8</v>
      </c>
      <c r="AM31" s="55">
        <f t="shared" si="11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/>
      <c r="AJ32" s="73">
        <f t="shared" si="8"/>
        <v>31</v>
      </c>
      <c r="AK32" s="54">
        <f t="shared" si="9"/>
        <v>19</v>
      </c>
      <c r="AL32" s="54">
        <f t="shared" si="10"/>
        <v>8</v>
      </c>
      <c r="AM32" s="55">
        <f t="shared" si="11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/>
      <c r="AJ33" s="73">
        <f t="shared" si="8"/>
        <v>31</v>
      </c>
      <c r="AK33" s="56">
        <f t="shared" si="9"/>
        <v>27</v>
      </c>
      <c r="AL33" s="56">
        <f t="shared" si="10"/>
        <v>1</v>
      </c>
      <c r="AM33" s="57">
        <f t="shared" si="11"/>
        <v>2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130</v>
      </c>
      <c r="AL34" s="70">
        <f>SUM(AL27:AL33)</f>
        <v>52</v>
      </c>
      <c r="AM34" s="76">
        <f>SUM(AM27:AM33)</f>
        <v>29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/>
      <c r="AJ35" s="73">
        <f>АХД</f>
        <v>31</v>
      </c>
      <c r="AK35" s="17">
        <f>COUNTIF(E35:AI35,1)</f>
        <v>29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/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13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46</v>
      </c>
      <c r="AL38" s="70">
        <f>SUM(AL35:AL37)</f>
        <v>31</v>
      </c>
      <c r="AM38" s="76">
        <f>SUM(AM35:AM37)</f>
        <v>14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/>
      <c r="AJ45" s="73">
        <f>АХД</f>
        <v>31</v>
      </c>
      <c r="AK45" s="54">
        <f>COUNTIF(E45:AI45,1)</f>
        <v>26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/>
      <c r="AJ46" s="73">
        <f>АХД</f>
        <v>31</v>
      </c>
      <c r="AK46" s="56">
        <f>COUNTIF(E46:AI46,1)</f>
        <v>17</v>
      </c>
      <c r="AL46" s="56">
        <f>COUNTIF(E46:AI46,"тр")</f>
        <v>9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43</v>
      </c>
      <c r="AL47" s="70">
        <f>SUM(AL44:AL46)</f>
        <v>40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/>
      <c r="AJ48" s="73">
        <f t="shared" ref="AJ48:AJ54" si="12">АХД</f>
        <v>31</v>
      </c>
      <c r="AK48" s="17">
        <f t="shared" ref="AK48:AK54" si="13">COUNTIF(E48:AI48,1)</f>
        <v>29</v>
      </c>
      <c r="AL48" s="17">
        <f t="shared" ref="AL48:AL54" si="14">COUNTIF(E48:AI48,"тр")</f>
        <v>1</v>
      </c>
      <c r="AM48" s="18">
        <f t="shared" ref="AM48:AM54" si="15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/>
      <c r="AJ49" s="73">
        <f t="shared" si="12"/>
        <v>31</v>
      </c>
      <c r="AK49" s="54">
        <f t="shared" si="13"/>
        <v>28</v>
      </c>
      <c r="AL49" s="54">
        <f t="shared" si="14"/>
        <v>1</v>
      </c>
      <c r="AM49" s="55">
        <f t="shared" si="15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/>
      <c r="AJ50" s="73">
        <f t="shared" si="12"/>
        <v>31</v>
      </c>
      <c r="AK50" s="54">
        <f t="shared" si="13"/>
        <v>26</v>
      </c>
      <c r="AL50" s="54">
        <f t="shared" si="14"/>
        <v>4</v>
      </c>
      <c r="AM50" s="55">
        <f t="shared" si="15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/>
      <c r="AJ51" s="73">
        <f t="shared" si="12"/>
        <v>31</v>
      </c>
      <c r="AK51" s="54">
        <f t="shared" si="13"/>
        <v>27</v>
      </c>
      <c r="AL51" s="54">
        <f t="shared" si="14"/>
        <v>2</v>
      </c>
      <c r="AM51" s="55">
        <f t="shared" si="15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/>
      <c r="AJ52" s="73">
        <f t="shared" si="12"/>
        <v>31</v>
      </c>
      <c r="AK52" s="54">
        <f t="shared" si="13"/>
        <v>23</v>
      </c>
      <c r="AL52" s="54">
        <f t="shared" si="14"/>
        <v>0</v>
      </c>
      <c r="AM52" s="55">
        <f t="shared" si="15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/>
      <c r="AJ53" s="73">
        <f t="shared" si="12"/>
        <v>31</v>
      </c>
      <c r="AK53" s="54">
        <f t="shared" si="13"/>
        <v>28</v>
      </c>
      <c r="AL53" s="54">
        <f t="shared" si="14"/>
        <v>0</v>
      </c>
      <c r="AM53" s="55">
        <f t="shared" si="15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/>
      <c r="AJ54" s="73">
        <f t="shared" si="12"/>
        <v>31</v>
      </c>
      <c r="AK54" s="56">
        <f t="shared" si="13"/>
        <v>22</v>
      </c>
      <c r="AL54" s="56">
        <f t="shared" si="14"/>
        <v>8</v>
      </c>
      <c r="AM54" s="57">
        <f t="shared" si="15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183</v>
      </c>
      <c r="AL55" s="70">
        <f>SUM(AL48:AL54)</f>
        <v>16</v>
      </c>
      <c r="AM55" s="76">
        <f>SUM(AM48:AM54)</f>
        <v>11</v>
      </c>
    </row>
    <row r="56" spans="1:39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>
        <v>1</v>
      </c>
      <c r="AB56" s="35">
        <v>1</v>
      </c>
      <c r="AC56" s="35">
        <v>1</v>
      </c>
      <c r="AD56" s="35" t="s">
        <v>57</v>
      </c>
      <c r="AE56" s="35" t="s">
        <v>57</v>
      </c>
      <c r="AF56" s="35" t="s">
        <v>57</v>
      </c>
      <c r="AG56" s="35">
        <v>1</v>
      </c>
      <c r="AH56" s="35" t="s">
        <v>57</v>
      </c>
      <c r="AI56" s="35"/>
      <c r="AJ56" s="73">
        <f>АХД</f>
        <v>31</v>
      </c>
      <c r="AK56" s="17">
        <f>COUNTIF(E56:AI56,1)</f>
        <v>17</v>
      </c>
      <c r="AL56" s="17">
        <f>COUNTIF(E56:AI56,"тр")</f>
        <v>0</v>
      </c>
      <c r="AM56" s="18">
        <f>COUNTIF(E56:AI56,"бв")</f>
        <v>13</v>
      </c>
    </row>
    <row r="57" spans="1:39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 t="s">
        <v>58</v>
      </c>
      <c r="AB57" s="42">
        <v>1</v>
      </c>
      <c r="AC57" s="42">
        <v>1</v>
      </c>
      <c r="AD57" s="42">
        <v>1</v>
      </c>
      <c r="AE57" s="42">
        <v>1</v>
      </c>
      <c r="AF57" s="42">
        <v>1</v>
      </c>
      <c r="AG57" s="42">
        <v>1</v>
      </c>
      <c r="AH57" s="42">
        <v>1</v>
      </c>
      <c r="AI57" s="42"/>
      <c r="AJ57" s="73">
        <f>АХД</f>
        <v>31</v>
      </c>
      <c r="AK57" s="56">
        <f>COUNTIF(E57:AI57,1)</f>
        <v>13</v>
      </c>
      <c r="AL57" s="56">
        <f>COUNTIF(E57:AI57,"тр")</f>
        <v>16</v>
      </c>
      <c r="AM57" s="57">
        <f>COUNTIF(E57:AI57,"бв")</f>
        <v>1</v>
      </c>
    </row>
    <row r="58" spans="1:39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78">
        <f>SUM(AJ56:AJ57)</f>
        <v>62</v>
      </c>
      <c r="AK58" s="70">
        <f>SUM(AK56:AK57)</f>
        <v>30</v>
      </c>
      <c r="AL58" s="70">
        <f>SUM(AL56:AL57)</f>
        <v>16</v>
      </c>
      <c r="AM58" s="76">
        <f>SUM(AM56:AM57)</f>
        <v>14</v>
      </c>
    </row>
    <row r="59" spans="1:39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>
        <v>1</v>
      </c>
      <c r="AE59" s="35">
        <v>1</v>
      </c>
      <c r="AF59" s="35">
        <v>1</v>
      </c>
      <c r="AG59" s="35">
        <v>1</v>
      </c>
      <c r="AH59" s="35">
        <v>1</v>
      </c>
      <c r="AI59" s="35"/>
      <c r="AJ59" s="73">
        <f>АХД</f>
        <v>31</v>
      </c>
      <c r="AK59" s="17">
        <f>COUNTIF(E59:AI59,1)</f>
        <v>30</v>
      </c>
      <c r="AL59" s="17">
        <f>COUNTIF(E59:AI59,"тр")</f>
        <v>0</v>
      </c>
      <c r="AM59" s="18">
        <f>COUNTIF(E59:AI59,"бв")</f>
        <v>0</v>
      </c>
    </row>
    <row r="60" spans="1:39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>
        <v>1</v>
      </c>
      <c r="AB60" s="42">
        <v>1</v>
      </c>
      <c r="AC60" s="42">
        <v>1</v>
      </c>
      <c r="AD60" s="42">
        <v>1</v>
      </c>
      <c r="AE60" s="42">
        <v>1</v>
      </c>
      <c r="AF60" s="42">
        <v>1</v>
      </c>
      <c r="AG60" s="42">
        <v>1</v>
      </c>
      <c r="AH60" s="42">
        <v>1</v>
      </c>
      <c r="AI60" s="42"/>
      <c r="AJ60" s="73">
        <f>АХД</f>
        <v>31</v>
      </c>
      <c r="AK60" s="56">
        <f>COUNTIF(E60:AI60,1)</f>
        <v>30</v>
      </c>
      <c r="AL60" s="56">
        <f>COUNTIF(E60:AI60,"тр")</f>
        <v>0</v>
      </c>
      <c r="AM60" s="57">
        <f>COUNTIF(E60:AI60,"бв")</f>
        <v>0</v>
      </c>
    </row>
    <row r="61" spans="1:39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78">
        <f>SUM(AJ59:AJ60)</f>
        <v>62</v>
      </c>
      <c r="AK61" s="70">
        <f>SUM(AK59:AK60)</f>
        <v>60</v>
      </c>
      <c r="AL61" s="70">
        <f>SUM(AL59:AL60)</f>
        <v>0</v>
      </c>
      <c r="AM61" s="76">
        <f>SUM(AM59:AM60)</f>
        <v>0</v>
      </c>
    </row>
    <row r="62" spans="1:39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3">
        <f>AJ6+AJ26+AJ34+AJ38+AJ41+AJ43+AJ47+AJ55+AJ58+AJ61</f>
        <v>1488</v>
      </c>
      <c r="AK62" s="53"/>
      <c r="AL62" s="53"/>
      <c r="AM62" s="53"/>
    </row>
    <row r="63" spans="1:39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8"/>
      <c r="AL63" s="48"/>
      <c r="AM63" s="48"/>
    </row>
    <row r="64" spans="1:39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</row>
    <row r="65" spans="1:39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/>
      <c r="AI65" s="30">
        <v>30</v>
      </c>
      <c r="AJ65" s="27" t="s">
        <v>62</v>
      </c>
      <c r="AK65" s="31" t="s">
        <v>61</v>
      </c>
      <c r="AL65" s="31" t="s">
        <v>58</v>
      </c>
      <c r="AM65" s="32" t="s">
        <v>57</v>
      </c>
    </row>
    <row r="66" spans="1:39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>
        <v>1</v>
      </c>
      <c r="AB66" s="35">
        <v>1</v>
      </c>
      <c r="AC66" s="35">
        <v>1</v>
      </c>
      <c r="AD66" s="35">
        <v>1</v>
      </c>
      <c r="AE66" s="35">
        <v>1</v>
      </c>
      <c r="AF66" s="35">
        <v>1</v>
      </c>
      <c r="AG66" s="35">
        <v>1</v>
      </c>
      <c r="AH66" s="35">
        <v>1</v>
      </c>
      <c r="AI66" s="35"/>
      <c r="AJ66" s="73">
        <f>АХД</f>
        <v>31</v>
      </c>
      <c r="AK66" s="17">
        <f>COUNTIF(E66:AI66,1)</f>
        <v>30</v>
      </c>
      <c r="AL66" s="17">
        <f>COUNTIF(E66:AI66,"тр")</f>
        <v>0</v>
      </c>
      <c r="AM66" s="18">
        <f>COUNTIF(E66:AI66,"бв")</f>
        <v>0</v>
      </c>
    </row>
    <row r="67" spans="1:39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>
        <v>1</v>
      </c>
      <c r="AC67" s="42">
        <v>1</v>
      </c>
      <c r="AD67" s="42">
        <v>1</v>
      </c>
      <c r="AE67" s="42">
        <v>1</v>
      </c>
      <c r="AF67" s="42">
        <v>1</v>
      </c>
      <c r="AG67" s="42">
        <v>1</v>
      </c>
      <c r="AH67" s="42">
        <v>1</v>
      </c>
      <c r="AI67" s="42"/>
      <c r="AJ67" s="73">
        <f>АХД</f>
        <v>31</v>
      </c>
      <c r="AK67" s="56">
        <f>COUNTIF(E67:AI67,1)</f>
        <v>30</v>
      </c>
      <c r="AL67" s="56">
        <f>COUNTIF(E67:AI67,"тр")</f>
        <v>0</v>
      </c>
      <c r="AM67" s="57">
        <f>COUNTIF(E67:AI67,"бв")</f>
        <v>0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SUM(AJ66:AJ67)</f>
        <v>62</v>
      </c>
      <c r="AK68" s="70">
        <f t="shared" ref="AK68:AM68" si="16">SUM(AK66:AK67)</f>
        <v>60</v>
      </c>
      <c r="AL68" s="70">
        <f t="shared" si="16"/>
        <v>0</v>
      </c>
      <c r="AM68" s="76">
        <f t="shared" si="16"/>
        <v>0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62</v>
      </c>
    </row>
  </sheetData>
  <autoFilter ref="E2:AM62"/>
  <mergeCells count="2">
    <mergeCell ref="A1:AM1"/>
    <mergeCell ref="A64:AM64"/>
  </mergeCells>
  <conditionalFormatting sqref="AJ68:AM68 E66:AI67 AK6:AM6 AJ26:AM26 AJ34:AM34 AJ38:AM38 AJ41:AM41 AJ43:AM43 AJ47:AM47 AJ55:AM55 AJ58:AM58 AJ61:AM61 AJ4:AJ61 AJ66:AJ68 E27:AI33 E35:AI37 E39:AI40 E48:AI54 E56:AI57 E59:AI60 E42:AI42 E4:AI5 E7:AI25 E44:AI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8:AM58 AJ55:AM55 AJ47:AM47 AJ43:AM43 AJ41:AM41 AJ38:AM38 AJ34:AM34 AK26:AM26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2019-01-30T08:55:10Z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