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1"/>
  </bookViews>
  <sheets>
    <sheet name="Октябрь 2018" sheetId="1" r:id="rId1"/>
    <sheet name="Ноябрь 2018" sheetId="3" r:id="rId2"/>
    <sheet name="Данные" sheetId="2" state="hidden" r:id="rId3"/>
  </sheets>
  <definedNames>
    <definedName name="_xlnm._FilterDatabase" localSheetId="1" hidden="1">'Ноябрь 2018'!$C$2:$AF$56</definedName>
    <definedName name="_xlnm._FilterDatabase" localSheetId="0" hidden="1">'Октябрь 2018'!$C$2:$AG$56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4" i="3"/>
  <c r="AH14"/>
  <c r="AI14" s="1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G37"/>
  <c r="AH37"/>
  <c r="AH36" i="1"/>
  <c r="AI36"/>
  <c r="AJ36"/>
  <c r="AH37"/>
  <c r="AI37"/>
  <c r="AJ37" s="1"/>
  <c r="AH55" i="3"/>
  <c r="AG55"/>
  <c r="AH54"/>
  <c r="AG54"/>
  <c r="AH53"/>
  <c r="AG53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40"/>
  <c r="AG40"/>
  <c r="AH39"/>
  <c r="AG39"/>
  <c r="AH38"/>
  <c r="AG38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7"/>
  <c r="AG17"/>
  <c r="AH16"/>
  <c r="AG16"/>
  <c r="AH15"/>
  <c r="AG15"/>
  <c r="AH13"/>
  <c r="AG13"/>
  <c r="AH12"/>
  <c r="AG12"/>
  <c r="AH11"/>
  <c r="AG11"/>
  <c r="AH10"/>
  <c r="AG10"/>
  <c r="AH9"/>
  <c r="AG9"/>
  <c r="AH8"/>
  <c r="AG8"/>
  <c r="AH7"/>
  <c r="AG7"/>
  <c r="AH6"/>
  <c r="AG6"/>
  <c r="AH5"/>
  <c r="AG5"/>
  <c r="AH4"/>
  <c r="AG4"/>
  <c r="A1"/>
  <c r="AI4" l="1"/>
  <c r="AI5"/>
  <c r="AI6"/>
  <c r="AI7"/>
  <c r="AI8"/>
  <c r="AI9"/>
  <c r="AI10"/>
  <c r="AI11"/>
  <c r="AI12"/>
  <c r="AI13"/>
  <c r="AI15"/>
  <c r="AI16"/>
  <c r="AI17"/>
  <c r="AI18"/>
  <c r="AI19"/>
  <c r="AI20"/>
  <c r="AI21"/>
  <c r="AI23"/>
  <c r="AI24"/>
  <c r="AI25"/>
  <c r="AI26"/>
  <c r="AI27"/>
  <c r="AI28"/>
  <c r="AI29"/>
  <c r="AI30"/>
  <c r="AI31"/>
  <c r="AI32"/>
  <c r="AI33"/>
  <c r="AI34"/>
  <c r="AI35"/>
  <c r="AI36"/>
  <c r="AI38"/>
  <c r="AI39"/>
  <c r="AI40"/>
  <c r="AI41"/>
  <c r="AI42"/>
  <c r="AI43"/>
  <c r="AI45"/>
  <c r="AI46"/>
  <c r="AI47"/>
  <c r="AI49"/>
  <c r="AI50"/>
  <c r="AI51"/>
  <c r="AI52"/>
  <c r="AI53"/>
  <c r="AI44"/>
  <c r="AI37"/>
  <c r="AI54"/>
  <c r="AI55"/>
  <c r="AI22"/>
  <c r="AI48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<sst xmlns="http://schemas.openxmlformats.org/spreadsheetml/2006/main" count="2300" uniqueCount="60">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</sst>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7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2" priority="2">
      <formula>LEN(TRIM(C4))=0</formula>
    </cfRule>
  </conditionalFormatting>
  <conditionalFormatting sqref="C4:AG55">
    <cfRule type="containsBlanks" dxfId="1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56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N6" sqref="N6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0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6" si="0">COUNTIF(C4:AF4,"+")</f>
        <v>4</v>
      </c>
      <c r="AH4" s="31">
        <f t="shared" ref="AH4:AH36" si="1">COUNTIF(C4:AF4,"-")</f>
        <v>1</v>
      </c>
      <c r="AI4" s="36">
        <f t="shared" ref="AI4:AI47" si="2">SUM(AG4:AH4)</f>
        <v>5</v>
      </c>
    </row>
    <row r="5" spans="1:37">
      <c r="A5" s="18">
        <f>A4+1</f>
        <v>2</v>
      </c>
      <c r="B5" s="19" t="s">
        <v>1</v>
      </c>
      <c r="C5" s="6" t="s">
        <v>50</v>
      </c>
      <c r="D5" s="7" t="s">
        <v>50</v>
      </c>
      <c r="E5" s="7" t="s">
        <v>51</v>
      </c>
      <c r="F5" s="7" t="s">
        <v>51</v>
      </c>
      <c r="G5" s="7" t="s">
        <v>51</v>
      </c>
      <c r="H5" s="7" t="s">
        <v>51</v>
      </c>
      <c r="I5" s="7" t="s">
        <v>51</v>
      </c>
      <c r="J5" s="7" t="s">
        <v>50</v>
      </c>
      <c r="K5" s="7" t="s">
        <v>50</v>
      </c>
      <c r="L5" s="7" t="s">
        <v>50</v>
      </c>
      <c r="M5" s="7" t="s">
        <v>50</v>
      </c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27">
        <f t="shared" si="0"/>
        <v>6</v>
      </c>
      <c r="AH5" s="29">
        <f t="shared" si="1"/>
        <v>5</v>
      </c>
      <c r="AI5" s="37">
        <f t="shared" si="2"/>
        <v>11</v>
      </c>
    </row>
    <row r="6" spans="1:37">
      <c r="A6" s="16">
        <f t="shared" ref="A6:A55" si="3">A5+1</f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50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51</v>
      </c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27">
        <f t="shared" si="0"/>
        <v>1</v>
      </c>
      <c r="AH6" s="29">
        <f t="shared" si="1"/>
        <v>10</v>
      </c>
      <c r="AI6" s="37">
        <f t="shared" si="2"/>
        <v>11</v>
      </c>
      <c r="AK6"/>
    </row>
    <row r="7" spans="1:37">
      <c r="A7" s="18">
        <f t="shared" si="3"/>
        <v>4</v>
      </c>
      <c r="B7" s="19" t="s">
        <v>54</v>
      </c>
      <c r="C7" s="6" t="s">
        <v>51</v>
      </c>
      <c r="D7" s="7" t="s">
        <v>51</v>
      </c>
      <c r="E7" s="7" t="s">
        <v>50</v>
      </c>
      <c r="F7" s="7" t="s">
        <v>50</v>
      </c>
      <c r="G7" s="7" t="s">
        <v>50</v>
      </c>
      <c r="H7" s="7" t="s">
        <v>51</v>
      </c>
      <c r="I7" s="7" t="s">
        <v>50</v>
      </c>
      <c r="J7" s="7" t="s">
        <v>50</v>
      </c>
      <c r="K7" s="7" t="s">
        <v>51</v>
      </c>
      <c r="L7" s="7" t="s">
        <v>51</v>
      </c>
      <c r="M7" s="7" t="s">
        <v>50</v>
      </c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27">
        <f t="shared" si="0"/>
        <v>6</v>
      </c>
      <c r="AH7" s="29">
        <f t="shared" si="1"/>
        <v>5</v>
      </c>
      <c r="AI7" s="37">
        <f t="shared" si="2"/>
        <v>11</v>
      </c>
    </row>
    <row r="8" spans="1:37">
      <c r="A8" s="16">
        <f t="shared" si="3"/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27">
        <f t="shared" si="0"/>
        <v>0</v>
      </c>
      <c r="AH8" s="29">
        <f t="shared" si="1"/>
        <v>11</v>
      </c>
      <c r="AI8" s="37">
        <f t="shared" si="2"/>
        <v>11</v>
      </c>
    </row>
    <row r="9" spans="1:37">
      <c r="A9" s="18">
        <f t="shared" si="3"/>
        <v>6</v>
      </c>
      <c r="B9" s="19" t="s">
        <v>3</v>
      </c>
      <c r="C9" s="6" t="s">
        <v>50</v>
      </c>
      <c r="D9" s="7" t="s">
        <v>50</v>
      </c>
      <c r="E9" s="7" t="s">
        <v>51</v>
      </c>
      <c r="F9" s="7" t="s">
        <v>51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50</v>
      </c>
      <c r="L9" s="7" t="s">
        <v>50</v>
      </c>
      <c r="M9" s="7" t="s">
        <v>51</v>
      </c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27">
        <f t="shared" si="0"/>
        <v>7</v>
      </c>
      <c r="AH9" s="29">
        <f t="shared" si="1"/>
        <v>4</v>
      </c>
      <c r="AI9" s="37">
        <f t="shared" si="2"/>
        <v>11</v>
      </c>
    </row>
    <row r="10" spans="1:37">
      <c r="A10" s="16">
        <f t="shared" si="3"/>
        <v>7</v>
      </c>
      <c r="B10" s="19" t="s">
        <v>4</v>
      </c>
      <c r="C10" s="6" t="s">
        <v>51</v>
      </c>
      <c r="D10" s="7" t="s">
        <v>51</v>
      </c>
      <c r="E10" s="7" t="s">
        <v>50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50</v>
      </c>
      <c r="M10" s="7" t="s">
        <v>51</v>
      </c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27">
        <f t="shared" si="0"/>
        <v>2</v>
      </c>
      <c r="AH10" s="29">
        <f t="shared" si="1"/>
        <v>9</v>
      </c>
      <c r="AI10" s="37">
        <f t="shared" si="2"/>
        <v>11</v>
      </c>
    </row>
    <row r="11" spans="1:37">
      <c r="A11" s="18">
        <f t="shared" si="3"/>
        <v>8</v>
      </c>
      <c r="B11" s="19" t="s">
        <v>41</v>
      </c>
      <c r="C11" s="6" t="s">
        <v>50</v>
      </c>
      <c r="D11" s="7" t="s">
        <v>50</v>
      </c>
      <c r="E11" s="7" t="s">
        <v>50</v>
      </c>
      <c r="F11" s="7" t="s">
        <v>50</v>
      </c>
      <c r="G11" s="7" t="s">
        <v>50</v>
      </c>
      <c r="H11" s="7" t="s">
        <v>50</v>
      </c>
      <c r="I11" s="7" t="s">
        <v>51</v>
      </c>
      <c r="J11" s="7" t="s">
        <v>50</v>
      </c>
      <c r="K11" s="7" t="s">
        <v>50</v>
      </c>
      <c r="L11" s="7" t="s">
        <v>50</v>
      </c>
      <c r="M11" s="7" t="s">
        <v>50</v>
      </c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27">
        <f t="shared" si="0"/>
        <v>10</v>
      </c>
      <c r="AH11" s="29">
        <f t="shared" si="1"/>
        <v>1</v>
      </c>
      <c r="AI11" s="37">
        <f t="shared" si="2"/>
        <v>11</v>
      </c>
    </row>
    <row r="12" spans="1:37">
      <c r="A12" s="16">
        <f t="shared" si="3"/>
        <v>9</v>
      </c>
      <c r="B12" s="19" t="s">
        <v>42</v>
      </c>
      <c r="C12" s="6" t="s">
        <v>50</v>
      </c>
      <c r="D12" s="7" t="s">
        <v>50</v>
      </c>
      <c r="E12" s="7" t="s">
        <v>51</v>
      </c>
      <c r="F12" s="7" t="s">
        <v>51</v>
      </c>
      <c r="G12" s="7" t="s">
        <v>51</v>
      </c>
      <c r="H12" s="7" t="s">
        <v>50</v>
      </c>
      <c r="I12" s="7" t="s">
        <v>50</v>
      </c>
      <c r="J12" s="7" t="s">
        <v>51</v>
      </c>
      <c r="K12" s="7" t="s">
        <v>50</v>
      </c>
      <c r="L12" s="7" t="s">
        <v>51</v>
      </c>
      <c r="M12" s="7" t="s">
        <v>51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27">
        <f t="shared" si="0"/>
        <v>5</v>
      </c>
      <c r="AH12" s="29">
        <f t="shared" si="1"/>
        <v>6</v>
      </c>
      <c r="AI12" s="37">
        <f t="shared" si="2"/>
        <v>11</v>
      </c>
    </row>
    <row r="13" spans="1:37">
      <c r="A13" s="18">
        <f t="shared" si="3"/>
        <v>10</v>
      </c>
      <c r="B13" s="19" t="s">
        <v>5</v>
      </c>
      <c r="C13" s="6" t="s">
        <v>51</v>
      </c>
      <c r="D13" s="7" t="s">
        <v>50</v>
      </c>
      <c r="E13" s="7" t="s">
        <v>50</v>
      </c>
      <c r="F13" s="7" t="s">
        <v>51</v>
      </c>
      <c r="G13" s="7" t="s">
        <v>50</v>
      </c>
      <c r="H13" s="7" t="s">
        <v>50</v>
      </c>
      <c r="I13" s="7" t="s">
        <v>51</v>
      </c>
      <c r="J13" s="7" t="s">
        <v>51</v>
      </c>
      <c r="K13" s="7" t="s">
        <v>50</v>
      </c>
      <c r="L13" s="7" t="s">
        <v>50</v>
      </c>
      <c r="M13" s="7" t="s">
        <v>50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27">
        <f t="shared" si="0"/>
        <v>7</v>
      </c>
      <c r="AH13" s="29">
        <f t="shared" si="1"/>
        <v>4</v>
      </c>
      <c r="AI13" s="37">
        <f t="shared" si="2"/>
        <v>11</v>
      </c>
    </row>
    <row r="14" spans="1:37">
      <c r="A14" s="16">
        <f t="shared" si="3"/>
        <v>11</v>
      </c>
      <c r="B14" s="19" t="s">
        <v>58</v>
      </c>
      <c r="C14" s="6"/>
      <c r="D14" s="7"/>
      <c r="E14" s="7" t="s">
        <v>51</v>
      </c>
      <c r="F14" s="7" t="s">
        <v>51</v>
      </c>
      <c r="G14" s="7" t="s">
        <v>51</v>
      </c>
      <c r="H14" s="7" t="s">
        <v>50</v>
      </c>
      <c r="I14" s="7" t="s">
        <v>51</v>
      </c>
      <c r="J14" s="7" t="s">
        <v>51</v>
      </c>
      <c r="K14" s="7" t="s">
        <v>51</v>
      </c>
      <c r="L14" s="7" t="s">
        <v>51</v>
      </c>
      <c r="M14" s="7" t="s">
        <v>51</v>
      </c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27">
        <f t="shared" ref="AG14" si="4">COUNTIF(C14:AF14,"+")</f>
        <v>1</v>
      </c>
      <c r="AH14" s="29">
        <f t="shared" ref="AH14" si="5">COUNTIF(C14:AF14,"-")</f>
        <v>8</v>
      </c>
      <c r="AI14" s="37">
        <f t="shared" ref="AI14" si="6">SUM(AG14:AH14)</f>
        <v>9</v>
      </c>
    </row>
    <row r="15" spans="1:37">
      <c r="A15" s="16">
        <f t="shared" si="3"/>
        <v>12</v>
      </c>
      <c r="B15" s="19" t="s">
        <v>6</v>
      </c>
      <c r="C15" s="6" t="s">
        <v>50</v>
      </c>
      <c r="D15" s="7" t="s">
        <v>51</v>
      </c>
      <c r="E15" s="7" t="s">
        <v>51</v>
      </c>
      <c r="F15" s="7" t="s">
        <v>51</v>
      </c>
      <c r="G15" s="7" t="s">
        <v>51</v>
      </c>
      <c r="H15" s="7" t="s">
        <v>51</v>
      </c>
      <c r="I15" s="7" t="s">
        <v>51</v>
      </c>
      <c r="J15" s="7" t="s">
        <v>51</v>
      </c>
      <c r="K15" s="7" t="s">
        <v>51</v>
      </c>
      <c r="L15" s="7" t="s">
        <v>51</v>
      </c>
      <c r="M15" s="7" t="s">
        <v>51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27">
        <f t="shared" si="0"/>
        <v>1</v>
      </c>
      <c r="AH15" s="29">
        <f t="shared" si="1"/>
        <v>10</v>
      </c>
      <c r="AI15" s="37">
        <f t="shared" si="2"/>
        <v>11</v>
      </c>
    </row>
    <row r="16" spans="1:37">
      <c r="A16" s="18">
        <f t="shared" si="3"/>
        <v>13</v>
      </c>
      <c r="B16" s="19" t="s">
        <v>7</v>
      </c>
      <c r="C16" s="6" t="s">
        <v>51</v>
      </c>
      <c r="D16" s="7" t="s">
        <v>51</v>
      </c>
      <c r="E16" s="7" t="s">
        <v>51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51</v>
      </c>
      <c r="M16" s="7" t="s">
        <v>51</v>
      </c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27">
        <f t="shared" si="0"/>
        <v>3</v>
      </c>
      <c r="AH16" s="29">
        <f t="shared" si="1"/>
        <v>8</v>
      </c>
      <c r="AI16" s="37">
        <f t="shared" si="2"/>
        <v>11</v>
      </c>
    </row>
    <row r="17" spans="1:35">
      <c r="A17" s="16">
        <f t="shared" si="3"/>
        <v>14</v>
      </c>
      <c r="B17" s="19" t="s">
        <v>9</v>
      </c>
      <c r="C17" s="6" t="s">
        <v>50</v>
      </c>
      <c r="D17" s="7" t="s">
        <v>51</v>
      </c>
      <c r="E17" s="7" t="s">
        <v>51</v>
      </c>
      <c r="F17" s="7" t="s">
        <v>51</v>
      </c>
      <c r="G17" s="7" t="s">
        <v>51</v>
      </c>
      <c r="H17" s="7" t="s">
        <v>51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27">
        <f t="shared" si="0"/>
        <v>1</v>
      </c>
      <c r="AH17" s="29">
        <f t="shared" si="1"/>
        <v>10</v>
      </c>
      <c r="AI17" s="37">
        <f t="shared" si="2"/>
        <v>11</v>
      </c>
    </row>
    <row r="18" spans="1:35">
      <c r="A18" s="18">
        <f t="shared" si="3"/>
        <v>15</v>
      </c>
      <c r="B18" s="19" t="s">
        <v>8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50</v>
      </c>
      <c r="H18" s="7" t="s">
        <v>50</v>
      </c>
      <c r="I18" s="7" t="s">
        <v>51</v>
      </c>
      <c r="J18" s="7" t="s">
        <v>50</v>
      </c>
      <c r="K18" s="7" t="s">
        <v>50</v>
      </c>
      <c r="L18" s="7" t="s">
        <v>50</v>
      </c>
      <c r="M18" s="7" t="s">
        <v>51</v>
      </c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27">
        <f t="shared" si="0"/>
        <v>5</v>
      </c>
      <c r="AH18" s="29">
        <f t="shared" si="1"/>
        <v>6</v>
      </c>
      <c r="AI18" s="37">
        <f t="shared" si="2"/>
        <v>11</v>
      </c>
    </row>
    <row r="19" spans="1:35">
      <c r="A19" s="16">
        <f t="shared" si="3"/>
        <v>16</v>
      </c>
      <c r="B19" s="19" t="s">
        <v>10</v>
      </c>
      <c r="C19" s="6" t="s">
        <v>50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51</v>
      </c>
      <c r="J19" s="7" t="s">
        <v>50</v>
      </c>
      <c r="K19" s="7" t="s">
        <v>51</v>
      </c>
      <c r="L19" s="7" t="s">
        <v>50</v>
      </c>
      <c r="M19" s="7" t="s">
        <v>50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27">
        <f t="shared" si="0"/>
        <v>4</v>
      </c>
      <c r="AH19" s="29">
        <f t="shared" si="1"/>
        <v>7</v>
      </c>
      <c r="AI19" s="37">
        <f t="shared" si="2"/>
        <v>11</v>
      </c>
    </row>
    <row r="20" spans="1:35">
      <c r="A20" s="18">
        <f t="shared" si="3"/>
        <v>17</v>
      </c>
      <c r="B20" s="19" t="s">
        <v>11</v>
      </c>
      <c r="C20" s="6" t="s">
        <v>51</v>
      </c>
      <c r="D20" s="7" t="s">
        <v>51</v>
      </c>
      <c r="E20" s="7" t="s">
        <v>50</v>
      </c>
      <c r="F20" s="7" t="s">
        <v>50</v>
      </c>
      <c r="G20" s="7" t="s">
        <v>51</v>
      </c>
      <c r="H20" s="7" t="s">
        <v>50</v>
      </c>
      <c r="I20" s="7" t="s">
        <v>51</v>
      </c>
      <c r="J20" s="7" t="s">
        <v>50</v>
      </c>
      <c r="K20" s="7" t="s">
        <v>50</v>
      </c>
      <c r="L20" s="7" t="s">
        <v>50</v>
      </c>
      <c r="M20" s="7" t="s">
        <v>50</v>
      </c>
      <c r="N20" s="7" t="s">
        <v>51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27">
        <f t="shared" si="0"/>
        <v>7</v>
      </c>
      <c r="AH20" s="29">
        <f t="shared" si="1"/>
        <v>5</v>
      </c>
      <c r="AI20" s="37">
        <f t="shared" si="2"/>
        <v>12</v>
      </c>
    </row>
    <row r="21" spans="1:35">
      <c r="A21" s="16">
        <f t="shared" si="3"/>
        <v>18</v>
      </c>
      <c r="B21" s="19" t="s">
        <v>12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50</v>
      </c>
      <c r="I21" s="7" t="s">
        <v>51</v>
      </c>
      <c r="J21" s="7" t="s">
        <v>51</v>
      </c>
      <c r="K21" s="7" t="s">
        <v>51</v>
      </c>
      <c r="L21" s="7" t="s">
        <v>50</v>
      </c>
      <c r="M21" s="7" t="s">
        <v>50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27">
        <f t="shared" si="0"/>
        <v>3</v>
      </c>
      <c r="AH21" s="29">
        <f t="shared" si="1"/>
        <v>8</v>
      </c>
      <c r="AI21" s="37">
        <f t="shared" si="2"/>
        <v>11</v>
      </c>
    </row>
    <row r="22" spans="1:35">
      <c r="A22" s="18">
        <f t="shared" si="3"/>
        <v>19</v>
      </c>
      <c r="B22" s="19" t="s">
        <v>13</v>
      </c>
      <c r="C22" s="6" t="s">
        <v>51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50</v>
      </c>
      <c r="L22" s="7" t="s">
        <v>51</v>
      </c>
      <c r="M22" s="7" t="s">
        <v>51</v>
      </c>
      <c r="N22" s="7" t="s">
        <v>51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27">
        <f t="shared" si="0"/>
        <v>2</v>
      </c>
      <c r="AH22" s="29">
        <f t="shared" si="1"/>
        <v>10</v>
      </c>
      <c r="AI22" s="37">
        <f t="shared" si="2"/>
        <v>12</v>
      </c>
    </row>
    <row r="23" spans="1:35">
      <c r="A23" s="16">
        <f t="shared" si="3"/>
        <v>20</v>
      </c>
      <c r="B23" s="19" t="s">
        <v>14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50</v>
      </c>
      <c r="J23" s="7" t="s">
        <v>50</v>
      </c>
      <c r="K23" s="7" t="s">
        <v>51</v>
      </c>
      <c r="L23" s="7" t="s">
        <v>51</v>
      </c>
      <c r="M23" s="7" t="s">
        <v>51</v>
      </c>
      <c r="N23" s="7" t="s">
        <v>51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27">
        <f t="shared" si="0"/>
        <v>2</v>
      </c>
      <c r="AH23" s="29">
        <f t="shared" si="1"/>
        <v>10</v>
      </c>
      <c r="AI23" s="37">
        <f t="shared" si="2"/>
        <v>12</v>
      </c>
    </row>
    <row r="24" spans="1:35">
      <c r="A24" s="18">
        <f t="shared" si="3"/>
        <v>21</v>
      </c>
      <c r="B24" s="19" t="s">
        <v>55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27">
        <f t="shared" si="0"/>
        <v>0</v>
      </c>
      <c r="AH24" s="29">
        <f t="shared" si="1"/>
        <v>11</v>
      </c>
      <c r="AI24" s="37">
        <f t="shared" si="2"/>
        <v>11</v>
      </c>
    </row>
    <row r="25" spans="1:35">
      <c r="A25" s="16">
        <f t="shared" si="3"/>
        <v>22</v>
      </c>
      <c r="B25" s="19" t="s">
        <v>15</v>
      </c>
      <c r="C25" s="6" t="s">
        <v>51</v>
      </c>
      <c r="D25" s="7" t="s">
        <v>50</v>
      </c>
      <c r="E25" s="7" t="s">
        <v>50</v>
      </c>
      <c r="F25" s="7" t="s">
        <v>50</v>
      </c>
      <c r="G25" s="7" t="s">
        <v>50</v>
      </c>
      <c r="H25" s="7" t="s">
        <v>51</v>
      </c>
      <c r="I25" s="7" t="s">
        <v>50</v>
      </c>
      <c r="J25" s="7" t="s">
        <v>51</v>
      </c>
      <c r="K25" s="7" t="s">
        <v>50</v>
      </c>
      <c r="L25" s="7" t="s">
        <v>50</v>
      </c>
      <c r="M25" s="7" t="s">
        <v>50</v>
      </c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27">
        <f t="shared" si="0"/>
        <v>8</v>
      </c>
      <c r="AH25" s="29">
        <f t="shared" si="1"/>
        <v>3</v>
      </c>
      <c r="AI25" s="37">
        <f t="shared" si="2"/>
        <v>11</v>
      </c>
    </row>
    <row r="26" spans="1:35">
      <c r="A26" s="18">
        <f t="shared" si="3"/>
        <v>23</v>
      </c>
      <c r="B26" s="20" t="s">
        <v>16</v>
      </c>
      <c r="C26" s="6" t="s">
        <v>50</v>
      </c>
      <c r="D26" s="7" t="s">
        <v>50</v>
      </c>
      <c r="E26" s="7" t="s">
        <v>50</v>
      </c>
      <c r="F26" s="7" t="s">
        <v>51</v>
      </c>
      <c r="G26" s="7" t="s">
        <v>51</v>
      </c>
      <c r="H26" s="7" t="s">
        <v>50</v>
      </c>
      <c r="I26" s="7" t="s">
        <v>51</v>
      </c>
      <c r="J26" s="7" t="s">
        <v>51</v>
      </c>
      <c r="K26" s="7" t="s">
        <v>50</v>
      </c>
      <c r="L26" s="7" t="s">
        <v>50</v>
      </c>
      <c r="M26" s="7" t="s">
        <v>50</v>
      </c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27">
        <f t="shared" si="0"/>
        <v>7</v>
      </c>
      <c r="AH26" s="29">
        <f t="shared" si="1"/>
        <v>4</v>
      </c>
      <c r="AI26" s="37">
        <f t="shared" si="2"/>
        <v>11</v>
      </c>
    </row>
    <row r="27" spans="1:35">
      <c r="A27" s="16">
        <f t="shared" si="3"/>
        <v>24</v>
      </c>
      <c r="B27" s="20" t="s">
        <v>17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50</v>
      </c>
      <c r="I27" s="7" t="s">
        <v>51</v>
      </c>
      <c r="J27" s="7" t="s">
        <v>50</v>
      </c>
      <c r="K27" s="7" t="s">
        <v>50</v>
      </c>
      <c r="L27" s="7" t="s">
        <v>51</v>
      </c>
      <c r="M27" s="7" t="s">
        <v>51</v>
      </c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27">
        <f t="shared" si="0"/>
        <v>6</v>
      </c>
      <c r="AH27" s="29">
        <f t="shared" si="1"/>
        <v>5</v>
      </c>
      <c r="AI27" s="37">
        <f t="shared" si="2"/>
        <v>11</v>
      </c>
    </row>
    <row r="28" spans="1:35">
      <c r="A28" s="16">
        <f t="shared" si="3"/>
        <v>25</v>
      </c>
      <c r="B28" s="19" t="s">
        <v>44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50</v>
      </c>
      <c r="I28" s="7" t="s">
        <v>50</v>
      </c>
      <c r="J28" s="7" t="s">
        <v>50</v>
      </c>
      <c r="K28" s="7" t="s">
        <v>50</v>
      </c>
      <c r="L28" s="7" t="s">
        <v>50</v>
      </c>
      <c r="M28" s="7" t="s">
        <v>50</v>
      </c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27">
        <f t="shared" si="0"/>
        <v>10</v>
      </c>
      <c r="AH28" s="29">
        <f t="shared" si="1"/>
        <v>1</v>
      </c>
      <c r="AI28" s="37">
        <f t="shared" si="2"/>
        <v>11</v>
      </c>
    </row>
    <row r="29" spans="1:35">
      <c r="A29" s="18">
        <f t="shared" si="3"/>
        <v>26</v>
      </c>
      <c r="B29" s="20" t="s">
        <v>18</v>
      </c>
      <c r="C29" s="6" t="s">
        <v>50</v>
      </c>
      <c r="D29" s="7" t="s">
        <v>50</v>
      </c>
      <c r="E29" s="7" t="s">
        <v>51</v>
      </c>
      <c r="F29" s="7" t="s">
        <v>51</v>
      </c>
      <c r="G29" s="7" t="s">
        <v>50</v>
      </c>
      <c r="H29" s="7" t="s">
        <v>50</v>
      </c>
      <c r="I29" s="7" t="s">
        <v>50</v>
      </c>
      <c r="J29" s="7" t="s">
        <v>50</v>
      </c>
      <c r="K29" s="7" t="s">
        <v>50</v>
      </c>
      <c r="L29" s="7" t="s">
        <v>50</v>
      </c>
      <c r="M29" s="7" t="s">
        <v>50</v>
      </c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27">
        <f t="shared" si="0"/>
        <v>9</v>
      </c>
      <c r="AH29" s="29">
        <f t="shared" si="1"/>
        <v>2</v>
      </c>
      <c r="AI29" s="37">
        <f t="shared" si="2"/>
        <v>11</v>
      </c>
    </row>
    <row r="30" spans="1:35">
      <c r="A30" s="16">
        <f t="shared" si="3"/>
        <v>27</v>
      </c>
      <c r="B30" s="20" t="s">
        <v>19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51</v>
      </c>
      <c r="H30" s="7" t="s">
        <v>51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50</v>
      </c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27">
        <f t="shared" si="0"/>
        <v>5</v>
      </c>
      <c r="AH30" s="29">
        <f t="shared" si="1"/>
        <v>6</v>
      </c>
      <c r="AI30" s="37">
        <f t="shared" si="2"/>
        <v>11</v>
      </c>
    </row>
    <row r="31" spans="1:35">
      <c r="A31" s="18">
        <f t="shared" si="3"/>
        <v>28</v>
      </c>
      <c r="B31" s="20" t="s">
        <v>20</v>
      </c>
      <c r="C31" s="6" t="s">
        <v>51</v>
      </c>
      <c r="D31" s="7" t="s">
        <v>51</v>
      </c>
      <c r="E31" s="7" t="s">
        <v>51</v>
      </c>
      <c r="F31" s="7" t="s">
        <v>50</v>
      </c>
      <c r="G31" s="7" t="s">
        <v>50</v>
      </c>
      <c r="H31" s="7" t="s">
        <v>51</v>
      </c>
      <c r="I31" s="7" t="s">
        <v>51</v>
      </c>
      <c r="J31" s="7" t="s">
        <v>50</v>
      </c>
      <c r="K31" s="7" t="s">
        <v>51</v>
      </c>
      <c r="L31" s="7" t="s">
        <v>50</v>
      </c>
      <c r="M31" s="7" t="s">
        <v>51</v>
      </c>
      <c r="N31" s="7" t="s">
        <v>51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27">
        <f t="shared" si="0"/>
        <v>4</v>
      </c>
      <c r="AH31" s="29">
        <f t="shared" si="1"/>
        <v>8</v>
      </c>
      <c r="AI31" s="37">
        <f t="shared" si="2"/>
        <v>12</v>
      </c>
    </row>
    <row r="32" spans="1:35">
      <c r="A32" s="16">
        <f t="shared" si="3"/>
        <v>29</v>
      </c>
      <c r="B32" s="20" t="s">
        <v>21</v>
      </c>
      <c r="C32" s="6" t="s">
        <v>51</v>
      </c>
      <c r="D32" s="7" t="s">
        <v>51</v>
      </c>
      <c r="E32" s="7" t="s">
        <v>50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27">
        <f t="shared" si="0"/>
        <v>1</v>
      </c>
      <c r="AH32" s="29">
        <f t="shared" si="1"/>
        <v>10</v>
      </c>
      <c r="AI32" s="37">
        <f t="shared" si="2"/>
        <v>11</v>
      </c>
    </row>
    <row r="33" spans="1:35">
      <c r="A33" s="18">
        <f t="shared" si="3"/>
        <v>30</v>
      </c>
      <c r="B33" s="20" t="s">
        <v>22</v>
      </c>
      <c r="C33" s="6" t="s">
        <v>50</v>
      </c>
      <c r="D33" s="7" t="s">
        <v>50</v>
      </c>
      <c r="E33" s="7" t="s">
        <v>51</v>
      </c>
      <c r="F33" s="7" t="s">
        <v>50</v>
      </c>
      <c r="G33" s="7" t="s">
        <v>50</v>
      </c>
      <c r="H33" s="7" t="s">
        <v>50</v>
      </c>
      <c r="I33" s="7" t="s">
        <v>50</v>
      </c>
      <c r="J33" s="7" t="s">
        <v>51</v>
      </c>
      <c r="K33" s="7" t="s">
        <v>51</v>
      </c>
      <c r="L33" s="7" t="s">
        <v>51</v>
      </c>
      <c r="M33" s="7" t="s">
        <v>51</v>
      </c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27">
        <f t="shared" si="0"/>
        <v>6</v>
      </c>
      <c r="AH33" s="29">
        <f t="shared" si="1"/>
        <v>5</v>
      </c>
      <c r="AI33" s="37">
        <f t="shared" si="2"/>
        <v>11</v>
      </c>
    </row>
    <row r="34" spans="1:35">
      <c r="A34" s="16">
        <f t="shared" si="3"/>
        <v>31</v>
      </c>
      <c r="B34" s="19" t="s">
        <v>23</v>
      </c>
      <c r="C34" s="6" t="s">
        <v>51</v>
      </c>
      <c r="D34" s="7" t="s">
        <v>51</v>
      </c>
      <c r="E34" s="7" t="s">
        <v>50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51</v>
      </c>
      <c r="M34" s="7" t="s">
        <v>51</v>
      </c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27">
        <f t="shared" si="0"/>
        <v>4</v>
      </c>
      <c r="AH34" s="29">
        <f t="shared" si="1"/>
        <v>7</v>
      </c>
      <c r="AI34" s="37">
        <f t="shared" si="2"/>
        <v>11</v>
      </c>
    </row>
    <row r="35" spans="1:35">
      <c r="A35" s="18">
        <f t="shared" si="3"/>
        <v>32</v>
      </c>
      <c r="B35" s="21" t="s">
        <v>24</v>
      </c>
      <c r="C35" s="6" t="s">
        <v>51</v>
      </c>
      <c r="D35" s="7" t="s">
        <v>50</v>
      </c>
      <c r="E35" s="7" t="s">
        <v>50</v>
      </c>
      <c r="F35" s="7" t="s">
        <v>51</v>
      </c>
      <c r="G35" s="7" t="s">
        <v>51</v>
      </c>
      <c r="H35" s="7" t="s">
        <v>50</v>
      </c>
      <c r="I35" s="7" t="s">
        <v>51</v>
      </c>
      <c r="J35" s="7" t="s">
        <v>50</v>
      </c>
      <c r="K35" s="7" t="s">
        <v>50</v>
      </c>
      <c r="L35" s="7" t="s">
        <v>51</v>
      </c>
      <c r="M35" s="7" t="s">
        <v>51</v>
      </c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27">
        <f t="shared" si="0"/>
        <v>5</v>
      </c>
      <c r="AH35" s="29">
        <f t="shared" si="1"/>
        <v>6</v>
      </c>
      <c r="AI35" s="37">
        <f t="shared" si="2"/>
        <v>11</v>
      </c>
    </row>
    <row r="36" spans="1:35">
      <c r="A36" s="16">
        <f t="shared" si="3"/>
        <v>33</v>
      </c>
      <c r="B36" s="19" t="s">
        <v>43</v>
      </c>
      <c r="C36" s="6" t="s">
        <v>50</v>
      </c>
      <c r="D36" s="7" t="s">
        <v>51</v>
      </c>
      <c r="E36" s="7" t="s">
        <v>51</v>
      </c>
      <c r="F36" s="7" t="s">
        <v>51</v>
      </c>
      <c r="G36" s="7" t="s">
        <v>51</v>
      </c>
      <c r="H36" s="7" t="s">
        <v>50</v>
      </c>
      <c r="I36" s="7" t="s">
        <v>51</v>
      </c>
      <c r="J36" s="7" t="s">
        <v>50</v>
      </c>
      <c r="K36" s="7" t="s">
        <v>50</v>
      </c>
      <c r="L36" s="7" t="s">
        <v>50</v>
      </c>
      <c r="M36" s="7" t="s">
        <v>50</v>
      </c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27">
        <f t="shared" si="0"/>
        <v>6</v>
      </c>
      <c r="AH36" s="29">
        <f t="shared" si="1"/>
        <v>5</v>
      </c>
      <c r="AI36" s="37">
        <f t="shared" si="2"/>
        <v>11</v>
      </c>
    </row>
    <row r="37" spans="1:35">
      <c r="A37" s="18">
        <f t="shared" si="3"/>
        <v>34</v>
      </c>
      <c r="B37" s="19" t="s">
        <v>57</v>
      </c>
      <c r="C37" s="6" t="s">
        <v>50</v>
      </c>
      <c r="D37" s="7" t="s">
        <v>50</v>
      </c>
      <c r="E37" s="7" t="s">
        <v>50</v>
      </c>
      <c r="F37" s="7" t="s">
        <v>51</v>
      </c>
      <c r="G37" s="7" t="s">
        <v>50</v>
      </c>
      <c r="H37" s="7" t="s">
        <v>50</v>
      </c>
      <c r="I37" s="7" t="s">
        <v>50</v>
      </c>
      <c r="J37" s="7" t="s">
        <v>50</v>
      </c>
      <c r="K37" s="7" t="s">
        <v>51</v>
      </c>
      <c r="L37" s="7" t="s">
        <v>50</v>
      </c>
      <c r="M37" s="7" t="s">
        <v>50</v>
      </c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27">
        <f t="shared" ref="AG37:AG55" si="7">COUNTIF(C37:AF37,"+")</f>
        <v>9</v>
      </c>
      <c r="AH37" s="29">
        <f t="shared" ref="AH37:AH55" si="8">COUNTIF(C37:AF37,"-")</f>
        <v>2</v>
      </c>
      <c r="AI37" s="37">
        <f t="shared" ref="AI37" si="9">SUM(AG37:AH37)</f>
        <v>11</v>
      </c>
    </row>
    <row r="38" spans="1:35">
      <c r="A38" s="16">
        <f t="shared" si="3"/>
        <v>35</v>
      </c>
      <c r="B38" s="19" t="s">
        <v>40</v>
      </c>
      <c r="C38" s="6" t="s">
        <v>51</v>
      </c>
      <c r="D38" s="7" t="s">
        <v>51</v>
      </c>
      <c r="E38" s="7" t="s">
        <v>50</v>
      </c>
      <c r="F38" s="7" t="s">
        <v>50</v>
      </c>
      <c r="G38" s="7" t="s">
        <v>50</v>
      </c>
      <c r="H38" s="7" t="s">
        <v>51</v>
      </c>
      <c r="I38" s="7" t="s">
        <v>50</v>
      </c>
      <c r="J38" s="7" t="s">
        <v>50</v>
      </c>
      <c r="K38" s="7" t="s">
        <v>50</v>
      </c>
      <c r="L38" s="7" t="s">
        <v>51</v>
      </c>
      <c r="M38" s="7" t="s">
        <v>51</v>
      </c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27">
        <f t="shared" si="7"/>
        <v>6</v>
      </c>
      <c r="AH38" s="29">
        <f t="shared" si="8"/>
        <v>5</v>
      </c>
      <c r="AI38" s="37">
        <f t="shared" si="2"/>
        <v>11</v>
      </c>
    </row>
    <row r="39" spans="1:35">
      <c r="A39" s="18">
        <f t="shared" si="3"/>
        <v>36</v>
      </c>
      <c r="B39" s="19" t="s">
        <v>25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27">
        <f t="shared" si="7"/>
        <v>0</v>
      </c>
      <c r="AH39" s="29">
        <f t="shared" si="8"/>
        <v>12</v>
      </c>
      <c r="AI39" s="37">
        <f t="shared" si="2"/>
        <v>12</v>
      </c>
    </row>
    <row r="40" spans="1:35">
      <c r="A40" s="16">
        <f t="shared" si="3"/>
        <v>37</v>
      </c>
      <c r="B40" s="19" t="s">
        <v>26</v>
      </c>
      <c r="C40" s="6" t="s">
        <v>50</v>
      </c>
      <c r="D40" s="7" t="s">
        <v>50</v>
      </c>
      <c r="E40" s="7" t="s">
        <v>51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50</v>
      </c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27">
        <f t="shared" si="7"/>
        <v>9</v>
      </c>
      <c r="AH40" s="29">
        <f t="shared" si="8"/>
        <v>2</v>
      </c>
      <c r="AI40" s="37">
        <f t="shared" si="2"/>
        <v>11</v>
      </c>
    </row>
    <row r="41" spans="1:35">
      <c r="A41" s="18">
        <f t="shared" si="3"/>
        <v>38</v>
      </c>
      <c r="B41" s="19" t="s">
        <v>27</v>
      </c>
      <c r="C41" s="6" t="s">
        <v>50</v>
      </c>
      <c r="D41" s="7" t="s">
        <v>50</v>
      </c>
      <c r="E41" s="7" t="s">
        <v>51</v>
      </c>
      <c r="F41" s="7" t="s">
        <v>50</v>
      </c>
      <c r="G41" s="7" t="s">
        <v>50</v>
      </c>
      <c r="H41" s="7" t="s">
        <v>50</v>
      </c>
      <c r="I41" s="7" t="s">
        <v>50</v>
      </c>
      <c r="J41" s="7" t="s">
        <v>50</v>
      </c>
      <c r="K41" s="7" t="s">
        <v>50</v>
      </c>
      <c r="L41" s="7" t="s">
        <v>50</v>
      </c>
      <c r="M41" s="7" t="s">
        <v>51</v>
      </c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27">
        <f t="shared" si="7"/>
        <v>9</v>
      </c>
      <c r="AH41" s="29">
        <f t="shared" si="8"/>
        <v>2</v>
      </c>
      <c r="AI41" s="37">
        <f t="shared" si="2"/>
        <v>11</v>
      </c>
    </row>
    <row r="42" spans="1:35">
      <c r="A42" s="16">
        <f t="shared" si="3"/>
        <v>39</v>
      </c>
      <c r="B42" s="19" t="s">
        <v>28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27">
        <f t="shared" si="7"/>
        <v>0</v>
      </c>
      <c r="AH42" s="29">
        <f t="shared" si="8"/>
        <v>12</v>
      </c>
      <c r="AI42" s="37">
        <f t="shared" si="2"/>
        <v>12</v>
      </c>
    </row>
    <row r="43" spans="1:35">
      <c r="A43" s="18">
        <f t="shared" si="3"/>
        <v>40</v>
      </c>
      <c r="B43" s="19" t="s">
        <v>29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50</v>
      </c>
      <c r="J43" s="7" t="s">
        <v>51</v>
      </c>
      <c r="K43" s="7" t="s">
        <v>51</v>
      </c>
      <c r="L43" s="7" t="s">
        <v>51</v>
      </c>
      <c r="M43" s="7" t="s">
        <v>50</v>
      </c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27">
        <f t="shared" si="7"/>
        <v>4</v>
      </c>
      <c r="AH43" s="29">
        <f t="shared" si="8"/>
        <v>7</v>
      </c>
      <c r="AI43" s="37">
        <f t="shared" si="2"/>
        <v>11</v>
      </c>
    </row>
    <row r="44" spans="1:35">
      <c r="A44" s="16">
        <f t="shared" si="3"/>
        <v>41</v>
      </c>
      <c r="B44" s="19" t="s">
        <v>30</v>
      </c>
      <c r="C44" s="6" t="s">
        <v>50</v>
      </c>
      <c r="D44" s="7" t="s">
        <v>50</v>
      </c>
      <c r="E44" s="7" t="s">
        <v>50</v>
      </c>
      <c r="F44" s="7" t="s">
        <v>51</v>
      </c>
      <c r="G44" s="7" t="s">
        <v>50</v>
      </c>
      <c r="H44" s="7" t="s">
        <v>51</v>
      </c>
      <c r="I44" s="7" t="s">
        <v>50</v>
      </c>
      <c r="J44" s="7" t="s">
        <v>50</v>
      </c>
      <c r="K44" s="7" t="s">
        <v>51</v>
      </c>
      <c r="L44" s="7" t="s">
        <v>50</v>
      </c>
      <c r="M44" s="7" t="s">
        <v>50</v>
      </c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27">
        <f t="shared" si="7"/>
        <v>8</v>
      </c>
      <c r="AH44" s="29">
        <f t="shared" si="8"/>
        <v>3</v>
      </c>
      <c r="AI44" s="37">
        <f t="shared" si="2"/>
        <v>11</v>
      </c>
    </row>
    <row r="45" spans="1:35">
      <c r="A45" s="18">
        <f t="shared" si="3"/>
        <v>42</v>
      </c>
      <c r="B45" s="19" t="s">
        <v>31</v>
      </c>
      <c r="C45" s="6" t="s">
        <v>50</v>
      </c>
      <c r="D45" s="7" t="s">
        <v>51</v>
      </c>
      <c r="E45" s="7" t="s">
        <v>50</v>
      </c>
      <c r="F45" s="7" t="s">
        <v>51</v>
      </c>
      <c r="G45" s="7" t="s">
        <v>51</v>
      </c>
      <c r="H45" s="7" t="s">
        <v>50</v>
      </c>
      <c r="I45" s="7" t="s">
        <v>50</v>
      </c>
      <c r="J45" s="7" t="s">
        <v>50</v>
      </c>
      <c r="K45" s="7" t="s">
        <v>50</v>
      </c>
      <c r="L45" s="7" t="s">
        <v>50</v>
      </c>
      <c r="M45" s="7" t="s">
        <v>50</v>
      </c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27">
        <f t="shared" si="7"/>
        <v>8</v>
      </c>
      <c r="AH45" s="29">
        <f t="shared" si="8"/>
        <v>3</v>
      </c>
      <c r="AI45" s="37">
        <f t="shared" si="2"/>
        <v>11</v>
      </c>
    </row>
    <row r="46" spans="1:35">
      <c r="A46" s="16">
        <f t="shared" si="3"/>
        <v>43</v>
      </c>
      <c r="B46" s="19" t="s">
        <v>32</v>
      </c>
      <c r="C46" s="6" t="s">
        <v>50</v>
      </c>
      <c r="D46" s="7" t="s">
        <v>50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50</v>
      </c>
      <c r="K46" s="7" t="s">
        <v>50</v>
      </c>
      <c r="L46" s="7" t="s">
        <v>51</v>
      </c>
      <c r="M46" s="7" t="s">
        <v>51</v>
      </c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27">
        <f t="shared" si="7"/>
        <v>5</v>
      </c>
      <c r="AH46" s="29">
        <f t="shared" si="8"/>
        <v>6</v>
      </c>
      <c r="AI46" s="37">
        <f t="shared" si="2"/>
        <v>11</v>
      </c>
    </row>
    <row r="47" spans="1:35">
      <c r="A47" s="16">
        <f t="shared" si="3"/>
        <v>44</v>
      </c>
      <c r="B47" s="19" t="s">
        <v>33</v>
      </c>
      <c r="C47" s="6" t="s">
        <v>50</v>
      </c>
      <c r="D47" s="7" t="s">
        <v>51</v>
      </c>
      <c r="E47" s="7" t="s">
        <v>50</v>
      </c>
      <c r="F47" s="7" t="s">
        <v>50</v>
      </c>
      <c r="G47" s="7" t="s">
        <v>50</v>
      </c>
      <c r="H47" s="7" t="s">
        <v>50</v>
      </c>
      <c r="I47" s="7" t="s">
        <v>51</v>
      </c>
      <c r="J47" s="7" t="s">
        <v>50</v>
      </c>
      <c r="K47" s="7" t="s">
        <v>50</v>
      </c>
      <c r="L47" s="7" t="s">
        <v>50</v>
      </c>
      <c r="M47" s="7" t="s">
        <v>50</v>
      </c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27">
        <f t="shared" si="7"/>
        <v>9</v>
      </c>
      <c r="AH47" s="29">
        <f t="shared" si="8"/>
        <v>2</v>
      </c>
      <c r="AI47" s="37">
        <f t="shared" si="2"/>
        <v>11</v>
      </c>
    </row>
    <row r="48" spans="1:35">
      <c r="A48" s="18">
        <f t="shared" si="3"/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27">
        <f t="shared" si="7"/>
        <v>0</v>
      </c>
      <c r="AH48" s="29">
        <f t="shared" si="8"/>
        <v>12</v>
      </c>
      <c r="AI48" s="37">
        <f>SUM(AG48:AH48)</f>
        <v>12</v>
      </c>
    </row>
    <row r="49" spans="1:35">
      <c r="A49" s="16">
        <f t="shared" si="3"/>
        <v>46</v>
      </c>
      <c r="B49" s="19" t="s">
        <v>47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50</v>
      </c>
      <c r="H49" s="7" t="s">
        <v>50</v>
      </c>
      <c r="I49" s="7" t="s">
        <v>51</v>
      </c>
      <c r="J49" s="7" t="s">
        <v>50</v>
      </c>
      <c r="K49" s="7" t="s">
        <v>51</v>
      </c>
      <c r="L49" s="7" t="s">
        <v>50</v>
      </c>
      <c r="M49" s="7" t="s">
        <v>50</v>
      </c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27">
        <f t="shared" si="7"/>
        <v>8</v>
      </c>
      <c r="AH49" s="29">
        <f t="shared" si="8"/>
        <v>3</v>
      </c>
      <c r="AI49" s="37">
        <f t="shared" ref="AI49:AI55" si="10">SUM(AG49:AH49)</f>
        <v>11</v>
      </c>
    </row>
    <row r="50" spans="1:35">
      <c r="A50" s="18">
        <f t="shared" si="3"/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51</v>
      </c>
      <c r="K50" s="7" t="s">
        <v>51</v>
      </c>
      <c r="L50" s="7" t="s">
        <v>50</v>
      </c>
      <c r="M50" s="7" t="s">
        <v>51</v>
      </c>
      <c r="N50" s="7" t="s">
        <v>51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27">
        <f t="shared" si="7"/>
        <v>1</v>
      </c>
      <c r="AH50" s="29">
        <f t="shared" si="8"/>
        <v>11</v>
      </c>
      <c r="AI50" s="37">
        <f t="shared" si="10"/>
        <v>12</v>
      </c>
    </row>
    <row r="51" spans="1:35">
      <c r="A51" s="16">
        <f t="shared" si="3"/>
        <v>48</v>
      </c>
      <c r="B51" s="19" t="s">
        <v>36</v>
      </c>
      <c r="C51" s="6" t="s">
        <v>51</v>
      </c>
      <c r="D51" s="7" t="s">
        <v>51</v>
      </c>
      <c r="E51" s="7" t="s">
        <v>51</v>
      </c>
      <c r="F51" s="7" t="s">
        <v>51</v>
      </c>
      <c r="G51" s="7" t="s">
        <v>51</v>
      </c>
      <c r="H51" s="7" t="s">
        <v>51</v>
      </c>
      <c r="I51" s="7" t="s">
        <v>51</v>
      </c>
      <c r="J51" s="7" t="s">
        <v>51</v>
      </c>
      <c r="K51" s="7" t="s">
        <v>51</v>
      </c>
      <c r="L51" s="7" t="s">
        <v>51</v>
      </c>
      <c r="M51" s="7" t="s">
        <v>50</v>
      </c>
      <c r="N51" s="7" t="s">
        <v>51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27">
        <f t="shared" si="7"/>
        <v>1</v>
      </c>
      <c r="AH51" s="29">
        <f t="shared" si="8"/>
        <v>11</v>
      </c>
      <c r="AI51" s="37">
        <f t="shared" si="10"/>
        <v>12</v>
      </c>
    </row>
    <row r="52" spans="1:35">
      <c r="A52" s="18">
        <f t="shared" si="3"/>
        <v>49</v>
      </c>
      <c r="B52" s="19" t="s">
        <v>45</v>
      </c>
      <c r="C52" s="6" t="s">
        <v>50</v>
      </c>
      <c r="D52" s="7" t="s">
        <v>50</v>
      </c>
      <c r="E52" s="7" t="s">
        <v>50</v>
      </c>
      <c r="F52" s="7" t="s">
        <v>51</v>
      </c>
      <c r="G52" s="7" t="s">
        <v>51</v>
      </c>
      <c r="H52" s="7" t="s">
        <v>51</v>
      </c>
      <c r="I52" s="7" t="s">
        <v>51</v>
      </c>
      <c r="J52" s="7" t="s">
        <v>51</v>
      </c>
      <c r="K52" s="7" t="s">
        <v>51</v>
      </c>
      <c r="L52" s="7" t="s">
        <v>50</v>
      </c>
      <c r="M52" s="7" t="s">
        <v>50</v>
      </c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27">
        <f t="shared" si="7"/>
        <v>5</v>
      </c>
      <c r="AH52" s="29">
        <f t="shared" si="8"/>
        <v>6</v>
      </c>
      <c r="AI52" s="37">
        <f t="shared" si="10"/>
        <v>11</v>
      </c>
    </row>
    <row r="53" spans="1:35">
      <c r="A53" s="16">
        <f t="shared" si="3"/>
        <v>50</v>
      </c>
      <c r="B53" s="19" t="s">
        <v>37</v>
      </c>
      <c r="C53" s="6" t="s">
        <v>51</v>
      </c>
      <c r="D53" s="7" t="s">
        <v>51</v>
      </c>
      <c r="E53" s="7" t="s">
        <v>51</v>
      </c>
      <c r="F53" s="7" t="s">
        <v>51</v>
      </c>
      <c r="G53" s="7" t="s">
        <v>51</v>
      </c>
      <c r="H53" s="7" t="s">
        <v>51</v>
      </c>
      <c r="I53" s="7" t="s">
        <v>51</v>
      </c>
      <c r="J53" s="7" t="s">
        <v>51</v>
      </c>
      <c r="K53" s="7" t="s">
        <v>51</v>
      </c>
      <c r="L53" s="7" t="s">
        <v>51</v>
      </c>
      <c r="M53" s="7" t="s">
        <v>51</v>
      </c>
      <c r="N53" s="7" t="s">
        <v>51</v>
      </c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27">
        <f t="shared" si="7"/>
        <v>0</v>
      </c>
      <c r="AH53" s="29">
        <f t="shared" si="8"/>
        <v>12</v>
      </c>
      <c r="AI53" s="37">
        <f t="shared" si="10"/>
        <v>12</v>
      </c>
    </row>
    <row r="54" spans="1:35">
      <c r="A54" s="18">
        <f t="shared" si="3"/>
        <v>51</v>
      </c>
      <c r="B54" s="19" t="s">
        <v>38</v>
      </c>
      <c r="C54" s="6" t="s">
        <v>50</v>
      </c>
      <c r="D54" s="7" t="s">
        <v>50</v>
      </c>
      <c r="E54" s="7" t="s">
        <v>50</v>
      </c>
      <c r="F54" s="7" t="s">
        <v>51</v>
      </c>
      <c r="G54" s="7" t="s">
        <v>50</v>
      </c>
      <c r="H54" s="7" t="s">
        <v>51</v>
      </c>
      <c r="I54" s="7" t="s">
        <v>50</v>
      </c>
      <c r="J54" s="7" t="s">
        <v>50</v>
      </c>
      <c r="K54" s="7" t="s">
        <v>51</v>
      </c>
      <c r="L54" s="7" t="s">
        <v>51</v>
      </c>
      <c r="M54" s="7" t="s">
        <v>51</v>
      </c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27">
        <f t="shared" si="7"/>
        <v>6</v>
      </c>
      <c r="AH54" s="29">
        <f t="shared" si="8"/>
        <v>5</v>
      </c>
      <c r="AI54" s="37">
        <f t="shared" si="10"/>
        <v>11</v>
      </c>
    </row>
    <row r="55" spans="1:35" ht="16.5" thickBot="1">
      <c r="A55" s="16">
        <f t="shared" si="3"/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7" t="s">
        <v>51</v>
      </c>
      <c r="G55" s="24" t="s">
        <v>51</v>
      </c>
      <c r="H55" s="7" t="s">
        <v>51</v>
      </c>
      <c r="I55" s="7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/>
      <c r="O55" s="24"/>
      <c r="P55" s="24"/>
      <c r="Q55" s="24"/>
      <c r="R55" s="24"/>
      <c r="S55" s="24"/>
      <c r="T55" s="24"/>
      <c r="U55" s="24"/>
      <c r="V55" s="24"/>
      <c r="W55" s="7"/>
      <c r="X55" s="24"/>
      <c r="Y55" s="24"/>
      <c r="Z55" s="24"/>
      <c r="AA55" s="24"/>
      <c r="AB55" s="24"/>
      <c r="AC55" s="24"/>
      <c r="AD55" s="24"/>
      <c r="AE55" s="24"/>
      <c r="AF55" s="24"/>
      <c r="AG55" s="28">
        <f t="shared" si="7"/>
        <v>0</v>
      </c>
      <c r="AH55" s="30">
        <f t="shared" si="8"/>
        <v>11</v>
      </c>
      <c r="AI55" s="38">
        <f t="shared" si="10"/>
        <v>11</v>
      </c>
    </row>
    <row r="56" spans="1:35">
      <c r="A56" s="42" t="s">
        <v>56</v>
      </c>
      <c r="B56" s="42"/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</row>
  </sheetData>
  <autoFilter ref="C2:AF56">
    <filterColumn colId="25"/>
    <filterColumn colId="26"/>
  </autoFilter>
  <mergeCells count="2">
    <mergeCell ref="A1:AH1"/>
    <mergeCell ref="A56:AI56"/>
  </mergeCells>
  <conditionalFormatting sqref="C4:AF55">
    <cfRule type="containsBlanks" dxfId="0" priority="2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</vt:i4>
      </vt:variant>
    </vt:vector>
  </HeadingPairs>
  <TitlesOfParts>
    <vt:vector size="5" baseType="lpstr">
      <vt:lpstr>Октябрь 2018</vt:lpstr>
      <vt:lpstr>Ноябрь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GARfIlD</dc:creator>
  <cp:lastModifiedBy>7</cp:lastModifiedBy>
  <cp:lastPrinted>2018-11-01T05:56:24Z</cp:lastPrinted>
  <dcterms:created xsi:type="dcterms:W3CDTF">2018-09-27T16:52:37Z</dcterms:created>
  <dcterms:modified xsi:type="dcterms:W3CDTF">2018-11-12T11:22:01Z</dcterms:modified>
</cp:coreProperties>
</file>