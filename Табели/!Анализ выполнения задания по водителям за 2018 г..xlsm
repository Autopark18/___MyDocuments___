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2018'!$C$2:$AG$61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4"/>
  <c r="AI24"/>
  <c r="AH30"/>
  <c r="AI30"/>
  <c r="AI60"/>
  <c r="AH60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5" s="1"/>
  <c r="A24" s="1"/>
  <c r="A26" s="1"/>
  <c r="A28" s="1"/>
  <c r="A30" s="1"/>
  <c r="A32" s="1"/>
  <c r="A34" s="1"/>
  <c r="A36" s="1"/>
  <c r="A38" s="1"/>
  <c r="A40" s="1"/>
  <c r="A42" s="1"/>
  <c r="A44" s="1"/>
  <c r="A46" s="1"/>
  <c r="A48" s="1"/>
  <c r="A50" s="1"/>
  <c r="A52" s="1"/>
  <c r="A54" s="1"/>
  <c r="A56" s="1"/>
  <c r="A58" s="1"/>
  <c r="A60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4" i="4" l="1"/>
  <c r="A27"/>
  <c r="A29" s="1"/>
  <c r="A31" s="1"/>
  <c r="A33" s="1"/>
  <c r="A35" s="1"/>
  <c r="A37" s="1"/>
  <c r="A39" s="1"/>
  <c r="A41" s="1"/>
  <c r="A43" s="1"/>
  <c r="A45" s="1"/>
  <c r="A47" s="1"/>
  <c r="A49" s="1"/>
  <c r="A51" s="1"/>
  <c r="A53" s="1"/>
  <c r="A55" s="1"/>
  <c r="A57" s="1"/>
  <c r="A59" s="1"/>
  <c r="AJ30"/>
  <c r="AJ50"/>
  <c r="AJ51"/>
  <c r="AJ52"/>
  <c r="AJ53"/>
  <c r="AJ54"/>
  <c r="AJ55"/>
  <c r="AJ56"/>
  <c r="AJ57"/>
  <c r="AJ58"/>
  <c r="AJ60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<sst xmlns="http://schemas.openxmlformats.org/spreadsheetml/2006/main" count="4541" uniqueCount="68">
  <si>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</si>
  <si>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</si>
  <si>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</si>
  <si>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</si>
  <si>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</si>
  <si>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</si>
  <si>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</si>
  <si>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</si>
  <si>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</si>
  <si>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</si>
  <si>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</si>
  <si>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</si>
  <si>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</si>
  <si>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</si>
  <si>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</si>
  <si>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</si>
  <si>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</si>
  <si>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</si>
  <si>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</si>
  <si>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</si>
  <si>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</si>
  <si>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</si>
  <si>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</si>
  <si>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</si>
  <si>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</si>
  <si>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</si>
  <si>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</si>
  <si>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</si>
  <si>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</si>
  <si>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</si>
  <si>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</si>
  <si>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</si>
  <si>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</si>
  <si>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</si>
  <si>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</si>
  <si>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</si>
  <si>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</si>
  <si>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</si>
  <si>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</si>
  <si>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</si>
  <si>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</si>
  <si>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</si>
  <si>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</si>
  <si>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</si>
  <si>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</si>
  <si>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</si>
  <si>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</si>
  <si>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</si>
  <si>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</si>
  <si>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</si>
  <si>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</si>
  <si>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</si>
  <si>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</si>
  <si>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</si>
  <si>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</si>
  <si>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</si>
  <si>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</si>
  <si>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</si>
  <si>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</si>
  <si>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</si>
  <si>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</si>
  <si>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</si>
  <si>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</si>
  <si>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</si>
  <si>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</si>
  <si>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</si>
  <si>
    <t>Клецко Ю.Г.</t>
  </si>
  <si>
    <t>Ярошевич Д.А.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</si>
</sst>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1" fillId="3" borderId="28" xfId="0" applyFont="1" applyFill="1" applyBorder="1" applyAlignment="1">
      <alignment horizontal="left"/>
    </xf>
    <xf numFmtId="49" fontId="2" fillId="0" borderId="29" xfId="0" applyNumberFormat="1" applyFont="1" applyBorder="1" applyAlignment="1">
      <alignment horizontal="center" vertical="center"/>
    </xf>
    <xf numFmtId="49" fontId="2" fillId="0" borderId="30" xfId="0" applyNumberFormat="1" applyFont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/>
    </xf>
    <xf numFmtId="164" fontId="2" fillId="3" borderId="32" xfId="0" applyNumberFormat="1" applyFont="1" applyFill="1" applyBorder="1" applyAlignment="1">
      <alignment horizontal="center"/>
    </xf>
    <xf numFmtId="164" fontId="2" fillId="3" borderId="33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9" t="s">
        <v>56</v>
      </c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10" priority="2">
      <formula>LEN(TRIM(C4))=0</formula>
    </cfRule>
  </conditionalFormatting>
  <conditionalFormatting sqref="C4:AG55">
    <cfRule type="containsBlanks" dxfId="9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9" t="s">
        <v>56</v>
      </c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8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W6" sqref="W6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7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 t="s">
        <v>50</v>
      </c>
      <c r="N4" s="4" t="s">
        <v>50</v>
      </c>
      <c r="O4" s="4" t="s">
        <v>50</v>
      </c>
      <c r="P4" s="4" t="s">
        <v>50</v>
      </c>
      <c r="Q4" s="4" t="s">
        <v>51</v>
      </c>
      <c r="R4" s="4" t="s">
        <v>51</v>
      </c>
      <c r="S4" s="4" t="s">
        <v>50</v>
      </c>
      <c r="T4" s="4" t="s">
        <v>50</v>
      </c>
      <c r="U4" s="4" t="s">
        <v>50</v>
      </c>
      <c r="V4" s="4" t="s">
        <v>50</v>
      </c>
      <c r="W4" s="4" t="s">
        <v>50</v>
      </c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7" si="0">COUNTIF(C4:AG4,"+")</f>
        <v>17</v>
      </c>
      <c r="AI4" s="31">
        <f t="shared" ref="AI4:AI37" si="1">COUNTIF(C4:AG4,"-")</f>
        <v>4</v>
      </c>
      <c r="AJ4" s="36">
        <f t="shared" ref="AJ4:AJ51" si="2">SUM(AH4:AI4)</f>
        <v>21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 t="s">
        <v>51</v>
      </c>
      <c r="M5" s="4" t="s">
        <v>51</v>
      </c>
      <c r="N5" s="4" t="s">
        <v>51</v>
      </c>
      <c r="O5" s="4" t="s">
        <v>51</v>
      </c>
      <c r="P5" s="4" t="s">
        <v>51</v>
      </c>
      <c r="Q5" s="4" t="s">
        <v>51</v>
      </c>
      <c r="R5" s="4" t="s">
        <v>51</v>
      </c>
      <c r="S5" s="4" t="s">
        <v>51</v>
      </c>
      <c r="T5" s="4" t="s">
        <v>50</v>
      </c>
      <c r="U5" s="4" t="s">
        <v>50</v>
      </c>
      <c r="V5" s="4" t="s">
        <v>50</v>
      </c>
      <c r="W5" s="4" t="s">
        <v>50</v>
      </c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11</v>
      </c>
      <c r="AI5" s="31">
        <f t="shared" si="1"/>
        <v>10</v>
      </c>
      <c r="AJ5" s="36">
        <f t="shared" si="2"/>
        <v>21</v>
      </c>
    </row>
    <row r="6" spans="1:38">
      <c r="A6" s="18">
        <f t="shared" ref="A6:A23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50</v>
      </c>
      <c r="Q6" s="7" t="s">
        <v>50</v>
      </c>
      <c r="R6" s="7" t="s">
        <v>50</v>
      </c>
      <c r="S6" s="7" t="s">
        <v>51</v>
      </c>
      <c r="T6" s="7" t="s">
        <v>51</v>
      </c>
      <c r="U6" s="7" t="s">
        <v>51</v>
      </c>
      <c r="V6" s="7" t="s">
        <v>51</v>
      </c>
      <c r="W6" s="7" t="s">
        <v>51</v>
      </c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10</v>
      </c>
      <c r="AI6" s="29">
        <f t="shared" si="1"/>
        <v>11</v>
      </c>
      <c r="AJ6" s="37">
        <f t="shared" si="2"/>
        <v>21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51</v>
      </c>
      <c r="P7" s="7" t="s">
        <v>51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51</v>
      </c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14</v>
      </c>
      <c r="AI7" s="29">
        <f t="shared" si="1"/>
        <v>7</v>
      </c>
      <c r="AJ7" s="37">
        <f t="shared" si="2"/>
        <v>21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 t="s">
        <v>50</v>
      </c>
      <c r="M8" s="7" t="s">
        <v>50</v>
      </c>
      <c r="N8" s="7" t="s">
        <v>50</v>
      </c>
      <c r="O8" s="7" t="s">
        <v>50</v>
      </c>
      <c r="P8" s="7" t="s">
        <v>51</v>
      </c>
      <c r="Q8" s="7" t="s">
        <v>51</v>
      </c>
      <c r="R8" s="7" t="s">
        <v>50</v>
      </c>
      <c r="S8" s="7" t="s">
        <v>50</v>
      </c>
      <c r="T8" s="7" t="s">
        <v>50</v>
      </c>
      <c r="U8" s="7" t="s">
        <v>50</v>
      </c>
      <c r="V8" s="7" t="s">
        <v>50</v>
      </c>
      <c r="W8" s="7" t="s">
        <v>51</v>
      </c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16</v>
      </c>
      <c r="AI8" s="29">
        <f t="shared" si="1"/>
        <v>5</v>
      </c>
      <c r="AJ8" s="37">
        <f t="shared" si="2"/>
        <v>21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50</v>
      </c>
      <c r="Q9" s="7" t="s">
        <v>50</v>
      </c>
      <c r="R9" s="7" t="s">
        <v>50</v>
      </c>
      <c r="S9" s="7" t="s">
        <v>50</v>
      </c>
      <c r="T9" s="7" t="s">
        <v>50</v>
      </c>
      <c r="U9" s="7" t="s">
        <v>50</v>
      </c>
      <c r="V9" s="7" t="s">
        <v>51</v>
      </c>
      <c r="W9" s="7" t="s">
        <v>50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7</v>
      </c>
      <c r="AI9" s="29">
        <f t="shared" si="1"/>
        <v>14</v>
      </c>
      <c r="AJ9" s="37">
        <f t="shared" si="2"/>
        <v>21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50</v>
      </c>
      <c r="N10" s="7" t="s">
        <v>50</v>
      </c>
      <c r="O10" s="7" t="s">
        <v>50</v>
      </c>
      <c r="P10" s="7" t="s">
        <v>50</v>
      </c>
      <c r="Q10" s="7" t="s">
        <v>50</v>
      </c>
      <c r="R10" s="7" t="s">
        <v>51</v>
      </c>
      <c r="S10" s="7" t="s">
        <v>50</v>
      </c>
      <c r="T10" s="7" t="s">
        <v>51</v>
      </c>
      <c r="U10" s="7" t="s">
        <v>50</v>
      </c>
      <c r="V10" s="7" t="s">
        <v>50</v>
      </c>
      <c r="W10" s="7" t="s">
        <v>50</v>
      </c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15</v>
      </c>
      <c r="AI10" s="29">
        <f t="shared" si="1"/>
        <v>6</v>
      </c>
      <c r="AJ10" s="37">
        <f t="shared" si="2"/>
        <v>21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 t="s">
        <v>51</v>
      </c>
      <c r="M11" s="7" t="s">
        <v>51</v>
      </c>
      <c r="N11" s="7" t="s">
        <v>51</v>
      </c>
      <c r="O11" s="7" t="s">
        <v>50</v>
      </c>
      <c r="P11" s="7" t="s">
        <v>51</v>
      </c>
      <c r="Q11" s="4" t="s">
        <v>51</v>
      </c>
      <c r="R11" s="7" t="s">
        <v>50</v>
      </c>
      <c r="S11" s="7" t="s">
        <v>51</v>
      </c>
      <c r="T11" s="7" t="s">
        <v>50</v>
      </c>
      <c r="U11" s="7" t="s">
        <v>50</v>
      </c>
      <c r="V11" s="7" t="s">
        <v>50</v>
      </c>
      <c r="W11" s="7" t="s">
        <v>50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10</v>
      </c>
      <c r="AI11" s="29">
        <f t="shared" si="1"/>
        <v>11</v>
      </c>
      <c r="AJ11" s="37">
        <f t="shared" si="2"/>
        <v>21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51</v>
      </c>
      <c r="M12" s="7" t="s">
        <v>51</v>
      </c>
      <c r="N12" s="7" t="s">
        <v>51</v>
      </c>
      <c r="O12" s="7" t="s">
        <v>51</v>
      </c>
      <c r="P12" s="7" t="s">
        <v>51</v>
      </c>
      <c r="Q12" s="4" t="s">
        <v>51</v>
      </c>
      <c r="R12" s="4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20</v>
      </c>
      <c r="AJ12" s="37">
        <f t="shared" si="2"/>
        <v>21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 t="s">
        <v>50</v>
      </c>
      <c r="M13" s="7" t="s">
        <v>51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50</v>
      </c>
      <c r="T13" s="7" t="s">
        <v>50</v>
      </c>
      <c r="U13" s="7" t="s">
        <v>50</v>
      </c>
      <c r="V13" s="7" t="s">
        <v>50</v>
      </c>
      <c r="W13" s="7" t="s">
        <v>50</v>
      </c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16</v>
      </c>
      <c r="AI13" s="29">
        <f t="shared" si="1"/>
        <v>5</v>
      </c>
      <c r="AJ13" s="37">
        <f t="shared" si="2"/>
        <v>21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50</v>
      </c>
      <c r="O14" s="7" t="s">
        <v>51</v>
      </c>
      <c r="P14" s="7" t="s">
        <v>50</v>
      </c>
      <c r="Q14" s="7" t="s">
        <v>51</v>
      </c>
      <c r="R14" s="4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2</v>
      </c>
      <c r="AI14" s="29">
        <f t="shared" si="1"/>
        <v>19</v>
      </c>
      <c r="AJ14" s="37">
        <f t="shared" si="2"/>
        <v>21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 t="s">
        <v>50</v>
      </c>
      <c r="M15" s="7" t="s">
        <v>50</v>
      </c>
      <c r="N15" s="7" t="s">
        <v>51</v>
      </c>
      <c r="O15" s="7" t="s">
        <v>50</v>
      </c>
      <c r="P15" s="7" t="s">
        <v>50</v>
      </c>
      <c r="Q15" s="7" t="s">
        <v>50</v>
      </c>
      <c r="R15" s="7" t="s">
        <v>50</v>
      </c>
      <c r="S15" s="7" t="s">
        <v>50</v>
      </c>
      <c r="T15" s="7" t="s">
        <v>50</v>
      </c>
      <c r="U15" s="7" t="s">
        <v>51</v>
      </c>
      <c r="V15" s="7" t="s">
        <v>50</v>
      </c>
      <c r="W15" s="7" t="s">
        <v>50</v>
      </c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15</v>
      </c>
      <c r="AI15" s="29">
        <f t="shared" si="1"/>
        <v>6</v>
      </c>
      <c r="AJ15" s="37">
        <f t="shared" si="2"/>
        <v>21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 t="s">
        <v>51</v>
      </c>
      <c r="M16" s="7" t="s">
        <v>51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50</v>
      </c>
      <c r="S16" s="7" t="s">
        <v>50</v>
      </c>
      <c r="T16" s="7" t="s">
        <v>50</v>
      </c>
      <c r="U16" s="7" t="s">
        <v>51</v>
      </c>
      <c r="V16" s="7" t="s">
        <v>51</v>
      </c>
      <c r="W16" s="7" t="s">
        <v>51</v>
      </c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13</v>
      </c>
      <c r="AI16" s="29">
        <f t="shared" si="1"/>
        <v>8</v>
      </c>
      <c r="AJ16" s="37">
        <f t="shared" si="2"/>
        <v>21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 t="s">
        <v>50</v>
      </c>
      <c r="M17" s="7" t="s">
        <v>50</v>
      </c>
      <c r="N17" s="7" t="s">
        <v>50</v>
      </c>
      <c r="O17" s="7" t="s">
        <v>50</v>
      </c>
      <c r="P17" s="7" t="s">
        <v>50</v>
      </c>
      <c r="Q17" s="7" t="s">
        <v>51</v>
      </c>
      <c r="R17" s="4" t="s">
        <v>51</v>
      </c>
      <c r="S17" s="7" t="s">
        <v>50</v>
      </c>
      <c r="T17" s="7" t="s">
        <v>50</v>
      </c>
      <c r="U17" s="7" t="s">
        <v>50</v>
      </c>
      <c r="V17" s="7" t="s">
        <v>50</v>
      </c>
      <c r="W17" s="7" t="s">
        <v>50</v>
      </c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17</v>
      </c>
      <c r="AI17" s="29">
        <f t="shared" si="1"/>
        <v>4</v>
      </c>
      <c r="AJ17" s="37">
        <f t="shared" si="2"/>
        <v>21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 t="s">
        <v>50</v>
      </c>
      <c r="M18" s="7" t="s">
        <v>50</v>
      </c>
      <c r="N18" s="7" t="s">
        <v>50</v>
      </c>
      <c r="O18" s="7" t="s">
        <v>50</v>
      </c>
      <c r="P18" s="7" t="s">
        <v>50</v>
      </c>
      <c r="Q18" s="7" t="s">
        <v>51</v>
      </c>
      <c r="R18" s="7" t="s">
        <v>51</v>
      </c>
      <c r="S18" s="7" t="s">
        <v>50</v>
      </c>
      <c r="T18" s="7" t="s">
        <v>50</v>
      </c>
      <c r="U18" s="7" t="s">
        <v>50</v>
      </c>
      <c r="V18" s="7" t="s">
        <v>50</v>
      </c>
      <c r="W18" s="7" t="s">
        <v>50</v>
      </c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17</v>
      </c>
      <c r="AI18" s="29">
        <f t="shared" si="1"/>
        <v>4</v>
      </c>
      <c r="AJ18" s="37">
        <f t="shared" si="2"/>
        <v>21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50</v>
      </c>
      <c r="O19" s="7" t="s">
        <v>50</v>
      </c>
      <c r="P19" s="7" t="s">
        <v>50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50</v>
      </c>
      <c r="V19" s="7" t="s">
        <v>50</v>
      </c>
      <c r="W19" s="7" t="s">
        <v>50</v>
      </c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11</v>
      </c>
      <c r="AI19" s="29">
        <f t="shared" si="1"/>
        <v>10</v>
      </c>
      <c r="AJ19" s="37">
        <f t="shared" si="2"/>
        <v>21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 t="s">
        <v>51</v>
      </c>
      <c r="Q20" s="7" t="s">
        <v>50</v>
      </c>
      <c r="R20" s="7" t="s">
        <v>50</v>
      </c>
      <c r="S20" s="7" t="s">
        <v>50</v>
      </c>
      <c r="T20" s="7" t="s">
        <v>50</v>
      </c>
      <c r="U20" s="7" t="s">
        <v>51</v>
      </c>
      <c r="V20" s="7" t="s">
        <v>50</v>
      </c>
      <c r="W20" s="7" t="s">
        <v>51</v>
      </c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16</v>
      </c>
      <c r="AI20" s="29">
        <f t="shared" si="1"/>
        <v>5</v>
      </c>
      <c r="AJ20" s="37">
        <f t="shared" si="2"/>
        <v>21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 t="s">
        <v>50</v>
      </c>
      <c r="R21" s="7" t="s">
        <v>50</v>
      </c>
      <c r="S21" s="7" t="s">
        <v>50</v>
      </c>
      <c r="T21" s="7" t="s">
        <v>50</v>
      </c>
      <c r="U21" s="7" t="s">
        <v>50</v>
      </c>
      <c r="V21" s="7" t="s">
        <v>50</v>
      </c>
      <c r="W21" s="7" t="s">
        <v>50</v>
      </c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19</v>
      </c>
      <c r="AI21" s="29">
        <f t="shared" si="1"/>
        <v>2</v>
      </c>
      <c r="AJ21" s="37">
        <f t="shared" si="2"/>
        <v>21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51</v>
      </c>
      <c r="R22" s="7" t="s">
        <v>51</v>
      </c>
      <c r="S22" s="7" t="s">
        <v>50</v>
      </c>
      <c r="T22" s="7" t="s">
        <v>50</v>
      </c>
      <c r="U22" s="7" t="s">
        <v>50</v>
      </c>
      <c r="V22" s="7" t="s">
        <v>50</v>
      </c>
      <c r="W22" s="7" t="s">
        <v>50</v>
      </c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16</v>
      </c>
      <c r="AI22" s="29">
        <f t="shared" si="1"/>
        <v>5</v>
      </c>
      <c r="AJ22" s="37">
        <f t="shared" si="2"/>
        <v>21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4" t="s">
        <v>51</v>
      </c>
      <c r="R23" s="4" t="s">
        <v>51</v>
      </c>
      <c r="S23" s="7" t="s">
        <v>51</v>
      </c>
      <c r="T23" s="7" t="s">
        <v>51</v>
      </c>
      <c r="U23" s="7" t="s">
        <v>51</v>
      </c>
      <c r="V23" s="7" t="s">
        <v>51</v>
      </c>
      <c r="W23" s="7" t="s">
        <v>51</v>
      </c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20</v>
      </c>
      <c r="AJ23" s="37">
        <f t="shared" si="2"/>
        <v>21</v>
      </c>
    </row>
    <row r="24" spans="1:36">
      <c r="A24" s="18">
        <f>A25+1</f>
        <v>22</v>
      </c>
      <c r="B24" s="19" t="s">
        <v>66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51</v>
      </c>
      <c r="R24" s="7" t="s">
        <v>51</v>
      </c>
      <c r="S24" s="7" t="s">
        <v>50</v>
      </c>
      <c r="T24" s="7" t="s">
        <v>50</v>
      </c>
      <c r="U24" s="7" t="s">
        <v>50</v>
      </c>
      <c r="V24" s="7" t="s">
        <v>50</v>
      </c>
      <c r="W24" s="7" t="s">
        <v>50</v>
      </c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ref="AH24" si="4">COUNTIF(C24:AG24,"+")</f>
        <v>12</v>
      </c>
      <c r="AI24" s="29">
        <f t="shared" ref="AI24" si="5">COUNTIF(C24:AG24,"-")</f>
        <v>2</v>
      </c>
      <c r="AJ24" s="37">
        <f t="shared" ref="AJ24" si="6">SUM(AH24:AI24)</f>
        <v>14</v>
      </c>
    </row>
    <row r="25" spans="1:36">
      <c r="A25" s="18">
        <f>A23+1</f>
        <v>21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4" t="s">
        <v>51</v>
      </c>
      <c r="R25" s="4" t="s">
        <v>51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4</v>
      </c>
      <c r="AI25" s="29">
        <f t="shared" si="1"/>
        <v>17</v>
      </c>
      <c r="AJ25" s="37">
        <f t="shared" si="2"/>
        <v>21</v>
      </c>
    </row>
    <row r="26" spans="1:36">
      <c r="A26" s="18">
        <f t="shared" ref="A26:A60" si="7">A24+1</f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 t="s">
        <v>50</v>
      </c>
      <c r="Q26" s="7" t="s">
        <v>50</v>
      </c>
      <c r="R26" s="7" t="s">
        <v>51</v>
      </c>
      <c r="S26" s="7" t="s">
        <v>50</v>
      </c>
      <c r="T26" s="7" t="s">
        <v>50</v>
      </c>
      <c r="U26" s="7" t="s">
        <v>50</v>
      </c>
      <c r="V26" s="7" t="s">
        <v>50</v>
      </c>
      <c r="W26" s="7" t="s">
        <v>50</v>
      </c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16</v>
      </c>
      <c r="AI26" s="29">
        <f t="shared" si="1"/>
        <v>5</v>
      </c>
      <c r="AJ26" s="37">
        <f t="shared" si="2"/>
        <v>21</v>
      </c>
    </row>
    <row r="27" spans="1:36">
      <c r="A27" s="18">
        <f t="shared" si="7"/>
        <v>22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51</v>
      </c>
      <c r="O27" s="7" t="s">
        <v>50</v>
      </c>
      <c r="P27" s="7" t="s">
        <v>50</v>
      </c>
      <c r="Q27" s="7" t="s">
        <v>50</v>
      </c>
      <c r="R27" s="7" t="s">
        <v>50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51</v>
      </c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14</v>
      </c>
      <c r="AI27" s="29">
        <f t="shared" si="1"/>
        <v>7</v>
      </c>
      <c r="AJ27" s="37">
        <f t="shared" si="2"/>
        <v>21</v>
      </c>
    </row>
    <row r="28" spans="1:36">
      <c r="A28" s="18">
        <f t="shared" si="7"/>
        <v>24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50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50</v>
      </c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8</v>
      </c>
      <c r="AI28" s="29">
        <f t="shared" si="1"/>
        <v>13</v>
      </c>
      <c r="AJ28" s="37">
        <f t="shared" si="2"/>
        <v>21</v>
      </c>
    </row>
    <row r="29" spans="1:36">
      <c r="A29" s="18">
        <f t="shared" si="7"/>
        <v>23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51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51</v>
      </c>
      <c r="V29" s="7" t="s">
        <v>51</v>
      </c>
      <c r="W29" s="7" t="s">
        <v>50</v>
      </c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 t="shared" si="0"/>
        <v>14</v>
      </c>
      <c r="AI29" s="29">
        <f t="shared" si="1"/>
        <v>7</v>
      </c>
      <c r="AJ29" s="37">
        <f t="shared" si="2"/>
        <v>21</v>
      </c>
    </row>
    <row r="30" spans="1:36">
      <c r="A30" s="18">
        <f t="shared" si="7"/>
        <v>25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 t="s">
        <v>51</v>
      </c>
      <c r="M30" s="7" t="s">
        <v>51</v>
      </c>
      <c r="N30" s="7" t="s">
        <v>51</v>
      </c>
      <c r="O30" s="7" t="s">
        <v>51</v>
      </c>
      <c r="P30" s="7" t="s">
        <v>51</v>
      </c>
      <c r="Q30" s="4" t="s">
        <v>51</v>
      </c>
      <c r="R30" s="4" t="s">
        <v>51</v>
      </c>
      <c r="S30" s="7" t="s">
        <v>51</v>
      </c>
      <c r="T30" s="7" t="s">
        <v>51</v>
      </c>
      <c r="U30" s="7" t="s">
        <v>51</v>
      </c>
      <c r="V30" s="7" t="s">
        <v>51</v>
      </c>
      <c r="W30" s="7" t="s">
        <v>51</v>
      </c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ref="AH30" si="8">COUNTIF(C30:AG30,"+")</f>
        <v>4</v>
      </c>
      <c r="AI30" s="29">
        <f t="shared" ref="AI30" si="9">COUNTIF(C30:AG30,"-")</f>
        <v>17</v>
      </c>
      <c r="AJ30" s="37">
        <f t="shared" ref="AJ30" si="10">SUM(AH30:AI30)</f>
        <v>21</v>
      </c>
    </row>
    <row r="31" spans="1:36">
      <c r="A31" s="18">
        <f t="shared" si="7"/>
        <v>24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50</v>
      </c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17</v>
      </c>
      <c r="AI31" s="29">
        <f t="shared" si="1"/>
        <v>4</v>
      </c>
      <c r="AJ31" s="37">
        <f t="shared" si="2"/>
        <v>21</v>
      </c>
    </row>
    <row r="32" spans="1:36">
      <c r="A32" s="18">
        <f t="shared" si="7"/>
        <v>26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51</v>
      </c>
      <c r="R32" s="7" t="s">
        <v>51</v>
      </c>
      <c r="S32" s="7" t="s">
        <v>50</v>
      </c>
      <c r="T32" s="7" t="s">
        <v>50</v>
      </c>
      <c r="U32" s="7" t="s">
        <v>51</v>
      </c>
      <c r="V32" s="7" t="s">
        <v>51</v>
      </c>
      <c r="W32" s="7" t="s">
        <v>50</v>
      </c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13</v>
      </c>
      <c r="AI32" s="29">
        <f t="shared" si="1"/>
        <v>8</v>
      </c>
      <c r="AJ32" s="37">
        <f t="shared" si="2"/>
        <v>21</v>
      </c>
    </row>
    <row r="33" spans="1:36">
      <c r="A33" s="18">
        <f t="shared" si="7"/>
        <v>25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 t="s">
        <v>50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51</v>
      </c>
      <c r="S33" s="7" t="s">
        <v>50</v>
      </c>
      <c r="T33" s="7" t="s">
        <v>50</v>
      </c>
      <c r="U33" s="7" t="s">
        <v>50</v>
      </c>
      <c r="V33" s="7" t="s">
        <v>51</v>
      </c>
      <c r="W33" s="7" t="s">
        <v>50</v>
      </c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17</v>
      </c>
      <c r="AI33" s="29">
        <f t="shared" si="1"/>
        <v>4</v>
      </c>
      <c r="AJ33" s="37">
        <f t="shared" si="2"/>
        <v>21</v>
      </c>
    </row>
    <row r="34" spans="1:36">
      <c r="A34" s="18">
        <f t="shared" si="7"/>
        <v>27</v>
      </c>
      <c r="B34" s="20" t="s">
        <v>19</v>
      </c>
      <c r="C34" s="6" t="s">
        <v>51</v>
      </c>
      <c r="D34" s="7" t="s">
        <v>51</v>
      </c>
      <c r="E34" s="7" t="s">
        <v>51</v>
      </c>
      <c r="F34" s="7" t="s">
        <v>51</v>
      </c>
      <c r="G34" s="7" t="s">
        <v>51</v>
      </c>
      <c r="H34" s="7" t="s">
        <v>50</v>
      </c>
      <c r="I34" s="7" t="s">
        <v>51</v>
      </c>
      <c r="J34" s="7" t="s">
        <v>50</v>
      </c>
      <c r="K34" s="7" t="s">
        <v>50</v>
      </c>
      <c r="L34" s="7" t="s">
        <v>50</v>
      </c>
      <c r="M34" s="7" t="s">
        <v>50</v>
      </c>
      <c r="N34" s="7" t="s">
        <v>50</v>
      </c>
      <c r="O34" s="7" t="s">
        <v>51</v>
      </c>
      <c r="P34" s="7" t="s">
        <v>50</v>
      </c>
      <c r="Q34" s="7" t="s">
        <v>50</v>
      </c>
      <c r="R34" s="7" t="s">
        <v>51</v>
      </c>
      <c r="S34" s="7" t="s">
        <v>50</v>
      </c>
      <c r="T34" s="7" t="s">
        <v>50</v>
      </c>
      <c r="U34" s="7" t="s">
        <v>50</v>
      </c>
      <c r="V34" s="7" t="s">
        <v>50</v>
      </c>
      <c r="W34" s="7" t="s">
        <v>50</v>
      </c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13</v>
      </c>
      <c r="AI34" s="29">
        <f t="shared" si="1"/>
        <v>8</v>
      </c>
      <c r="AJ34" s="37">
        <f t="shared" si="2"/>
        <v>21</v>
      </c>
    </row>
    <row r="35" spans="1:36">
      <c r="A35" s="18">
        <f t="shared" si="7"/>
        <v>26</v>
      </c>
      <c r="B35" s="20" t="s">
        <v>20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50</v>
      </c>
      <c r="K35" s="7" t="s">
        <v>50</v>
      </c>
      <c r="L35" s="7" t="s">
        <v>51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50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15</v>
      </c>
      <c r="AI35" s="29">
        <f t="shared" si="1"/>
        <v>6</v>
      </c>
      <c r="AJ35" s="37">
        <f t="shared" si="2"/>
        <v>21</v>
      </c>
    </row>
    <row r="36" spans="1:36">
      <c r="A36" s="18">
        <f t="shared" si="7"/>
        <v>28</v>
      </c>
      <c r="B36" s="20" t="s">
        <v>21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 t="s">
        <v>50</v>
      </c>
      <c r="M36" s="7" t="s">
        <v>50</v>
      </c>
      <c r="N36" s="7" t="s">
        <v>50</v>
      </c>
      <c r="O36" s="7" t="s">
        <v>50</v>
      </c>
      <c r="P36" s="7" t="s">
        <v>50</v>
      </c>
      <c r="Q36" s="7" t="s">
        <v>50</v>
      </c>
      <c r="R36" s="7" t="s">
        <v>50</v>
      </c>
      <c r="S36" s="7" t="s">
        <v>50</v>
      </c>
      <c r="T36" s="7" t="s">
        <v>51</v>
      </c>
      <c r="U36" s="7" t="s">
        <v>50</v>
      </c>
      <c r="V36" s="7" t="s">
        <v>50</v>
      </c>
      <c r="W36" s="7" t="s">
        <v>50</v>
      </c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20</v>
      </c>
      <c r="AI36" s="29">
        <f t="shared" si="1"/>
        <v>1</v>
      </c>
      <c r="AJ36" s="37">
        <f t="shared" si="2"/>
        <v>21</v>
      </c>
    </row>
    <row r="37" spans="1:36">
      <c r="A37" s="18">
        <f t="shared" si="7"/>
        <v>27</v>
      </c>
      <c r="B37" s="20" t="s">
        <v>22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51</v>
      </c>
      <c r="K37" s="7" t="s">
        <v>51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50</v>
      </c>
      <c r="Q37" s="7" t="s">
        <v>50</v>
      </c>
      <c r="R37" s="7" t="s">
        <v>50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si="0"/>
        <v>18</v>
      </c>
      <c r="AI37" s="29">
        <f t="shared" si="1"/>
        <v>3</v>
      </c>
      <c r="AJ37" s="37">
        <f t="shared" si="2"/>
        <v>21</v>
      </c>
    </row>
    <row r="38" spans="1:36">
      <c r="A38" s="18">
        <f t="shared" si="7"/>
        <v>29</v>
      </c>
      <c r="B38" s="19" t="s">
        <v>23</v>
      </c>
      <c r="C38" s="6" t="s">
        <v>51</v>
      </c>
      <c r="D38" s="7" t="s">
        <v>51</v>
      </c>
      <c r="E38" s="7" t="s">
        <v>51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50</v>
      </c>
      <c r="L38" s="7" t="s">
        <v>50</v>
      </c>
      <c r="M38" s="7" t="s">
        <v>51</v>
      </c>
      <c r="N38" s="7" t="s">
        <v>51</v>
      </c>
      <c r="O38" s="7" t="s">
        <v>50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50</v>
      </c>
      <c r="W38" s="7" t="s">
        <v>50</v>
      </c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ref="AH38:AH60" si="11">COUNTIF(C38:AG38,"+")</f>
        <v>10</v>
      </c>
      <c r="AI38" s="29">
        <f t="shared" ref="AI38:AI60" si="12">COUNTIF(C38:AG38,"-")</f>
        <v>11</v>
      </c>
      <c r="AJ38" s="37">
        <f t="shared" si="2"/>
        <v>21</v>
      </c>
    </row>
    <row r="39" spans="1:36">
      <c r="A39" s="18">
        <f t="shared" si="7"/>
        <v>28</v>
      </c>
      <c r="B39" s="21" t="s">
        <v>24</v>
      </c>
      <c r="C39" s="6" t="s">
        <v>50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50</v>
      </c>
      <c r="I39" s="7" t="s">
        <v>51</v>
      </c>
      <c r="J39" s="7" t="s">
        <v>51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51</v>
      </c>
      <c r="P39" s="7" t="s">
        <v>50</v>
      </c>
      <c r="Q39" s="7" t="s">
        <v>50</v>
      </c>
      <c r="R39" s="7" t="s">
        <v>51</v>
      </c>
      <c r="S39" s="7" t="s">
        <v>51</v>
      </c>
      <c r="T39" s="7" t="s">
        <v>50</v>
      </c>
      <c r="U39" s="7" t="s">
        <v>51</v>
      </c>
      <c r="V39" s="7" t="s">
        <v>50</v>
      </c>
      <c r="W39" s="7" t="s">
        <v>50</v>
      </c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11"/>
        <v>14</v>
      </c>
      <c r="AI39" s="29">
        <f t="shared" si="12"/>
        <v>7</v>
      </c>
      <c r="AJ39" s="37">
        <f t="shared" si="2"/>
        <v>21</v>
      </c>
    </row>
    <row r="40" spans="1:36">
      <c r="A40" s="18">
        <f t="shared" si="7"/>
        <v>30</v>
      </c>
      <c r="B40" s="19" t="s">
        <v>43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51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51</v>
      </c>
      <c r="M40" s="7" t="s">
        <v>50</v>
      </c>
      <c r="N40" s="7" t="s">
        <v>51</v>
      </c>
      <c r="O40" s="7" t="s">
        <v>50</v>
      </c>
      <c r="P40" s="7" t="s">
        <v>50</v>
      </c>
      <c r="Q40" s="7" t="s">
        <v>51</v>
      </c>
      <c r="R40" s="7" t="s">
        <v>51</v>
      </c>
      <c r="S40" s="7" t="s">
        <v>50</v>
      </c>
      <c r="T40" s="7" t="s">
        <v>50</v>
      </c>
      <c r="U40" s="7" t="s">
        <v>50</v>
      </c>
      <c r="V40" s="7" t="s">
        <v>50</v>
      </c>
      <c r="W40" s="7" t="s">
        <v>50</v>
      </c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11"/>
        <v>14</v>
      </c>
      <c r="AI40" s="29">
        <f t="shared" si="12"/>
        <v>7</v>
      </c>
      <c r="AJ40" s="37">
        <f t="shared" si="2"/>
        <v>21</v>
      </c>
    </row>
    <row r="41" spans="1:36">
      <c r="A41" s="18">
        <f t="shared" si="7"/>
        <v>29</v>
      </c>
      <c r="B41" s="19" t="s">
        <v>57</v>
      </c>
      <c r="C41" s="6" t="s">
        <v>50</v>
      </c>
      <c r="D41" s="7" t="s">
        <v>50</v>
      </c>
      <c r="E41" s="7" t="s">
        <v>50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50</v>
      </c>
      <c r="O41" s="7" t="s">
        <v>50</v>
      </c>
      <c r="P41" s="7" t="s">
        <v>50</v>
      </c>
      <c r="Q41" s="7" t="s">
        <v>51</v>
      </c>
      <c r="R41" s="7" t="s">
        <v>51</v>
      </c>
      <c r="S41" s="7" t="s">
        <v>50</v>
      </c>
      <c r="T41" s="7" t="s">
        <v>50</v>
      </c>
      <c r="U41" s="7" t="s">
        <v>50</v>
      </c>
      <c r="V41" s="7" t="s">
        <v>50</v>
      </c>
      <c r="W41" s="7" t="s">
        <v>50</v>
      </c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11"/>
        <v>19</v>
      </c>
      <c r="AI41" s="29">
        <f t="shared" si="12"/>
        <v>2</v>
      </c>
      <c r="AJ41" s="37">
        <f t="shared" si="2"/>
        <v>21</v>
      </c>
    </row>
    <row r="42" spans="1:36">
      <c r="A42" s="18">
        <f t="shared" si="7"/>
        <v>31</v>
      </c>
      <c r="B42" s="19" t="s">
        <v>40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50</v>
      </c>
      <c r="R42" s="7" t="s">
        <v>50</v>
      </c>
      <c r="S42" s="7" t="s">
        <v>50</v>
      </c>
      <c r="T42" s="7" t="s">
        <v>50</v>
      </c>
      <c r="U42" s="7" t="s">
        <v>51</v>
      </c>
      <c r="V42" s="7" t="s">
        <v>50</v>
      </c>
      <c r="W42" s="7" t="s">
        <v>50</v>
      </c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11"/>
        <v>15</v>
      </c>
      <c r="AI42" s="29">
        <f t="shared" si="12"/>
        <v>6</v>
      </c>
      <c r="AJ42" s="37">
        <f t="shared" si="2"/>
        <v>21</v>
      </c>
    </row>
    <row r="43" spans="1:36">
      <c r="A43" s="18">
        <f t="shared" si="7"/>
        <v>30</v>
      </c>
      <c r="B43" s="19" t="s">
        <v>25</v>
      </c>
      <c r="C43" s="6" t="s">
        <v>50</v>
      </c>
      <c r="D43" s="7" t="s">
        <v>50</v>
      </c>
      <c r="E43" s="7" t="s">
        <v>50</v>
      </c>
      <c r="F43" s="7" t="s">
        <v>50</v>
      </c>
      <c r="G43" s="7" t="s">
        <v>50</v>
      </c>
      <c r="H43" s="7" t="s">
        <v>51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50</v>
      </c>
      <c r="O43" s="7" t="s">
        <v>50</v>
      </c>
      <c r="P43" s="7" t="s">
        <v>50</v>
      </c>
      <c r="Q43" s="7" t="s">
        <v>51</v>
      </c>
      <c r="R43" s="7" t="s">
        <v>51</v>
      </c>
      <c r="S43" s="7" t="s">
        <v>50</v>
      </c>
      <c r="T43" s="7" t="s">
        <v>50</v>
      </c>
      <c r="U43" s="7" t="s">
        <v>50</v>
      </c>
      <c r="V43" s="7" t="s">
        <v>50</v>
      </c>
      <c r="W43" s="7" t="s">
        <v>50</v>
      </c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11"/>
        <v>18</v>
      </c>
      <c r="AI43" s="29">
        <f t="shared" si="12"/>
        <v>3</v>
      </c>
      <c r="AJ43" s="37">
        <f t="shared" si="2"/>
        <v>21</v>
      </c>
    </row>
    <row r="44" spans="1:36">
      <c r="A44" s="18">
        <f t="shared" si="7"/>
        <v>32</v>
      </c>
      <c r="B44" s="19" t="s">
        <v>26</v>
      </c>
      <c r="C44" s="6" t="s">
        <v>51</v>
      </c>
      <c r="D44" s="7" t="s">
        <v>51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51</v>
      </c>
      <c r="K44" s="7" t="s">
        <v>51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50</v>
      </c>
      <c r="T44" s="7" t="s">
        <v>50</v>
      </c>
      <c r="U44" s="7" t="s">
        <v>50</v>
      </c>
      <c r="V44" s="7" t="s">
        <v>50</v>
      </c>
      <c r="W44" s="7" t="s">
        <v>50</v>
      </c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11"/>
        <v>17</v>
      </c>
      <c r="AI44" s="29">
        <f t="shared" si="12"/>
        <v>4</v>
      </c>
      <c r="AJ44" s="37">
        <f t="shared" si="2"/>
        <v>21</v>
      </c>
    </row>
    <row r="45" spans="1:36">
      <c r="A45" s="18">
        <f t="shared" si="7"/>
        <v>31</v>
      </c>
      <c r="B45" s="19" t="s">
        <v>27</v>
      </c>
      <c r="C45" s="6" t="s">
        <v>51</v>
      </c>
      <c r="D45" s="7" t="s">
        <v>50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51</v>
      </c>
      <c r="R45" s="7" t="s">
        <v>50</v>
      </c>
      <c r="S45" s="7" t="s">
        <v>50</v>
      </c>
      <c r="T45" s="7" t="s">
        <v>50</v>
      </c>
      <c r="U45" s="7" t="s">
        <v>50</v>
      </c>
      <c r="V45" s="7" t="s">
        <v>50</v>
      </c>
      <c r="W45" s="7" t="s">
        <v>50</v>
      </c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11"/>
        <v>18</v>
      </c>
      <c r="AI45" s="29">
        <f t="shared" si="12"/>
        <v>3</v>
      </c>
      <c r="AJ45" s="37">
        <f t="shared" si="2"/>
        <v>21</v>
      </c>
    </row>
    <row r="46" spans="1:36">
      <c r="A46" s="18">
        <f t="shared" si="7"/>
        <v>33</v>
      </c>
      <c r="B46" s="19" t="s">
        <v>28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50</v>
      </c>
      <c r="K46" s="7" t="s">
        <v>51</v>
      </c>
      <c r="L46" s="7" t="s">
        <v>50</v>
      </c>
      <c r="M46" s="7" t="s">
        <v>50</v>
      </c>
      <c r="N46" s="7" t="s">
        <v>51</v>
      </c>
      <c r="O46" s="7" t="s">
        <v>50</v>
      </c>
      <c r="P46" s="7" t="s">
        <v>50</v>
      </c>
      <c r="Q46" s="7" t="s">
        <v>50</v>
      </c>
      <c r="R46" s="7" t="s">
        <v>50</v>
      </c>
      <c r="S46" s="7" t="s">
        <v>51</v>
      </c>
      <c r="T46" s="7" t="s">
        <v>50</v>
      </c>
      <c r="U46" s="7" t="s">
        <v>51</v>
      </c>
      <c r="V46" s="7" t="s">
        <v>50</v>
      </c>
      <c r="W46" s="7" t="s">
        <v>50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11"/>
        <v>15</v>
      </c>
      <c r="AI46" s="29">
        <f t="shared" si="12"/>
        <v>6</v>
      </c>
      <c r="AJ46" s="37">
        <f t="shared" si="2"/>
        <v>21</v>
      </c>
    </row>
    <row r="47" spans="1:36">
      <c r="A47" s="18">
        <f t="shared" si="7"/>
        <v>32</v>
      </c>
      <c r="B47" s="19" t="s">
        <v>29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51</v>
      </c>
      <c r="R47" s="7" t="s">
        <v>51</v>
      </c>
      <c r="S47" s="7" t="s">
        <v>51</v>
      </c>
      <c r="T47" s="7" t="s">
        <v>50</v>
      </c>
      <c r="U47" s="7" t="s">
        <v>50</v>
      </c>
      <c r="V47" s="7" t="s">
        <v>50</v>
      </c>
      <c r="W47" s="7" t="s">
        <v>50</v>
      </c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11"/>
        <v>15</v>
      </c>
      <c r="AI47" s="29">
        <f t="shared" si="12"/>
        <v>6</v>
      </c>
      <c r="AJ47" s="37">
        <f t="shared" si="2"/>
        <v>21</v>
      </c>
    </row>
    <row r="48" spans="1:36">
      <c r="A48" s="18">
        <f t="shared" si="7"/>
        <v>34</v>
      </c>
      <c r="B48" s="19" t="s">
        <v>30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51</v>
      </c>
      <c r="K48" s="7" t="s">
        <v>51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11"/>
        <v>17</v>
      </c>
      <c r="AI48" s="29">
        <f t="shared" si="12"/>
        <v>4</v>
      </c>
      <c r="AJ48" s="37">
        <f t="shared" si="2"/>
        <v>21</v>
      </c>
    </row>
    <row r="49" spans="1:36">
      <c r="A49" s="18">
        <f t="shared" si="7"/>
        <v>33</v>
      </c>
      <c r="B49" s="19" t="s">
        <v>31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4" t="s">
        <v>51</v>
      </c>
      <c r="R49" s="4" t="s">
        <v>51</v>
      </c>
      <c r="S49" s="7" t="s">
        <v>51</v>
      </c>
      <c r="T49" s="7" t="s">
        <v>51</v>
      </c>
      <c r="U49" s="7" t="s">
        <v>51</v>
      </c>
      <c r="V49" s="7" t="s">
        <v>51</v>
      </c>
      <c r="W49" s="7" t="s">
        <v>51</v>
      </c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11"/>
        <v>4</v>
      </c>
      <c r="AI49" s="29">
        <f t="shared" si="12"/>
        <v>17</v>
      </c>
      <c r="AJ49" s="37">
        <f t="shared" si="2"/>
        <v>21</v>
      </c>
    </row>
    <row r="50" spans="1:36">
      <c r="A50" s="18">
        <f t="shared" si="7"/>
        <v>35</v>
      </c>
      <c r="B50" s="19" t="s">
        <v>32</v>
      </c>
      <c r="C50" s="6" t="s">
        <v>51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50</v>
      </c>
      <c r="I50" s="7" t="s">
        <v>51</v>
      </c>
      <c r="J50" s="7" t="s">
        <v>51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51</v>
      </c>
      <c r="Q50" s="4" t="s">
        <v>51</v>
      </c>
      <c r="R50" s="7" t="s">
        <v>50</v>
      </c>
      <c r="S50" s="7" t="s">
        <v>50</v>
      </c>
      <c r="T50" s="7" t="s">
        <v>51</v>
      </c>
      <c r="U50" s="7" t="s">
        <v>50</v>
      </c>
      <c r="V50" s="7" t="s">
        <v>50</v>
      </c>
      <c r="W50" s="7" t="s">
        <v>50</v>
      </c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11"/>
        <v>9</v>
      </c>
      <c r="AI50" s="29">
        <f t="shared" si="12"/>
        <v>12</v>
      </c>
      <c r="AJ50" s="37">
        <f t="shared" si="2"/>
        <v>21</v>
      </c>
    </row>
    <row r="51" spans="1:36">
      <c r="A51" s="18">
        <f t="shared" si="7"/>
        <v>34</v>
      </c>
      <c r="B51" s="19" t="s">
        <v>33</v>
      </c>
      <c r="C51" s="6" t="s">
        <v>50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51</v>
      </c>
      <c r="I51" s="7" t="s">
        <v>50</v>
      </c>
      <c r="J51" s="7" t="s">
        <v>50</v>
      </c>
      <c r="K51" s="7" t="s">
        <v>50</v>
      </c>
      <c r="L51" s="7" t="s">
        <v>50</v>
      </c>
      <c r="M51" s="7" t="s">
        <v>50</v>
      </c>
      <c r="N51" s="7" t="s">
        <v>50</v>
      </c>
      <c r="O51" s="7" t="s">
        <v>51</v>
      </c>
      <c r="P51" s="7" t="s">
        <v>50</v>
      </c>
      <c r="Q51" s="7" t="s">
        <v>50</v>
      </c>
      <c r="R51" s="4" t="s">
        <v>51</v>
      </c>
      <c r="S51" s="7" t="s">
        <v>51</v>
      </c>
      <c r="T51" s="7" t="s">
        <v>50</v>
      </c>
      <c r="U51" s="7" t="s">
        <v>50</v>
      </c>
      <c r="V51" s="7" t="s">
        <v>51</v>
      </c>
      <c r="W51" s="7" t="s">
        <v>50</v>
      </c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27">
        <f t="shared" si="11"/>
        <v>15</v>
      </c>
      <c r="AI51" s="29">
        <f t="shared" si="12"/>
        <v>6</v>
      </c>
      <c r="AJ51" s="37">
        <f t="shared" si="2"/>
        <v>21</v>
      </c>
    </row>
    <row r="52" spans="1:36">
      <c r="A52" s="18">
        <f t="shared" si="7"/>
        <v>36</v>
      </c>
      <c r="B52" s="19" t="s">
        <v>34</v>
      </c>
      <c r="C52" s="6" t="s">
        <v>50</v>
      </c>
      <c r="D52" s="6" t="s">
        <v>50</v>
      </c>
      <c r="E52" s="6" t="s">
        <v>50</v>
      </c>
      <c r="F52" s="6" t="s">
        <v>50</v>
      </c>
      <c r="G52" s="6" t="s">
        <v>50</v>
      </c>
      <c r="H52" s="6" t="s">
        <v>50</v>
      </c>
      <c r="I52" s="6" t="s">
        <v>50</v>
      </c>
      <c r="J52" s="6" t="s">
        <v>50</v>
      </c>
      <c r="K52" s="6" t="s">
        <v>50</v>
      </c>
      <c r="L52" s="6" t="s">
        <v>50</v>
      </c>
      <c r="M52" s="6" t="s">
        <v>50</v>
      </c>
      <c r="N52" s="6" t="s">
        <v>50</v>
      </c>
      <c r="O52" s="6" t="s">
        <v>50</v>
      </c>
      <c r="P52" s="7" t="s">
        <v>50</v>
      </c>
      <c r="Q52" s="6" t="s">
        <v>50</v>
      </c>
      <c r="R52" s="6" t="s">
        <v>50</v>
      </c>
      <c r="S52" s="6" t="s">
        <v>50</v>
      </c>
      <c r="T52" s="6" t="s">
        <v>50</v>
      </c>
      <c r="U52" s="6" t="s">
        <v>51</v>
      </c>
      <c r="V52" s="7" t="s">
        <v>51</v>
      </c>
      <c r="W52" s="6" t="s">
        <v>50</v>
      </c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27">
        <f t="shared" si="11"/>
        <v>19</v>
      </c>
      <c r="AI52" s="29">
        <f t="shared" si="12"/>
        <v>2</v>
      </c>
      <c r="AJ52" s="37">
        <f>SUM(AH52:AI52)</f>
        <v>21</v>
      </c>
    </row>
    <row r="53" spans="1:36">
      <c r="A53" s="18">
        <f t="shared" si="7"/>
        <v>35</v>
      </c>
      <c r="B53" s="19" t="s">
        <v>47</v>
      </c>
      <c r="C53" s="6" t="s">
        <v>51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50</v>
      </c>
      <c r="I53" s="7" t="s">
        <v>51</v>
      </c>
      <c r="J53" s="7" t="s">
        <v>50</v>
      </c>
      <c r="K53" s="7" t="s">
        <v>50</v>
      </c>
      <c r="L53" s="7" t="s">
        <v>50</v>
      </c>
      <c r="M53" s="7" t="s">
        <v>50</v>
      </c>
      <c r="N53" s="7" t="s">
        <v>50</v>
      </c>
      <c r="O53" s="7" t="s">
        <v>50</v>
      </c>
      <c r="P53" s="7" t="s">
        <v>50</v>
      </c>
      <c r="Q53" s="7" t="s">
        <v>51</v>
      </c>
      <c r="R53" s="4" t="s">
        <v>51</v>
      </c>
      <c r="S53" s="7" t="s">
        <v>50</v>
      </c>
      <c r="T53" s="7" t="s">
        <v>50</v>
      </c>
      <c r="U53" s="7" t="s">
        <v>51</v>
      </c>
      <c r="V53" s="7" t="s">
        <v>50</v>
      </c>
      <c r="W53" s="7" t="s">
        <v>51</v>
      </c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11"/>
        <v>13</v>
      </c>
      <c r="AI53" s="29">
        <f t="shared" si="12"/>
        <v>8</v>
      </c>
      <c r="AJ53" s="37">
        <f t="shared" ref="AJ53:AJ60" si="13">SUM(AH53:AI53)</f>
        <v>21</v>
      </c>
    </row>
    <row r="54" spans="1:36">
      <c r="A54" s="18">
        <f t="shared" si="7"/>
        <v>37</v>
      </c>
      <c r="B54" s="19" t="s">
        <v>61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50</v>
      </c>
      <c r="I54" s="7" t="s">
        <v>50</v>
      </c>
      <c r="J54" s="7" t="s">
        <v>51</v>
      </c>
      <c r="K54" s="7" t="s">
        <v>51</v>
      </c>
      <c r="L54" s="7" t="s">
        <v>51</v>
      </c>
      <c r="M54" s="7" t="s">
        <v>50</v>
      </c>
      <c r="N54" s="7" t="s">
        <v>50</v>
      </c>
      <c r="O54" s="7" t="s">
        <v>50</v>
      </c>
      <c r="P54" s="7" t="s">
        <v>51</v>
      </c>
      <c r="Q54" s="7" t="s">
        <v>50</v>
      </c>
      <c r="R54" s="7" t="s">
        <v>50</v>
      </c>
      <c r="S54" s="7" t="s">
        <v>51</v>
      </c>
      <c r="T54" s="7" t="s">
        <v>50</v>
      </c>
      <c r="U54" s="7" t="s">
        <v>50</v>
      </c>
      <c r="V54" s="7" t="s">
        <v>50</v>
      </c>
      <c r="W54" s="7" t="s">
        <v>50</v>
      </c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11"/>
        <v>15</v>
      </c>
      <c r="AI54" s="29">
        <f t="shared" si="12"/>
        <v>6</v>
      </c>
      <c r="AJ54" s="37">
        <f t="shared" ref="AJ54" si="14">SUM(AH54:AI54)</f>
        <v>21</v>
      </c>
    </row>
    <row r="55" spans="1:36">
      <c r="A55" s="18">
        <f t="shared" si="7"/>
        <v>36</v>
      </c>
      <c r="B55" s="19" t="s">
        <v>36</v>
      </c>
      <c r="C55" s="6" t="s">
        <v>51</v>
      </c>
      <c r="D55" s="7" t="s">
        <v>50</v>
      </c>
      <c r="E55" s="7" t="s">
        <v>51</v>
      </c>
      <c r="F55" s="7" t="s">
        <v>50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50</v>
      </c>
      <c r="Q55" s="7" t="s">
        <v>50</v>
      </c>
      <c r="R55" s="7" t="s">
        <v>51</v>
      </c>
      <c r="S55" s="7" t="s">
        <v>51</v>
      </c>
      <c r="T55" s="7" t="s">
        <v>51</v>
      </c>
      <c r="U55" s="7" t="s">
        <v>51</v>
      </c>
      <c r="V55" s="7" t="s">
        <v>50</v>
      </c>
      <c r="W55" s="7" t="s">
        <v>50</v>
      </c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11"/>
        <v>12</v>
      </c>
      <c r="AI55" s="29">
        <f t="shared" si="12"/>
        <v>9</v>
      </c>
      <c r="AJ55" s="37">
        <f t="shared" si="13"/>
        <v>21</v>
      </c>
    </row>
    <row r="56" spans="1:36">
      <c r="A56" s="18">
        <f t="shared" si="7"/>
        <v>38</v>
      </c>
      <c r="B56" s="19" t="s">
        <v>45</v>
      </c>
      <c r="C56" s="6" t="s">
        <v>50</v>
      </c>
      <c r="D56" s="7" t="s">
        <v>50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50</v>
      </c>
      <c r="J56" s="7" t="s">
        <v>50</v>
      </c>
      <c r="K56" s="7" t="s">
        <v>50</v>
      </c>
      <c r="L56" s="7" t="s">
        <v>51</v>
      </c>
      <c r="M56" s="7" t="s">
        <v>50</v>
      </c>
      <c r="N56" s="7" t="s">
        <v>50</v>
      </c>
      <c r="O56" s="7" t="s">
        <v>51</v>
      </c>
      <c r="P56" s="7" t="s">
        <v>50</v>
      </c>
      <c r="Q56" s="7" t="s">
        <v>50</v>
      </c>
      <c r="R56" s="7" t="s">
        <v>50</v>
      </c>
      <c r="S56" s="7" t="s">
        <v>51</v>
      </c>
      <c r="T56" s="7" t="s">
        <v>50</v>
      </c>
      <c r="U56" s="7" t="s">
        <v>51</v>
      </c>
      <c r="V56" s="7" t="s">
        <v>50</v>
      </c>
      <c r="W56" s="7" t="s">
        <v>50</v>
      </c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11"/>
        <v>13</v>
      </c>
      <c r="AI56" s="29">
        <f t="shared" si="12"/>
        <v>8</v>
      </c>
      <c r="AJ56" s="37">
        <f t="shared" si="13"/>
        <v>21</v>
      </c>
    </row>
    <row r="57" spans="1:36">
      <c r="A57" s="18">
        <f t="shared" si="7"/>
        <v>37</v>
      </c>
      <c r="B57" s="19" t="s">
        <v>37</v>
      </c>
      <c r="C57" s="6" t="s">
        <v>50</v>
      </c>
      <c r="D57" s="7" t="s">
        <v>50</v>
      </c>
      <c r="E57" s="7" t="s">
        <v>51</v>
      </c>
      <c r="F57" s="7" t="s">
        <v>50</v>
      </c>
      <c r="G57" s="7" t="s">
        <v>50</v>
      </c>
      <c r="H57" s="7" t="s">
        <v>50</v>
      </c>
      <c r="I57" s="7" t="s">
        <v>50</v>
      </c>
      <c r="J57" s="7" t="s">
        <v>51</v>
      </c>
      <c r="K57" s="7" t="s">
        <v>51</v>
      </c>
      <c r="L57" s="7" t="s">
        <v>51</v>
      </c>
      <c r="M57" s="7" t="s">
        <v>50</v>
      </c>
      <c r="N57" s="7" t="s">
        <v>51</v>
      </c>
      <c r="O57" s="7" t="s">
        <v>50</v>
      </c>
      <c r="P57" s="7" t="s">
        <v>50</v>
      </c>
      <c r="Q57" s="7" t="s">
        <v>50</v>
      </c>
      <c r="R57" s="7" t="s">
        <v>50</v>
      </c>
      <c r="S57" s="7" t="s">
        <v>51</v>
      </c>
      <c r="T57" s="7" t="s">
        <v>51</v>
      </c>
      <c r="U57" s="7" t="s">
        <v>51</v>
      </c>
      <c r="V57" s="7" t="s">
        <v>50</v>
      </c>
      <c r="W57" s="7" t="s">
        <v>50</v>
      </c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11"/>
        <v>13</v>
      </c>
      <c r="AI57" s="29">
        <f t="shared" si="12"/>
        <v>8</v>
      </c>
      <c r="AJ57" s="37">
        <f t="shared" si="13"/>
        <v>21</v>
      </c>
    </row>
    <row r="58" spans="1:36">
      <c r="A58" s="18">
        <f t="shared" si="7"/>
        <v>39</v>
      </c>
      <c r="B58" s="19" t="s">
        <v>38</v>
      </c>
      <c r="C58" s="6" t="s">
        <v>50</v>
      </c>
      <c r="D58" s="7" t="s">
        <v>50</v>
      </c>
      <c r="E58" s="7" t="s">
        <v>51</v>
      </c>
      <c r="F58" s="7" t="s">
        <v>51</v>
      </c>
      <c r="G58" s="7" t="s">
        <v>51</v>
      </c>
      <c r="H58" s="7" t="s">
        <v>51</v>
      </c>
      <c r="I58" s="7" t="s">
        <v>51</v>
      </c>
      <c r="J58" s="7" t="s">
        <v>51</v>
      </c>
      <c r="K58" s="7" t="s">
        <v>51</v>
      </c>
      <c r="L58" s="7" t="s">
        <v>50</v>
      </c>
      <c r="M58" s="7" t="s">
        <v>51</v>
      </c>
      <c r="N58" s="7" t="s">
        <v>50</v>
      </c>
      <c r="O58" s="7" t="s">
        <v>50</v>
      </c>
      <c r="P58" s="7" t="s">
        <v>50</v>
      </c>
      <c r="Q58" s="7" t="s">
        <v>50</v>
      </c>
      <c r="R58" s="4" t="s">
        <v>51</v>
      </c>
      <c r="S58" s="7" t="s">
        <v>50</v>
      </c>
      <c r="T58" s="7" t="s">
        <v>50</v>
      </c>
      <c r="U58" s="7" t="s">
        <v>50</v>
      </c>
      <c r="V58" s="7" t="s">
        <v>50</v>
      </c>
      <c r="W58" s="7" t="s">
        <v>50</v>
      </c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27">
        <f t="shared" si="11"/>
        <v>12</v>
      </c>
      <c r="AI58" s="29">
        <f t="shared" si="12"/>
        <v>9</v>
      </c>
      <c r="AJ58" s="37">
        <f t="shared" si="13"/>
        <v>21</v>
      </c>
    </row>
    <row r="59" spans="1:36">
      <c r="A59" s="18">
        <f t="shared" si="7"/>
        <v>38</v>
      </c>
      <c r="B59" s="41" t="s">
        <v>67</v>
      </c>
      <c r="C59" s="42"/>
      <c r="D59" s="43"/>
      <c r="E59" s="43"/>
      <c r="F59" s="7"/>
      <c r="G59" s="43"/>
      <c r="H59" s="7"/>
      <c r="I59" s="7"/>
      <c r="J59" s="7"/>
      <c r="K59" s="7"/>
      <c r="L59" s="43"/>
      <c r="M59" s="43"/>
      <c r="N59" s="43"/>
      <c r="O59" s="43"/>
      <c r="P59" s="43"/>
      <c r="Q59" s="4"/>
      <c r="R59" s="4"/>
      <c r="S59" s="7"/>
      <c r="T59" s="43"/>
      <c r="U59" s="43" t="s">
        <v>50</v>
      </c>
      <c r="V59" s="43" t="s">
        <v>50</v>
      </c>
      <c r="W59" s="7" t="s">
        <v>50</v>
      </c>
      <c r="X59" s="43"/>
      <c r="Y59" s="43"/>
      <c r="Z59" s="7"/>
      <c r="AA59" s="43"/>
      <c r="AB59" s="43"/>
      <c r="AC59" s="43"/>
      <c r="AD59" s="43"/>
      <c r="AE59" s="43"/>
      <c r="AF59" s="43"/>
      <c r="AG59" s="43"/>
      <c r="AH59" s="44"/>
      <c r="AI59" s="45"/>
      <c r="AJ59" s="46"/>
    </row>
    <row r="60" spans="1:36" ht="16.5" thickBot="1">
      <c r="A60" s="18">
        <f t="shared" si="7"/>
        <v>40</v>
      </c>
      <c r="B60" s="22" t="s">
        <v>39</v>
      </c>
      <c r="C60" s="23" t="s">
        <v>51</v>
      </c>
      <c r="D60" s="24" t="s">
        <v>51</v>
      </c>
      <c r="E60" s="24" t="s">
        <v>51</v>
      </c>
      <c r="F60" s="7" t="s">
        <v>51</v>
      </c>
      <c r="G60" s="24" t="s">
        <v>50</v>
      </c>
      <c r="H60" s="7" t="s">
        <v>51</v>
      </c>
      <c r="I60" s="7" t="s">
        <v>50</v>
      </c>
      <c r="J60" s="7" t="s">
        <v>51</v>
      </c>
      <c r="K60" s="7" t="s">
        <v>51</v>
      </c>
      <c r="L60" s="24" t="s">
        <v>50</v>
      </c>
      <c r="M60" s="24" t="s">
        <v>50</v>
      </c>
      <c r="N60" s="24" t="s">
        <v>50</v>
      </c>
      <c r="O60" s="24" t="s">
        <v>50</v>
      </c>
      <c r="P60" s="24" t="s">
        <v>50</v>
      </c>
      <c r="Q60" s="4" t="s">
        <v>51</v>
      </c>
      <c r="R60" s="4" t="s">
        <v>51</v>
      </c>
      <c r="S60" s="7" t="s">
        <v>50</v>
      </c>
      <c r="T60" s="24" t="s">
        <v>50</v>
      </c>
      <c r="U60" s="24" t="s">
        <v>50</v>
      </c>
      <c r="V60" s="24" t="s">
        <v>50</v>
      </c>
      <c r="W60" s="7" t="s">
        <v>50</v>
      </c>
      <c r="X60" s="24"/>
      <c r="Y60" s="24"/>
      <c r="Z60" s="7"/>
      <c r="AA60" s="24"/>
      <c r="AB60" s="24"/>
      <c r="AC60" s="24"/>
      <c r="AD60" s="24"/>
      <c r="AE60" s="24"/>
      <c r="AF60" s="24"/>
      <c r="AG60" s="24"/>
      <c r="AH60" s="28">
        <f t="shared" si="11"/>
        <v>12</v>
      </c>
      <c r="AI60" s="30">
        <f t="shared" si="12"/>
        <v>9</v>
      </c>
      <c r="AJ60" s="38">
        <f t="shared" si="13"/>
        <v>21</v>
      </c>
    </row>
    <row r="61" spans="1:36">
      <c r="A61" s="49" t="s">
        <v>56</v>
      </c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</row>
  </sheetData>
  <autoFilter ref="C2:AG61">
    <filterColumn colId="8"/>
    <filterColumn colId="18"/>
    <filterColumn colId="20"/>
    <filterColumn colId="25"/>
    <filterColumn colId="26"/>
    <filterColumn colId="29"/>
  </autoFilter>
  <mergeCells count="2">
    <mergeCell ref="A61:AJ61"/>
    <mergeCell ref="A1:AJ1"/>
  </mergeCells>
  <conditionalFormatting sqref="C4:AG60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2018-12-22T09:09:36Z</dcterms:modified>
</cp:coreProperties>
</file>