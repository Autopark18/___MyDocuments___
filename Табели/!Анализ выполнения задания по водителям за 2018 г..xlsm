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2018'!$C$2:$AG$62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60" i="4"/>
  <c r="AI60"/>
  <c r="AJ60"/>
  <c r="AH34"/>
  <c r="AI34"/>
  <c r="AJ34" s="1"/>
  <c r="AH24"/>
  <c r="AI24"/>
  <c r="AH30"/>
  <c r="AI30"/>
  <c r="AI61"/>
  <c r="AH61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J30"/>
  <c r="AJ51"/>
  <c r="AJ52"/>
  <c r="AJ53"/>
  <c r="AJ54"/>
  <c r="AJ55"/>
  <c r="AJ56"/>
  <c r="AJ57"/>
  <c r="AJ58"/>
  <c r="AJ59"/>
  <c r="AJ61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5"/>
  <c r="AJ36"/>
  <c r="AJ37"/>
  <c r="AJ38"/>
  <c r="AJ39"/>
  <c r="AJ40"/>
  <c r="AJ41"/>
  <c r="AJ42"/>
  <c r="AJ43"/>
  <c r="AJ44"/>
  <c r="AJ45"/>
  <c r="AJ46"/>
  <c r="AJ47"/>
  <c r="AJ48"/>
  <c r="AJ49"/>
  <c r="AJ50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<sst xmlns="http://schemas.openxmlformats.org/spreadsheetml/2006/main" count="5117" uniqueCount="68">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</sst>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1" fillId="3" borderId="28" xfId="0" applyFont="1" applyFill="1" applyBorder="1" applyAlignment="1">
      <alignment horizontal="left"/>
    </xf>
    <xf numFmtId="49" fontId="2" fillId="0" borderId="29" xfId="0" applyNumberFormat="1" applyFont="1" applyBorder="1" applyAlignment="1">
      <alignment horizontal="center" vertical="center"/>
    </xf>
    <xf numFmtId="49" fontId="2" fillId="0" borderId="30" xfId="0" applyNumberFormat="1" applyFont="1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9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4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  <c r="AI1" s="45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6" t="s">
        <v>56</v>
      </c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8" priority="2">
      <formula>LEN(TRIM(C4))=0</formula>
    </cfRule>
  </conditionalFormatting>
  <conditionalFormatting sqref="C4:AG55">
    <cfRule type="containsBlanks" dxfId="17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4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  <c r="T1" s="45"/>
      <c r="U1" s="45"/>
      <c r="V1" s="45"/>
      <c r="W1" s="45"/>
      <c r="X1" s="45"/>
      <c r="Y1" s="45"/>
      <c r="Z1" s="45"/>
      <c r="AA1" s="45"/>
      <c r="AB1" s="45"/>
      <c r="AC1" s="45"/>
      <c r="AD1" s="45"/>
      <c r="AE1" s="45"/>
      <c r="AF1" s="45"/>
      <c r="AG1" s="45"/>
      <c r="AH1" s="45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6" t="s">
        <v>56</v>
      </c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  <c r="AH60" s="46"/>
      <c r="AI60" s="46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6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 filterMode="1"/>
  <dimension ref="A1:AL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4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hidden="1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62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50</v>
      </c>
      <c r="T4" s="4" t="s">
        <v>50</v>
      </c>
      <c r="U4" s="4" t="s">
        <v>50</v>
      </c>
      <c r="V4" s="4" t="s">
        <v>50</v>
      </c>
      <c r="W4" s="4" t="s">
        <v>50</v>
      </c>
      <c r="X4" s="4" t="s">
        <v>50</v>
      </c>
      <c r="Y4" s="4" t="s">
        <v>50</v>
      </c>
      <c r="Z4" s="4" t="s">
        <v>50</v>
      </c>
      <c r="AA4" s="4" t="s">
        <v>50</v>
      </c>
      <c r="AB4" s="4" t="s">
        <v>50</v>
      </c>
      <c r="AC4" s="4" t="s">
        <v>50</v>
      </c>
      <c r="AD4" s="4" t="s">
        <v>50</v>
      </c>
      <c r="AE4" s="4" t="s">
        <v>50</v>
      </c>
      <c r="AF4" s="4" t="s">
        <v>51</v>
      </c>
      <c r="AG4" s="4" t="s">
        <v>51</v>
      </c>
      <c r="AH4" s="9">
        <f t="shared" ref="AH4:AH38" si="0">COUNTIF(C4:AG4,"+")</f>
        <v>25</v>
      </c>
      <c r="AI4" s="31">
        <f t="shared" ref="AI4:AI38" si="1">COUNTIF(C4:AG4,"-")</f>
        <v>6</v>
      </c>
      <c r="AJ4" s="36">
        <f t="shared" ref="AJ4:AJ52" si="2">SUM(AH4:AI4)</f>
        <v>31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 t="s">
        <v>51</v>
      </c>
      <c r="T5" s="4" t="s">
        <v>50</v>
      </c>
      <c r="U5" s="4" t="s">
        <v>50</v>
      </c>
      <c r="V5" s="4" t="s">
        <v>50</v>
      </c>
      <c r="W5" s="4" t="s">
        <v>50</v>
      </c>
      <c r="X5" s="4" t="s">
        <v>50</v>
      </c>
      <c r="Y5" s="4" t="s">
        <v>51</v>
      </c>
      <c r="Z5" s="4" t="s">
        <v>50</v>
      </c>
      <c r="AA5" s="4" t="s">
        <v>51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51</v>
      </c>
      <c r="AG5" s="4" t="s">
        <v>51</v>
      </c>
      <c r="AH5" s="9">
        <f t="shared" si="0"/>
        <v>17</v>
      </c>
      <c r="AI5" s="31">
        <f t="shared" si="1"/>
        <v>14</v>
      </c>
      <c r="AJ5" s="36">
        <f t="shared" si="2"/>
        <v>31</v>
      </c>
    </row>
    <row r="6" spans="1:38">
      <c r="A6" s="18">
        <f t="shared" ref="A6:A61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 t="s">
        <v>51</v>
      </c>
      <c r="U6" s="7" t="s">
        <v>51</v>
      </c>
      <c r="V6" s="7" t="s">
        <v>51</v>
      </c>
      <c r="W6" s="7" t="s">
        <v>51</v>
      </c>
      <c r="X6" s="7" t="s">
        <v>51</v>
      </c>
      <c r="Y6" s="7" t="s">
        <v>51</v>
      </c>
      <c r="Z6" s="7" t="s">
        <v>51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4" t="s">
        <v>51</v>
      </c>
      <c r="AG6" s="4" t="s">
        <v>51</v>
      </c>
      <c r="AH6" s="27">
        <f t="shared" si="0"/>
        <v>10</v>
      </c>
      <c r="AI6" s="29">
        <f t="shared" si="1"/>
        <v>21</v>
      </c>
      <c r="AJ6" s="37">
        <f t="shared" si="2"/>
        <v>31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51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4" t="s">
        <v>51</v>
      </c>
      <c r="AH7" s="27">
        <f t="shared" si="0"/>
        <v>23</v>
      </c>
      <c r="AI7" s="29">
        <f t="shared" si="1"/>
        <v>8</v>
      </c>
      <c r="AJ7" s="37">
        <f t="shared" si="2"/>
        <v>31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 t="s">
        <v>50</v>
      </c>
      <c r="T8" s="7" t="s">
        <v>50</v>
      </c>
      <c r="U8" s="7" t="s">
        <v>50</v>
      </c>
      <c r="V8" s="7" t="s">
        <v>50</v>
      </c>
      <c r="W8" s="7" t="s">
        <v>51</v>
      </c>
      <c r="X8" s="7" t="s">
        <v>51</v>
      </c>
      <c r="Y8" s="7" t="s">
        <v>50</v>
      </c>
      <c r="Z8" s="7" t="s">
        <v>50</v>
      </c>
      <c r="AA8" s="7" t="s">
        <v>50</v>
      </c>
      <c r="AB8" s="7" t="s">
        <v>51</v>
      </c>
      <c r="AC8" s="7" t="s">
        <v>50</v>
      </c>
      <c r="AD8" s="7" t="s">
        <v>50</v>
      </c>
      <c r="AE8" s="7" t="s">
        <v>51</v>
      </c>
      <c r="AF8" s="4" t="s">
        <v>51</v>
      </c>
      <c r="AG8" s="4" t="s">
        <v>51</v>
      </c>
      <c r="AH8" s="27">
        <f t="shared" si="0"/>
        <v>21</v>
      </c>
      <c r="AI8" s="29">
        <f t="shared" si="1"/>
        <v>10</v>
      </c>
      <c r="AJ8" s="37">
        <f t="shared" si="2"/>
        <v>31</v>
      </c>
    </row>
    <row r="9" spans="1:38" hidden="1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 t="s">
        <v>50</v>
      </c>
      <c r="T9" s="7" t="s">
        <v>50</v>
      </c>
      <c r="U9" s="7" t="s">
        <v>50</v>
      </c>
      <c r="V9" s="7" t="s">
        <v>51</v>
      </c>
      <c r="W9" s="7" t="s">
        <v>50</v>
      </c>
      <c r="X9" s="7" t="s">
        <v>51</v>
      </c>
      <c r="Y9" s="7" t="s">
        <v>51</v>
      </c>
      <c r="Z9" s="7" t="s">
        <v>51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51</v>
      </c>
      <c r="AF9" s="7" t="s">
        <v>50</v>
      </c>
      <c r="AG9" s="7" t="s">
        <v>50</v>
      </c>
      <c r="AH9" s="27">
        <f t="shared" si="0"/>
        <v>13</v>
      </c>
      <c r="AI9" s="29">
        <f t="shared" si="1"/>
        <v>18</v>
      </c>
      <c r="AJ9" s="37">
        <f t="shared" si="2"/>
        <v>31</v>
      </c>
    </row>
    <row r="10" spans="1:38" hidden="1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 t="s">
        <v>50</v>
      </c>
      <c r="T10" s="7" t="s">
        <v>51</v>
      </c>
      <c r="U10" s="7" t="s">
        <v>50</v>
      </c>
      <c r="V10" s="7" t="s">
        <v>50</v>
      </c>
      <c r="W10" s="7" t="s">
        <v>50</v>
      </c>
      <c r="X10" s="7" t="s">
        <v>50</v>
      </c>
      <c r="Y10" s="7" t="s">
        <v>50</v>
      </c>
      <c r="Z10" s="7" t="s">
        <v>50</v>
      </c>
      <c r="AA10" s="7" t="s">
        <v>50</v>
      </c>
      <c r="AB10" s="7" t="s">
        <v>50</v>
      </c>
      <c r="AC10" s="7" t="s">
        <v>50</v>
      </c>
      <c r="AD10" s="7" t="s">
        <v>50</v>
      </c>
      <c r="AE10" s="7" t="s">
        <v>51</v>
      </c>
      <c r="AF10" s="4" t="s">
        <v>51</v>
      </c>
      <c r="AG10" s="7" t="s">
        <v>50</v>
      </c>
      <c r="AH10" s="27">
        <f t="shared" si="0"/>
        <v>23</v>
      </c>
      <c r="AI10" s="29">
        <f t="shared" si="1"/>
        <v>8</v>
      </c>
      <c r="AJ10" s="37">
        <f t="shared" si="2"/>
        <v>31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 t="s">
        <v>51</v>
      </c>
      <c r="T11" s="7" t="s">
        <v>50</v>
      </c>
      <c r="U11" s="7" t="s">
        <v>50</v>
      </c>
      <c r="V11" s="7" t="s">
        <v>50</v>
      </c>
      <c r="W11" s="7" t="s">
        <v>50</v>
      </c>
      <c r="X11" s="7" t="s">
        <v>50</v>
      </c>
      <c r="Y11" s="7" t="s">
        <v>51</v>
      </c>
      <c r="Z11" s="7" t="s">
        <v>50</v>
      </c>
      <c r="AA11" s="7" t="s">
        <v>50</v>
      </c>
      <c r="AB11" s="7" t="s">
        <v>51</v>
      </c>
      <c r="AC11" s="7" t="s">
        <v>51</v>
      </c>
      <c r="AD11" s="7" t="s">
        <v>50</v>
      </c>
      <c r="AE11" s="7" t="s">
        <v>51</v>
      </c>
      <c r="AF11" s="7" t="s">
        <v>50</v>
      </c>
      <c r="AG11" s="4" t="s">
        <v>51</v>
      </c>
      <c r="AH11" s="27">
        <f t="shared" si="0"/>
        <v>15</v>
      </c>
      <c r="AI11" s="29">
        <f t="shared" si="1"/>
        <v>16</v>
      </c>
      <c r="AJ11" s="37">
        <f t="shared" si="2"/>
        <v>31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4" t="s">
        <v>51</v>
      </c>
      <c r="AG12" s="4" t="s">
        <v>51</v>
      </c>
      <c r="AH12" s="27">
        <f t="shared" si="0"/>
        <v>1</v>
      </c>
      <c r="AI12" s="29">
        <f t="shared" si="1"/>
        <v>30</v>
      </c>
      <c r="AJ12" s="37">
        <f t="shared" si="2"/>
        <v>31</v>
      </c>
    </row>
    <row r="13" spans="1:38" hidden="1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50</v>
      </c>
      <c r="T13" s="7" t="s">
        <v>50</v>
      </c>
      <c r="U13" s="7" t="s">
        <v>50</v>
      </c>
      <c r="V13" s="7" t="s">
        <v>50</v>
      </c>
      <c r="W13" s="7" t="s">
        <v>50</v>
      </c>
      <c r="X13" s="7" t="s">
        <v>50</v>
      </c>
      <c r="Y13" s="7" t="s">
        <v>51</v>
      </c>
      <c r="Z13" s="7" t="s">
        <v>51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4" t="s">
        <v>51</v>
      </c>
      <c r="AG13" s="7" t="s">
        <v>50</v>
      </c>
      <c r="AH13" s="27">
        <f t="shared" si="0"/>
        <v>23</v>
      </c>
      <c r="AI13" s="29">
        <f t="shared" si="1"/>
        <v>8</v>
      </c>
      <c r="AJ13" s="37">
        <f t="shared" si="2"/>
        <v>31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50</v>
      </c>
      <c r="Y14" s="7" t="s">
        <v>50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50</v>
      </c>
      <c r="AG14" s="4" t="s">
        <v>51</v>
      </c>
      <c r="AH14" s="27">
        <f t="shared" si="0"/>
        <v>5</v>
      </c>
      <c r="AI14" s="29">
        <f t="shared" si="1"/>
        <v>26</v>
      </c>
      <c r="AJ14" s="37">
        <f t="shared" si="2"/>
        <v>31</v>
      </c>
    </row>
    <row r="15" spans="1:38" hidden="1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 t="s">
        <v>50</v>
      </c>
      <c r="T15" s="7" t="s">
        <v>50</v>
      </c>
      <c r="U15" s="7" t="s">
        <v>51</v>
      </c>
      <c r="V15" s="7" t="s">
        <v>50</v>
      </c>
      <c r="W15" s="7" t="s">
        <v>50</v>
      </c>
      <c r="X15" s="7" t="s">
        <v>50</v>
      </c>
      <c r="Y15" s="7" t="s">
        <v>51</v>
      </c>
      <c r="Z15" s="7" t="s">
        <v>51</v>
      </c>
      <c r="AA15" s="7" t="s">
        <v>50</v>
      </c>
      <c r="AB15" s="7" t="s">
        <v>50</v>
      </c>
      <c r="AC15" s="7" t="s">
        <v>50</v>
      </c>
      <c r="AD15" s="7" t="s">
        <v>50</v>
      </c>
      <c r="AE15" s="7" t="s">
        <v>51</v>
      </c>
      <c r="AF15" s="7" t="s">
        <v>50</v>
      </c>
      <c r="AG15" s="7" t="s">
        <v>51</v>
      </c>
      <c r="AH15" s="27">
        <f t="shared" si="0"/>
        <v>21</v>
      </c>
      <c r="AI15" s="29">
        <f t="shared" si="1"/>
        <v>10</v>
      </c>
      <c r="AJ15" s="37">
        <f t="shared" si="2"/>
        <v>31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 t="s">
        <v>50</v>
      </c>
      <c r="T16" s="7" t="s">
        <v>50</v>
      </c>
      <c r="U16" s="7" t="s">
        <v>51</v>
      </c>
      <c r="V16" s="7" t="s">
        <v>51</v>
      </c>
      <c r="W16" s="7" t="s">
        <v>51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51</v>
      </c>
      <c r="AC16" s="7" t="s">
        <v>50</v>
      </c>
      <c r="AD16" s="7" t="s">
        <v>50</v>
      </c>
      <c r="AE16" s="7" t="s">
        <v>50</v>
      </c>
      <c r="AF16" s="4" t="s">
        <v>51</v>
      </c>
      <c r="AG16" s="4" t="s">
        <v>51</v>
      </c>
      <c r="AH16" s="27">
        <f t="shared" si="0"/>
        <v>19</v>
      </c>
      <c r="AI16" s="29">
        <f t="shared" si="1"/>
        <v>12</v>
      </c>
      <c r="AJ16" s="37">
        <f t="shared" si="2"/>
        <v>31</v>
      </c>
    </row>
    <row r="17" spans="1:36" hidden="1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 t="s">
        <v>50</v>
      </c>
      <c r="T17" s="7" t="s">
        <v>50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51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50</v>
      </c>
      <c r="AF17" s="7" t="s">
        <v>50</v>
      </c>
      <c r="AG17" s="7" t="s">
        <v>50</v>
      </c>
      <c r="AH17" s="27">
        <f t="shared" si="0"/>
        <v>25</v>
      </c>
      <c r="AI17" s="29">
        <f t="shared" si="1"/>
        <v>6</v>
      </c>
      <c r="AJ17" s="37">
        <f t="shared" si="2"/>
        <v>31</v>
      </c>
    </row>
    <row r="18" spans="1:36" hidden="1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 t="s">
        <v>50</v>
      </c>
      <c r="T18" s="7" t="s">
        <v>50</v>
      </c>
      <c r="U18" s="7" t="s">
        <v>50</v>
      </c>
      <c r="V18" s="7" t="s">
        <v>50</v>
      </c>
      <c r="W18" s="7" t="s">
        <v>50</v>
      </c>
      <c r="X18" s="7" t="s">
        <v>50</v>
      </c>
      <c r="Y18" s="7" t="s">
        <v>50</v>
      </c>
      <c r="Z18" s="7" t="s">
        <v>50</v>
      </c>
      <c r="AA18" s="7" t="s">
        <v>50</v>
      </c>
      <c r="AB18" s="7" t="s">
        <v>51</v>
      </c>
      <c r="AC18" s="7" t="s">
        <v>50</v>
      </c>
      <c r="AD18" s="7" t="s">
        <v>50</v>
      </c>
      <c r="AE18" s="7" t="s">
        <v>51</v>
      </c>
      <c r="AF18" s="4" t="s">
        <v>51</v>
      </c>
      <c r="AG18" s="7" t="s">
        <v>50</v>
      </c>
      <c r="AH18" s="27">
        <f t="shared" si="0"/>
        <v>24</v>
      </c>
      <c r="AI18" s="29">
        <f t="shared" si="1"/>
        <v>7</v>
      </c>
      <c r="AJ18" s="37">
        <f t="shared" si="2"/>
        <v>31</v>
      </c>
    </row>
    <row r="19" spans="1:36" hidden="1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51</v>
      </c>
      <c r="Y19" s="7" t="s">
        <v>51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51</v>
      </c>
      <c r="AF19" s="7" t="s">
        <v>50</v>
      </c>
      <c r="AG19" s="7" t="s">
        <v>50</v>
      </c>
      <c r="AH19" s="27">
        <f t="shared" si="0"/>
        <v>17</v>
      </c>
      <c r="AI19" s="29">
        <f t="shared" si="1"/>
        <v>14</v>
      </c>
      <c r="AJ19" s="37">
        <f t="shared" si="2"/>
        <v>31</v>
      </c>
    </row>
    <row r="20" spans="1:36" hidden="1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 t="s">
        <v>50</v>
      </c>
      <c r="T20" s="7" t="s">
        <v>50</v>
      </c>
      <c r="U20" s="7" t="s">
        <v>51</v>
      </c>
      <c r="V20" s="7" t="s">
        <v>50</v>
      </c>
      <c r="W20" s="7" t="s">
        <v>51</v>
      </c>
      <c r="X20" s="7" t="s">
        <v>50</v>
      </c>
      <c r="Y20" s="7" t="s">
        <v>50</v>
      </c>
      <c r="Z20" s="7" t="s">
        <v>50</v>
      </c>
      <c r="AA20" s="7" t="s">
        <v>50</v>
      </c>
      <c r="AB20" s="7" t="s">
        <v>50</v>
      </c>
      <c r="AC20" s="7" t="s">
        <v>50</v>
      </c>
      <c r="AD20" s="7" t="s">
        <v>50</v>
      </c>
      <c r="AE20" s="7" t="s">
        <v>50</v>
      </c>
      <c r="AF20" s="7" t="s">
        <v>50</v>
      </c>
      <c r="AG20" s="7" t="s">
        <v>50</v>
      </c>
      <c r="AH20" s="27">
        <f t="shared" si="0"/>
        <v>26</v>
      </c>
      <c r="AI20" s="29">
        <f t="shared" si="1"/>
        <v>5</v>
      </c>
      <c r="AJ20" s="37">
        <f t="shared" si="2"/>
        <v>31</v>
      </c>
    </row>
    <row r="21" spans="1:36" hidden="1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 t="s">
        <v>50</v>
      </c>
      <c r="T21" s="7" t="s">
        <v>50</v>
      </c>
      <c r="U21" s="7" t="s">
        <v>50</v>
      </c>
      <c r="V21" s="7" t="s">
        <v>50</v>
      </c>
      <c r="W21" s="7" t="s">
        <v>50</v>
      </c>
      <c r="X21" s="7" t="s">
        <v>50</v>
      </c>
      <c r="Y21" s="7" t="s">
        <v>51</v>
      </c>
      <c r="Z21" s="7" t="s">
        <v>51</v>
      </c>
      <c r="AA21" s="7" t="s">
        <v>50</v>
      </c>
      <c r="AB21" s="7" t="s">
        <v>51</v>
      </c>
      <c r="AC21" s="7" t="s">
        <v>50</v>
      </c>
      <c r="AD21" s="7" t="s">
        <v>50</v>
      </c>
      <c r="AE21" s="7" t="s">
        <v>50</v>
      </c>
      <c r="AF21" s="7" t="s">
        <v>50</v>
      </c>
      <c r="AG21" s="7" t="s">
        <v>50</v>
      </c>
      <c r="AH21" s="27">
        <f t="shared" si="0"/>
        <v>26</v>
      </c>
      <c r="AI21" s="29">
        <f t="shared" si="1"/>
        <v>5</v>
      </c>
      <c r="AJ21" s="37">
        <f t="shared" si="2"/>
        <v>31</v>
      </c>
    </row>
    <row r="22" spans="1:36" hidden="1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 t="s">
        <v>50</v>
      </c>
      <c r="T22" s="7" t="s">
        <v>50</v>
      </c>
      <c r="U22" s="7" t="s">
        <v>50</v>
      </c>
      <c r="V22" s="7" t="s">
        <v>50</v>
      </c>
      <c r="W22" s="7" t="s">
        <v>50</v>
      </c>
      <c r="X22" s="7" t="s">
        <v>50</v>
      </c>
      <c r="Y22" s="7" t="s">
        <v>51</v>
      </c>
      <c r="Z22" s="7" t="s">
        <v>50</v>
      </c>
      <c r="AA22" s="7" t="s">
        <v>50</v>
      </c>
      <c r="AB22" s="7" t="s">
        <v>50</v>
      </c>
      <c r="AC22" s="7" t="s">
        <v>50</v>
      </c>
      <c r="AD22" s="7" t="s">
        <v>50</v>
      </c>
      <c r="AE22" s="7" t="s">
        <v>50</v>
      </c>
      <c r="AF22" s="7" t="s">
        <v>50</v>
      </c>
      <c r="AG22" s="7" t="s">
        <v>50</v>
      </c>
      <c r="AH22" s="27">
        <f t="shared" si="0"/>
        <v>25</v>
      </c>
      <c r="AI22" s="29">
        <f t="shared" si="1"/>
        <v>6</v>
      </c>
      <c r="AJ22" s="37">
        <f t="shared" si="2"/>
        <v>31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 t="s">
        <v>51</v>
      </c>
      <c r="T23" s="7" t="s">
        <v>51</v>
      </c>
      <c r="U23" s="7" t="s">
        <v>51</v>
      </c>
      <c r="V23" s="7" t="s">
        <v>51</v>
      </c>
      <c r="W23" s="7" t="s">
        <v>51</v>
      </c>
      <c r="X23" s="7" t="s">
        <v>51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4" t="s">
        <v>51</v>
      </c>
      <c r="AG23" s="4" t="s">
        <v>51</v>
      </c>
      <c r="AH23" s="27">
        <f t="shared" si="0"/>
        <v>1</v>
      </c>
      <c r="AI23" s="29">
        <f t="shared" si="1"/>
        <v>30</v>
      </c>
      <c r="AJ23" s="37">
        <f t="shared" si="2"/>
        <v>31</v>
      </c>
    </row>
    <row r="24" spans="1:36" hidden="1">
      <c r="A24" s="18">
        <f t="shared" si="3"/>
        <v>21</v>
      </c>
      <c r="B24" s="19" t="s">
        <v>65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 t="s">
        <v>50</v>
      </c>
      <c r="T24" s="7" t="s">
        <v>50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51</v>
      </c>
      <c r="AB24" s="7" t="s">
        <v>50</v>
      </c>
      <c r="AC24" s="7" t="s">
        <v>51</v>
      </c>
      <c r="AD24" s="7" t="s">
        <v>51</v>
      </c>
      <c r="AE24" s="7" t="s">
        <v>50</v>
      </c>
      <c r="AF24" s="7" t="s">
        <v>50</v>
      </c>
      <c r="AG24" s="7" t="s">
        <v>50</v>
      </c>
      <c r="AH24" s="27">
        <f t="shared" ref="AH24" si="4">COUNTIF(C24:AG24,"+")</f>
        <v>19</v>
      </c>
      <c r="AI24" s="29">
        <f t="shared" ref="AI24" si="5">COUNTIF(C24:AG24,"-")</f>
        <v>5</v>
      </c>
      <c r="AJ24" s="37">
        <f t="shared" ref="AJ24" si="6">SUM(AH24:AI24)</f>
        <v>24</v>
      </c>
    </row>
    <row r="25" spans="1:36">
      <c r="A25" s="18">
        <f t="shared" si="3"/>
        <v>22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51</v>
      </c>
      <c r="Y25" s="7" t="s">
        <v>51</v>
      </c>
      <c r="Z25" s="7" t="s">
        <v>51</v>
      </c>
      <c r="AA25" s="7" t="s">
        <v>51</v>
      </c>
      <c r="AB25" s="7" t="s">
        <v>51</v>
      </c>
      <c r="AC25" s="7" t="s">
        <v>51</v>
      </c>
      <c r="AD25" s="7" t="s">
        <v>51</v>
      </c>
      <c r="AE25" s="7" t="s">
        <v>51</v>
      </c>
      <c r="AF25" s="4" t="s">
        <v>51</v>
      </c>
      <c r="AG25" s="4" t="s">
        <v>51</v>
      </c>
      <c r="AH25" s="27">
        <f t="shared" si="0"/>
        <v>4</v>
      </c>
      <c r="AI25" s="29">
        <f t="shared" si="1"/>
        <v>27</v>
      </c>
      <c r="AJ25" s="37">
        <f t="shared" si="2"/>
        <v>31</v>
      </c>
    </row>
    <row r="26" spans="1:36">
      <c r="A26" s="18">
        <f t="shared" si="3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 t="s">
        <v>50</v>
      </c>
      <c r="T26" s="7" t="s">
        <v>50</v>
      </c>
      <c r="U26" s="7" t="s">
        <v>50</v>
      </c>
      <c r="V26" s="7" t="s">
        <v>50</v>
      </c>
      <c r="W26" s="7" t="s">
        <v>50</v>
      </c>
      <c r="X26" s="7" t="s">
        <v>50</v>
      </c>
      <c r="Y26" s="7" t="s">
        <v>50</v>
      </c>
      <c r="Z26" s="7" t="s">
        <v>51</v>
      </c>
      <c r="AA26" s="7" t="s">
        <v>50</v>
      </c>
      <c r="AB26" s="7" t="s">
        <v>50</v>
      </c>
      <c r="AC26" s="7" t="s">
        <v>50</v>
      </c>
      <c r="AD26" s="7" t="s">
        <v>50</v>
      </c>
      <c r="AE26" s="7" t="s">
        <v>50</v>
      </c>
      <c r="AF26" s="7" t="s">
        <v>50</v>
      </c>
      <c r="AG26" s="4" t="s">
        <v>51</v>
      </c>
      <c r="AH26" s="27">
        <f t="shared" si="0"/>
        <v>24</v>
      </c>
      <c r="AI26" s="29">
        <f t="shared" si="1"/>
        <v>7</v>
      </c>
      <c r="AJ26" s="37">
        <f t="shared" si="2"/>
        <v>31</v>
      </c>
    </row>
    <row r="27" spans="1:36" hidden="1">
      <c r="A27" s="18">
        <f t="shared" si="3"/>
        <v>24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51</v>
      </c>
      <c r="X27" s="7" t="s">
        <v>51</v>
      </c>
      <c r="Y27" s="7" t="s">
        <v>51</v>
      </c>
      <c r="Z27" s="7" t="s">
        <v>50</v>
      </c>
      <c r="AA27" s="7" t="s">
        <v>50</v>
      </c>
      <c r="AB27" s="7" t="s">
        <v>51</v>
      </c>
      <c r="AC27" s="7" t="s">
        <v>50</v>
      </c>
      <c r="AD27" s="7" t="s">
        <v>50</v>
      </c>
      <c r="AE27" s="7" t="s">
        <v>50</v>
      </c>
      <c r="AF27" s="7" t="s">
        <v>50</v>
      </c>
      <c r="AG27" s="7" t="s">
        <v>50</v>
      </c>
      <c r="AH27" s="27">
        <f t="shared" si="0"/>
        <v>21</v>
      </c>
      <c r="AI27" s="29">
        <f t="shared" si="1"/>
        <v>10</v>
      </c>
      <c r="AJ27" s="37">
        <f t="shared" si="2"/>
        <v>31</v>
      </c>
    </row>
    <row r="28" spans="1:36" hidden="1">
      <c r="A28" s="18">
        <f t="shared" si="3"/>
        <v>25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50</v>
      </c>
      <c r="X28" s="7" t="s">
        <v>51</v>
      </c>
      <c r="Y28" s="7" t="s">
        <v>51</v>
      </c>
      <c r="Z28" s="7" t="s">
        <v>50</v>
      </c>
      <c r="AA28" s="7" t="s">
        <v>51</v>
      </c>
      <c r="AB28" s="7" t="s">
        <v>51</v>
      </c>
      <c r="AC28" s="7" t="s">
        <v>51</v>
      </c>
      <c r="AD28" s="7" t="s">
        <v>50</v>
      </c>
      <c r="AE28" s="7" t="s">
        <v>50</v>
      </c>
      <c r="AF28" s="7" t="s">
        <v>51</v>
      </c>
      <c r="AG28" s="7" t="s">
        <v>51</v>
      </c>
      <c r="AH28" s="27">
        <f t="shared" si="0"/>
        <v>11</v>
      </c>
      <c r="AI28" s="29">
        <f t="shared" si="1"/>
        <v>20</v>
      </c>
      <c r="AJ28" s="37">
        <f t="shared" si="2"/>
        <v>31</v>
      </c>
    </row>
    <row r="29" spans="1:36" hidden="1">
      <c r="A29" s="18">
        <f t="shared" si="3"/>
        <v>26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50</v>
      </c>
      <c r="T29" s="7" t="s">
        <v>50</v>
      </c>
      <c r="U29" s="7" t="s">
        <v>51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50</v>
      </c>
      <c r="AB29" s="7" t="s">
        <v>51</v>
      </c>
      <c r="AC29" s="7" t="s">
        <v>50</v>
      </c>
      <c r="AD29" s="7" t="s">
        <v>50</v>
      </c>
      <c r="AE29" s="7" t="s">
        <v>51</v>
      </c>
      <c r="AF29" s="7" t="s">
        <v>50</v>
      </c>
      <c r="AG29" s="7" t="s">
        <v>50</v>
      </c>
      <c r="AH29" s="27">
        <f t="shared" si="0"/>
        <v>22</v>
      </c>
      <c r="AI29" s="29">
        <f t="shared" si="1"/>
        <v>9</v>
      </c>
      <c r="AJ29" s="37">
        <f t="shared" si="2"/>
        <v>31</v>
      </c>
    </row>
    <row r="30" spans="1:36">
      <c r="A30" s="18">
        <f t="shared" si="3"/>
        <v>27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 t="s">
        <v>51</v>
      </c>
      <c r="T30" s="7" t="s">
        <v>51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51</v>
      </c>
      <c r="AB30" s="7" t="s">
        <v>51</v>
      </c>
      <c r="AC30" s="7" t="s">
        <v>51</v>
      </c>
      <c r="AD30" s="7" t="s">
        <v>51</v>
      </c>
      <c r="AE30" s="7" t="s">
        <v>51</v>
      </c>
      <c r="AF30" s="4" t="s">
        <v>51</v>
      </c>
      <c r="AG30" s="4" t="s">
        <v>51</v>
      </c>
      <c r="AH30" s="27">
        <f t="shared" ref="AH30" si="7">COUNTIF(C30:AG30,"+")</f>
        <v>4</v>
      </c>
      <c r="AI30" s="29">
        <f t="shared" ref="AI30" si="8">COUNTIF(C30:AG30,"-")</f>
        <v>27</v>
      </c>
      <c r="AJ30" s="37">
        <f t="shared" ref="AJ30" si="9">SUM(AH30:AI30)</f>
        <v>31</v>
      </c>
    </row>
    <row r="31" spans="1:36" hidden="1">
      <c r="A31" s="18">
        <f t="shared" si="3"/>
        <v>28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50</v>
      </c>
      <c r="X31" s="7" t="s">
        <v>51</v>
      </c>
      <c r="Y31" s="7" t="s">
        <v>51</v>
      </c>
      <c r="Z31" s="7" t="s">
        <v>51</v>
      </c>
      <c r="AA31" s="7" t="s">
        <v>50</v>
      </c>
      <c r="AB31" s="7" t="s">
        <v>50</v>
      </c>
      <c r="AC31" s="7" t="s">
        <v>50</v>
      </c>
      <c r="AD31" s="7" t="s">
        <v>50</v>
      </c>
      <c r="AE31" s="7" t="s">
        <v>50</v>
      </c>
      <c r="AF31" s="7" t="s">
        <v>50</v>
      </c>
      <c r="AG31" s="7" t="s">
        <v>50</v>
      </c>
      <c r="AH31" s="27">
        <f t="shared" si="0"/>
        <v>24</v>
      </c>
      <c r="AI31" s="29">
        <f t="shared" si="1"/>
        <v>7</v>
      </c>
      <c r="AJ31" s="37">
        <f t="shared" si="2"/>
        <v>31</v>
      </c>
    </row>
    <row r="32" spans="1:36" hidden="1">
      <c r="A32" s="18">
        <f t="shared" si="3"/>
        <v>29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 t="s">
        <v>50</v>
      </c>
      <c r="T32" s="7" t="s">
        <v>50</v>
      </c>
      <c r="U32" s="7" t="s">
        <v>51</v>
      </c>
      <c r="V32" s="7" t="s">
        <v>51</v>
      </c>
      <c r="W32" s="7" t="s">
        <v>50</v>
      </c>
      <c r="X32" s="7" t="s">
        <v>50</v>
      </c>
      <c r="Y32" s="7" t="s">
        <v>50</v>
      </c>
      <c r="Z32" s="7" t="s">
        <v>51</v>
      </c>
      <c r="AA32" s="7" t="s">
        <v>51</v>
      </c>
      <c r="AB32" s="7" t="s">
        <v>50</v>
      </c>
      <c r="AC32" s="7" t="s">
        <v>50</v>
      </c>
      <c r="AD32" s="7" t="s">
        <v>50</v>
      </c>
      <c r="AE32" s="7" t="s">
        <v>50</v>
      </c>
      <c r="AF32" s="4" t="s">
        <v>51</v>
      </c>
      <c r="AG32" s="7" t="s">
        <v>50</v>
      </c>
      <c r="AH32" s="27">
        <f t="shared" si="0"/>
        <v>20</v>
      </c>
      <c r="AI32" s="29">
        <f t="shared" si="1"/>
        <v>11</v>
      </c>
      <c r="AJ32" s="37">
        <f t="shared" si="2"/>
        <v>31</v>
      </c>
    </row>
    <row r="33" spans="1:36">
      <c r="A33" s="18">
        <f t="shared" si="3"/>
        <v>30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 t="s">
        <v>50</v>
      </c>
      <c r="T33" s="7" t="s">
        <v>50</v>
      </c>
      <c r="U33" s="7" t="s">
        <v>50</v>
      </c>
      <c r="V33" s="7" t="s">
        <v>51</v>
      </c>
      <c r="W33" s="7" t="s">
        <v>50</v>
      </c>
      <c r="X33" s="7" t="s">
        <v>50</v>
      </c>
      <c r="Y33" s="7" t="s">
        <v>50</v>
      </c>
      <c r="Z33" s="7" t="s">
        <v>50</v>
      </c>
      <c r="AA33" s="7" t="s">
        <v>51</v>
      </c>
      <c r="AB33" s="7" t="s">
        <v>50</v>
      </c>
      <c r="AC33" s="7" t="s">
        <v>50</v>
      </c>
      <c r="AD33" s="7" t="s">
        <v>51</v>
      </c>
      <c r="AE33" s="7" t="s">
        <v>51</v>
      </c>
      <c r="AF33" s="4" t="s">
        <v>51</v>
      </c>
      <c r="AG33" s="4" t="s">
        <v>51</v>
      </c>
      <c r="AH33" s="27">
        <f t="shared" si="0"/>
        <v>22</v>
      </c>
      <c r="AI33" s="29">
        <f t="shared" si="1"/>
        <v>9</v>
      </c>
      <c r="AJ33" s="37">
        <f t="shared" si="2"/>
        <v>31</v>
      </c>
    </row>
    <row r="34" spans="1:36">
      <c r="A34" s="18">
        <f t="shared" si="3"/>
        <v>31</v>
      </c>
      <c r="B34" s="20" t="s">
        <v>67</v>
      </c>
      <c r="C34" s="6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 t="s">
        <v>50</v>
      </c>
      <c r="AD34" s="7" t="s">
        <v>51</v>
      </c>
      <c r="AE34" s="7" t="s">
        <v>50</v>
      </c>
      <c r="AF34" s="7" t="s">
        <v>50</v>
      </c>
      <c r="AG34" s="4" t="s">
        <v>51</v>
      </c>
      <c r="AH34" s="27">
        <f t="shared" ref="AH34" si="10">COUNTIF(C34:AG34,"+")</f>
        <v>3</v>
      </c>
      <c r="AI34" s="29">
        <f t="shared" ref="AI34" si="11">COUNTIF(C34:AG34,"-")</f>
        <v>2</v>
      </c>
      <c r="AJ34" s="37">
        <f t="shared" ref="AJ34" si="12">SUM(AH34:AI34)</f>
        <v>5</v>
      </c>
    </row>
    <row r="35" spans="1:36">
      <c r="A35" s="18">
        <f t="shared" si="3"/>
        <v>32</v>
      </c>
      <c r="B35" s="20" t="s">
        <v>19</v>
      </c>
      <c r="C35" s="6" t="s">
        <v>51</v>
      </c>
      <c r="D35" s="7" t="s">
        <v>51</v>
      </c>
      <c r="E35" s="7" t="s">
        <v>51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51</v>
      </c>
      <c r="P35" s="7" t="s">
        <v>50</v>
      </c>
      <c r="Q35" s="7" t="s">
        <v>50</v>
      </c>
      <c r="R35" s="7" t="s">
        <v>51</v>
      </c>
      <c r="S35" s="7" t="s">
        <v>50</v>
      </c>
      <c r="T35" s="7" t="s">
        <v>50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51</v>
      </c>
      <c r="AA35" s="7" t="s">
        <v>51</v>
      </c>
      <c r="AB35" s="7" t="s">
        <v>51</v>
      </c>
      <c r="AC35" s="7" t="s">
        <v>51</v>
      </c>
      <c r="AD35" s="7" t="s">
        <v>50</v>
      </c>
      <c r="AE35" s="7" t="s">
        <v>51</v>
      </c>
      <c r="AF35" s="4" t="s">
        <v>51</v>
      </c>
      <c r="AG35" s="4" t="s">
        <v>51</v>
      </c>
      <c r="AH35" s="27">
        <f t="shared" si="0"/>
        <v>16</v>
      </c>
      <c r="AI35" s="29">
        <f t="shared" si="1"/>
        <v>15</v>
      </c>
      <c r="AJ35" s="37">
        <f t="shared" si="2"/>
        <v>31</v>
      </c>
    </row>
    <row r="36" spans="1:36">
      <c r="A36" s="18">
        <f t="shared" si="3"/>
        <v>33</v>
      </c>
      <c r="B36" s="20" t="s">
        <v>20</v>
      </c>
      <c r="C36" s="6" t="s">
        <v>51</v>
      </c>
      <c r="D36" s="7" t="s">
        <v>51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51</v>
      </c>
      <c r="M36" s="7" t="s">
        <v>50</v>
      </c>
      <c r="N36" s="7" t="s">
        <v>50</v>
      </c>
      <c r="O36" s="7" t="s">
        <v>50</v>
      </c>
      <c r="P36" s="7" t="s">
        <v>51</v>
      </c>
      <c r="Q36" s="7" t="s">
        <v>50</v>
      </c>
      <c r="R36" s="7" t="s">
        <v>50</v>
      </c>
      <c r="S36" s="7" t="s">
        <v>51</v>
      </c>
      <c r="T36" s="7" t="s">
        <v>51</v>
      </c>
      <c r="U36" s="7" t="s">
        <v>50</v>
      </c>
      <c r="V36" s="7" t="s">
        <v>50</v>
      </c>
      <c r="W36" s="7" t="s">
        <v>50</v>
      </c>
      <c r="X36" s="7" t="s">
        <v>50</v>
      </c>
      <c r="Y36" s="7" t="s">
        <v>50</v>
      </c>
      <c r="Z36" s="7" t="s">
        <v>50</v>
      </c>
      <c r="AA36" s="7" t="s">
        <v>51</v>
      </c>
      <c r="AB36" s="7" t="s">
        <v>50</v>
      </c>
      <c r="AC36" s="7" t="s">
        <v>50</v>
      </c>
      <c r="AD36" s="7" t="s">
        <v>50</v>
      </c>
      <c r="AE36" s="7" t="s">
        <v>50</v>
      </c>
      <c r="AF36" s="4" t="s">
        <v>51</v>
      </c>
      <c r="AG36" s="4" t="s">
        <v>51</v>
      </c>
      <c r="AH36" s="27">
        <f t="shared" si="0"/>
        <v>22</v>
      </c>
      <c r="AI36" s="29">
        <f t="shared" si="1"/>
        <v>9</v>
      </c>
      <c r="AJ36" s="37">
        <f t="shared" si="2"/>
        <v>31</v>
      </c>
    </row>
    <row r="37" spans="1:36">
      <c r="A37" s="18">
        <f t="shared" si="3"/>
        <v>34</v>
      </c>
      <c r="B37" s="20" t="s">
        <v>21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50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 t="s">
        <v>50</v>
      </c>
      <c r="T37" s="7" t="s">
        <v>51</v>
      </c>
      <c r="U37" s="7" t="s">
        <v>50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50</v>
      </c>
      <c r="AA37" s="7" t="s">
        <v>51</v>
      </c>
      <c r="AB37" s="7" t="s">
        <v>50</v>
      </c>
      <c r="AC37" s="7" t="s">
        <v>50</v>
      </c>
      <c r="AD37" s="7" t="s">
        <v>50</v>
      </c>
      <c r="AE37" s="7" t="s">
        <v>50</v>
      </c>
      <c r="AF37" s="7" t="s">
        <v>50</v>
      </c>
      <c r="AG37" s="4" t="s">
        <v>51</v>
      </c>
      <c r="AH37" s="27">
        <f t="shared" si="0"/>
        <v>28</v>
      </c>
      <c r="AI37" s="29">
        <f t="shared" si="1"/>
        <v>3</v>
      </c>
      <c r="AJ37" s="37">
        <f t="shared" si="2"/>
        <v>31</v>
      </c>
    </row>
    <row r="38" spans="1:36" hidden="1">
      <c r="A38" s="18">
        <f t="shared" si="3"/>
        <v>35</v>
      </c>
      <c r="B38" s="20" t="s">
        <v>22</v>
      </c>
      <c r="C38" s="6" t="s">
        <v>50</v>
      </c>
      <c r="D38" s="7" t="s">
        <v>50</v>
      </c>
      <c r="E38" s="7" t="s">
        <v>50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51</v>
      </c>
      <c r="K38" s="7" t="s">
        <v>51</v>
      </c>
      <c r="L38" s="7" t="s">
        <v>50</v>
      </c>
      <c r="M38" s="7" t="s">
        <v>50</v>
      </c>
      <c r="N38" s="7" t="s">
        <v>50</v>
      </c>
      <c r="O38" s="7" t="s">
        <v>50</v>
      </c>
      <c r="P38" s="7" t="s">
        <v>50</v>
      </c>
      <c r="Q38" s="7" t="s">
        <v>50</v>
      </c>
      <c r="R38" s="7" t="s">
        <v>50</v>
      </c>
      <c r="S38" s="7" t="s">
        <v>50</v>
      </c>
      <c r="T38" s="7" t="s">
        <v>50</v>
      </c>
      <c r="U38" s="7" t="s">
        <v>50</v>
      </c>
      <c r="V38" s="7" t="s">
        <v>50</v>
      </c>
      <c r="W38" s="7" t="s">
        <v>51</v>
      </c>
      <c r="X38" s="7" t="s">
        <v>50</v>
      </c>
      <c r="Y38" s="7" t="s">
        <v>51</v>
      </c>
      <c r="Z38" s="7" t="s">
        <v>51</v>
      </c>
      <c r="AA38" s="7" t="s">
        <v>50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50</v>
      </c>
      <c r="AG38" s="7" t="s">
        <v>50</v>
      </c>
      <c r="AH38" s="27">
        <f t="shared" si="0"/>
        <v>26</v>
      </c>
      <c r="AI38" s="29">
        <f t="shared" si="1"/>
        <v>5</v>
      </c>
      <c r="AJ38" s="37">
        <f t="shared" si="2"/>
        <v>31</v>
      </c>
    </row>
    <row r="39" spans="1:36" hidden="1">
      <c r="A39" s="18">
        <f t="shared" si="3"/>
        <v>36</v>
      </c>
      <c r="B39" s="19" t="s">
        <v>23</v>
      </c>
      <c r="C39" s="6" t="s">
        <v>51</v>
      </c>
      <c r="D39" s="7" t="s">
        <v>51</v>
      </c>
      <c r="E39" s="7" t="s">
        <v>51</v>
      </c>
      <c r="F39" s="7" t="s">
        <v>50</v>
      </c>
      <c r="G39" s="7" t="s">
        <v>50</v>
      </c>
      <c r="H39" s="7" t="s">
        <v>50</v>
      </c>
      <c r="I39" s="7" t="s">
        <v>50</v>
      </c>
      <c r="J39" s="7" t="s">
        <v>50</v>
      </c>
      <c r="K39" s="7" t="s">
        <v>50</v>
      </c>
      <c r="L39" s="7" t="s">
        <v>50</v>
      </c>
      <c r="M39" s="7" t="s">
        <v>51</v>
      </c>
      <c r="N39" s="7" t="s">
        <v>51</v>
      </c>
      <c r="O39" s="7" t="s">
        <v>50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51</v>
      </c>
      <c r="V39" s="7" t="s">
        <v>50</v>
      </c>
      <c r="W39" s="7" t="s">
        <v>50</v>
      </c>
      <c r="X39" s="7" t="s">
        <v>50</v>
      </c>
      <c r="Y39" s="7" t="s">
        <v>50</v>
      </c>
      <c r="Z39" s="7" t="s">
        <v>51</v>
      </c>
      <c r="AA39" s="7" t="s">
        <v>51</v>
      </c>
      <c r="AB39" s="7" t="s">
        <v>51</v>
      </c>
      <c r="AC39" s="7" t="s">
        <v>50</v>
      </c>
      <c r="AD39" s="7" t="s">
        <v>51</v>
      </c>
      <c r="AE39" s="7" t="s">
        <v>50</v>
      </c>
      <c r="AF39" s="7" t="s">
        <v>50</v>
      </c>
      <c r="AG39" s="7" t="s">
        <v>50</v>
      </c>
      <c r="AH39" s="27">
        <f t="shared" ref="AH39:AH61" si="13">COUNTIF(C39:AG39,"+")</f>
        <v>16</v>
      </c>
      <c r="AI39" s="29">
        <f t="shared" ref="AI39:AI61" si="14">COUNTIF(C39:AG39,"-")</f>
        <v>15</v>
      </c>
      <c r="AJ39" s="37">
        <f t="shared" si="2"/>
        <v>31</v>
      </c>
    </row>
    <row r="40" spans="1:36" hidden="1">
      <c r="A40" s="18">
        <f t="shared" si="3"/>
        <v>37</v>
      </c>
      <c r="B40" s="21" t="s">
        <v>24</v>
      </c>
      <c r="C40" s="6" t="s">
        <v>50</v>
      </c>
      <c r="D40" s="7" t="s">
        <v>51</v>
      </c>
      <c r="E40" s="7" t="s">
        <v>50</v>
      </c>
      <c r="F40" s="7" t="s">
        <v>50</v>
      </c>
      <c r="G40" s="7" t="s">
        <v>50</v>
      </c>
      <c r="H40" s="7" t="s">
        <v>50</v>
      </c>
      <c r="I40" s="7" t="s">
        <v>51</v>
      </c>
      <c r="J40" s="7" t="s">
        <v>51</v>
      </c>
      <c r="K40" s="7" t="s">
        <v>50</v>
      </c>
      <c r="L40" s="7" t="s">
        <v>50</v>
      </c>
      <c r="M40" s="7" t="s">
        <v>50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51</v>
      </c>
      <c r="S40" s="7" t="s">
        <v>51</v>
      </c>
      <c r="T40" s="7" t="s">
        <v>50</v>
      </c>
      <c r="U40" s="7" t="s">
        <v>51</v>
      </c>
      <c r="V40" s="7" t="s">
        <v>50</v>
      </c>
      <c r="W40" s="7" t="s">
        <v>50</v>
      </c>
      <c r="X40" s="7" t="s">
        <v>51</v>
      </c>
      <c r="Y40" s="7" t="s">
        <v>50</v>
      </c>
      <c r="Z40" s="7" t="s">
        <v>51</v>
      </c>
      <c r="AA40" s="7" t="s">
        <v>51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7" t="s">
        <v>51</v>
      </c>
      <c r="AH40" s="27">
        <f t="shared" si="13"/>
        <v>19</v>
      </c>
      <c r="AI40" s="29">
        <f t="shared" si="14"/>
        <v>12</v>
      </c>
      <c r="AJ40" s="37">
        <f t="shared" si="2"/>
        <v>31</v>
      </c>
    </row>
    <row r="41" spans="1:36" hidden="1">
      <c r="A41" s="18">
        <f t="shared" si="3"/>
        <v>38</v>
      </c>
      <c r="B41" s="19" t="s">
        <v>43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51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50</v>
      </c>
      <c r="N41" s="7" t="s">
        <v>51</v>
      </c>
      <c r="O41" s="7" t="s">
        <v>50</v>
      </c>
      <c r="P41" s="7" t="s">
        <v>50</v>
      </c>
      <c r="Q41" s="7" t="s">
        <v>51</v>
      </c>
      <c r="R41" s="7" t="s">
        <v>51</v>
      </c>
      <c r="S41" s="7" t="s">
        <v>50</v>
      </c>
      <c r="T41" s="7" t="s">
        <v>50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50</v>
      </c>
      <c r="AB41" s="7" t="s">
        <v>50</v>
      </c>
      <c r="AC41" s="7" t="s">
        <v>50</v>
      </c>
      <c r="AD41" s="7" t="s">
        <v>50</v>
      </c>
      <c r="AE41" s="7" t="s">
        <v>51</v>
      </c>
      <c r="AF41" s="4" t="s">
        <v>51</v>
      </c>
      <c r="AG41" s="7" t="s">
        <v>50</v>
      </c>
      <c r="AH41" s="27">
        <f t="shared" si="13"/>
        <v>22</v>
      </c>
      <c r="AI41" s="29">
        <f t="shared" si="14"/>
        <v>9</v>
      </c>
      <c r="AJ41" s="37">
        <f t="shared" si="2"/>
        <v>31</v>
      </c>
    </row>
    <row r="42" spans="1:36">
      <c r="A42" s="18">
        <f t="shared" si="3"/>
        <v>39</v>
      </c>
      <c r="B42" s="19" t="s">
        <v>57</v>
      </c>
      <c r="C42" s="6" t="s">
        <v>50</v>
      </c>
      <c r="D42" s="7" t="s">
        <v>50</v>
      </c>
      <c r="E42" s="7" t="s">
        <v>50</v>
      </c>
      <c r="F42" s="7" t="s">
        <v>50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50</v>
      </c>
      <c r="O42" s="7" t="s">
        <v>50</v>
      </c>
      <c r="P42" s="7" t="s">
        <v>50</v>
      </c>
      <c r="Q42" s="7" t="s">
        <v>51</v>
      </c>
      <c r="R42" s="7" t="s">
        <v>51</v>
      </c>
      <c r="S42" s="7" t="s">
        <v>50</v>
      </c>
      <c r="T42" s="7" t="s">
        <v>50</v>
      </c>
      <c r="U42" s="7" t="s">
        <v>50</v>
      </c>
      <c r="V42" s="7" t="s">
        <v>50</v>
      </c>
      <c r="W42" s="7" t="s">
        <v>50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4" t="s">
        <v>51</v>
      </c>
      <c r="AG42" s="4" t="s">
        <v>51</v>
      </c>
      <c r="AH42" s="27">
        <f t="shared" si="13"/>
        <v>19</v>
      </c>
      <c r="AI42" s="29">
        <f t="shared" si="14"/>
        <v>12</v>
      </c>
      <c r="AJ42" s="37">
        <f t="shared" si="2"/>
        <v>31</v>
      </c>
    </row>
    <row r="43" spans="1:36" hidden="1">
      <c r="A43" s="18">
        <f t="shared" si="3"/>
        <v>40</v>
      </c>
      <c r="B43" s="19" t="s">
        <v>40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51</v>
      </c>
      <c r="Q43" s="7" t="s">
        <v>50</v>
      </c>
      <c r="R43" s="7" t="s">
        <v>50</v>
      </c>
      <c r="S43" s="7" t="s">
        <v>50</v>
      </c>
      <c r="T43" s="7" t="s">
        <v>50</v>
      </c>
      <c r="U43" s="7" t="s">
        <v>51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51</v>
      </c>
      <c r="AA43" s="7" t="s">
        <v>51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7" t="s">
        <v>50</v>
      </c>
      <c r="AH43" s="27">
        <f t="shared" si="13"/>
        <v>23</v>
      </c>
      <c r="AI43" s="29">
        <f t="shared" si="14"/>
        <v>8</v>
      </c>
      <c r="AJ43" s="37">
        <f t="shared" si="2"/>
        <v>31</v>
      </c>
    </row>
    <row r="44" spans="1:36" hidden="1">
      <c r="A44" s="18">
        <f t="shared" si="3"/>
        <v>41</v>
      </c>
      <c r="B44" s="19" t="s">
        <v>25</v>
      </c>
      <c r="C44" s="6" t="s">
        <v>50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50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50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7" t="s">
        <v>50</v>
      </c>
      <c r="AH44" s="27">
        <f t="shared" si="13"/>
        <v>27</v>
      </c>
      <c r="AI44" s="29">
        <f t="shared" si="14"/>
        <v>4</v>
      </c>
      <c r="AJ44" s="37">
        <f t="shared" si="2"/>
        <v>31</v>
      </c>
    </row>
    <row r="45" spans="1:36" hidden="1">
      <c r="A45" s="18">
        <f t="shared" si="3"/>
        <v>42</v>
      </c>
      <c r="B45" s="19" t="s">
        <v>26</v>
      </c>
      <c r="C45" s="6" t="s">
        <v>51</v>
      </c>
      <c r="D45" s="7" t="s">
        <v>51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51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50</v>
      </c>
      <c r="V45" s="7" t="s">
        <v>50</v>
      </c>
      <c r="W45" s="7" t="s">
        <v>50</v>
      </c>
      <c r="X45" s="7" t="s">
        <v>50</v>
      </c>
      <c r="Y45" s="7" t="s">
        <v>51</v>
      </c>
      <c r="Z45" s="7" t="s">
        <v>51</v>
      </c>
      <c r="AA45" s="7" t="s">
        <v>50</v>
      </c>
      <c r="AB45" s="7" t="s">
        <v>50</v>
      </c>
      <c r="AC45" s="7" t="s">
        <v>50</v>
      </c>
      <c r="AD45" s="7" t="s">
        <v>50</v>
      </c>
      <c r="AE45" s="7" t="s">
        <v>50</v>
      </c>
      <c r="AF45" s="7" t="s">
        <v>50</v>
      </c>
      <c r="AG45" s="7" t="s">
        <v>50</v>
      </c>
      <c r="AH45" s="27">
        <f t="shared" si="13"/>
        <v>25</v>
      </c>
      <c r="AI45" s="29">
        <f t="shared" si="14"/>
        <v>6</v>
      </c>
      <c r="AJ45" s="37">
        <f t="shared" si="2"/>
        <v>31</v>
      </c>
    </row>
    <row r="46" spans="1:36">
      <c r="A46" s="18">
        <f t="shared" si="3"/>
        <v>43</v>
      </c>
      <c r="B46" s="19" t="s">
        <v>27</v>
      </c>
      <c r="C46" s="6" t="s">
        <v>51</v>
      </c>
      <c r="D46" s="7" t="s">
        <v>50</v>
      </c>
      <c r="E46" s="7" t="s">
        <v>50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51</v>
      </c>
      <c r="K46" s="7" t="s">
        <v>50</v>
      </c>
      <c r="L46" s="7" t="s">
        <v>50</v>
      </c>
      <c r="M46" s="7" t="s">
        <v>50</v>
      </c>
      <c r="N46" s="7" t="s">
        <v>50</v>
      </c>
      <c r="O46" s="7" t="s">
        <v>50</v>
      </c>
      <c r="P46" s="7" t="s">
        <v>50</v>
      </c>
      <c r="Q46" s="7" t="s">
        <v>51</v>
      </c>
      <c r="R46" s="7" t="s">
        <v>50</v>
      </c>
      <c r="S46" s="7" t="s">
        <v>50</v>
      </c>
      <c r="T46" s="7" t="s">
        <v>50</v>
      </c>
      <c r="U46" s="7" t="s">
        <v>50</v>
      </c>
      <c r="V46" s="7" t="s">
        <v>50</v>
      </c>
      <c r="W46" s="7" t="s">
        <v>50</v>
      </c>
      <c r="X46" s="7" t="s">
        <v>50</v>
      </c>
      <c r="Y46" s="7" t="s">
        <v>51</v>
      </c>
      <c r="Z46" s="7" t="s">
        <v>51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4" t="s">
        <v>51</v>
      </c>
      <c r="AH46" s="27">
        <f t="shared" si="13"/>
        <v>25</v>
      </c>
      <c r="AI46" s="29">
        <f t="shared" si="14"/>
        <v>6</v>
      </c>
      <c r="AJ46" s="37">
        <f t="shared" si="2"/>
        <v>31</v>
      </c>
    </row>
    <row r="47" spans="1:36" hidden="1">
      <c r="A47" s="18">
        <f t="shared" si="3"/>
        <v>44</v>
      </c>
      <c r="B47" s="19" t="s">
        <v>28</v>
      </c>
      <c r="C47" s="6" t="s">
        <v>50</v>
      </c>
      <c r="D47" s="7" t="s">
        <v>51</v>
      </c>
      <c r="E47" s="7" t="s">
        <v>51</v>
      </c>
      <c r="F47" s="7" t="s">
        <v>50</v>
      </c>
      <c r="G47" s="7" t="s">
        <v>50</v>
      </c>
      <c r="H47" s="7" t="s">
        <v>50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51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50</v>
      </c>
      <c r="U47" s="7" t="s">
        <v>51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50</v>
      </c>
      <c r="AA47" s="7" t="s">
        <v>50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7" t="s">
        <v>51</v>
      </c>
      <c r="AH47" s="27">
        <f t="shared" si="13"/>
        <v>23</v>
      </c>
      <c r="AI47" s="29">
        <f t="shared" si="14"/>
        <v>8</v>
      </c>
      <c r="AJ47" s="37">
        <f t="shared" si="2"/>
        <v>31</v>
      </c>
    </row>
    <row r="48" spans="1:36">
      <c r="A48" s="18">
        <f t="shared" si="3"/>
        <v>45</v>
      </c>
      <c r="B48" s="19" t="s">
        <v>29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50</v>
      </c>
      <c r="K48" s="7" t="s">
        <v>50</v>
      </c>
      <c r="L48" s="7" t="s">
        <v>51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51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51</v>
      </c>
      <c r="Y48" s="7" t="s">
        <v>51</v>
      </c>
      <c r="Z48" s="7" t="s">
        <v>50</v>
      </c>
      <c r="AA48" s="7" t="s">
        <v>50</v>
      </c>
      <c r="AB48" s="7" t="s">
        <v>51</v>
      </c>
      <c r="AC48" s="7" t="s">
        <v>51</v>
      </c>
      <c r="AD48" s="7" t="s">
        <v>51</v>
      </c>
      <c r="AE48" s="7" t="s">
        <v>51</v>
      </c>
      <c r="AF48" s="4" t="s">
        <v>51</v>
      </c>
      <c r="AG48" s="4" t="s">
        <v>51</v>
      </c>
      <c r="AH48" s="27">
        <f t="shared" si="13"/>
        <v>17</v>
      </c>
      <c r="AI48" s="29">
        <f t="shared" si="14"/>
        <v>14</v>
      </c>
      <c r="AJ48" s="37">
        <f t="shared" si="2"/>
        <v>31</v>
      </c>
    </row>
    <row r="49" spans="1:36" hidden="1">
      <c r="A49" s="18">
        <f t="shared" si="3"/>
        <v>46</v>
      </c>
      <c r="B49" s="19" t="s">
        <v>30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50</v>
      </c>
      <c r="J49" s="7" t="s">
        <v>51</v>
      </c>
      <c r="K49" s="7" t="s">
        <v>51</v>
      </c>
      <c r="L49" s="7" t="s">
        <v>50</v>
      </c>
      <c r="M49" s="7" t="s">
        <v>50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50</v>
      </c>
      <c r="V49" s="7" t="s">
        <v>50</v>
      </c>
      <c r="W49" s="7" t="s">
        <v>50</v>
      </c>
      <c r="X49" s="7" t="s">
        <v>50</v>
      </c>
      <c r="Y49" s="7" t="s">
        <v>50</v>
      </c>
      <c r="Z49" s="7" t="s">
        <v>50</v>
      </c>
      <c r="AA49" s="7" t="s">
        <v>50</v>
      </c>
      <c r="AB49" s="7" t="s">
        <v>50</v>
      </c>
      <c r="AC49" s="7" t="s">
        <v>50</v>
      </c>
      <c r="AD49" s="7" t="s">
        <v>51</v>
      </c>
      <c r="AE49" s="7" t="s">
        <v>50</v>
      </c>
      <c r="AF49" s="7" t="s">
        <v>50</v>
      </c>
      <c r="AG49" s="7" t="s">
        <v>50</v>
      </c>
      <c r="AH49" s="27">
        <f t="shared" si="13"/>
        <v>26</v>
      </c>
      <c r="AI49" s="29">
        <f t="shared" si="14"/>
        <v>5</v>
      </c>
      <c r="AJ49" s="37">
        <f t="shared" si="2"/>
        <v>31</v>
      </c>
    </row>
    <row r="50" spans="1:36">
      <c r="A50" s="18">
        <f t="shared" si="3"/>
        <v>47</v>
      </c>
      <c r="B50" s="19" t="s">
        <v>31</v>
      </c>
      <c r="C50" s="6" t="s">
        <v>50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4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4" t="s">
        <v>51</v>
      </c>
      <c r="AG50" s="4" t="s">
        <v>51</v>
      </c>
      <c r="AH50" s="27">
        <f t="shared" si="13"/>
        <v>4</v>
      </c>
      <c r="AI50" s="29">
        <f t="shared" si="14"/>
        <v>27</v>
      </c>
      <c r="AJ50" s="37">
        <f t="shared" si="2"/>
        <v>31</v>
      </c>
    </row>
    <row r="51" spans="1:36">
      <c r="A51" s="18">
        <f t="shared" si="3"/>
        <v>48</v>
      </c>
      <c r="B51" s="19" t="s">
        <v>32</v>
      </c>
      <c r="C51" s="6" t="s">
        <v>51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50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4" t="s">
        <v>51</v>
      </c>
      <c r="R51" s="7" t="s">
        <v>50</v>
      </c>
      <c r="S51" s="7" t="s">
        <v>50</v>
      </c>
      <c r="T51" s="7" t="s">
        <v>51</v>
      </c>
      <c r="U51" s="7" t="s">
        <v>50</v>
      </c>
      <c r="V51" s="7" t="s">
        <v>50</v>
      </c>
      <c r="W51" s="7" t="s">
        <v>50</v>
      </c>
      <c r="X51" s="7" t="s">
        <v>50</v>
      </c>
      <c r="Y51" s="7" t="s">
        <v>51</v>
      </c>
      <c r="Z51" s="7" t="s">
        <v>50</v>
      </c>
      <c r="AA51" s="7" t="s">
        <v>50</v>
      </c>
      <c r="AB51" s="7" t="s">
        <v>51</v>
      </c>
      <c r="AC51" s="7" t="s">
        <v>51</v>
      </c>
      <c r="AD51" s="7" t="s">
        <v>51</v>
      </c>
      <c r="AE51" s="7" t="s">
        <v>51</v>
      </c>
      <c r="AF51" s="4" t="s">
        <v>51</v>
      </c>
      <c r="AG51" s="4" t="s">
        <v>51</v>
      </c>
      <c r="AH51" s="27">
        <f t="shared" si="13"/>
        <v>12</v>
      </c>
      <c r="AI51" s="29">
        <f t="shared" si="14"/>
        <v>19</v>
      </c>
      <c r="AJ51" s="37">
        <f t="shared" si="2"/>
        <v>31</v>
      </c>
    </row>
    <row r="52" spans="1:36">
      <c r="A52" s="18">
        <f t="shared" si="3"/>
        <v>49</v>
      </c>
      <c r="B52" s="19" t="s">
        <v>33</v>
      </c>
      <c r="C52" s="6" t="s">
        <v>50</v>
      </c>
      <c r="D52" s="7" t="s">
        <v>50</v>
      </c>
      <c r="E52" s="7" t="s">
        <v>50</v>
      </c>
      <c r="F52" s="7" t="s">
        <v>50</v>
      </c>
      <c r="G52" s="7" t="s">
        <v>51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50</v>
      </c>
      <c r="Q52" s="7" t="s">
        <v>50</v>
      </c>
      <c r="R52" s="4" t="s">
        <v>51</v>
      </c>
      <c r="S52" s="7" t="s">
        <v>51</v>
      </c>
      <c r="T52" s="7" t="s">
        <v>50</v>
      </c>
      <c r="U52" s="7" t="s">
        <v>50</v>
      </c>
      <c r="V52" s="7" t="s">
        <v>51</v>
      </c>
      <c r="W52" s="7" t="s">
        <v>50</v>
      </c>
      <c r="X52" s="7" t="s">
        <v>50</v>
      </c>
      <c r="Y52" s="7" t="s">
        <v>50</v>
      </c>
      <c r="Z52" s="7" t="s">
        <v>51</v>
      </c>
      <c r="AA52" s="7" t="s">
        <v>51</v>
      </c>
      <c r="AB52" s="7" t="s">
        <v>50</v>
      </c>
      <c r="AC52" s="7" t="s">
        <v>51</v>
      </c>
      <c r="AD52" s="7" t="s">
        <v>51</v>
      </c>
      <c r="AE52" s="7" t="s">
        <v>50</v>
      </c>
      <c r="AF52" s="4" t="s">
        <v>51</v>
      </c>
      <c r="AG52" s="4" t="s">
        <v>51</v>
      </c>
      <c r="AH52" s="27">
        <f t="shared" si="13"/>
        <v>19</v>
      </c>
      <c r="AI52" s="29">
        <f t="shared" si="14"/>
        <v>12</v>
      </c>
      <c r="AJ52" s="37">
        <f t="shared" si="2"/>
        <v>31</v>
      </c>
    </row>
    <row r="53" spans="1:36" hidden="1">
      <c r="A53" s="18">
        <f t="shared" si="3"/>
        <v>50</v>
      </c>
      <c r="B53" s="19" t="s">
        <v>34</v>
      </c>
      <c r="C53" s="6" t="s">
        <v>50</v>
      </c>
      <c r="D53" s="6" t="s">
        <v>50</v>
      </c>
      <c r="E53" s="6" t="s">
        <v>50</v>
      </c>
      <c r="F53" s="6" t="s">
        <v>50</v>
      </c>
      <c r="G53" s="6" t="s">
        <v>50</v>
      </c>
      <c r="H53" s="6" t="s">
        <v>50</v>
      </c>
      <c r="I53" s="6" t="s">
        <v>50</v>
      </c>
      <c r="J53" s="6" t="s">
        <v>50</v>
      </c>
      <c r="K53" s="6" t="s">
        <v>50</v>
      </c>
      <c r="L53" s="6" t="s">
        <v>50</v>
      </c>
      <c r="M53" s="6" t="s">
        <v>50</v>
      </c>
      <c r="N53" s="6" t="s">
        <v>50</v>
      </c>
      <c r="O53" s="6" t="s">
        <v>50</v>
      </c>
      <c r="P53" s="7" t="s">
        <v>50</v>
      </c>
      <c r="Q53" s="6" t="s">
        <v>50</v>
      </c>
      <c r="R53" s="6" t="s">
        <v>50</v>
      </c>
      <c r="S53" s="6" t="s">
        <v>50</v>
      </c>
      <c r="T53" s="6" t="s">
        <v>50</v>
      </c>
      <c r="U53" s="6" t="s">
        <v>51</v>
      </c>
      <c r="V53" s="7" t="s">
        <v>51</v>
      </c>
      <c r="W53" s="6" t="s">
        <v>50</v>
      </c>
      <c r="X53" s="6" t="s">
        <v>50</v>
      </c>
      <c r="Y53" s="6" t="s">
        <v>50</v>
      </c>
      <c r="Z53" s="6" t="s">
        <v>50</v>
      </c>
      <c r="AA53" s="7" t="s">
        <v>51</v>
      </c>
      <c r="AB53" s="6" t="s">
        <v>50</v>
      </c>
      <c r="AC53" s="6" t="s">
        <v>50</v>
      </c>
      <c r="AD53" s="6" t="s">
        <v>50</v>
      </c>
      <c r="AE53" s="6" t="s">
        <v>50</v>
      </c>
      <c r="AF53" s="6" t="s">
        <v>50</v>
      </c>
      <c r="AG53" s="6" t="s">
        <v>50</v>
      </c>
      <c r="AH53" s="27">
        <f t="shared" si="13"/>
        <v>28</v>
      </c>
      <c r="AI53" s="29">
        <f t="shared" si="14"/>
        <v>3</v>
      </c>
      <c r="AJ53" s="37">
        <f>SUM(AH53:AI53)</f>
        <v>31</v>
      </c>
    </row>
    <row r="54" spans="1:36" hidden="1">
      <c r="A54" s="18">
        <f t="shared" si="3"/>
        <v>51</v>
      </c>
      <c r="B54" s="19" t="s">
        <v>47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50</v>
      </c>
      <c r="H54" s="7" t="s">
        <v>50</v>
      </c>
      <c r="I54" s="7" t="s">
        <v>51</v>
      </c>
      <c r="J54" s="7" t="s">
        <v>50</v>
      </c>
      <c r="K54" s="7" t="s">
        <v>50</v>
      </c>
      <c r="L54" s="7" t="s">
        <v>50</v>
      </c>
      <c r="M54" s="7" t="s">
        <v>50</v>
      </c>
      <c r="N54" s="7" t="s">
        <v>50</v>
      </c>
      <c r="O54" s="7" t="s">
        <v>50</v>
      </c>
      <c r="P54" s="7" t="s">
        <v>50</v>
      </c>
      <c r="Q54" s="7" t="s">
        <v>51</v>
      </c>
      <c r="R54" s="4" t="s">
        <v>51</v>
      </c>
      <c r="S54" s="7" t="s">
        <v>50</v>
      </c>
      <c r="T54" s="7" t="s">
        <v>50</v>
      </c>
      <c r="U54" s="7" t="s">
        <v>51</v>
      </c>
      <c r="V54" s="7" t="s">
        <v>50</v>
      </c>
      <c r="W54" s="7" t="s">
        <v>51</v>
      </c>
      <c r="X54" s="7" t="s">
        <v>51</v>
      </c>
      <c r="Y54" s="7" t="s">
        <v>51</v>
      </c>
      <c r="Z54" s="7" t="s">
        <v>51</v>
      </c>
      <c r="AA54" s="7" t="s">
        <v>50</v>
      </c>
      <c r="AB54" s="7" t="s">
        <v>51</v>
      </c>
      <c r="AC54" s="7" t="s">
        <v>51</v>
      </c>
      <c r="AD54" s="7" t="s">
        <v>51</v>
      </c>
      <c r="AE54" s="7" t="s">
        <v>50</v>
      </c>
      <c r="AF54" s="7" t="s">
        <v>50</v>
      </c>
      <c r="AG54" s="7" t="s">
        <v>50</v>
      </c>
      <c r="AH54" s="27">
        <f t="shared" si="13"/>
        <v>17</v>
      </c>
      <c r="AI54" s="29">
        <f t="shared" si="14"/>
        <v>14</v>
      </c>
      <c r="AJ54" s="37">
        <f t="shared" ref="AJ54:AJ61" si="15">SUM(AH54:AI54)</f>
        <v>31</v>
      </c>
    </row>
    <row r="55" spans="1:36" hidden="1">
      <c r="A55" s="18">
        <f t="shared" si="3"/>
        <v>52</v>
      </c>
      <c r="B55" s="19" t="s">
        <v>61</v>
      </c>
      <c r="C55" s="6" t="s">
        <v>50</v>
      </c>
      <c r="D55" s="7" t="s">
        <v>50</v>
      </c>
      <c r="E55" s="7" t="s">
        <v>50</v>
      </c>
      <c r="F55" s="7" t="s">
        <v>51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51</v>
      </c>
      <c r="T55" s="7" t="s">
        <v>50</v>
      </c>
      <c r="U55" s="7" t="s">
        <v>50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51</v>
      </c>
      <c r="AB55" s="7" t="s">
        <v>50</v>
      </c>
      <c r="AC55" s="7" t="s">
        <v>51</v>
      </c>
      <c r="AD55" s="7" t="s">
        <v>51</v>
      </c>
      <c r="AE55" s="7" t="s">
        <v>50</v>
      </c>
      <c r="AF55" s="7" t="s">
        <v>50</v>
      </c>
      <c r="AG55" s="7" t="s">
        <v>50</v>
      </c>
      <c r="AH55" s="27">
        <f t="shared" si="13"/>
        <v>22</v>
      </c>
      <c r="AI55" s="29">
        <f t="shared" si="14"/>
        <v>9</v>
      </c>
      <c r="AJ55" s="37">
        <f t="shared" ref="AJ55" si="16">SUM(AH55:AI55)</f>
        <v>31</v>
      </c>
    </row>
    <row r="56" spans="1:36">
      <c r="A56" s="18">
        <f t="shared" si="3"/>
        <v>53</v>
      </c>
      <c r="B56" s="19" t="s">
        <v>36</v>
      </c>
      <c r="C56" s="6" t="s">
        <v>51</v>
      </c>
      <c r="D56" s="7" t="s">
        <v>50</v>
      </c>
      <c r="E56" s="7" t="s">
        <v>51</v>
      </c>
      <c r="F56" s="7" t="s">
        <v>50</v>
      </c>
      <c r="G56" s="7" t="s">
        <v>50</v>
      </c>
      <c r="H56" s="7" t="s">
        <v>50</v>
      </c>
      <c r="I56" s="7" t="s">
        <v>50</v>
      </c>
      <c r="J56" s="7" t="s">
        <v>51</v>
      </c>
      <c r="K56" s="7" t="s">
        <v>51</v>
      </c>
      <c r="L56" s="7" t="s">
        <v>51</v>
      </c>
      <c r="M56" s="7" t="s">
        <v>50</v>
      </c>
      <c r="N56" s="7" t="s">
        <v>50</v>
      </c>
      <c r="O56" s="7" t="s">
        <v>50</v>
      </c>
      <c r="P56" s="7" t="s">
        <v>50</v>
      </c>
      <c r="Q56" s="7" t="s">
        <v>50</v>
      </c>
      <c r="R56" s="7" t="s">
        <v>51</v>
      </c>
      <c r="S56" s="7" t="s">
        <v>51</v>
      </c>
      <c r="T56" s="7" t="s">
        <v>51</v>
      </c>
      <c r="U56" s="7" t="s">
        <v>51</v>
      </c>
      <c r="V56" s="7" t="s">
        <v>50</v>
      </c>
      <c r="W56" s="7" t="s">
        <v>50</v>
      </c>
      <c r="X56" s="7" t="s">
        <v>50</v>
      </c>
      <c r="Y56" s="7" t="s">
        <v>51</v>
      </c>
      <c r="Z56" s="7" t="s">
        <v>51</v>
      </c>
      <c r="AA56" s="7" t="s">
        <v>51</v>
      </c>
      <c r="AB56" s="7" t="s">
        <v>51</v>
      </c>
      <c r="AC56" s="7" t="s">
        <v>50</v>
      </c>
      <c r="AD56" s="7" t="s">
        <v>50</v>
      </c>
      <c r="AE56" s="7" t="s">
        <v>50</v>
      </c>
      <c r="AF56" s="4" t="s">
        <v>51</v>
      </c>
      <c r="AG56" s="4" t="s">
        <v>51</v>
      </c>
      <c r="AH56" s="27">
        <f t="shared" si="13"/>
        <v>16</v>
      </c>
      <c r="AI56" s="29">
        <f t="shared" si="14"/>
        <v>15</v>
      </c>
      <c r="AJ56" s="37">
        <f t="shared" si="15"/>
        <v>31</v>
      </c>
    </row>
    <row r="57" spans="1:36" hidden="1">
      <c r="A57" s="18">
        <f t="shared" si="3"/>
        <v>54</v>
      </c>
      <c r="B57" s="19" t="s">
        <v>45</v>
      </c>
      <c r="C57" s="6" t="s">
        <v>50</v>
      </c>
      <c r="D57" s="7" t="s">
        <v>50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50</v>
      </c>
      <c r="J57" s="7" t="s">
        <v>50</v>
      </c>
      <c r="K57" s="7" t="s">
        <v>50</v>
      </c>
      <c r="L57" s="7" t="s">
        <v>51</v>
      </c>
      <c r="M57" s="7" t="s">
        <v>50</v>
      </c>
      <c r="N57" s="7" t="s">
        <v>50</v>
      </c>
      <c r="O57" s="7" t="s">
        <v>51</v>
      </c>
      <c r="P57" s="7" t="s">
        <v>50</v>
      </c>
      <c r="Q57" s="7" t="s">
        <v>50</v>
      </c>
      <c r="R57" s="7" t="s">
        <v>50</v>
      </c>
      <c r="S57" s="7" t="s">
        <v>51</v>
      </c>
      <c r="T57" s="7" t="s">
        <v>50</v>
      </c>
      <c r="U57" s="7" t="s">
        <v>51</v>
      </c>
      <c r="V57" s="7" t="s">
        <v>50</v>
      </c>
      <c r="W57" s="7" t="s">
        <v>50</v>
      </c>
      <c r="X57" s="7" t="s">
        <v>50</v>
      </c>
      <c r="Y57" s="7" t="s">
        <v>50</v>
      </c>
      <c r="Z57" s="7" t="s">
        <v>50</v>
      </c>
      <c r="AA57" s="7" t="s">
        <v>51</v>
      </c>
      <c r="AB57" s="7" t="s">
        <v>51</v>
      </c>
      <c r="AC57" s="7" t="s">
        <v>51</v>
      </c>
      <c r="AD57" s="7" t="s">
        <v>50</v>
      </c>
      <c r="AE57" s="7" t="s">
        <v>50</v>
      </c>
      <c r="AF57" s="7" t="s">
        <v>50</v>
      </c>
      <c r="AG57" s="7" t="s">
        <v>50</v>
      </c>
      <c r="AH57" s="27">
        <f t="shared" si="13"/>
        <v>20</v>
      </c>
      <c r="AI57" s="29">
        <f t="shared" si="14"/>
        <v>11</v>
      </c>
      <c r="AJ57" s="37">
        <f t="shared" si="15"/>
        <v>31</v>
      </c>
    </row>
    <row r="58" spans="1:36">
      <c r="A58" s="18">
        <f t="shared" si="3"/>
        <v>55</v>
      </c>
      <c r="B58" s="19" t="s">
        <v>37</v>
      </c>
      <c r="C58" s="6" t="s">
        <v>50</v>
      </c>
      <c r="D58" s="7" t="s">
        <v>50</v>
      </c>
      <c r="E58" s="7" t="s">
        <v>51</v>
      </c>
      <c r="F58" s="7" t="s">
        <v>50</v>
      </c>
      <c r="G58" s="7" t="s">
        <v>50</v>
      </c>
      <c r="H58" s="7" t="s">
        <v>50</v>
      </c>
      <c r="I58" s="7" t="s">
        <v>50</v>
      </c>
      <c r="J58" s="7" t="s">
        <v>51</v>
      </c>
      <c r="K58" s="7" t="s">
        <v>51</v>
      </c>
      <c r="L58" s="7" t="s">
        <v>51</v>
      </c>
      <c r="M58" s="7" t="s">
        <v>50</v>
      </c>
      <c r="N58" s="7" t="s">
        <v>51</v>
      </c>
      <c r="O58" s="7" t="s">
        <v>50</v>
      </c>
      <c r="P58" s="7" t="s">
        <v>50</v>
      </c>
      <c r="Q58" s="7" t="s">
        <v>50</v>
      </c>
      <c r="R58" s="7" t="s">
        <v>50</v>
      </c>
      <c r="S58" s="7" t="s">
        <v>51</v>
      </c>
      <c r="T58" s="7" t="s">
        <v>51</v>
      </c>
      <c r="U58" s="7" t="s">
        <v>51</v>
      </c>
      <c r="V58" s="7" t="s">
        <v>50</v>
      </c>
      <c r="W58" s="7" t="s">
        <v>50</v>
      </c>
      <c r="X58" s="7" t="s">
        <v>51</v>
      </c>
      <c r="Y58" s="7" t="s">
        <v>50</v>
      </c>
      <c r="Z58" s="7" t="s">
        <v>50</v>
      </c>
      <c r="AA58" s="7" t="s">
        <v>50</v>
      </c>
      <c r="AB58" s="7" t="s">
        <v>50</v>
      </c>
      <c r="AC58" s="7" t="s">
        <v>50</v>
      </c>
      <c r="AD58" s="7" t="s">
        <v>50</v>
      </c>
      <c r="AE58" s="7" t="s">
        <v>50</v>
      </c>
      <c r="AF58" s="4" t="s">
        <v>51</v>
      </c>
      <c r="AG58" s="4" t="s">
        <v>51</v>
      </c>
      <c r="AH58" s="27">
        <f t="shared" si="13"/>
        <v>20</v>
      </c>
      <c r="AI58" s="29">
        <f t="shared" si="14"/>
        <v>11</v>
      </c>
      <c r="AJ58" s="37">
        <f t="shared" si="15"/>
        <v>31</v>
      </c>
    </row>
    <row r="59" spans="1:36" hidden="1">
      <c r="A59" s="18">
        <f t="shared" si="3"/>
        <v>56</v>
      </c>
      <c r="B59" s="19" t="s">
        <v>38</v>
      </c>
      <c r="C59" s="6" t="s">
        <v>50</v>
      </c>
      <c r="D59" s="7" t="s">
        <v>50</v>
      </c>
      <c r="E59" s="7" t="s">
        <v>51</v>
      </c>
      <c r="F59" s="7" t="s">
        <v>51</v>
      </c>
      <c r="G59" s="7" t="s">
        <v>51</v>
      </c>
      <c r="H59" s="7" t="s">
        <v>51</v>
      </c>
      <c r="I59" s="7" t="s">
        <v>51</v>
      </c>
      <c r="J59" s="7" t="s">
        <v>51</v>
      </c>
      <c r="K59" s="7" t="s">
        <v>51</v>
      </c>
      <c r="L59" s="7" t="s">
        <v>50</v>
      </c>
      <c r="M59" s="7" t="s">
        <v>51</v>
      </c>
      <c r="N59" s="7" t="s">
        <v>50</v>
      </c>
      <c r="O59" s="7" t="s">
        <v>50</v>
      </c>
      <c r="P59" s="7" t="s">
        <v>50</v>
      </c>
      <c r="Q59" s="7" t="s">
        <v>50</v>
      </c>
      <c r="R59" s="4" t="s">
        <v>51</v>
      </c>
      <c r="S59" s="7" t="s">
        <v>50</v>
      </c>
      <c r="T59" s="7" t="s">
        <v>50</v>
      </c>
      <c r="U59" s="7" t="s">
        <v>50</v>
      </c>
      <c r="V59" s="7" t="s">
        <v>50</v>
      </c>
      <c r="W59" s="7" t="s">
        <v>50</v>
      </c>
      <c r="X59" s="7" t="s">
        <v>51</v>
      </c>
      <c r="Y59" s="7" t="s">
        <v>51</v>
      </c>
      <c r="Z59" s="7" t="s">
        <v>50</v>
      </c>
      <c r="AA59" s="7" t="s">
        <v>50</v>
      </c>
      <c r="AB59" s="7" t="s">
        <v>50</v>
      </c>
      <c r="AC59" s="7" t="s">
        <v>50</v>
      </c>
      <c r="AD59" s="7" t="s">
        <v>50</v>
      </c>
      <c r="AE59" s="7" t="s">
        <v>50</v>
      </c>
      <c r="AF59" s="4" t="s">
        <v>51</v>
      </c>
      <c r="AG59" s="7" t="s">
        <v>51</v>
      </c>
      <c r="AH59" s="27">
        <f t="shared" si="13"/>
        <v>18</v>
      </c>
      <c r="AI59" s="29">
        <f t="shared" si="14"/>
        <v>13</v>
      </c>
      <c r="AJ59" s="37">
        <f t="shared" si="15"/>
        <v>31</v>
      </c>
    </row>
    <row r="60" spans="1:36">
      <c r="A60" s="18">
        <f t="shared" si="3"/>
        <v>57</v>
      </c>
      <c r="B60" s="41" t="s">
        <v>66</v>
      </c>
      <c r="C60" s="42"/>
      <c r="D60" s="43"/>
      <c r="E60" s="43"/>
      <c r="F60" s="7"/>
      <c r="G60" s="43"/>
      <c r="H60" s="7"/>
      <c r="I60" s="7"/>
      <c r="J60" s="7"/>
      <c r="K60" s="7"/>
      <c r="L60" s="43"/>
      <c r="M60" s="43"/>
      <c r="N60" s="43"/>
      <c r="O60" s="43"/>
      <c r="P60" s="43"/>
      <c r="Q60" s="4"/>
      <c r="R60" s="4"/>
      <c r="S60" s="7"/>
      <c r="T60" s="43"/>
      <c r="U60" s="43" t="s">
        <v>50</v>
      </c>
      <c r="V60" s="43" t="s">
        <v>50</v>
      </c>
      <c r="W60" s="7" t="s">
        <v>50</v>
      </c>
      <c r="X60" s="43" t="s">
        <v>50</v>
      </c>
      <c r="Y60" s="43" t="s">
        <v>50</v>
      </c>
      <c r="Z60" s="7" t="s">
        <v>51</v>
      </c>
      <c r="AA60" s="7" t="s">
        <v>51</v>
      </c>
      <c r="AB60" s="43" t="s">
        <v>50</v>
      </c>
      <c r="AC60" s="43" t="s">
        <v>50</v>
      </c>
      <c r="AD60" s="43" t="s">
        <v>50</v>
      </c>
      <c r="AE60" s="43" t="s">
        <v>50</v>
      </c>
      <c r="AF60" s="4" t="s">
        <v>51</v>
      </c>
      <c r="AG60" s="4" t="s">
        <v>51</v>
      </c>
      <c r="AH60" s="27">
        <f t="shared" ref="AH60" si="17">COUNTIF(C60:AG60,"+")</f>
        <v>9</v>
      </c>
      <c r="AI60" s="29">
        <f t="shared" ref="AI60" si="18">COUNTIF(C60:AG60,"-")</f>
        <v>4</v>
      </c>
      <c r="AJ60" s="37">
        <f t="shared" ref="AJ60" si="19">SUM(AH60:AI60)</f>
        <v>13</v>
      </c>
    </row>
    <row r="61" spans="1:36" ht="16.5" thickBot="1">
      <c r="A61" s="18">
        <f t="shared" si="3"/>
        <v>58</v>
      </c>
      <c r="B61" s="22" t="s">
        <v>39</v>
      </c>
      <c r="C61" s="23" t="s">
        <v>51</v>
      </c>
      <c r="D61" s="24" t="s">
        <v>51</v>
      </c>
      <c r="E61" s="24" t="s">
        <v>51</v>
      </c>
      <c r="F61" s="7" t="s">
        <v>51</v>
      </c>
      <c r="G61" s="24" t="s">
        <v>50</v>
      </c>
      <c r="H61" s="7" t="s">
        <v>51</v>
      </c>
      <c r="I61" s="7" t="s">
        <v>50</v>
      </c>
      <c r="J61" s="7" t="s">
        <v>51</v>
      </c>
      <c r="K61" s="7" t="s">
        <v>51</v>
      </c>
      <c r="L61" s="24" t="s">
        <v>50</v>
      </c>
      <c r="M61" s="24" t="s">
        <v>50</v>
      </c>
      <c r="N61" s="24" t="s">
        <v>50</v>
      </c>
      <c r="O61" s="24" t="s">
        <v>50</v>
      </c>
      <c r="P61" s="24" t="s">
        <v>50</v>
      </c>
      <c r="Q61" s="4" t="s">
        <v>51</v>
      </c>
      <c r="R61" s="4" t="s">
        <v>51</v>
      </c>
      <c r="S61" s="7" t="s">
        <v>50</v>
      </c>
      <c r="T61" s="24" t="s">
        <v>50</v>
      </c>
      <c r="U61" s="24" t="s">
        <v>50</v>
      </c>
      <c r="V61" s="24" t="s">
        <v>50</v>
      </c>
      <c r="W61" s="7" t="s">
        <v>50</v>
      </c>
      <c r="X61" s="24" t="s">
        <v>50</v>
      </c>
      <c r="Y61" s="24" t="s">
        <v>51</v>
      </c>
      <c r="Z61" s="7" t="s">
        <v>51</v>
      </c>
      <c r="AA61" s="24" t="s">
        <v>51</v>
      </c>
      <c r="AB61" s="24" t="s">
        <v>51</v>
      </c>
      <c r="AC61" s="24" t="s">
        <v>50</v>
      </c>
      <c r="AD61" s="24" t="s">
        <v>50</v>
      </c>
      <c r="AE61" s="24" t="s">
        <v>50</v>
      </c>
      <c r="AF61" s="24" t="s">
        <v>50</v>
      </c>
      <c r="AG61" s="4" t="s">
        <v>51</v>
      </c>
      <c r="AH61" s="28">
        <f t="shared" si="13"/>
        <v>17</v>
      </c>
      <c r="AI61" s="30">
        <f t="shared" si="14"/>
        <v>14</v>
      </c>
      <c r="AJ61" s="38">
        <f t="shared" si="15"/>
        <v>31</v>
      </c>
    </row>
    <row r="62" spans="1:36">
      <c r="A62" s="46" t="s">
        <v>56</v>
      </c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  <c r="AH62" s="46"/>
      <c r="AI62" s="46"/>
      <c r="AJ62" s="46"/>
    </row>
  </sheetData>
  <autoFilter ref="C2:AG62">
    <filterColumn colId="8"/>
    <filterColumn colId="18"/>
    <filterColumn colId="20"/>
    <filterColumn colId="25"/>
    <filterColumn colId="26"/>
    <filterColumn colId="29"/>
    <filterColumn colId="30">
      <filters blank="1"/>
    </filterColumn>
  </autoFilter>
  <mergeCells count="2">
    <mergeCell ref="A62:AJ62"/>
    <mergeCell ref="A1:AJ1"/>
  </mergeCells>
  <conditionalFormatting sqref="C4:AG61">
    <cfRule type="containsBlanks" dxfId="15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2019-01-02T11:59:42Z</dcterms:modified>
</cp:coreProperties>
</file>