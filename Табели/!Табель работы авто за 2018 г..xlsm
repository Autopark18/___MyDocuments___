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state="hidden" r:id="rId4"/>
  </sheets>
  <definedNames>
    <definedName name="_xlnm._FilterDatabase" localSheetId="2" hidden="1">'Декабрь 2018'!$E$2:$AL$49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5" i="6"/>
  <c r="AK55"/>
  <c r="AJ55"/>
  <c r="AL54"/>
  <c r="AK54"/>
  <c r="AJ54"/>
  <c r="AL53"/>
  <c r="AK53"/>
  <c r="AJ53"/>
  <c r="A51"/>
  <c r="AL49"/>
  <c r="AK49"/>
  <c r="AJ49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<sst xmlns="http://schemas.openxmlformats.org/spreadsheetml/2006/main" count="1878" uniqueCount="66">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</sst>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64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64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2018 автоколонны № 2 г. Смолевичи</v>
      </c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65" t="s">
        <v>63</v>
      </c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1" priority="2">
      <formula>LEN(TRIM(E4))=0</formula>
    </cfRule>
  </conditionalFormatting>
  <conditionalFormatting sqref="E52:AI54">
    <cfRule type="containsBlanks" dxfId="0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64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9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8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64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2018 автоколонны № 2 г. Смолевичи</v>
      </c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3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6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49" sqref="D49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64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9" si="0">COUNTIF(E4:AI4,1)</f>
        <v>0</v>
      </c>
      <c r="AK4" s="36">
        <f t="shared" ref="AK4:AK49" si="1">COUNTIF(E4:AI4,"тр")</f>
        <v>31</v>
      </c>
      <c r="AL4" s="37">
        <f t="shared" ref="AL4:AL49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7" t="s">
        <v>62</v>
      </c>
      <c r="AJ5" s="38">
        <f t="shared" si="0"/>
        <v>0</v>
      </c>
      <c r="AK5" s="39">
        <f t="shared" si="1"/>
        <v>31</v>
      </c>
      <c r="AL5" s="40">
        <f t="shared" si="2"/>
        <v>0</v>
      </c>
    </row>
    <row r="6" spans="1:38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6" t="s">
        <v>62</v>
      </c>
      <c r="G6" s="66" t="s">
        <v>62</v>
      </c>
      <c r="H6" s="66" t="s">
        <v>62</v>
      </c>
      <c r="I6" s="66" t="s">
        <v>62</v>
      </c>
      <c r="J6" s="6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0</v>
      </c>
      <c r="AK7" s="36">
        <f t="shared" si="1"/>
        <v>0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0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0</v>
      </c>
      <c r="AK9" s="36">
        <f t="shared" si="1"/>
        <v>0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0</v>
      </c>
      <c r="AK10" s="36">
        <f t="shared" si="1"/>
        <v>0</v>
      </c>
      <c r="AL10" s="37">
        <f t="shared" si="2"/>
        <v>0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0</v>
      </c>
      <c r="AK11" s="36">
        <f t="shared" si="1"/>
        <v>0</v>
      </c>
      <c r="AL11" s="37">
        <f t="shared" si="2"/>
        <v>0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0</v>
      </c>
      <c r="AK12" s="36">
        <f t="shared" si="1"/>
        <v>0</v>
      </c>
      <c r="AL12" s="37">
        <f t="shared" si="2"/>
        <v>0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0</v>
      </c>
      <c r="AK13" s="36">
        <f t="shared" si="1"/>
        <v>0</v>
      </c>
      <c r="AL13" s="37">
        <f t="shared" si="2"/>
        <v>0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0</v>
      </c>
      <c r="AK14" s="36">
        <f t="shared" si="1"/>
        <v>0</v>
      </c>
      <c r="AL14" s="37">
        <f t="shared" si="2"/>
        <v>0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0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0</v>
      </c>
      <c r="AK16" s="36">
        <f t="shared" si="1"/>
        <v>0</v>
      </c>
      <c r="AL16" s="37">
        <f t="shared" si="2"/>
        <v>0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0</v>
      </c>
      <c r="AK17" s="36">
        <f t="shared" si="1"/>
        <v>0</v>
      </c>
      <c r="AL17" s="37">
        <f t="shared" si="2"/>
        <v>0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0</v>
      </c>
      <c r="AK18" s="36">
        <f t="shared" si="1"/>
        <v>0</v>
      </c>
      <c r="AL18" s="37">
        <f t="shared" si="2"/>
        <v>0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0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0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0</v>
      </c>
      <c r="AK21" s="45">
        <f t="shared" si="1"/>
        <v>0</v>
      </c>
      <c r="AL21" s="46">
        <f t="shared" si="2"/>
        <v>0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0</v>
      </c>
      <c r="AK22" s="42">
        <f t="shared" si="1"/>
        <v>0</v>
      </c>
      <c r="AL22" s="43">
        <f t="shared" si="2"/>
        <v>0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0</v>
      </c>
      <c r="AK25" s="36">
        <f t="shared" si="1"/>
        <v>0</v>
      </c>
      <c r="AL25" s="37">
        <f t="shared" si="2"/>
        <v>0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0</v>
      </c>
      <c r="AK26" s="36">
        <f t="shared" si="1"/>
        <v>0</v>
      </c>
      <c r="AL26" s="37">
        <f t="shared" si="2"/>
        <v>0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0</v>
      </c>
      <c r="AK27" s="36">
        <f t="shared" si="1"/>
        <v>0</v>
      </c>
      <c r="AL27" s="37">
        <f t="shared" si="2"/>
        <v>0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0</v>
      </c>
      <c r="AK28" s="45">
        <f t="shared" si="1"/>
        <v>0</v>
      </c>
      <c r="AL28" s="46">
        <f t="shared" si="2"/>
        <v>0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0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si="0"/>
        <v>0</v>
      </c>
      <c r="AK34" s="42">
        <f t="shared" si="1"/>
        <v>31</v>
      </c>
      <c r="AL34" s="43">
        <f t="shared" si="2"/>
        <v>0</v>
      </c>
    </row>
    <row r="35" spans="1:38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0"/>
        <v>0</v>
      </c>
      <c r="AK35" s="45">
        <f t="shared" si="1"/>
        <v>31</v>
      </c>
      <c r="AL35" s="46">
        <f t="shared" si="2"/>
        <v>0</v>
      </c>
    </row>
    <row r="36" spans="1:38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41">
        <f t="shared" si="0"/>
        <v>0</v>
      </c>
      <c r="AK36" s="42">
        <f t="shared" si="1"/>
        <v>0</v>
      </c>
      <c r="AL36" s="43">
        <f t="shared" si="2"/>
        <v>0</v>
      </c>
    </row>
    <row r="37" spans="1:38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35">
        <f t="shared" si="0"/>
        <v>0</v>
      </c>
      <c r="AK37" s="36">
        <f t="shared" si="1"/>
        <v>0</v>
      </c>
      <c r="AL37" s="37">
        <f t="shared" si="2"/>
        <v>0</v>
      </c>
    </row>
    <row r="38" spans="1:38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44">
        <f t="shared" si="0"/>
        <v>0</v>
      </c>
      <c r="AK38" s="45">
        <f t="shared" si="1"/>
        <v>0</v>
      </c>
      <c r="AL38" s="46">
        <f t="shared" si="2"/>
        <v>0</v>
      </c>
    </row>
    <row r="39" spans="1:38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41">
        <f t="shared" si="0"/>
        <v>0</v>
      </c>
      <c r="AK39" s="42">
        <f t="shared" si="1"/>
        <v>0</v>
      </c>
      <c r="AL39" s="43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0</v>
      </c>
      <c r="AK40" s="36">
        <f t="shared" si="1"/>
        <v>0</v>
      </c>
      <c r="AL40" s="37">
        <f t="shared" si="2"/>
        <v>0</v>
      </c>
    </row>
    <row r="41" spans="1:38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0</v>
      </c>
      <c r="AK41" s="36">
        <f t="shared" si="1"/>
        <v>0</v>
      </c>
      <c r="AL41" s="37">
        <f t="shared" si="2"/>
        <v>0</v>
      </c>
    </row>
    <row r="42" spans="1:38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0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0</v>
      </c>
      <c r="AK43" s="36">
        <f t="shared" si="1"/>
        <v>0</v>
      </c>
      <c r="AL43" s="37">
        <f t="shared" si="2"/>
        <v>0</v>
      </c>
    </row>
    <row r="44" spans="1:38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35">
        <f t="shared" si="0"/>
        <v>0</v>
      </c>
      <c r="AK44" s="36">
        <f t="shared" si="1"/>
        <v>0</v>
      </c>
      <c r="AL44" s="37">
        <f t="shared" si="2"/>
        <v>0</v>
      </c>
    </row>
    <row r="45" spans="1:38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44">
        <f t="shared" si="0"/>
        <v>0</v>
      </c>
      <c r="AK45" s="45">
        <f t="shared" si="1"/>
        <v>0</v>
      </c>
      <c r="AL45" s="46">
        <f t="shared" si="2"/>
        <v>0</v>
      </c>
    </row>
    <row r="46" spans="1:38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41">
        <f t="shared" si="0"/>
        <v>0</v>
      </c>
      <c r="AK46" s="42">
        <f t="shared" si="1"/>
        <v>0</v>
      </c>
      <c r="AL46" s="43">
        <f t="shared" si="2"/>
        <v>0</v>
      </c>
    </row>
    <row r="47" spans="1:38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44">
        <f t="shared" si="0"/>
        <v>0</v>
      </c>
      <c r="AK47" s="45">
        <f t="shared" si="1"/>
        <v>0</v>
      </c>
      <c r="AL47" s="46">
        <f t="shared" si="2"/>
        <v>0</v>
      </c>
    </row>
    <row r="48" spans="1:38">
      <c r="A48" s="69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35">
        <f t="shared" si="0"/>
        <v>0</v>
      </c>
      <c r="AK48" s="36">
        <f t="shared" si="1"/>
        <v>0</v>
      </c>
      <c r="AL48" s="37">
        <f t="shared" si="2"/>
        <v>0</v>
      </c>
    </row>
    <row r="49" spans="1:38" ht="16.5" thickBot="1">
      <c r="A49" s="68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44">
        <f t="shared" si="0"/>
        <v>0</v>
      </c>
      <c r="AK49" s="45">
        <f t="shared" si="1"/>
        <v>0</v>
      </c>
      <c r="AL49" s="46">
        <f t="shared" si="2"/>
        <v>0</v>
      </c>
    </row>
    <row r="50" spans="1:38">
      <c r="B50" s="1"/>
      <c r="C50" s="2"/>
      <c r="D50" s="2"/>
    </row>
    <row r="51" spans="1:38" ht="16.5" thickBot="1">
      <c r="A51" s="64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2018 автоколонны № 2 г. Смолевичи</v>
      </c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</row>
    <row r="52" spans="1:38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8">
        <v>31</v>
      </c>
      <c r="AJ52" s="59">
        <v>1</v>
      </c>
      <c r="AK52" s="60" t="s">
        <v>62</v>
      </c>
      <c r="AL52" s="61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>COUNTIF(E53:AI53,1)</f>
        <v>0</v>
      </c>
      <c r="AK53" s="42">
        <f>COUNTIF(E53:AI53,"тр")</f>
        <v>31</v>
      </c>
      <c r="AL53" s="43">
        <f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35">
        <f>COUNTIF(E54:AI54,1)</f>
        <v>0</v>
      </c>
      <c r="AK54" s="36">
        <f>COUNTIF(E54:AI54,"тр")</f>
        <v>0</v>
      </c>
      <c r="AL54" s="37">
        <f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44">
        <f>COUNTIF(E55:AI55,1)</f>
        <v>0</v>
      </c>
      <c r="AK55" s="45">
        <f>COUNTIF(E55:AI55,"тр")</f>
        <v>0</v>
      </c>
      <c r="AL55" s="46">
        <f>COUNTIF(E55:AI55,"бв")</f>
        <v>0</v>
      </c>
    </row>
    <row r="56" spans="1:38">
      <c r="B56" s="1"/>
      <c r="C56" s="2"/>
      <c r="D56" s="2"/>
    </row>
  </sheetData>
  <autoFilter ref="E2:AL49">
    <filterColumn colId="9"/>
    <filterColumn colId="10"/>
    <filterColumn colId="11"/>
    <filterColumn colId="19"/>
    <filterColumn colId="29"/>
  </autoFilter>
  <mergeCells count="2">
    <mergeCell ref="A1:AL1"/>
    <mergeCell ref="A51:AL51"/>
  </mergeCells>
  <conditionalFormatting sqref="E4:AI49 E53:AI5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2018-12-03T09:09:48Z</dcterms:modified>
</cp:coreProperties>
</file>