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2"/>
  </bookViews>
  <sheets>
    <sheet name="Октябрь 2018" sheetId="1" r:id="rId1"/>
    <sheet name="Ноябрь 2018" sheetId="4" r:id="rId2"/>
    <sheet name="Декабрь 2018" sheetId="6" r:id="rId3"/>
    <sheet name="Данные" sheetId="5" r:id="rId4"/>
  </sheets>
  <functionGroups/>
  <definedNames>
    <definedName name="_xlnm._FilterDatabase" localSheetId="2" hidden="1">'Декабрь 2018'!$E$2:$AL$48</definedName>
    <definedName name="_xlnm._FilterDatabase" localSheetId="1" hidden="1">'Ноябрь 2018'!$E$2:$AK$49</definedName>
    <definedName name="_xlnm._FilterDatabase" localSheetId="0" hidden="1">'Октябрь 2018'!$E$2:$AM$47</definedName>
    <definedName name="ULCorner" localSheetId="2">'Декабрь 2018'!$E$4</definedName>
    <definedName name="ULCorner">'Ноябрь 2018'!$E$4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L54" i="6"/>
  <c r="AK54"/>
  <c r="AJ54"/>
  <c r="AL53"/>
  <c r="AK53"/>
  <c r="AJ53"/>
  <c r="AL52"/>
  <c r="AK52"/>
  <c r="AJ52"/>
  <c r="A50"/>
  <c r="AL48"/>
  <c r="AK48"/>
  <c r="AJ48"/>
  <c r="AL47"/>
  <c r="AK47"/>
  <c r="AJ47"/>
  <c r="AL46"/>
  <c r="AK46"/>
  <c r="AJ46"/>
  <c r="AL45"/>
  <c r="AK45"/>
  <c r="AJ45"/>
  <c r="AL44"/>
  <c r="AK44"/>
  <c r="AJ44"/>
  <c r="AL43"/>
  <c r="AK43"/>
  <c r="AJ43"/>
  <c r="AL42"/>
  <c r="AK42"/>
  <c r="AJ42"/>
  <c r="AL41"/>
  <c r="AK41"/>
  <c r="AJ41"/>
  <c r="AL40"/>
  <c r="AK40"/>
  <c r="AJ40"/>
  <c r="AL39"/>
  <c r="AK39"/>
  <c r="AJ39"/>
  <c r="AL38"/>
  <c r="AK38"/>
  <c r="AJ38"/>
  <c r="AL37"/>
  <c r="AK37"/>
  <c r="AJ37"/>
  <c r="AL36"/>
  <c r="AK36"/>
  <c r="AJ36"/>
  <c r="AL35"/>
  <c r="AK35"/>
  <c r="AJ35"/>
  <c r="AL34"/>
  <c r="AK34"/>
  <c r="AJ34"/>
  <c r="AL33"/>
  <c r="AK33"/>
  <c r="AJ33"/>
  <c r="AL32"/>
  <c r="AK32"/>
  <c r="AJ32"/>
  <c r="AL31"/>
  <c r="AK31"/>
  <c r="AJ31"/>
  <c r="AL30"/>
  <c r="AK30"/>
  <c r="AJ30"/>
  <c r="AL29"/>
  <c r="AK29"/>
  <c r="AJ29"/>
  <c r="AL28"/>
  <c r="AK28"/>
  <c r="AJ28"/>
  <c r="AL27"/>
  <c r="AK27"/>
  <c r="AJ27"/>
  <c r="AL26"/>
  <c r="AK26"/>
  <c r="AJ26"/>
  <c r="AL25"/>
  <c r="AK25"/>
  <c r="AJ25"/>
  <c r="AL24"/>
  <c r="AK24"/>
  <c r="AJ24"/>
  <c r="AL23"/>
  <c r="AK23"/>
  <c r="AJ23"/>
  <c r="AL22"/>
  <c r="AK22"/>
  <c r="AJ22"/>
  <c r="AL21"/>
  <c r="AK21"/>
  <c r="AJ21"/>
  <c r="AL20"/>
  <c r="AK20"/>
  <c r="AJ20"/>
  <c r="AL19"/>
  <c r="AK19"/>
  <c r="AJ19"/>
  <c r="AL18"/>
  <c r="AK18"/>
  <c r="AJ18"/>
  <c r="AL17"/>
  <c r="AK17"/>
  <c r="AJ17"/>
  <c r="AL16"/>
  <c r="AK16"/>
  <c r="AJ16"/>
  <c r="AL15"/>
  <c r="AK15"/>
  <c r="AJ15"/>
  <c r="AL14"/>
  <c r="AK14"/>
  <c r="AJ14"/>
  <c r="AL13"/>
  <c r="AK13"/>
  <c r="AJ13"/>
  <c r="AL12"/>
  <c r="AK12"/>
  <c r="AJ12"/>
  <c r="AL11"/>
  <c r="AK11"/>
  <c r="AJ11"/>
  <c r="AL10"/>
  <c r="AK10"/>
  <c r="AJ10"/>
  <c r="AL9"/>
  <c r="AK9"/>
  <c r="AJ9"/>
  <c r="AL8"/>
  <c r="AK8"/>
  <c r="AJ8"/>
  <c r="AL7"/>
  <c r="AK7"/>
  <c r="AJ7"/>
  <c r="AL6"/>
  <c r="AK6"/>
  <c r="AJ6"/>
  <c r="AL5"/>
  <c r="AK5"/>
  <c r="AJ5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L4"/>
  <c r="AK4"/>
  <c r="AJ4"/>
  <c r="A1"/>
  <c r="AI48" i="4"/>
  <c r="AJ48"/>
  <c r="AK48"/>
  <c r="AI49"/>
  <c r="AJ49"/>
  <c r="AK49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l="1"/>
  <c r="AK55"/>
  <c r="AJ55"/>
  <c r="AI55"/>
  <c r="AK54"/>
  <c r="AJ54"/>
  <c r="AI54"/>
  <c r="AK53"/>
  <c r="AJ53"/>
  <c r="AI53"/>
  <c r="A51"/>
  <c r="AK47"/>
  <c r="AJ47"/>
  <c r="AI47"/>
  <c r="AK46"/>
  <c r="AJ46"/>
  <c r="AI46"/>
  <c r="AK45"/>
  <c r="AJ45"/>
  <c r="AI45"/>
  <c r="AK44"/>
  <c r="AJ44"/>
  <c r="AI44"/>
  <c r="AK43"/>
  <c r="AJ43"/>
  <c r="AI43"/>
  <c r="AK42"/>
  <c r="AJ42"/>
  <c r="AI42"/>
  <c r="AK41"/>
  <c r="AJ41"/>
  <c r="AI41"/>
  <c r="AK40"/>
  <c r="AJ40"/>
  <c r="AI40"/>
  <c r="AK39"/>
  <c r="AJ39"/>
  <c r="AI39"/>
  <c r="AK38"/>
  <c r="AJ38"/>
  <c r="AI38"/>
  <c r="AK37"/>
  <c r="AJ37"/>
  <c r="AI37"/>
  <c r="AK36"/>
  <c r="AJ36"/>
  <c r="AI36"/>
  <c r="AK35"/>
  <c r="AJ35"/>
  <c r="AI35"/>
  <c r="AK34"/>
  <c r="AJ34"/>
  <c r="AI34"/>
  <c r="AK33"/>
  <c r="AJ33"/>
  <c r="AI33"/>
  <c r="AK32"/>
  <c r="AJ32"/>
  <c r="AI32"/>
  <c r="AK31"/>
  <c r="AJ31"/>
  <c r="AI31"/>
  <c r="AK30"/>
  <c r="AJ30"/>
  <c r="AI30"/>
  <c r="AK29"/>
  <c r="AJ29"/>
  <c r="AI29"/>
  <c r="AK28"/>
  <c r="AJ28"/>
  <c r="AI28"/>
  <c r="AK27"/>
  <c r="AJ27"/>
  <c r="AI27"/>
  <c r="AK26"/>
  <c r="AJ26"/>
  <c r="AI26"/>
  <c r="AK25"/>
  <c r="AJ25"/>
  <c r="AI25"/>
  <c r="AK24"/>
  <c r="AJ24"/>
  <c r="AI24"/>
  <c r="AK23"/>
  <c r="AJ23"/>
  <c r="AI23"/>
  <c r="AK22"/>
  <c r="AJ22"/>
  <c r="AI22"/>
  <c r="AK21"/>
  <c r="AJ21"/>
  <c r="AI21"/>
  <c r="AK20"/>
  <c r="AJ20"/>
  <c r="AI20"/>
  <c r="AK19"/>
  <c r="AJ19"/>
  <c r="AI19"/>
  <c r="AK18"/>
  <c r="AJ18"/>
  <c r="AI18"/>
  <c r="AK17"/>
  <c r="AJ17"/>
  <c r="AI17"/>
  <c r="AK16"/>
  <c r="AJ16"/>
  <c r="AI16"/>
  <c r="AK15"/>
  <c r="AJ15"/>
  <c r="AI15"/>
  <c r="AK14"/>
  <c r="AJ14"/>
  <c r="AI14"/>
  <c r="AK13"/>
  <c r="AJ13"/>
  <c r="AI13"/>
  <c r="AK12"/>
  <c r="AJ12"/>
  <c r="AI12"/>
  <c r="AK11"/>
  <c r="AJ11"/>
  <c r="AI11"/>
  <c r="AK10"/>
  <c r="AJ10"/>
  <c r="AI10"/>
  <c r="AK9"/>
  <c r="AJ9"/>
  <c r="AI9"/>
  <c r="AK8"/>
  <c r="AJ8"/>
  <c r="AI8"/>
  <c r="AK7"/>
  <c r="AJ7"/>
  <c r="AI7"/>
  <c r="AK6"/>
  <c r="AJ6"/>
  <c r="AI6"/>
  <c r="AK5"/>
  <c r="AJ5"/>
  <c r="AI5"/>
  <c r="AK4"/>
  <c r="AJ4"/>
  <c r="AI4"/>
  <c r="A1"/>
  <c r="A1" i="1"/>
  <c r="AJ53"/>
  <c r="AK53"/>
  <c r="AL53"/>
  <c r="AJ54"/>
  <c r="AK54"/>
  <c r="AL54"/>
  <c r="AL52"/>
  <c r="AK52"/>
  <c r="AJ52"/>
  <c r="AJ33"/>
  <c r="AK33"/>
  <c r="AL33"/>
  <c r="AJ34"/>
  <c r="AK34"/>
  <c r="AL34"/>
  <c r="AJ35"/>
  <c r="AK35"/>
  <c r="AL35"/>
  <c r="AJ36"/>
  <c r="AK36"/>
  <c r="AL36"/>
  <c r="AJ37"/>
  <c r="AK37"/>
  <c r="AL37"/>
  <c r="AJ38"/>
  <c r="AK38"/>
  <c r="AL38"/>
  <c r="AJ39"/>
  <c r="AK39"/>
  <c r="AL39"/>
  <c r="AJ40"/>
  <c r="AK40"/>
  <c r="AL40"/>
  <c r="AJ41"/>
  <c r="AK41"/>
  <c r="AL41"/>
  <c r="AJ42"/>
  <c r="AK42"/>
  <c r="AL42"/>
  <c r="AJ43"/>
  <c r="AK43"/>
  <c r="AL43"/>
  <c r="AJ44"/>
  <c r="AK44"/>
  <c r="AL44"/>
  <c r="AJ45"/>
  <c r="AK45"/>
  <c r="AL45"/>
  <c r="AJ46"/>
  <c r="AK46"/>
  <c r="AL46"/>
  <c r="AJ47"/>
  <c r="AK47"/>
  <c r="AL47"/>
  <c r="AJ16"/>
  <c r="AK16"/>
  <c r="AL16"/>
  <c r="AJ17"/>
  <c r="AK17"/>
  <c r="AL17"/>
  <c r="AJ18"/>
  <c r="AK18"/>
  <c r="AL18"/>
  <c r="AJ19"/>
  <c r="AK19"/>
  <c r="AL19"/>
  <c r="AJ20"/>
  <c r="AK20"/>
  <c r="AL20"/>
  <c r="AJ21"/>
  <c r="AK21"/>
  <c r="AL21"/>
  <c r="AJ22"/>
  <c r="AK22"/>
  <c r="AL22"/>
  <c r="AJ23"/>
  <c r="AK23"/>
  <c r="AL23"/>
  <c r="AJ24"/>
  <c r="AK24"/>
  <c r="AL24"/>
  <c r="AJ25"/>
  <c r="AK25"/>
  <c r="AL25"/>
  <c r="AJ26"/>
  <c r="AK26"/>
  <c r="AL26"/>
  <c r="AJ27"/>
  <c r="AK27"/>
  <c r="AL27"/>
  <c r="AJ28"/>
  <c r="AK28"/>
  <c r="AL28"/>
  <c r="AJ29"/>
  <c r="AK29"/>
  <c r="AL29"/>
  <c r="AJ30"/>
  <c r="AK30"/>
  <c r="AL30"/>
  <c r="AJ31"/>
  <c r="AK31"/>
  <c r="AL31"/>
  <c r="AJ32"/>
  <c r="AK32"/>
  <c r="AL32"/>
  <c r="AJ4"/>
  <c r="AK4"/>
  <c r="AL4"/>
  <c r="AJ5"/>
  <c r="AK5"/>
  <c r="AL5"/>
  <c r="AJ6"/>
  <c r="AK6"/>
  <c r="AL6"/>
  <c r="AJ7"/>
  <c r="AK7"/>
  <c r="AL7"/>
  <c r="AJ8"/>
  <c r="AK8"/>
  <c r="AL8"/>
  <c r="AJ9"/>
  <c r="AK9"/>
  <c r="AL9"/>
  <c r="AJ10"/>
  <c r="AK10"/>
  <c r="AL10"/>
  <c r="AJ11"/>
  <c r="AK11"/>
  <c r="AL11"/>
  <c r="AJ12"/>
  <c r="AK12"/>
  <c r="AL12"/>
  <c r="AJ13"/>
  <c r="AK13"/>
  <c r="AL13"/>
  <c r="AJ14"/>
  <c r="AK14"/>
  <c r="AL14"/>
  <c r="AJ15"/>
  <c r="AK15"/>
  <c r="AL15"/>
  <c r="A49" l="1"/>
</calcChain>
</file>

<file path=xl/sharedStrings.xml><?xml version="1.0" encoding="utf-8"?>
<sst xmlns="http://schemas.openxmlformats.org/spreadsheetml/2006/main" count="1975" uniqueCount="66">
  <si>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</si>
  <si>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</si>
  <si>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</si>
  <si>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</si>
  <si>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</si>
  <si>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</si>
  <si>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</si>
  <si>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</si>
  <si>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</si>
  <si>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</si>
  <si>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</si>
  <si>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</si>
  <si>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</si>
  <si>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</si>
  <si>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</si>
  <si>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</si>
  <si>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</si>
  <si>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</si>
  <si>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</si>
  <si>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</si>
  <si>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</si>
  <si>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</si>
  <si>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</si>
  <si>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</si>
  <si>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</si>
  <si>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</si>
  <si>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</si>
  <si>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</si>
  <si>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</si>
  <si>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</si>
  <si>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</si>
  <si>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</si>
  <si>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КАВЗ-4338</t>
  </si>
  <si>
    <t>117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</si>
  <si>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</si>
  <si>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</si>
  <si>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</si>
  <si>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</si>
  <si>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</si>
  <si>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</si>
  <si>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</si>
  <si>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</si>
  <si>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</si>
  <si>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</si>
  <si>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</si>
  <si>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</si>
  <si>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</si>
  <si>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</si>
  <si>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</si>
  <si>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гар.№</t>
  </si>
  <si>
    <t>гос №</t>
  </si>
  <si>
    <t>096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</si>
  <si>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</si>
  <si>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</si>
  <si>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</si>
  <si>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</si>
  <si>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</si>
  <si>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</si>
  <si>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</si>
  <si>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</si>
  <si>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</si>
  <si>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</si>
  <si>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</si>
  <si>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Диспетчер ____________________ В.А.Богуш</t>
  </si>
  <si>
    <t>9281</t>
  </si>
  <si>
    <t>9553</t>
  </si>
</sst>
</file>

<file path=xl/styles.xml><?xml version="1.0" encoding="utf-8"?>
<styleSheet xmlns="http://schemas.openxmlformats.org/spreadsheetml/2006/main">
  <numFmts count="1">
    <numFmt numFmtId="164" formatCode="#"/>
  </numFmts>
  <fonts count="5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49" fontId="1" fillId="2" borderId="12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left"/>
    </xf>
    <xf numFmtId="49" fontId="1" fillId="3" borderId="3" xfId="0" applyNumberFormat="1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1" fillId="3" borderId="1" xfId="0" applyFont="1" applyFill="1" applyBorder="1"/>
    <xf numFmtId="0" fontId="1" fillId="3" borderId="2" xfId="0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164" fontId="2" fillId="3" borderId="26" xfId="0" applyNumberFormat="1" applyFont="1" applyFill="1" applyBorder="1" applyAlignment="1">
      <alignment horizontal="center" vertical="center"/>
    </xf>
    <xf numFmtId="164" fontId="2" fillId="3" borderId="27" xfId="0" applyNumberFormat="1" applyFont="1" applyFill="1" applyBorder="1" applyAlignment="1">
      <alignment horizontal="center" vertic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20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 vertical="center"/>
    </xf>
    <xf numFmtId="164" fontId="2" fillId="3" borderId="24" xfId="0" applyNumberFormat="1" applyFont="1" applyFill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  <xf numFmtId="49" fontId="1" fillId="3" borderId="7" xfId="0" applyNumberFormat="1" applyFont="1" applyFill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0" fontId="2" fillId="2" borderId="29" xfId="0" applyFont="1" applyFill="1" applyBorder="1" applyAlignment="1">
      <alignment horizontal="center"/>
    </xf>
    <xf numFmtId="49" fontId="1" fillId="3" borderId="5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49" fontId="4" fillId="2" borderId="12" xfId="0" applyNumberFormat="1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29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3" borderId="23" xfId="0" applyFont="1" applyFill="1" applyBorder="1" applyAlignment="1">
      <alignment horizontal="center"/>
    </xf>
    <xf numFmtId="0" fontId="2" fillId="3" borderId="20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left"/>
    </xf>
    <xf numFmtId="49" fontId="1" fillId="3" borderId="11" xfId="0" applyNumberFormat="1" applyFont="1" applyFill="1" applyBorder="1" applyAlignment="1">
      <alignment horizontal="center"/>
    </xf>
    <xf numFmtId="49" fontId="1" fillId="3" borderId="12" xfId="0" applyNumberFormat="1" applyFont="1" applyFill="1" applyBorder="1" applyAlignment="1">
      <alignment horizontal="center"/>
    </xf>
    <xf numFmtId="0" fontId="2" fillId="0" borderId="29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164" fontId="2" fillId="3" borderId="10" xfId="0" applyNumberFormat="1" applyFont="1" applyFill="1" applyBorder="1" applyAlignment="1">
      <alignment horizontal="center" vertical="center"/>
    </xf>
    <xf numFmtId="164" fontId="2" fillId="3" borderId="11" xfId="0" applyNumberFormat="1" applyFont="1" applyFill="1" applyBorder="1" applyAlignment="1">
      <alignment horizontal="center" vertical="center"/>
    </xf>
    <xf numFmtId="164" fontId="2" fillId="3" borderId="1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</cellXfs>
  <cellStyles count="1">
    <cellStyle name="Обычный" xfId="0" builtinId="0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workbookViewId="0">
      <pane xSplit="1" ySplit="3" topLeftCell="B32" activePane="bottomRight" state="frozen"/>
      <selection pane="topRight" activeCell="B1" sqref="B1"/>
      <selection pane="bottomLeft" activeCell="A3" sqref="A3"/>
      <selection pane="bottomRight" activeCell="A49" sqref="A49:XFD49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7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2018 автоколонны № 1 г. Жодино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3">
        <v>31</v>
      </c>
      <c r="AJ3" s="18">
        <v>1</v>
      </c>
      <c r="AK3" s="19" t="s">
        <v>62</v>
      </c>
      <c r="AL3" s="20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>
        <v>1</v>
      </c>
      <c r="F4" s="6" t="s">
        <v>62</v>
      </c>
      <c r="G4" s="6">
        <v>1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>
        <v>1</v>
      </c>
      <c r="P4" s="6">
        <v>1</v>
      </c>
      <c r="Q4" s="6">
        <v>1</v>
      </c>
      <c r="R4" s="6">
        <v>1</v>
      </c>
      <c r="S4" s="6">
        <v>1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8" t="s">
        <v>62</v>
      </c>
      <c r="AJ4" s="35">
        <f t="shared" ref="AJ4:AJ16" si="0">COUNTIF(E4:AI4,1)</f>
        <v>7</v>
      </c>
      <c r="AK4" s="36">
        <f t="shared" ref="AK4:AK16" si="1">COUNTIF(E4:AI4,"тр")</f>
        <v>24</v>
      </c>
      <c r="AL4" s="37">
        <f t="shared" ref="AL4:AL16" si="2">COUNTIF(E4:AI4,"бв")</f>
        <v>0</v>
      </c>
    </row>
    <row r="5" spans="1:38" ht="16.5" thickBot="1">
      <c r="A5" s="27">
        <v>2</v>
      </c>
      <c r="B5" s="28" t="s">
        <v>0</v>
      </c>
      <c r="C5" s="29" t="s">
        <v>2</v>
      </c>
      <c r="D5" s="49">
        <v>1637</v>
      </c>
      <c r="E5" s="17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61</v>
      </c>
      <c r="U5" s="7">
        <v>1</v>
      </c>
      <c r="V5" s="7">
        <v>1</v>
      </c>
      <c r="W5" s="7">
        <v>1</v>
      </c>
      <c r="X5" s="7">
        <v>1</v>
      </c>
      <c r="Y5" s="7" t="s">
        <v>61</v>
      </c>
      <c r="Z5" s="7">
        <v>1</v>
      </c>
      <c r="AA5" s="7">
        <v>1</v>
      </c>
      <c r="AB5" s="7">
        <v>1</v>
      </c>
      <c r="AC5" s="7">
        <v>1</v>
      </c>
      <c r="AD5" s="7">
        <v>1</v>
      </c>
      <c r="AE5" s="7">
        <v>1</v>
      </c>
      <c r="AF5" s="7">
        <v>1</v>
      </c>
      <c r="AG5" s="7">
        <v>1</v>
      </c>
      <c r="AH5" s="7">
        <v>1</v>
      </c>
      <c r="AI5" s="9" t="s">
        <v>61</v>
      </c>
      <c r="AJ5" s="38">
        <f t="shared" si="0"/>
        <v>13</v>
      </c>
      <c r="AK5" s="39">
        <f t="shared" si="1"/>
        <v>15</v>
      </c>
      <c r="AL5" s="40">
        <f t="shared" si="2"/>
        <v>3</v>
      </c>
    </row>
    <row r="6" spans="1:38">
      <c r="A6" s="21"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v>4</v>
      </c>
      <c r="B7" s="25" t="s">
        <v>57</v>
      </c>
      <c r="C7" s="26" t="s">
        <v>4</v>
      </c>
      <c r="D7" s="48">
        <v>6982</v>
      </c>
      <c r="E7" s="16" t="s">
        <v>62</v>
      </c>
      <c r="F7" s="6" t="s">
        <v>62</v>
      </c>
      <c r="G7" s="6" t="s">
        <v>62</v>
      </c>
      <c r="H7" s="6" t="s">
        <v>62</v>
      </c>
      <c r="I7" s="6" t="s">
        <v>62</v>
      </c>
      <c r="J7" s="6" t="s">
        <v>62</v>
      </c>
      <c r="K7" s="6" t="s">
        <v>62</v>
      </c>
      <c r="L7" s="6" t="s">
        <v>62</v>
      </c>
      <c r="M7" s="6" t="s">
        <v>62</v>
      </c>
      <c r="N7" s="6" t="s">
        <v>62</v>
      </c>
      <c r="O7" s="6" t="s">
        <v>62</v>
      </c>
      <c r="P7" s="6" t="s">
        <v>62</v>
      </c>
      <c r="Q7" s="6" t="s">
        <v>62</v>
      </c>
      <c r="R7" s="6" t="s">
        <v>62</v>
      </c>
      <c r="S7" s="6" t="s">
        <v>62</v>
      </c>
      <c r="T7" s="6" t="s">
        <v>62</v>
      </c>
      <c r="U7" s="6" t="s">
        <v>62</v>
      </c>
      <c r="V7" s="6" t="s">
        <v>62</v>
      </c>
      <c r="W7" s="6" t="s">
        <v>62</v>
      </c>
      <c r="X7" s="6" t="s">
        <v>62</v>
      </c>
      <c r="Y7" s="6" t="s">
        <v>62</v>
      </c>
      <c r="Z7" s="6" t="s">
        <v>62</v>
      </c>
      <c r="AA7" s="6" t="s">
        <v>62</v>
      </c>
      <c r="AB7" s="6" t="s">
        <v>62</v>
      </c>
      <c r="AC7" s="6" t="s">
        <v>62</v>
      </c>
      <c r="AD7" s="6" t="s">
        <v>62</v>
      </c>
      <c r="AE7" s="6" t="s">
        <v>62</v>
      </c>
      <c r="AF7" s="6" t="s">
        <v>62</v>
      </c>
      <c r="AG7" s="6" t="s">
        <v>62</v>
      </c>
      <c r="AH7" s="6" t="s">
        <v>62</v>
      </c>
      <c r="AI7" s="8">
        <v>1</v>
      </c>
      <c r="AJ7" s="35">
        <f t="shared" si="0"/>
        <v>1</v>
      </c>
      <c r="AK7" s="36">
        <f t="shared" si="1"/>
        <v>30</v>
      </c>
      <c r="AL7" s="37">
        <f t="shared" si="2"/>
        <v>0</v>
      </c>
    </row>
    <row r="8" spans="1:38">
      <c r="A8" s="24"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 t="s">
        <v>62</v>
      </c>
      <c r="Z8" s="6" t="s">
        <v>62</v>
      </c>
      <c r="AA8" s="6" t="s">
        <v>62</v>
      </c>
      <c r="AB8" s="6" t="s">
        <v>62</v>
      </c>
      <c r="AC8" s="6" t="s">
        <v>62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8" t="s">
        <v>62</v>
      </c>
      <c r="AJ8" s="35">
        <f t="shared" si="0"/>
        <v>0</v>
      </c>
      <c r="AK8" s="36">
        <f t="shared" si="1"/>
        <v>31</v>
      </c>
      <c r="AL8" s="37">
        <f t="shared" si="2"/>
        <v>0</v>
      </c>
    </row>
    <row r="9" spans="1:38">
      <c r="A9" s="24">
        <v>6</v>
      </c>
      <c r="B9" s="25" t="s">
        <v>57</v>
      </c>
      <c r="C9" s="26" t="s">
        <v>6</v>
      </c>
      <c r="D9" s="52" t="s">
        <v>54</v>
      </c>
      <c r="E9" s="16" t="s">
        <v>62</v>
      </c>
      <c r="F9" s="6" t="s">
        <v>62</v>
      </c>
      <c r="G9" s="6" t="s">
        <v>62</v>
      </c>
      <c r="H9" s="6" t="s">
        <v>62</v>
      </c>
      <c r="I9" s="6" t="s">
        <v>62</v>
      </c>
      <c r="J9" s="6" t="s">
        <v>62</v>
      </c>
      <c r="K9" s="6" t="s">
        <v>62</v>
      </c>
      <c r="L9" s="6" t="s">
        <v>62</v>
      </c>
      <c r="M9" s="6" t="s">
        <v>62</v>
      </c>
      <c r="N9" s="6" t="s">
        <v>62</v>
      </c>
      <c r="O9" s="6" t="s">
        <v>62</v>
      </c>
      <c r="P9" s="6" t="s">
        <v>62</v>
      </c>
      <c r="Q9" s="6" t="s">
        <v>62</v>
      </c>
      <c r="R9" s="6" t="s">
        <v>62</v>
      </c>
      <c r="S9" s="6" t="s">
        <v>62</v>
      </c>
      <c r="T9" s="6" t="s">
        <v>62</v>
      </c>
      <c r="U9" s="6" t="s">
        <v>62</v>
      </c>
      <c r="V9" s="6" t="s">
        <v>62</v>
      </c>
      <c r="W9" s="6" t="s">
        <v>62</v>
      </c>
      <c r="X9" s="6" t="s">
        <v>62</v>
      </c>
      <c r="Y9" s="6" t="s">
        <v>62</v>
      </c>
      <c r="Z9" s="6" t="s">
        <v>62</v>
      </c>
      <c r="AA9" s="6" t="s">
        <v>62</v>
      </c>
      <c r="AB9" s="6" t="s">
        <v>62</v>
      </c>
      <c r="AC9" s="6" t="s">
        <v>62</v>
      </c>
      <c r="AD9" s="6" t="s">
        <v>62</v>
      </c>
      <c r="AE9" s="6" t="s">
        <v>62</v>
      </c>
      <c r="AF9" s="6" t="s">
        <v>62</v>
      </c>
      <c r="AG9" s="6" t="s">
        <v>62</v>
      </c>
      <c r="AH9" s="6" t="s">
        <v>62</v>
      </c>
      <c r="AI9" s="6">
        <v>1</v>
      </c>
      <c r="AJ9" s="35">
        <f t="shared" si="0"/>
        <v>1</v>
      </c>
      <c r="AK9" s="36">
        <f t="shared" si="1"/>
        <v>30</v>
      </c>
      <c r="AL9" s="37">
        <f t="shared" si="2"/>
        <v>0</v>
      </c>
    </row>
    <row r="10" spans="1:38">
      <c r="A10" s="24"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 t="s">
        <v>61</v>
      </c>
      <c r="M10" s="6">
        <v>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 t="s">
        <v>62</v>
      </c>
      <c r="AG10" s="6">
        <v>1</v>
      </c>
      <c r="AH10" s="6">
        <v>1</v>
      </c>
      <c r="AI10" s="8">
        <v>1</v>
      </c>
      <c r="AJ10" s="35">
        <f t="shared" si="0"/>
        <v>29</v>
      </c>
      <c r="AK10" s="36">
        <f t="shared" si="1"/>
        <v>1</v>
      </c>
      <c r="AL10" s="37">
        <f t="shared" si="2"/>
        <v>1</v>
      </c>
    </row>
    <row r="11" spans="1:38">
      <c r="A11" s="24"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>
        <v>1</v>
      </c>
      <c r="H11" s="6">
        <v>1</v>
      </c>
      <c r="I11" s="6">
        <v>1</v>
      </c>
      <c r="J11" s="6" t="s">
        <v>61</v>
      </c>
      <c r="K11" s="6" t="s">
        <v>61</v>
      </c>
      <c r="L11" s="6">
        <v>1</v>
      </c>
      <c r="M11" s="6">
        <v>1</v>
      </c>
      <c r="N11" s="6">
        <v>1</v>
      </c>
      <c r="O11" s="6">
        <v>1</v>
      </c>
      <c r="P11" s="6">
        <v>1</v>
      </c>
      <c r="Q11" s="6">
        <v>1</v>
      </c>
      <c r="R11" s="6" t="s">
        <v>61</v>
      </c>
      <c r="S11" s="6">
        <v>1</v>
      </c>
      <c r="T11" s="6">
        <v>1</v>
      </c>
      <c r="U11" s="6">
        <v>1</v>
      </c>
      <c r="V11" s="6">
        <v>1</v>
      </c>
      <c r="W11" s="6">
        <v>1</v>
      </c>
      <c r="X11" s="6" t="s">
        <v>61</v>
      </c>
      <c r="Y11" s="6" t="s">
        <v>61</v>
      </c>
      <c r="Z11" s="6">
        <v>1</v>
      </c>
      <c r="AA11" s="6">
        <v>1</v>
      </c>
      <c r="AB11" s="6">
        <v>1</v>
      </c>
      <c r="AC11" s="6">
        <v>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8">
        <v>1</v>
      </c>
      <c r="AJ11" s="35">
        <f t="shared" si="0"/>
        <v>26</v>
      </c>
      <c r="AK11" s="36">
        <f t="shared" si="1"/>
        <v>0</v>
      </c>
      <c r="AL11" s="37">
        <f t="shared" si="2"/>
        <v>5</v>
      </c>
    </row>
    <row r="12" spans="1:38">
      <c r="A12" s="24"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>
        <v>1</v>
      </c>
      <c r="I12" s="6">
        <v>1</v>
      </c>
      <c r="J12" s="6">
        <v>1</v>
      </c>
      <c r="K12" s="6">
        <v>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>
        <v>1</v>
      </c>
      <c r="V12" s="6">
        <v>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8">
        <v>1</v>
      </c>
      <c r="AJ12" s="35">
        <f t="shared" si="0"/>
        <v>31</v>
      </c>
      <c r="AK12" s="36">
        <f t="shared" si="1"/>
        <v>0</v>
      </c>
      <c r="AL12" s="37">
        <f t="shared" si="2"/>
        <v>0</v>
      </c>
    </row>
    <row r="13" spans="1:38">
      <c r="A13" s="24"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 t="s">
        <v>62</v>
      </c>
      <c r="G13" s="6" t="s">
        <v>62</v>
      </c>
      <c r="H13" s="6" t="s">
        <v>62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8">
        <v>1</v>
      </c>
      <c r="AJ13" s="35">
        <f t="shared" si="0"/>
        <v>27</v>
      </c>
      <c r="AK13" s="36">
        <f t="shared" si="1"/>
        <v>4</v>
      </c>
      <c r="AL13" s="37">
        <f t="shared" si="2"/>
        <v>0</v>
      </c>
    </row>
    <row r="14" spans="1:38">
      <c r="A14" s="24"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 t="s">
        <v>62</v>
      </c>
      <c r="P14" s="6" t="s">
        <v>62</v>
      </c>
      <c r="Q14" s="6" t="s">
        <v>62</v>
      </c>
      <c r="R14" s="6" t="s">
        <v>62</v>
      </c>
      <c r="S14" s="6" t="s">
        <v>62</v>
      </c>
      <c r="T14" s="6" t="s">
        <v>62</v>
      </c>
      <c r="U14" s="6" t="s">
        <v>62</v>
      </c>
      <c r="V14" s="6" t="s">
        <v>62</v>
      </c>
      <c r="W14" s="6" t="s">
        <v>62</v>
      </c>
      <c r="X14" s="6" t="s">
        <v>62</v>
      </c>
      <c r="Y14" s="6" t="s">
        <v>62</v>
      </c>
      <c r="Z14" s="6" t="s">
        <v>62</v>
      </c>
      <c r="AA14" s="6" t="s">
        <v>62</v>
      </c>
      <c r="AB14" s="6" t="s">
        <v>62</v>
      </c>
      <c r="AC14" s="6" t="s">
        <v>62</v>
      </c>
      <c r="AD14" s="6" t="s">
        <v>62</v>
      </c>
      <c r="AE14" s="6" t="s">
        <v>62</v>
      </c>
      <c r="AF14" s="6" t="s">
        <v>62</v>
      </c>
      <c r="AG14" s="6" t="s">
        <v>62</v>
      </c>
      <c r="AH14" s="6">
        <v>1</v>
      </c>
      <c r="AI14" s="8">
        <v>1</v>
      </c>
      <c r="AJ14" s="35">
        <f t="shared" si="0"/>
        <v>11</v>
      </c>
      <c r="AK14" s="36">
        <f t="shared" si="1"/>
        <v>20</v>
      </c>
      <c r="AL14" s="37">
        <f t="shared" si="2"/>
        <v>0</v>
      </c>
    </row>
    <row r="15" spans="1:38">
      <c r="A15" s="24"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>
        <v>1</v>
      </c>
      <c r="W15" s="6">
        <v>1</v>
      </c>
      <c r="X15" s="6">
        <v>1</v>
      </c>
      <c r="Y15" s="6">
        <v>1</v>
      </c>
      <c r="Z15" s="6">
        <v>1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8">
        <v>1</v>
      </c>
      <c r="AJ15" s="35">
        <f t="shared" si="0"/>
        <v>31</v>
      </c>
      <c r="AK15" s="36">
        <f t="shared" si="1"/>
        <v>0</v>
      </c>
      <c r="AL15" s="37">
        <f t="shared" si="2"/>
        <v>0</v>
      </c>
    </row>
    <row r="16" spans="1:38">
      <c r="A16" s="24"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8">
        <v>1</v>
      </c>
      <c r="AJ16" s="35">
        <f t="shared" si="0"/>
        <v>31</v>
      </c>
      <c r="AK16" s="36">
        <f t="shared" si="1"/>
        <v>0</v>
      </c>
      <c r="AL16" s="37">
        <f t="shared" si="2"/>
        <v>0</v>
      </c>
    </row>
    <row r="17" spans="1:38">
      <c r="A17" s="24"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 t="s">
        <v>62</v>
      </c>
      <c r="Z17" s="6" t="s">
        <v>62</v>
      </c>
      <c r="AA17" s="6" t="s">
        <v>62</v>
      </c>
      <c r="AB17" s="6" t="s">
        <v>62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8">
        <v>1</v>
      </c>
      <c r="AJ17" s="35">
        <f t="shared" ref="AJ17:AJ32" si="3">COUNTIF(E17:AI17,1)</f>
        <v>27</v>
      </c>
      <c r="AK17" s="36">
        <f t="shared" ref="AK17:AK32" si="4">COUNTIF(E17:AI17,"тр")</f>
        <v>4</v>
      </c>
      <c r="AL17" s="37">
        <f t="shared" ref="AL17:AL32" si="5">COUNTIF(E17:AI17,"бв")</f>
        <v>0</v>
      </c>
    </row>
    <row r="18" spans="1:38">
      <c r="A18" s="24"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 t="s">
        <v>61</v>
      </c>
      <c r="R18" s="6" t="s">
        <v>61</v>
      </c>
      <c r="S18" s="6">
        <v>1</v>
      </c>
      <c r="T18" s="6">
        <v>1</v>
      </c>
      <c r="U18" s="6">
        <v>1</v>
      </c>
      <c r="V18" s="6" t="s">
        <v>62</v>
      </c>
      <c r="W18" s="6">
        <v>1</v>
      </c>
      <c r="X18" s="6" t="s">
        <v>61</v>
      </c>
      <c r="Y18" s="6">
        <v>1</v>
      </c>
      <c r="Z18" s="6">
        <v>1</v>
      </c>
      <c r="AA18" s="6">
        <v>1</v>
      </c>
      <c r="AB18" s="6">
        <v>1</v>
      </c>
      <c r="AC18" s="6">
        <v>1</v>
      </c>
      <c r="AD18" s="6">
        <v>1</v>
      </c>
      <c r="AE18" s="6">
        <v>1</v>
      </c>
      <c r="AF18" s="6" t="s">
        <v>61</v>
      </c>
      <c r="AG18" s="6">
        <v>1</v>
      </c>
      <c r="AH18" s="6">
        <v>1</v>
      </c>
      <c r="AI18" s="8">
        <v>1</v>
      </c>
      <c r="AJ18" s="35">
        <f t="shared" si="3"/>
        <v>26</v>
      </c>
      <c r="AK18" s="36">
        <f t="shared" si="4"/>
        <v>1</v>
      </c>
      <c r="AL18" s="37">
        <f t="shared" si="5"/>
        <v>4</v>
      </c>
    </row>
    <row r="19" spans="1:38">
      <c r="A19" s="24"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 t="s">
        <v>61</v>
      </c>
      <c r="AF19" s="6" t="s">
        <v>61</v>
      </c>
      <c r="AG19" s="6">
        <v>1</v>
      </c>
      <c r="AH19" s="6">
        <v>1</v>
      </c>
      <c r="AI19" s="8">
        <v>1</v>
      </c>
      <c r="AJ19" s="35">
        <f t="shared" si="3"/>
        <v>29</v>
      </c>
      <c r="AK19" s="36">
        <f t="shared" si="4"/>
        <v>0</v>
      </c>
      <c r="AL19" s="37">
        <f t="shared" si="5"/>
        <v>2</v>
      </c>
    </row>
    <row r="20" spans="1:38">
      <c r="A20" s="24"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8">
        <v>1</v>
      </c>
      <c r="AJ20" s="35">
        <f t="shared" si="3"/>
        <v>31</v>
      </c>
      <c r="AK20" s="36">
        <f t="shared" si="4"/>
        <v>0</v>
      </c>
      <c r="AL20" s="37">
        <f t="shared" si="5"/>
        <v>0</v>
      </c>
    </row>
    <row r="21" spans="1:38" ht="16.5" thickBot="1">
      <c r="A21" s="27"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>
        <v>1</v>
      </c>
      <c r="H21" s="7">
        <v>1</v>
      </c>
      <c r="I21" s="7">
        <v>1</v>
      </c>
      <c r="J21" s="7" t="s">
        <v>61</v>
      </c>
      <c r="K21" s="7">
        <v>1</v>
      </c>
      <c r="L21" s="7">
        <v>1</v>
      </c>
      <c r="M21" s="7">
        <v>1</v>
      </c>
      <c r="N21" s="7">
        <v>1</v>
      </c>
      <c r="O21" s="7" t="s">
        <v>62</v>
      </c>
      <c r="P21" s="7">
        <v>1</v>
      </c>
      <c r="Q21" s="7" t="s">
        <v>61</v>
      </c>
      <c r="R21" s="7">
        <v>1</v>
      </c>
      <c r="S21" s="7">
        <v>1</v>
      </c>
      <c r="T21" s="7">
        <v>1</v>
      </c>
      <c r="U21" s="7">
        <v>1</v>
      </c>
      <c r="V21" s="7">
        <v>1</v>
      </c>
      <c r="W21" s="7">
        <v>1</v>
      </c>
      <c r="X21" s="7" t="s">
        <v>61</v>
      </c>
      <c r="Y21" s="7" t="s">
        <v>61</v>
      </c>
      <c r="Z21" s="7">
        <v>1</v>
      </c>
      <c r="AA21" s="7">
        <v>1</v>
      </c>
      <c r="AB21" s="7">
        <v>1</v>
      </c>
      <c r="AC21" s="7">
        <v>1</v>
      </c>
      <c r="AD21" s="7">
        <v>1</v>
      </c>
      <c r="AE21" s="7" t="s">
        <v>61</v>
      </c>
      <c r="AF21" s="6" t="s">
        <v>62</v>
      </c>
      <c r="AG21" s="7">
        <v>1</v>
      </c>
      <c r="AH21" s="7">
        <v>1</v>
      </c>
      <c r="AI21" s="9">
        <v>1</v>
      </c>
      <c r="AJ21" s="44">
        <f t="shared" si="3"/>
        <v>24</v>
      </c>
      <c r="AK21" s="45">
        <f t="shared" si="4"/>
        <v>2</v>
      </c>
      <c r="AL21" s="46">
        <f t="shared" si="5"/>
        <v>5</v>
      </c>
    </row>
    <row r="22" spans="1:38">
      <c r="A22" s="21"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61</v>
      </c>
      <c r="G22" s="6" t="s">
        <v>62</v>
      </c>
      <c r="H22" s="6" t="s">
        <v>62</v>
      </c>
      <c r="I22" s="6" t="s">
        <v>62</v>
      </c>
      <c r="J22" s="6">
        <v>1</v>
      </c>
      <c r="K22" s="6">
        <v>1</v>
      </c>
      <c r="L22" s="6">
        <v>1</v>
      </c>
      <c r="M22" s="6" t="s">
        <v>62</v>
      </c>
      <c r="N22" s="6" t="s">
        <v>62</v>
      </c>
      <c r="O22" s="6" t="s">
        <v>62</v>
      </c>
      <c r="P22" s="6" t="s">
        <v>62</v>
      </c>
      <c r="Q22" s="6" t="s">
        <v>62</v>
      </c>
      <c r="R22" s="6" t="s">
        <v>62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 t="s">
        <v>62</v>
      </c>
      <c r="Y22" s="6" t="s">
        <v>61</v>
      </c>
      <c r="Z22" s="6">
        <v>1</v>
      </c>
      <c r="AA22" s="6">
        <v>1</v>
      </c>
      <c r="AB22" s="6">
        <v>1</v>
      </c>
      <c r="AC22" s="6">
        <v>1</v>
      </c>
      <c r="AD22" s="6">
        <v>1</v>
      </c>
      <c r="AE22" s="6" t="s">
        <v>62</v>
      </c>
      <c r="AF22" s="6" t="s">
        <v>62</v>
      </c>
      <c r="AG22" s="6">
        <v>1</v>
      </c>
      <c r="AH22" s="6" t="s">
        <v>62</v>
      </c>
      <c r="AI22" s="8" t="s">
        <v>62</v>
      </c>
      <c r="AJ22" s="41">
        <f t="shared" si="3"/>
        <v>14</v>
      </c>
      <c r="AK22" s="42">
        <f t="shared" si="4"/>
        <v>15</v>
      </c>
      <c r="AL22" s="43">
        <f t="shared" si="5"/>
        <v>2</v>
      </c>
    </row>
    <row r="23" spans="1:38">
      <c r="A23" s="24"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8" t="s">
        <v>62</v>
      </c>
      <c r="AJ23" s="35">
        <f t="shared" si="3"/>
        <v>0</v>
      </c>
      <c r="AK23" s="36">
        <f t="shared" si="4"/>
        <v>31</v>
      </c>
      <c r="AL23" s="37">
        <f t="shared" si="5"/>
        <v>0</v>
      </c>
    </row>
    <row r="24" spans="1:38">
      <c r="A24" s="24"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>
        <v>1</v>
      </c>
      <c r="M24" s="6">
        <v>1</v>
      </c>
      <c r="N24" s="6">
        <v>1</v>
      </c>
      <c r="O24" s="6">
        <v>1</v>
      </c>
      <c r="P24" s="6">
        <v>1</v>
      </c>
      <c r="Q24" s="6" t="s">
        <v>61</v>
      </c>
      <c r="R24" s="6">
        <v>1</v>
      </c>
      <c r="S24" s="6">
        <v>1</v>
      </c>
      <c r="T24" s="6">
        <v>1</v>
      </c>
      <c r="U24" s="6">
        <v>1</v>
      </c>
      <c r="V24" s="6">
        <v>1</v>
      </c>
      <c r="W24" s="6">
        <v>1</v>
      </c>
      <c r="X24" s="6">
        <v>1</v>
      </c>
      <c r="Y24" s="6">
        <v>1</v>
      </c>
      <c r="Z24" s="6">
        <v>1</v>
      </c>
      <c r="AA24" s="6">
        <v>1</v>
      </c>
      <c r="AB24" s="6" t="s">
        <v>61</v>
      </c>
      <c r="AC24" s="6">
        <v>1</v>
      </c>
      <c r="AD24" s="6" t="s">
        <v>62</v>
      </c>
      <c r="AE24" s="6">
        <v>1</v>
      </c>
      <c r="AF24" s="6">
        <v>1</v>
      </c>
      <c r="AG24" s="6" t="s">
        <v>62</v>
      </c>
      <c r="AH24" s="6">
        <v>1</v>
      </c>
      <c r="AI24" s="8">
        <v>1</v>
      </c>
      <c r="AJ24" s="35">
        <f t="shared" si="3"/>
        <v>22</v>
      </c>
      <c r="AK24" s="36">
        <f t="shared" si="4"/>
        <v>7</v>
      </c>
      <c r="AL24" s="37">
        <f t="shared" si="5"/>
        <v>2</v>
      </c>
    </row>
    <row r="25" spans="1:38">
      <c r="A25" s="24">
        <v>22</v>
      </c>
      <c r="B25" s="30" t="s">
        <v>19</v>
      </c>
      <c r="C25" s="26" t="s">
        <v>23</v>
      </c>
      <c r="D25" s="48">
        <v>4309</v>
      </c>
      <c r="E25" s="16" t="s">
        <v>61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 t="s">
        <v>61</v>
      </c>
      <c r="M25" s="6">
        <v>1</v>
      </c>
      <c r="N25" s="6">
        <v>1</v>
      </c>
      <c r="O25" s="6">
        <v>1</v>
      </c>
      <c r="P25" s="6">
        <v>1</v>
      </c>
      <c r="Q25" s="6">
        <v>1</v>
      </c>
      <c r="R25" s="6">
        <v>1</v>
      </c>
      <c r="S25" s="6">
        <v>1</v>
      </c>
      <c r="T25" s="6">
        <v>1</v>
      </c>
      <c r="U25" s="6">
        <v>1</v>
      </c>
      <c r="V25" s="6">
        <v>1</v>
      </c>
      <c r="W25" s="6">
        <v>1</v>
      </c>
      <c r="X25" s="6">
        <v>1</v>
      </c>
      <c r="Y25" s="6">
        <v>1</v>
      </c>
      <c r="Z25" s="6" t="s">
        <v>61</v>
      </c>
      <c r="AA25" s="6">
        <v>1</v>
      </c>
      <c r="AB25" s="6">
        <v>1</v>
      </c>
      <c r="AC25" s="6">
        <v>1</v>
      </c>
      <c r="AD25" s="6">
        <v>1</v>
      </c>
      <c r="AE25" s="6">
        <v>1</v>
      </c>
      <c r="AF25" s="6">
        <v>1</v>
      </c>
      <c r="AG25" s="6">
        <v>1</v>
      </c>
      <c r="AH25" s="6">
        <v>1</v>
      </c>
      <c r="AI25" s="8">
        <v>1</v>
      </c>
      <c r="AJ25" s="35">
        <f t="shared" si="3"/>
        <v>28</v>
      </c>
      <c r="AK25" s="36">
        <f t="shared" si="4"/>
        <v>0</v>
      </c>
      <c r="AL25" s="37">
        <f t="shared" si="5"/>
        <v>3</v>
      </c>
    </row>
    <row r="26" spans="1:38">
      <c r="A26" s="24">
        <v>23</v>
      </c>
      <c r="B26" s="30" t="s">
        <v>19</v>
      </c>
      <c r="C26" s="31">
        <v>162</v>
      </c>
      <c r="D26" s="48" t="s">
        <v>55</v>
      </c>
      <c r="E26" s="16">
        <v>1</v>
      </c>
      <c r="F26" s="6" t="s">
        <v>61</v>
      </c>
      <c r="G26" s="6">
        <v>1</v>
      </c>
      <c r="H26" s="6">
        <v>1</v>
      </c>
      <c r="I26" s="6">
        <v>1</v>
      </c>
      <c r="J26" s="6" t="s">
        <v>61</v>
      </c>
      <c r="K26" s="6" t="s">
        <v>61</v>
      </c>
      <c r="L26" s="6" t="s">
        <v>61</v>
      </c>
      <c r="M26" s="6">
        <v>1</v>
      </c>
      <c r="N26" s="6">
        <v>1</v>
      </c>
      <c r="O26" s="6">
        <v>1</v>
      </c>
      <c r="P26" s="6">
        <v>1</v>
      </c>
      <c r="Q26" s="6">
        <v>1</v>
      </c>
      <c r="R26" s="6">
        <v>1</v>
      </c>
      <c r="S26" s="6" t="s">
        <v>61</v>
      </c>
      <c r="T26" s="6" t="s">
        <v>61</v>
      </c>
      <c r="U26" s="6" t="s">
        <v>61</v>
      </c>
      <c r="V26" s="6" t="s">
        <v>61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>
        <v>1</v>
      </c>
      <c r="AC26" s="6">
        <v>1</v>
      </c>
      <c r="AD26" s="6">
        <v>1</v>
      </c>
      <c r="AE26" s="6">
        <v>1</v>
      </c>
      <c r="AF26" s="6">
        <v>1</v>
      </c>
      <c r="AG26" s="6">
        <v>1</v>
      </c>
      <c r="AH26" s="6" t="s">
        <v>61</v>
      </c>
      <c r="AI26" s="8" t="s">
        <v>61</v>
      </c>
      <c r="AJ26" s="35">
        <f t="shared" si="3"/>
        <v>21</v>
      </c>
      <c r="AK26" s="36">
        <f t="shared" si="4"/>
        <v>0</v>
      </c>
      <c r="AL26" s="37">
        <f t="shared" si="5"/>
        <v>10</v>
      </c>
    </row>
    <row r="27" spans="1:38">
      <c r="A27" s="24"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 t="s">
        <v>62</v>
      </c>
      <c r="AF27" s="6">
        <v>1</v>
      </c>
      <c r="AG27" s="6">
        <v>1</v>
      </c>
      <c r="AH27" s="6">
        <v>1</v>
      </c>
      <c r="AI27" s="8">
        <v>1</v>
      </c>
      <c r="AJ27" s="35">
        <f t="shared" si="3"/>
        <v>30</v>
      </c>
      <c r="AK27" s="36">
        <f t="shared" si="4"/>
        <v>1</v>
      </c>
      <c r="AL27" s="37">
        <f t="shared" si="5"/>
        <v>0</v>
      </c>
    </row>
    <row r="28" spans="1:38" ht="16.5" thickBot="1">
      <c r="A28" s="27"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 t="s">
        <v>62</v>
      </c>
      <c r="H28" s="7" t="s">
        <v>62</v>
      </c>
      <c r="I28" s="7" t="s">
        <v>62</v>
      </c>
      <c r="J28" s="7" t="s">
        <v>62</v>
      </c>
      <c r="K28" s="7" t="s">
        <v>62</v>
      </c>
      <c r="L28" s="7" t="s">
        <v>62</v>
      </c>
      <c r="M28" s="7" t="s">
        <v>62</v>
      </c>
      <c r="N28" s="7" t="s">
        <v>62</v>
      </c>
      <c r="O28" s="7" t="s">
        <v>62</v>
      </c>
      <c r="P28" s="7" t="s">
        <v>62</v>
      </c>
      <c r="Q28" s="7" t="s">
        <v>62</v>
      </c>
      <c r="R28" s="7" t="s">
        <v>62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6" t="s">
        <v>62</v>
      </c>
      <c r="Y28" s="6" t="s">
        <v>62</v>
      </c>
      <c r="Z28" s="6" t="s">
        <v>62</v>
      </c>
      <c r="AA28" s="7" t="s">
        <v>62</v>
      </c>
      <c r="AB28" s="7" t="s">
        <v>62</v>
      </c>
      <c r="AC28" s="7" t="s">
        <v>62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9">
        <v>1</v>
      </c>
      <c r="AJ28" s="44">
        <f t="shared" si="3"/>
        <v>8</v>
      </c>
      <c r="AK28" s="45">
        <f t="shared" si="4"/>
        <v>23</v>
      </c>
      <c r="AL28" s="46">
        <f t="shared" si="5"/>
        <v>0</v>
      </c>
    </row>
    <row r="29" spans="1:38">
      <c r="A29" s="21"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8" t="s">
        <v>61</v>
      </c>
      <c r="AJ29" s="41">
        <f t="shared" si="3"/>
        <v>0</v>
      </c>
      <c r="AK29" s="42">
        <f t="shared" si="4"/>
        <v>0</v>
      </c>
      <c r="AL29" s="43">
        <f t="shared" si="5"/>
        <v>31</v>
      </c>
    </row>
    <row r="30" spans="1:38">
      <c r="A30" s="24"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8" t="s">
        <v>62</v>
      </c>
      <c r="AJ30" s="35">
        <f t="shared" si="3"/>
        <v>0</v>
      </c>
      <c r="AK30" s="36">
        <f t="shared" si="4"/>
        <v>31</v>
      </c>
      <c r="AL30" s="37">
        <f t="shared" si="5"/>
        <v>0</v>
      </c>
    </row>
    <row r="31" spans="1:38" ht="16.5" thickBot="1">
      <c r="A31" s="27"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3"/>
        <v>0</v>
      </c>
      <c r="AK31" s="45">
        <f t="shared" si="4"/>
        <v>31</v>
      </c>
      <c r="AL31" s="46">
        <f t="shared" si="5"/>
        <v>0</v>
      </c>
    </row>
    <row r="32" spans="1:38">
      <c r="A32" s="21"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3"/>
        <v>0</v>
      </c>
      <c r="AK32" s="42">
        <f t="shared" si="4"/>
        <v>31</v>
      </c>
      <c r="AL32" s="43">
        <f t="shared" si="5"/>
        <v>0</v>
      </c>
    </row>
    <row r="33" spans="1:38" ht="16.5" thickBot="1">
      <c r="A33" s="27"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>COUNTIF(E33:AI33,1)</f>
        <v>0</v>
      </c>
      <c r="AK33" s="45">
        <f>COUNTIF(E33:AI33,"тр")</f>
        <v>31</v>
      </c>
      <c r="AL33" s="46">
        <f>COUNTIF(E33:AI33,"бв")</f>
        <v>0</v>
      </c>
    </row>
    <row r="34" spans="1:38">
      <c r="A34" s="21"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6" t="s">
        <v>62</v>
      </c>
      <c r="AJ34" s="41">
        <f t="shared" ref="AJ34:AJ47" si="6">COUNTIF(E34:AI34,1)</f>
        <v>0</v>
      </c>
      <c r="AK34" s="42">
        <f t="shared" ref="AK34:AK47" si="7">COUNTIF(E34:AI34,"тр")</f>
        <v>31</v>
      </c>
      <c r="AL34" s="43">
        <f t="shared" ref="AL34:AL47" si="8">COUNTIF(E34:AI34,"бв")</f>
        <v>0</v>
      </c>
    </row>
    <row r="35" spans="1:38" ht="16.5" thickBot="1">
      <c r="A35" s="27"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7" t="s">
        <v>62</v>
      </c>
      <c r="AJ35" s="44">
        <f t="shared" si="6"/>
        <v>0</v>
      </c>
      <c r="AK35" s="45">
        <f t="shared" si="7"/>
        <v>31</v>
      </c>
      <c r="AL35" s="46">
        <f t="shared" si="8"/>
        <v>0</v>
      </c>
    </row>
    <row r="36" spans="1:38">
      <c r="A36" s="21"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>
        <v>1</v>
      </c>
      <c r="I36" s="6">
        <v>1</v>
      </c>
      <c r="J36" s="6">
        <v>1</v>
      </c>
      <c r="K36" s="6" t="s">
        <v>61</v>
      </c>
      <c r="L36" s="6">
        <v>1</v>
      </c>
      <c r="M36" s="6">
        <v>1</v>
      </c>
      <c r="N36" s="6">
        <v>1</v>
      </c>
      <c r="O36" s="6">
        <v>1</v>
      </c>
      <c r="P36" s="6">
        <v>1</v>
      </c>
      <c r="Q36" s="6">
        <v>1</v>
      </c>
      <c r="R36" s="6">
        <v>1</v>
      </c>
      <c r="S36" s="6">
        <v>1</v>
      </c>
      <c r="T36" s="6" t="s">
        <v>61</v>
      </c>
      <c r="U36" s="6">
        <v>1</v>
      </c>
      <c r="V36" s="6">
        <v>1</v>
      </c>
      <c r="W36" s="6">
        <v>1</v>
      </c>
      <c r="X36" s="6">
        <v>1</v>
      </c>
      <c r="Y36" s="6">
        <v>1</v>
      </c>
      <c r="Z36" s="6">
        <v>1</v>
      </c>
      <c r="AA36" s="6" t="s">
        <v>62</v>
      </c>
      <c r="AB36" s="6" t="s">
        <v>62</v>
      </c>
      <c r="AC36" s="6" t="s">
        <v>62</v>
      </c>
      <c r="AD36" s="6" t="s">
        <v>62</v>
      </c>
      <c r="AE36" s="6" t="s">
        <v>62</v>
      </c>
      <c r="AF36" s="6" t="s">
        <v>62</v>
      </c>
      <c r="AG36" s="6" t="s">
        <v>62</v>
      </c>
      <c r="AH36" s="6" t="s">
        <v>62</v>
      </c>
      <c r="AI36" s="8">
        <v>1</v>
      </c>
      <c r="AJ36" s="41">
        <f t="shared" si="6"/>
        <v>21</v>
      </c>
      <c r="AK36" s="42">
        <f t="shared" si="7"/>
        <v>8</v>
      </c>
      <c r="AL36" s="43">
        <f t="shared" si="8"/>
        <v>2</v>
      </c>
    </row>
    <row r="37" spans="1:38">
      <c r="A37" s="24">
        <v>34</v>
      </c>
      <c r="B37" s="25" t="s">
        <v>35</v>
      </c>
      <c r="C37" s="26" t="s">
        <v>36</v>
      </c>
      <c r="D37" s="48">
        <v>7945</v>
      </c>
      <c r="E37" s="16" t="s">
        <v>62</v>
      </c>
      <c r="F37" s="6" t="s">
        <v>62</v>
      </c>
      <c r="G37" s="6" t="s">
        <v>62</v>
      </c>
      <c r="H37" s="6" t="s">
        <v>62</v>
      </c>
      <c r="I37" s="6" t="s">
        <v>62</v>
      </c>
      <c r="J37" s="6" t="s">
        <v>62</v>
      </c>
      <c r="K37" s="6" t="s">
        <v>62</v>
      </c>
      <c r="L37" s="6" t="s">
        <v>62</v>
      </c>
      <c r="M37" s="6" t="s">
        <v>62</v>
      </c>
      <c r="N37" s="6" t="s">
        <v>62</v>
      </c>
      <c r="O37" s="6" t="s">
        <v>62</v>
      </c>
      <c r="P37" s="6" t="s">
        <v>62</v>
      </c>
      <c r="Q37" s="6">
        <v>1</v>
      </c>
      <c r="R37" s="6">
        <v>1</v>
      </c>
      <c r="S37" s="6" t="s">
        <v>62</v>
      </c>
      <c r="T37" s="6">
        <v>1</v>
      </c>
      <c r="U37" s="6">
        <v>1</v>
      </c>
      <c r="V37" s="6" t="s">
        <v>62</v>
      </c>
      <c r="W37" s="6" t="s">
        <v>62</v>
      </c>
      <c r="X37" s="6" t="s">
        <v>62</v>
      </c>
      <c r="Y37" s="6" t="s">
        <v>62</v>
      </c>
      <c r="Z37" s="6" t="s">
        <v>62</v>
      </c>
      <c r="AA37" s="6" t="s">
        <v>62</v>
      </c>
      <c r="AB37" s="6">
        <v>1</v>
      </c>
      <c r="AC37" s="6">
        <v>1</v>
      </c>
      <c r="AD37" s="6">
        <v>1</v>
      </c>
      <c r="AE37" s="6">
        <v>1</v>
      </c>
      <c r="AF37" s="6" t="s">
        <v>61</v>
      </c>
      <c r="AG37" s="6">
        <v>1</v>
      </c>
      <c r="AH37" s="6">
        <v>1</v>
      </c>
      <c r="AI37" s="6">
        <v>1</v>
      </c>
      <c r="AJ37" s="35">
        <f t="shared" si="6"/>
        <v>11</v>
      </c>
      <c r="AK37" s="36">
        <f t="shared" si="7"/>
        <v>19</v>
      </c>
      <c r="AL37" s="37">
        <f t="shared" si="8"/>
        <v>1</v>
      </c>
    </row>
    <row r="38" spans="1:38" ht="16.5" thickBot="1">
      <c r="A38" s="27">
        <v>35</v>
      </c>
      <c r="B38" s="28" t="s">
        <v>37</v>
      </c>
      <c r="C38" s="34">
        <v>135</v>
      </c>
      <c r="D38" s="49">
        <v>8933</v>
      </c>
      <c r="E38" s="17" t="s">
        <v>62</v>
      </c>
      <c r="F38" s="7" t="s">
        <v>62</v>
      </c>
      <c r="G38" s="7" t="s">
        <v>62</v>
      </c>
      <c r="H38" s="7" t="s">
        <v>62</v>
      </c>
      <c r="I38" s="7" t="s">
        <v>62</v>
      </c>
      <c r="J38" s="7" t="s">
        <v>62</v>
      </c>
      <c r="K38" s="7" t="s">
        <v>62</v>
      </c>
      <c r="L38" s="7" t="s">
        <v>62</v>
      </c>
      <c r="M38" s="7" t="s">
        <v>62</v>
      </c>
      <c r="N38" s="7" t="s">
        <v>62</v>
      </c>
      <c r="O38" s="7" t="s">
        <v>62</v>
      </c>
      <c r="P38" s="7" t="s">
        <v>62</v>
      </c>
      <c r="Q38" s="7" t="s">
        <v>62</v>
      </c>
      <c r="R38" s="7" t="s">
        <v>62</v>
      </c>
      <c r="S38" s="7" t="s">
        <v>62</v>
      </c>
      <c r="T38" s="7" t="s">
        <v>62</v>
      </c>
      <c r="U38" s="7" t="s">
        <v>62</v>
      </c>
      <c r="V38" s="7" t="s">
        <v>62</v>
      </c>
      <c r="W38" s="7" t="s">
        <v>62</v>
      </c>
      <c r="X38" s="6" t="s">
        <v>62</v>
      </c>
      <c r="Y38" s="6" t="s">
        <v>62</v>
      </c>
      <c r="Z38" s="6" t="s">
        <v>62</v>
      </c>
      <c r="AA38" s="7">
        <v>1</v>
      </c>
      <c r="AB38" s="7">
        <v>1</v>
      </c>
      <c r="AC38" s="7">
        <v>1</v>
      </c>
      <c r="AD38" s="7">
        <v>1</v>
      </c>
      <c r="AE38" s="7" t="s">
        <v>61</v>
      </c>
      <c r="AF38" s="7" t="s">
        <v>61</v>
      </c>
      <c r="AG38" s="7">
        <v>1</v>
      </c>
      <c r="AH38" s="7">
        <v>1</v>
      </c>
      <c r="AI38" s="9">
        <v>1</v>
      </c>
      <c r="AJ38" s="44">
        <f t="shared" si="6"/>
        <v>7</v>
      </c>
      <c r="AK38" s="45">
        <f t="shared" si="7"/>
        <v>22</v>
      </c>
      <c r="AL38" s="46">
        <f t="shared" si="8"/>
        <v>2</v>
      </c>
    </row>
    <row r="39" spans="1:38">
      <c r="A39" s="21"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>
        <v>1</v>
      </c>
      <c r="AD39" s="6">
        <v>1</v>
      </c>
      <c r="AE39" s="6">
        <v>1</v>
      </c>
      <c r="AF39" s="6">
        <v>1</v>
      </c>
      <c r="AG39" s="6">
        <v>1</v>
      </c>
      <c r="AH39" s="6">
        <v>1</v>
      </c>
      <c r="AI39" s="8">
        <v>1</v>
      </c>
      <c r="AJ39" s="41">
        <f t="shared" si="6"/>
        <v>31</v>
      </c>
      <c r="AK39" s="42">
        <f t="shared" si="7"/>
        <v>0</v>
      </c>
      <c r="AL39" s="43">
        <f t="shared" si="8"/>
        <v>0</v>
      </c>
    </row>
    <row r="40" spans="1:38">
      <c r="A40" s="24"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>
        <v>1</v>
      </c>
      <c r="V40" s="6">
        <v>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8">
        <v>1</v>
      </c>
      <c r="AJ40" s="35">
        <f t="shared" si="6"/>
        <v>31</v>
      </c>
      <c r="AK40" s="36">
        <f t="shared" si="7"/>
        <v>0</v>
      </c>
      <c r="AL40" s="37">
        <f t="shared" si="8"/>
        <v>0</v>
      </c>
    </row>
    <row r="41" spans="1:38">
      <c r="A41" s="24"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>
        <v>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8">
        <v>1</v>
      </c>
      <c r="AJ41" s="35">
        <f t="shared" si="6"/>
        <v>31</v>
      </c>
      <c r="AK41" s="36">
        <f t="shared" si="7"/>
        <v>0</v>
      </c>
      <c r="AL41" s="37">
        <f t="shared" si="8"/>
        <v>0</v>
      </c>
    </row>
    <row r="42" spans="1:38">
      <c r="A42" s="24">
        <v>39</v>
      </c>
      <c r="B42" s="25" t="s">
        <v>58</v>
      </c>
      <c r="C42" s="26" t="s">
        <v>41</v>
      </c>
      <c r="D42" s="48">
        <v>6130</v>
      </c>
      <c r="E42" s="16" t="s">
        <v>62</v>
      </c>
      <c r="F42" s="6" t="s">
        <v>62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 t="s">
        <v>61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>
        <v>1</v>
      </c>
      <c r="AA42" s="6">
        <v>1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8">
        <v>1</v>
      </c>
      <c r="AJ42" s="35">
        <f t="shared" si="6"/>
        <v>28</v>
      </c>
      <c r="AK42" s="36">
        <f t="shared" si="7"/>
        <v>2</v>
      </c>
      <c r="AL42" s="37">
        <f t="shared" si="8"/>
        <v>1</v>
      </c>
    </row>
    <row r="43" spans="1:38">
      <c r="A43" s="24">
        <v>40</v>
      </c>
      <c r="B43" s="25" t="s">
        <v>58</v>
      </c>
      <c r="C43" s="26" t="s">
        <v>42</v>
      </c>
      <c r="D43" s="48">
        <v>1297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 t="s">
        <v>62</v>
      </c>
      <c r="N43" s="6" t="s">
        <v>62</v>
      </c>
      <c r="O43" s="6" t="s">
        <v>62</v>
      </c>
      <c r="P43" s="6">
        <v>1</v>
      </c>
      <c r="Q43" s="6">
        <v>1</v>
      </c>
      <c r="R43" s="6">
        <v>1</v>
      </c>
      <c r="S43" s="6">
        <v>1</v>
      </c>
      <c r="T43" s="6" t="s">
        <v>62</v>
      </c>
      <c r="U43" s="6" t="s">
        <v>62</v>
      </c>
      <c r="V43" s="6" t="s">
        <v>62</v>
      </c>
      <c r="W43" s="6" t="s">
        <v>62</v>
      </c>
      <c r="X43" s="6" t="s">
        <v>62</v>
      </c>
      <c r="Y43" s="6" t="s">
        <v>62</v>
      </c>
      <c r="Z43" s="6" t="s">
        <v>62</v>
      </c>
      <c r="AA43" s="6" t="s">
        <v>62</v>
      </c>
      <c r="AB43" s="6" t="s">
        <v>62</v>
      </c>
      <c r="AC43" s="6">
        <v>1</v>
      </c>
      <c r="AD43" s="6">
        <v>1</v>
      </c>
      <c r="AE43" s="6">
        <v>1</v>
      </c>
      <c r="AF43" s="6" t="s">
        <v>62</v>
      </c>
      <c r="AG43" s="6">
        <v>1</v>
      </c>
      <c r="AH43" s="6">
        <v>1</v>
      </c>
      <c r="AI43" s="8" t="s">
        <v>62</v>
      </c>
      <c r="AJ43" s="35">
        <f t="shared" si="6"/>
        <v>17</v>
      </c>
      <c r="AK43" s="36">
        <f t="shared" si="7"/>
        <v>14</v>
      </c>
      <c r="AL43" s="37">
        <f t="shared" si="8"/>
        <v>0</v>
      </c>
    </row>
    <row r="44" spans="1:38">
      <c r="A44" s="24"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 t="s">
        <v>61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8">
        <v>1</v>
      </c>
      <c r="AJ44" s="35">
        <f t="shared" si="6"/>
        <v>30</v>
      </c>
      <c r="AK44" s="36">
        <f t="shared" si="7"/>
        <v>0</v>
      </c>
      <c r="AL44" s="37">
        <f t="shared" si="8"/>
        <v>1</v>
      </c>
    </row>
    <row r="45" spans="1:38" ht="16.5" thickBot="1">
      <c r="A45" s="27"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>
        <v>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>
        <v>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9">
        <v>1</v>
      </c>
      <c r="AJ45" s="44">
        <f t="shared" si="6"/>
        <v>31</v>
      </c>
      <c r="AK45" s="45">
        <f t="shared" si="7"/>
        <v>0</v>
      </c>
      <c r="AL45" s="46">
        <f t="shared" si="8"/>
        <v>0</v>
      </c>
    </row>
    <row r="46" spans="1:38">
      <c r="A46" s="21"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>
        <v>1</v>
      </c>
      <c r="I46" s="6">
        <v>1</v>
      </c>
      <c r="J46" s="6" t="s">
        <v>61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 t="s">
        <v>61</v>
      </c>
      <c r="Y46" s="6" t="s">
        <v>61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8">
        <v>1</v>
      </c>
      <c r="AJ46" s="41">
        <f t="shared" si="6"/>
        <v>28</v>
      </c>
      <c r="AK46" s="42">
        <f t="shared" si="7"/>
        <v>0</v>
      </c>
      <c r="AL46" s="43">
        <f t="shared" si="8"/>
        <v>3</v>
      </c>
    </row>
    <row r="47" spans="1:38" ht="16.5" thickBot="1">
      <c r="A47" s="27"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 t="s">
        <v>61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</v>
      </c>
      <c r="Z47" s="7" t="s">
        <v>61</v>
      </c>
      <c r="AA47" s="7">
        <v>1</v>
      </c>
      <c r="AB47" s="7">
        <v>1</v>
      </c>
      <c r="AC47" s="7" t="s">
        <v>61</v>
      </c>
      <c r="AD47" s="7" t="s">
        <v>61</v>
      </c>
      <c r="AE47" s="7">
        <v>1</v>
      </c>
      <c r="AF47" s="7">
        <v>1</v>
      </c>
      <c r="AG47" s="7" t="s">
        <v>61</v>
      </c>
      <c r="AH47" s="7">
        <v>1</v>
      </c>
      <c r="AI47" s="9">
        <v>1</v>
      </c>
      <c r="AJ47" s="44">
        <f t="shared" si="6"/>
        <v>26</v>
      </c>
      <c r="AK47" s="45">
        <f t="shared" si="7"/>
        <v>0</v>
      </c>
      <c r="AL47" s="46">
        <f t="shared" si="8"/>
        <v>5</v>
      </c>
    </row>
    <row r="48" spans="1:38">
      <c r="B48" s="1"/>
      <c r="C48" s="2"/>
      <c r="D48" s="2"/>
    </row>
    <row r="49" spans="1:38">
      <c r="A49" s="7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</row>
    <row r="50" spans="1:38" ht="16.5" thickBot="1">
      <c r="A50" s="50"/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  <c r="AD50" s="50"/>
      <c r="AE50" s="50"/>
      <c r="AF50" s="50"/>
      <c r="AG50" s="50"/>
      <c r="AH50" s="50"/>
      <c r="AI50" s="50"/>
      <c r="AJ50" s="50"/>
      <c r="AK50" s="50"/>
      <c r="AL50" s="50"/>
    </row>
    <row r="51" spans="1:38" ht="16.5" thickBot="1">
      <c r="A51" s="10" t="s">
        <v>60</v>
      </c>
      <c r="B51" s="11" t="s">
        <v>48</v>
      </c>
      <c r="C51" s="11" t="s">
        <v>49</v>
      </c>
      <c r="D51" s="14" t="s">
        <v>50</v>
      </c>
      <c r="E51" s="12">
        <v>1</v>
      </c>
      <c r="F51" s="12">
        <v>2</v>
      </c>
      <c r="G51" s="12">
        <v>3</v>
      </c>
      <c r="H51" s="12">
        <v>4</v>
      </c>
      <c r="I51" s="12">
        <v>5</v>
      </c>
      <c r="J51" s="12">
        <v>6</v>
      </c>
      <c r="K51" s="12">
        <v>7</v>
      </c>
      <c r="L51" s="12">
        <v>8</v>
      </c>
      <c r="M51" s="12">
        <v>9</v>
      </c>
      <c r="N51" s="12">
        <v>10</v>
      </c>
      <c r="O51" s="12">
        <v>11</v>
      </c>
      <c r="P51" s="12">
        <v>12</v>
      </c>
      <c r="Q51" s="12">
        <v>13</v>
      </c>
      <c r="R51" s="12">
        <v>14</v>
      </c>
      <c r="S51" s="12">
        <v>15</v>
      </c>
      <c r="T51" s="12">
        <v>16</v>
      </c>
      <c r="U51" s="12">
        <v>17</v>
      </c>
      <c r="V51" s="12">
        <v>18</v>
      </c>
      <c r="W51" s="12">
        <v>19</v>
      </c>
      <c r="X51" s="12">
        <v>20</v>
      </c>
      <c r="Y51" s="12">
        <v>21</v>
      </c>
      <c r="Z51" s="12">
        <v>22</v>
      </c>
      <c r="AA51" s="12">
        <v>23</v>
      </c>
      <c r="AB51" s="12">
        <v>24</v>
      </c>
      <c r="AC51" s="12">
        <v>25</v>
      </c>
      <c r="AD51" s="12">
        <v>26</v>
      </c>
      <c r="AE51" s="12">
        <v>27</v>
      </c>
      <c r="AF51" s="12">
        <v>28</v>
      </c>
      <c r="AG51" s="12">
        <v>29</v>
      </c>
      <c r="AH51" s="12">
        <v>30</v>
      </c>
      <c r="AI51" s="13">
        <v>31</v>
      </c>
      <c r="AJ51" s="18">
        <v>1</v>
      </c>
      <c r="AK51" s="19" t="s">
        <v>62</v>
      </c>
      <c r="AL51" s="20" t="s">
        <v>61</v>
      </c>
    </row>
    <row r="52" spans="1:38">
      <c r="A52" s="21">
        <v>1</v>
      </c>
      <c r="B52" s="22" t="s">
        <v>0</v>
      </c>
      <c r="C52" s="23" t="s">
        <v>51</v>
      </c>
      <c r="D52" s="47">
        <v>7334</v>
      </c>
      <c r="E52" s="15" t="s">
        <v>62</v>
      </c>
      <c r="F52" s="15" t="s">
        <v>62</v>
      </c>
      <c r="G52" s="15" t="s">
        <v>62</v>
      </c>
      <c r="H52" s="15" t="s">
        <v>62</v>
      </c>
      <c r="I52" s="15" t="s">
        <v>62</v>
      </c>
      <c r="J52" s="15" t="s">
        <v>62</v>
      </c>
      <c r="K52" s="15" t="s">
        <v>62</v>
      </c>
      <c r="L52" s="15" t="s">
        <v>62</v>
      </c>
      <c r="M52" s="15" t="s">
        <v>62</v>
      </c>
      <c r="N52" s="15" t="s">
        <v>62</v>
      </c>
      <c r="O52" s="15" t="s">
        <v>62</v>
      </c>
      <c r="P52" s="15" t="s">
        <v>62</v>
      </c>
      <c r="Q52" s="15" t="s">
        <v>62</v>
      </c>
      <c r="R52" s="15" t="s">
        <v>62</v>
      </c>
      <c r="S52" s="15" t="s">
        <v>62</v>
      </c>
      <c r="T52" s="15" t="s">
        <v>62</v>
      </c>
      <c r="U52" s="15" t="s">
        <v>62</v>
      </c>
      <c r="V52" s="15" t="s">
        <v>62</v>
      </c>
      <c r="W52" s="15" t="s">
        <v>62</v>
      </c>
      <c r="X52" s="15" t="s">
        <v>62</v>
      </c>
      <c r="Y52" s="15" t="s">
        <v>62</v>
      </c>
      <c r="Z52" s="15" t="s">
        <v>62</v>
      </c>
      <c r="AA52" s="15" t="s">
        <v>62</v>
      </c>
      <c r="AB52" s="15" t="s">
        <v>62</v>
      </c>
      <c r="AC52" s="15" t="s">
        <v>62</v>
      </c>
      <c r="AD52" s="15" t="s">
        <v>62</v>
      </c>
      <c r="AE52" s="15" t="s">
        <v>62</v>
      </c>
      <c r="AF52" s="15" t="s">
        <v>62</v>
      </c>
      <c r="AG52" s="15" t="s">
        <v>62</v>
      </c>
      <c r="AH52" s="15" t="s">
        <v>62</v>
      </c>
      <c r="AI52" s="15" t="s">
        <v>62</v>
      </c>
      <c r="AJ52" s="41">
        <f t="shared" ref="AJ52" si="9">COUNTIF(E52:AI52,1)</f>
        <v>0</v>
      </c>
      <c r="AK52" s="42">
        <f t="shared" ref="AK52" si="10">COUNTIF(E52:AI52,"тр")</f>
        <v>31</v>
      </c>
      <c r="AL52" s="43">
        <f t="shared" ref="AL52" si="11">COUNTIF(E52:AI52,"бв")</f>
        <v>0</v>
      </c>
    </row>
    <row r="53" spans="1:38">
      <c r="A53" s="24">
        <v>2</v>
      </c>
      <c r="B53" s="25" t="s">
        <v>58</v>
      </c>
      <c r="C53" s="31">
        <v>176</v>
      </c>
      <c r="D53" s="48">
        <v>6172</v>
      </c>
      <c r="E53" s="16">
        <v>1</v>
      </c>
      <c r="F53" s="6">
        <v>1</v>
      </c>
      <c r="G53" s="6">
        <v>1</v>
      </c>
      <c r="H53" s="6">
        <v>1</v>
      </c>
      <c r="I53" s="6">
        <v>1</v>
      </c>
      <c r="J53" s="6">
        <v>1</v>
      </c>
      <c r="K53" s="6">
        <v>1</v>
      </c>
      <c r="L53" s="6">
        <v>1</v>
      </c>
      <c r="M53" s="6">
        <v>1</v>
      </c>
      <c r="N53" s="6">
        <v>1</v>
      </c>
      <c r="O53" s="6">
        <v>1</v>
      </c>
      <c r="P53" s="6">
        <v>1</v>
      </c>
      <c r="Q53" s="6">
        <v>1</v>
      </c>
      <c r="R53" s="6">
        <v>1</v>
      </c>
      <c r="S53" s="6">
        <v>1</v>
      </c>
      <c r="T53" s="6">
        <v>1</v>
      </c>
      <c r="U53" s="6">
        <v>1</v>
      </c>
      <c r="V53" s="6">
        <v>1</v>
      </c>
      <c r="W53" s="6">
        <v>1</v>
      </c>
      <c r="X53" s="6">
        <v>1</v>
      </c>
      <c r="Y53" s="6">
        <v>1</v>
      </c>
      <c r="Z53" s="6">
        <v>1</v>
      </c>
      <c r="AA53" s="6">
        <v>1</v>
      </c>
      <c r="AB53" s="6">
        <v>1</v>
      </c>
      <c r="AC53" s="6">
        <v>1</v>
      </c>
      <c r="AD53" s="6">
        <v>1</v>
      </c>
      <c r="AE53" s="6">
        <v>1</v>
      </c>
      <c r="AF53" s="6">
        <v>1</v>
      </c>
      <c r="AG53" s="6">
        <v>1</v>
      </c>
      <c r="AH53" s="6">
        <v>1</v>
      </c>
      <c r="AI53" s="8">
        <v>1</v>
      </c>
      <c r="AJ53" s="35">
        <f t="shared" ref="AJ53:AJ54" si="12">COUNTIF(E53:AI53,1)</f>
        <v>31</v>
      </c>
      <c r="AK53" s="36">
        <f t="shared" ref="AK53:AK54" si="13">COUNTIF(E53:AI53,"тр")</f>
        <v>0</v>
      </c>
      <c r="AL53" s="37">
        <f t="shared" ref="AL53:AL54" si="14">COUNTIF(E53:AI53,"бв")</f>
        <v>0</v>
      </c>
    </row>
    <row r="54" spans="1:38" ht="16.5" thickBot="1">
      <c r="A54" s="27">
        <v>3</v>
      </c>
      <c r="B54" s="28" t="s">
        <v>58</v>
      </c>
      <c r="C54" s="34">
        <v>177</v>
      </c>
      <c r="D54" s="49">
        <v>6173</v>
      </c>
      <c r="E54" s="17">
        <v>1</v>
      </c>
      <c r="F54" s="7">
        <v>1</v>
      </c>
      <c r="G54" s="7">
        <v>1</v>
      </c>
      <c r="H54" s="7">
        <v>1</v>
      </c>
      <c r="I54" s="7">
        <v>1</v>
      </c>
      <c r="J54" s="7">
        <v>1</v>
      </c>
      <c r="K54" s="7">
        <v>1</v>
      </c>
      <c r="L54" s="7">
        <v>1</v>
      </c>
      <c r="M54" s="7">
        <v>1</v>
      </c>
      <c r="N54" s="7">
        <v>1</v>
      </c>
      <c r="O54" s="7">
        <v>1</v>
      </c>
      <c r="P54" s="7">
        <v>1</v>
      </c>
      <c r="Q54" s="7">
        <v>1</v>
      </c>
      <c r="R54" s="7">
        <v>1</v>
      </c>
      <c r="S54" s="7">
        <v>1</v>
      </c>
      <c r="T54" s="7">
        <v>1</v>
      </c>
      <c r="U54" s="7">
        <v>1</v>
      </c>
      <c r="V54" s="7">
        <v>1</v>
      </c>
      <c r="W54" s="7">
        <v>1</v>
      </c>
      <c r="X54" s="7">
        <v>1</v>
      </c>
      <c r="Y54" s="7">
        <v>1</v>
      </c>
      <c r="Z54" s="7">
        <v>1</v>
      </c>
      <c r="AA54" s="7">
        <v>1</v>
      </c>
      <c r="AB54" s="7">
        <v>1</v>
      </c>
      <c r="AC54" s="7">
        <v>1</v>
      </c>
      <c r="AD54" s="7">
        <v>1</v>
      </c>
      <c r="AE54" s="7">
        <v>1</v>
      </c>
      <c r="AF54" s="7">
        <v>1</v>
      </c>
      <c r="AG54" s="7">
        <v>1</v>
      </c>
      <c r="AH54" s="7">
        <v>1</v>
      </c>
      <c r="AI54" s="9">
        <v>1</v>
      </c>
      <c r="AJ54" s="44">
        <f t="shared" si="12"/>
        <v>31</v>
      </c>
      <c r="AK54" s="45">
        <f t="shared" si="13"/>
        <v>0</v>
      </c>
      <c r="AL54" s="46">
        <f t="shared" si="14"/>
        <v>0</v>
      </c>
    </row>
    <row r="55" spans="1:38">
      <c r="B55" s="1"/>
      <c r="C55" s="2"/>
      <c r="D55" s="2"/>
    </row>
    <row r="56" spans="1:38">
      <c r="A56" s="78" t="s">
        <v>63</v>
      </c>
      <c r="B56" s="78"/>
      <c r="C56" s="78"/>
      <c r="D56" s="78"/>
      <c r="E56" s="78"/>
      <c r="F56" s="78"/>
      <c r="G56" s="78"/>
      <c r="H56" s="78"/>
      <c r="I56" s="78"/>
      <c r="J56" s="78"/>
      <c r="K56" s="78"/>
      <c r="L56" s="78"/>
      <c r="M56" s="78"/>
      <c r="N56" s="78"/>
      <c r="O56" s="78"/>
      <c r="P56" s="78"/>
      <c r="Q56" s="78"/>
      <c r="R56" s="78"/>
      <c r="S56" s="78"/>
      <c r="T56" s="78"/>
      <c r="U56" s="78"/>
      <c r="V56" s="78"/>
      <c r="W56" s="78"/>
      <c r="X56" s="78"/>
      <c r="Y56" s="78"/>
      <c r="Z56" s="78"/>
      <c r="AA56" s="78"/>
      <c r="AB56" s="78"/>
      <c r="AC56" s="78"/>
      <c r="AD56" s="78"/>
      <c r="AE56" s="78"/>
      <c r="AF56" s="78"/>
      <c r="AG56" s="78"/>
      <c r="AH56" s="78"/>
      <c r="AI56" s="78"/>
      <c r="AJ56" s="78"/>
      <c r="AK56" s="78"/>
      <c r="AL56" s="78"/>
    </row>
  </sheetData>
  <autoFilter ref="E2:AM47">
    <filterColumn colId="9"/>
    <filterColumn colId="11"/>
    <filterColumn colId="19"/>
    <filterColumn colId="34"/>
  </autoFilter>
  <mergeCells count="3">
    <mergeCell ref="A1:AL1"/>
    <mergeCell ref="A49:AL49"/>
    <mergeCell ref="A56:AL56"/>
  </mergeCells>
  <conditionalFormatting sqref="E4:AI47">
    <cfRule type="containsBlanks" dxfId="3" priority="2">
      <formula>LEN(TRIM(E4))=0</formula>
    </cfRule>
  </conditionalFormatting>
  <conditionalFormatting sqref="E52:AI54">
    <cfRule type="containsBlanks" dxfId="2" priority="1">
      <formula>LEN(TRIM(E52))=0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K56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7" sqref="J17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4" width="3.7109375" style="3" customWidth="1"/>
    <col min="35" max="37" width="5.7109375" style="3" customWidth="1"/>
    <col min="38" max="16384" width="9.140625" style="3"/>
  </cols>
  <sheetData>
    <row r="1" spans="1:37">
      <c r="A1" s="7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Ноябрь 2018 автоколонны № 1 г. Жодино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</row>
    <row r="2" spans="1:37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</row>
    <row r="3" spans="1:37" s="53" customFormat="1" ht="16.5" thickBot="1">
      <c r="A3" s="55" t="s">
        <v>60</v>
      </c>
      <c r="B3" s="56" t="s">
        <v>48</v>
      </c>
      <c r="C3" s="56" t="s">
        <v>52</v>
      </c>
      <c r="D3" s="57" t="s">
        <v>53</v>
      </c>
      <c r="E3" s="63">
        <v>1</v>
      </c>
      <c r="F3" s="58">
        <v>2</v>
      </c>
      <c r="G3" s="58">
        <v>3</v>
      </c>
      <c r="H3" s="58">
        <v>4</v>
      </c>
      <c r="I3" s="58">
        <v>5</v>
      </c>
      <c r="J3" s="58">
        <v>6</v>
      </c>
      <c r="K3" s="58">
        <v>7</v>
      </c>
      <c r="L3" s="58">
        <v>8</v>
      </c>
      <c r="M3" s="58">
        <v>9</v>
      </c>
      <c r="N3" s="58">
        <v>10</v>
      </c>
      <c r="O3" s="58">
        <v>11</v>
      </c>
      <c r="P3" s="58">
        <v>12</v>
      </c>
      <c r="Q3" s="58">
        <v>13</v>
      </c>
      <c r="R3" s="58">
        <v>14</v>
      </c>
      <c r="S3" s="58">
        <v>15</v>
      </c>
      <c r="T3" s="58">
        <v>16</v>
      </c>
      <c r="U3" s="58">
        <v>17</v>
      </c>
      <c r="V3" s="58">
        <v>18</v>
      </c>
      <c r="W3" s="58">
        <v>19</v>
      </c>
      <c r="X3" s="58">
        <v>20</v>
      </c>
      <c r="Y3" s="58">
        <v>21</v>
      </c>
      <c r="Z3" s="58">
        <v>22</v>
      </c>
      <c r="AA3" s="58">
        <v>23</v>
      </c>
      <c r="AB3" s="58">
        <v>24</v>
      </c>
      <c r="AC3" s="58">
        <v>25</v>
      </c>
      <c r="AD3" s="58">
        <v>26</v>
      </c>
      <c r="AE3" s="58">
        <v>27</v>
      </c>
      <c r="AF3" s="58">
        <v>28</v>
      </c>
      <c r="AG3" s="58">
        <v>29</v>
      </c>
      <c r="AH3" s="58">
        <v>30</v>
      </c>
      <c r="AI3" s="59">
        <v>1</v>
      </c>
      <c r="AJ3" s="60" t="s">
        <v>62</v>
      </c>
      <c r="AK3" s="61" t="s">
        <v>61</v>
      </c>
    </row>
    <row r="4" spans="1:37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35">
        <f t="shared" ref="AI4:AI47" si="0">COUNTIF(E4:AH4,1)</f>
        <v>0</v>
      </c>
      <c r="AJ4" s="36">
        <f t="shared" ref="AJ4:AJ47" si="1">COUNTIF(E4:AH4,"тр")</f>
        <v>30</v>
      </c>
      <c r="AK4" s="37">
        <f t="shared" ref="AK4:AK47" si="2">COUNTIF(E4:AH4,"бв")</f>
        <v>0</v>
      </c>
    </row>
    <row r="5" spans="1:37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17" t="s">
        <v>61</v>
      </c>
      <c r="F5" s="7" t="s">
        <v>61</v>
      </c>
      <c r="G5" s="7" t="s">
        <v>61</v>
      </c>
      <c r="H5" s="7" t="s">
        <v>61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62</v>
      </c>
      <c r="U5" s="7" t="s">
        <v>62</v>
      </c>
      <c r="V5" s="7" t="s">
        <v>62</v>
      </c>
      <c r="W5" s="7" t="s">
        <v>62</v>
      </c>
      <c r="X5" s="7" t="s">
        <v>62</v>
      </c>
      <c r="Y5" s="7" t="s">
        <v>62</v>
      </c>
      <c r="Z5" s="7" t="s">
        <v>62</v>
      </c>
      <c r="AA5" s="7" t="s">
        <v>62</v>
      </c>
      <c r="AB5" s="7" t="s">
        <v>62</v>
      </c>
      <c r="AC5" s="7" t="s">
        <v>62</v>
      </c>
      <c r="AD5" s="7" t="s">
        <v>62</v>
      </c>
      <c r="AE5" s="7" t="s">
        <v>62</v>
      </c>
      <c r="AF5" s="7" t="s">
        <v>62</v>
      </c>
      <c r="AG5" s="7" t="s">
        <v>62</v>
      </c>
      <c r="AH5" s="7" t="s">
        <v>62</v>
      </c>
      <c r="AI5" s="38">
        <f t="shared" si="0"/>
        <v>0</v>
      </c>
      <c r="AJ5" s="39">
        <f t="shared" si="1"/>
        <v>26</v>
      </c>
      <c r="AK5" s="40">
        <f t="shared" si="2"/>
        <v>4</v>
      </c>
    </row>
    <row r="6" spans="1:37">
      <c r="A6" s="21">
        <f t="shared" ref="A6:A49" si="3">A5+1</f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41">
        <f t="shared" si="0"/>
        <v>0</v>
      </c>
      <c r="AJ6" s="42">
        <f t="shared" si="1"/>
        <v>30</v>
      </c>
      <c r="AK6" s="43">
        <f t="shared" si="2"/>
        <v>0</v>
      </c>
    </row>
    <row r="7" spans="1:37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 t="s">
        <v>61</v>
      </c>
      <c r="H7" s="6">
        <v>1</v>
      </c>
      <c r="I7" s="6" t="s">
        <v>62</v>
      </c>
      <c r="J7" s="6" t="s">
        <v>62</v>
      </c>
      <c r="K7" s="6" t="s">
        <v>62</v>
      </c>
      <c r="L7" s="6">
        <v>1</v>
      </c>
      <c r="M7" s="6">
        <v>1</v>
      </c>
      <c r="N7" s="6">
        <v>1</v>
      </c>
      <c r="O7" s="6">
        <v>1</v>
      </c>
      <c r="P7" s="6">
        <v>1</v>
      </c>
      <c r="Q7" s="6">
        <v>1</v>
      </c>
      <c r="R7" s="6">
        <v>1</v>
      </c>
      <c r="S7" s="6">
        <v>1</v>
      </c>
      <c r="T7" s="6">
        <v>1</v>
      </c>
      <c r="U7" s="6">
        <v>1</v>
      </c>
      <c r="V7" s="6">
        <v>1</v>
      </c>
      <c r="W7" s="6">
        <v>1</v>
      </c>
      <c r="X7" s="6">
        <v>1</v>
      </c>
      <c r="Y7" s="6">
        <v>1</v>
      </c>
      <c r="Z7" s="6">
        <v>1</v>
      </c>
      <c r="AA7" s="6">
        <v>1</v>
      </c>
      <c r="AB7" s="6">
        <v>1</v>
      </c>
      <c r="AC7" s="6">
        <v>1</v>
      </c>
      <c r="AD7" s="6">
        <v>1</v>
      </c>
      <c r="AE7" s="6">
        <v>1</v>
      </c>
      <c r="AF7" s="6">
        <v>1</v>
      </c>
      <c r="AG7" s="6">
        <v>1</v>
      </c>
      <c r="AH7" s="6">
        <v>1</v>
      </c>
      <c r="AI7" s="35">
        <f t="shared" si="0"/>
        <v>26</v>
      </c>
      <c r="AJ7" s="36">
        <f t="shared" si="1"/>
        <v>3</v>
      </c>
      <c r="AK7" s="37">
        <f t="shared" si="2"/>
        <v>1</v>
      </c>
    </row>
    <row r="8" spans="1:37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>
        <v>1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>
        <v>1</v>
      </c>
      <c r="X8" s="6">
        <v>1</v>
      </c>
      <c r="Y8" s="6">
        <v>1</v>
      </c>
      <c r="Z8" s="6">
        <v>1</v>
      </c>
      <c r="AA8" s="6">
        <v>1</v>
      </c>
      <c r="AB8" s="6" t="s">
        <v>61</v>
      </c>
      <c r="AC8" s="6" t="s">
        <v>61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35">
        <f t="shared" si="0"/>
        <v>6</v>
      </c>
      <c r="AJ8" s="36">
        <f t="shared" si="1"/>
        <v>22</v>
      </c>
      <c r="AK8" s="37">
        <f t="shared" si="2"/>
        <v>2</v>
      </c>
    </row>
    <row r="9" spans="1:37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>
        <v>1</v>
      </c>
      <c r="H9" s="6">
        <v>1</v>
      </c>
      <c r="I9" s="6" t="s">
        <v>62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>
        <v>1</v>
      </c>
      <c r="P9" s="6">
        <v>1</v>
      </c>
      <c r="Q9" s="6" t="s">
        <v>62</v>
      </c>
      <c r="R9" s="6">
        <v>1</v>
      </c>
      <c r="S9" s="6">
        <v>1</v>
      </c>
      <c r="T9" s="6">
        <v>1</v>
      </c>
      <c r="U9" s="6">
        <v>1</v>
      </c>
      <c r="V9" s="6">
        <v>1</v>
      </c>
      <c r="W9" s="6">
        <v>1</v>
      </c>
      <c r="X9" s="6">
        <v>1</v>
      </c>
      <c r="Y9" s="6">
        <v>1</v>
      </c>
      <c r="Z9" s="6">
        <v>1</v>
      </c>
      <c r="AA9" s="6">
        <v>1</v>
      </c>
      <c r="AB9" s="6">
        <v>1</v>
      </c>
      <c r="AC9" s="6">
        <v>1</v>
      </c>
      <c r="AD9" s="6">
        <v>1</v>
      </c>
      <c r="AE9" s="6">
        <v>1</v>
      </c>
      <c r="AF9" s="6">
        <v>1</v>
      </c>
      <c r="AG9" s="6" t="s">
        <v>62</v>
      </c>
      <c r="AH9" s="6">
        <v>1</v>
      </c>
      <c r="AI9" s="35">
        <f t="shared" si="0"/>
        <v>27</v>
      </c>
      <c r="AJ9" s="36">
        <f t="shared" si="1"/>
        <v>3</v>
      </c>
      <c r="AK9" s="37">
        <f t="shared" si="2"/>
        <v>0</v>
      </c>
    </row>
    <row r="10" spans="1:37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>
        <v>1</v>
      </c>
      <c r="M10" s="6">
        <v>1</v>
      </c>
      <c r="N10" s="6" t="s">
        <v>62</v>
      </c>
      <c r="O10" s="6" t="s">
        <v>62</v>
      </c>
      <c r="P10" s="6" t="s">
        <v>62</v>
      </c>
      <c r="Q10" s="6" t="s">
        <v>62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>
        <v>1</v>
      </c>
      <c r="AG10" s="6">
        <v>1</v>
      </c>
      <c r="AH10" s="6">
        <v>1</v>
      </c>
      <c r="AI10" s="35">
        <f t="shared" si="0"/>
        <v>26</v>
      </c>
      <c r="AJ10" s="36">
        <f t="shared" si="1"/>
        <v>4</v>
      </c>
      <c r="AK10" s="37">
        <f t="shared" si="2"/>
        <v>0</v>
      </c>
    </row>
    <row r="11" spans="1:37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 t="s">
        <v>61</v>
      </c>
      <c r="H11" s="6" t="s">
        <v>61</v>
      </c>
      <c r="I11" s="6">
        <v>1</v>
      </c>
      <c r="J11" s="6">
        <v>1</v>
      </c>
      <c r="K11" s="6" t="s">
        <v>61</v>
      </c>
      <c r="L11" s="6">
        <v>1</v>
      </c>
      <c r="M11" s="6">
        <v>1</v>
      </c>
      <c r="N11" s="6" t="s">
        <v>61</v>
      </c>
      <c r="O11" s="6" t="s">
        <v>61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6" t="s">
        <v>61</v>
      </c>
      <c r="V11" s="6" t="s">
        <v>61</v>
      </c>
      <c r="W11" s="6">
        <v>1</v>
      </c>
      <c r="X11" s="6">
        <v>1</v>
      </c>
      <c r="Y11" s="6">
        <v>1</v>
      </c>
      <c r="Z11" s="6">
        <v>1</v>
      </c>
      <c r="AA11" s="6">
        <v>1</v>
      </c>
      <c r="AB11" s="6" t="s">
        <v>61</v>
      </c>
      <c r="AC11" s="6" t="s">
        <v>61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35">
        <f t="shared" si="0"/>
        <v>21</v>
      </c>
      <c r="AJ11" s="36">
        <f t="shared" si="1"/>
        <v>0</v>
      </c>
      <c r="AK11" s="37">
        <f t="shared" si="2"/>
        <v>9</v>
      </c>
    </row>
    <row r="12" spans="1:37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 t="s">
        <v>61</v>
      </c>
      <c r="H12" s="6" t="s">
        <v>61</v>
      </c>
      <c r="I12" s="6">
        <v>1</v>
      </c>
      <c r="J12" s="6">
        <v>1</v>
      </c>
      <c r="K12" s="6" t="s">
        <v>61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 t="s">
        <v>61</v>
      </c>
      <c r="V12" s="6" t="s">
        <v>61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35">
        <f t="shared" si="0"/>
        <v>25</v>
      </c>
      <c r="AJ12" s="36">
        <f t="shared" si="1"/>
        <v>0</v>
      </c>
      <c r="AK12" s="37">
        <f t="shared" si="2"/>
        <v>5</v>
      </c>
    </row>
    <row r="13" spans="1:37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 t="s">
        <v>62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35">
        <f t="shared" si="0"/>
        <v>28</v>
      </c>
      <c r="AJ13" s="36">
        <f t="shared" si="1"/>
        <v>2</v>
      </c>
      <c r="AK13" s="37">
        <f t="shared" si="2"/>
        <v>0</v>
      </c>
    </row>
    <row r="14" spans="1:37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 t="s">
        <v>61</v>
      </c>
      <c r="L14" s="6">
        <v>1</v>
      </c>
      <c r="M14" s="6">
        <v>1</v>
      </c>
      <c r="N14" s="6">
        <v>1</v>
      </c>
      <c r="O14" s="6">
        <v>1</v>
      </c>
      <c r="P14" s="6">
        <v>1</v>
      </c>
      <c r="Q14" s="6">
        <v>1</v>
      </c>
      <c r="R14" s="6">
        <v>1</v>
      </c>
      <c r="S14" s="6">
        <v>1</v>
      </c>
      <c r="T14" s="6">
        <v>1</v>
      </c>
      <c r="U14" s="6">
        <v>1</v>
      </c>
      <c r="V14" s="6">
        <v>1</v>
      </c>
      <c r="W14" s="6">
        <v>1</v>
      </c>
      <c r="X14" s="6">
        <v>1</v>
      </c>
      <c r="Y14" s="6">
        <v>1</v>
      </c>
      <c r="Z14" s="6">
        <v>1</v>
      </c>
      <c r="AA14" s="6">
        <v>1</v>
      </c>
      <c r="AB14" s="6">
        <v>1</v>
      </c>
      <c r="AC14" s="6">
        <v>1</v>
      </c>
      <c r="AD14" s="6">
        <v>1</v>
      </c>
      <c r="AE14" s="6">
        <v>1</v>
      </c>
      <c r="AF14" s="6">
        <v>1</v>
      </c>
      <c r="AG14" s="6">
        <v>1</v>
      </c>
      <c r="AH14" s="6">
        <v>1</v>
      </c>
      <c r="AI14" s="35">
        <f t="shared" si="0"/>
        <v>29</v>
      </c>
      <c r="AJ14" s="36">
        <f t="shared" si="1"/>
        <v>0</v>
      </c>
      <c r="AK14" s="37">
        <f t="shared" si="2"/>
        <v>1</v>
      </c>
    </row>
    <row r="15" spans="1:37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 t="s">
        <v>62</v>
      </c>
      <c r="N15" s="6" t="s">
        <v>62</v>
      </c>
      <c r="O15" s="6" t="s">
        <v>62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 t="s">
        <v>61</v>
      </c>
      <c r="V15" s="6" t="s">
        <v>61</v>
      </c>
      <c r="W15" s="6">
        <v>1</v>
      </c>
      <c r="X15" s="6">
        <v>1</v>
      </c>
      <c r="Y15" s="6">
        <v>1</v>
      </c>
      <c r="Z15" s="6" t="s">
        <v>62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35">
        <f t="shared" si="0"/>
        <v>24</v>
      </c>
      <c r="AJ15" s="36">
        <f t="shared" si="1"/>
        <v>4</v>
      </c>
      <c r="AK15" s="37">
        <f t="shared" si="2"/>
        <v>2</v>
      </c>
    </row>
    <row r="16" spans="1:37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35">
        <f t="shared" si="0"/>
        <v>30</v>
      </c>
      <c r="AJ16" s="36">
        <f t="shared" si="1"/>
        <v>0</v>
      </c>
      <c r="AK16" s="37">
        <f t="shared" si="2"/>
        <v>0</v>
      </c>
    </row>
    <row r="17" spans="1:37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 t="s">
        <v>61</v>
      </c>
      <c r="I17" s="6">
        <v>1</v>
      </c>
      <c r="J17" s="6">
        <v>1</v>
      </c>
      <c r="K17" s="6" t="s">
        <v>61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>
        <v>1</v>
      </c>
      <c r="Z17" s="6">
        <v>1</v>
      </c>
      <c r="AA17" s="6">
        <v>1</v>
      </c>
      <c r="AB17" s="6">
        <v>1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35">
        <f t="shared" si="0"/>
        <v>28</v>
      </c>
      <c r="AJ17" s="36">
        <f t="shared" si="1"/>
        <v>0</v>
      </c>
      <c r="AK17" s="37">
        <f t="shared" si="2"/>
        <v>2</v>
      </c>
    </row>
    <row r="18" spans="1:37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 t="s">
        <v>62</v>
      </c>
      <c r="O18" s="6" t="s">
        <v>61</v>
      </c>
      <c r="P18" s="6" t="s">
        <v>62</v>
      </c>
      <c r="Q18" s="6" t="s">
        <v>62</v>
      </c>
      <c r="R18" s="6" t="s">
        <v>62</v>
      </c>
      <c r="S18" s="6" t="s">
        <v>62</v>
      </c>
      <c r="T18" s="6" t="s">
        <v>62</v>
      </c>
      <c r="U18" s="6" t="s">
        <v>62</v>
      </c>
      <c r="V18" s="6" t="s">
        <v>62</v>
      </c>
      <c r="W18" s="6" t="s">
        <v>62</v>
      </c>
      <c r="X18" s="6" t="s">
        <v>62</v>
      </c>
      <c r="Y18" s="6" t="s">
        <v>62</v>
      </c>
      <c r="Z18" s="6" t="s">
        <v>62</v>
      </c>
      <c r="AA18" s="6" t="s">
        <v>62</v>
      </c>
      <c r="AB18" s="6" t="s">
        <v>62</v>
      </c>
      <c r="AC18" s="6" t="s">
        <v>62</v>
      </c>
      <c r="AD18" s="6" t="s">
        <v>62</v>
      </c>
      <c r="AE18" s="6" t="s">
        <v>62</v>
      </c>
      <c r="AF18" s="6" t="s">
        <v>62</v>
      </c>
      <c r="AG18" s="6" t="s">
        <v>62</v>
      </c>
      <c r="AH18" s="6" t="s">
        <v>62</v>
      </c>
      <c r="AI18" s="35">
        <f t="shared" si="0"/>
        <v>9</v>
      </c>
      <c r="AJ18" s="36">
        <f t="shared" si="1"/>
        <v>20</v>
      </c>
      <c r="AK18" s="37">
        <f t="shared" si="2"/>
        <v>1</v>
      </c>
    </row>
    <row r="19" spans="1:37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 t="s">
        <v>61</v>
      </c>
      <c r="H19" s="6" t="s">
        <v>61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 t="s">
        <v>61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>
        <v>1</v>
      </c>
      <c r="AF19" s="6">
        <v>1</v>
      </c>
      <c r="AG19" s="6">
        <v>1</v>
      </c>
      <c r="AH19" s="6">
        <v>1</v>
      </c>
      <c r="AI19" s="35">
        <f t="shared" si="0"/>
        <v>27</v>
      </c>
      <c r="AJ19" s="36">
        <f t="shared" si="1"/>
        <v>0</v>
      </c>
      <c r="AK19" s="37">
        <f t="shared" si="2"/>
        <v>3</v>
      </c>
    </row>
    <row r="20" spans="1:37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35">
        <f t="shared" si="0"/>
        <v>30</v>
      </c>
      <c r="AJ20" s="36">
        <f t="shared" si="1"/>
        <v>0</v>
      </c>
      <c r="AK20" s="37">
        <f t="shared" si="2"/>
        <v>0</v>
      </c>
    </row>
    <row r="21" spans="1:37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 t="s">
        <v>61</v>
      </c>
      <c r="H21" s="7">
        <v>1</v>
      </c>
      <c r="I21" s="7">
        <v>1</v>
      </c>
      <c r="J21" s="7">
        <v>1</v>
      </c>
      <c r="K21" s="7">
        <v>1</v>
      </c>
      <c r="L21" s="7">
        <v>1</v>
      </c>
      <c r="M21" s="7">
        <v>1</v>
      </c>
      <c r="N21" s="7">
        <v>1</v>
      </c>
      <c r="O21" s="7" t="s">
        <v>61</v>
      </c>
      <c r="P21" s="7">
        <v>1</v>
      </c>
      <c r="Q21" s="7">
        <v>1</v>
      </c>
      <c r="R21" s="7">
        <v>1</v>
      </c>
      <c r="S21" s="7">
        <v>1</v>
      </c>
      <c r="T21" s="7">
        <v>1</v>
      </c>
      <c r="U21" s="7" t="s">
        <v>61</v>
      </c>
      <c r="V21" s="7">
        <v>1</v>
      </c>
      <c r="W21" s="7">
        <v>1</v>
      </c>
      <c r="X21" s="7">
        <v>1</v>
      </c>
      <c r="Y21" s="7">
        <v>1</v>
      </c>
      <c r="Z21" s="7">
        <v>1</v>
      </c>
      <c r="AA21" s="7">
        <v>1</v>
      </c>
      <c r="AB21" s="7" t="s">
        <v>61</v>
      </c>
      <c r="AC21" s="7" t="s">
        <v>61</v>
      </c>
      <c r="AD21" s="7">
        <v>1</v>
      </c>
      <c r="AE21" s="7">
        <v>1</v>
      </c>
      <c r="AF21" s="7">
        <v>1</v>
      </c>
      <c r="AG21" s="7">
        <v>1</v>
      </c>
      <c r="AH21" s="7">
        <v>1</v>
      </c>
      <c r="AI21" s="44">
        <f t="shared" si="0"/>
        <v>25</v>
      </c>
      <c r="AJ21" s="45">
        <f t="shared" si="1"/>
        <v>0</v>
      </c>
      <c r="AK21" s="46">
        <f t="shared" si="2"/>
        <v>5</v>
      </c>
    </row>
    <row r="22" spans="1:37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62</v>
      </c>
      <c r="G22" s="6" t="s">
        <v>62</v>
      </c>
      <c r="H22" s="6" t="s">
        <v>62</v>
      </c>
      <c r="I22" s="6" t="s">
        <v>62</v>
      </c>
      <c r="J22" s="6" t="s">
        <v>62</v>
      </c>
      <c r="K22" s="6" t="s">
        <v>62</v>
      </c>
      <c r="L22" s="6" t="s">
        <v>62</v>
      </c>
      <c r="M22" s="6">
        <v>1</v>
      </c>
      <c r="N22" s="6">
        <v>1</v>
      </c>
      <c r="O22" s="6" t="s">
        <v>62</v>
      </c>
      <c r="P22" s="6">
        <v>1</v>
      </c>
      <c r="Q22" s="6">
        <v>1</v>
      </c>
      <c r="R22" s="6">
        <v>1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>
        <v>1</v>
      </c>
      <c r="Y22" s="6">
        <v>1</v>
      </c>
      <c r="Z22" s="6">
        <v>1</v>
      </c>
      <c r="AA22" s="6">
        <v>1</v>
      </c>
      <c r="AB22" s="6" t="s">
        <v>61</v>
      </c>
      <c r="AC22" s="6" t="s">
        <v>61</v>
      </c>
      <c r="AD22" s="6">
        <v>1</v>
      </c>
      <c r="AE22" s="6">
        <v>1</v>
      </c>
      <c r="AF22" s="6">
        <v>1</v>
      </c>
      <c r="AG22" s="6">
        <v>1</v>
      </c>
      <c r="AH22" s="6" t="s">
        <v>61</v>
      </c>
      <c r="AI22" s="41">
        <f t="shared" si="0"/>
        <v>18</v>
      </c>
      <c r="AJ22" s="42">
        <f t="shared" si="1"/>
        <v>9</v>
      </c>
      <c r="AK22" s="43">
        <f t="shared" si="2"/>
        <v>3</v>
      </c>
    </row>
    <row r="23" spans="1:37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35">
        <f t="shared" si="0"/>
        <v>0</v>
      </c>
      <c r="AJ23" s="36">
        <f t="shared" si="1"/>
        <v>30</v>
      </c>
      <c r="AK23" s="37">
        <f t="shared" si="2"/>
        <v>0</v>
      </c>
    </row>
    <row r="24" spans="1:37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61</v>
      </c>
      <c r="H24" s="6" t="s">
        <v>61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 t="s">
        <v>62</v>
      </c>
      <c r="T24" s="6" t="s">
        <v>62</v>
      </c>
      <c r="U24" s="6" t="s">
        <v>62</v>
      </c>
      <c r="V24" s="6" t="s">
        <v>62</v>
      </c>
      <c r="W24" s="6" t="s">
        <v>62</v>
      </c>
      <c r="X24" s="6" t="s">
        <v>62</v>
      </c>
      <c r="Y24" s="6" t="s">
        <v>62</v>
      </c>
      <c r="Z24" s="6" t="s">
        <v>62</v>
      </c>
      <c r="AA24" s="6" t="s">
        <v>62</v>
      </c>
      <c r="AB24" s="6" t="s">
        <v>62</v>
      </c>
      <c r="AC24" s="6" t="s">
        <v>62</v>
      </c>
      <c r="AD24" s="6" t="s">
        <v>62</v>
      </c>
      <c r="AE24" s="6" t="s">
        <v>62</v>
      </c>
      <c r="AF24" s="6" t="s">
        <v>62</v>
      </c>
      <c r="AG24" s="6" t="s">
        <v>62</v>
      </c>
      <c r="AH24" s="6" t="s">
        <v>62</v>
      </c>
      <c r="AI24" s="35">
        <f t="shared" si="0"/>
        <v>2</v>
      </c>
      <c r="AJ24" s="36">
        <f t="shared" si="1"/>
        <v>26</v>
      </c>
      <c r="AK24" s="37">
        <f t="shared" si="2"/>
        <v>2</v>
      </c>
    </row>
    <row r="25" spans="1:37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 t="s">
        <v>61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 t="s">
        <v>62</v>
      </c>
      <c r="N25" s="6" t="s">
        <v>61</v>
      </c>
      <c r="O25" s="6" t="s">
        <v>61</v>
      </c>
      <c r="P25" s="6">
        <v>1</v>
      </c>
      <c r="Q25" s="6">
        <v>1</v>
      </c>
      <c r="R25" s="6" t="s">
        <v>62</v>
      </c>
      <c r="S25" s="6" t="s">
        <v>62</v>
      </c>
      <c r="T25" s="6" t="s">
        <v>62</v>
      </c>
      <c r="U25" s="6" t="s">
        <v>62</v>
      </c>
      <c r="V25" s="6" t="s">
        <v>62</v>
      </c>
      <c r="W25" s="6" t="s">
        <v>62</v>
      </c>
      <c r="X25" s="6" t="s">
        <v>62</v>
      </c>
      <c r="Y25" s="6" t="s">
        <v>62</v>
      </c>
      <c r="Z25" s="6" t="s">
        <v>62</v>
      </c>
      <c r="AA25" s="6" t="s">
        <v>62</v>
      </c>
      <c r="AB25" s="6">
        <v>1</v>
      </c>
      <c r="AC25" s="6" t="s">
        <v>61</v>
      </c>
      <c r="AD25" s="6" t="s">
        <v>61</v>
      </c>
      <c r="AE25" s="6">
        <v>1</v>
      </c>
      <c r="AF25" s="6">
        <v>1</v>
      </c>
      <c r="AG25" s="6">
        <v>1</v>
      </c>
      <c r="AH25" s="6">
        <v>1</v>
      </c>
      <c r="AI25" s="35">
        <f t="shared" si="0"/>
        <v>14</v>
      </c>
      <c r="AJ25" s="36">
        <f t="shared" si="1"/>
        <v>11</v>
      </c>
      <c r="AK25" s="37">
        <f t="shared" si="2"/>
        <v>5</v>
      </c>
    </row>
    <row r="26" spans="1:37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6" t="s">
        <v>61</v>
      </c>
      <c r="G26" s="6" t="s">
        <v>61</v>
      </c>
      <c r="H26" s="6" t="s">
        <v>61</v>
      </c>
      <c r="I26" s="6" t="s">
        <v>62</v>
      </c>
      <c r="J26" s="6" t="s">
        <v>62</v>
      </c>
      <c r="K26" s="6" t="s">
        <v>62</v>
      </c>
      <c r="L26" s="6" t="s">
        <v>62</v>
      </c>
      <c r="M26" s="6" t="s">
        <v>62</v>
      </c>
      <c r="N26" s="6" t="s">
        <v>62</v>
      </c>
      <c r="O26" s="6" t="s">
        <v>62</v>
      </c>
      <c r="P26" s="6">
        <v>1</v>
      </c>
      <c r="Q26" s="6">
        <v>1</v>
      </c>
      <c r="R26" s="6">
        <v>1</v>
      </c>
      <c r="S26" s="6">
        <v>1</v>
      </c>
      <c r="T26" s="6">
        <v>1</v>
      </c>
      <c r="U26" s="6">
        <v>1</v>
      </c>
      <c r="V26" s="6">
        <v>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 t="s">
        <v>61</v>
      </c>
      <c r="AC26" s="6" t="s">
        <v>61</v>
      </c>
      <c r="AD26" s="6">
        <v>1</v>
      </c>
      <c r="AE26" s="6">
        <v>1</v>
      </c>
      <c r="AF26" s="6">
        <v>1</v>
      </c>
      <c r="AG26" s="6">
        <v>1</v>
      </c>
      <c r="AH26" s="6">
        <v>1</v>
      </c>
      <c r="AI26" s="35">
        <f t="shared" si="0"/>
        <v>17</v>
      </c>
      <c r="AJ26" s="36">
        <f t="shared" si="1"/>
        <v>7</v>
      </c>
      <c r="AK26" s="37">
        <f t="shared" si="2"/>
        <v>6</v>
      </c>
    </row>
    <row r="27" spans="1:37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>
        <v>1</v>
      </c>
      <c r="AF27" s="6">
        <v>1</v>
      </c>
      <c r="AG27" s="6">
        <v>1</v>
      </c>
      <c r="AH27" s="6">
        <v>1</v>
      </c>
      <c r="AI27" s="35">
        <f t="shared" si="0"/>
        <v>30</v>
      </c>
      <c r="AJ27" s="36">
        <f t="shared" si="1"/>
        <v>0</v>
      </c>
      <c r="AK27" s="37">
        <f t="shared" si="2"/>
        <v>0</v>
      </c>
    </row>
    <row r="28" spans="1:37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>
        <v>1</v>
      </c>
      <c r="O28" s="7">
        <v>1</v>
      </c>
      <c r="P28" s="7">
        <v>1</v>
      </c>
      <c r="Q28" s="7">
        <v>1</v>
      </c>
      <c r="R28" s="7">
        <v>1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7">
        <v>1</v>
      </c>
      <c r="Y28" s="7">
        <v>1</v>
      </c>
      <c r="Z28" s="7">
        <v>1</v>
      </c>
      <c r="AA28" s="7">
        <v>1</v>
      </c>
      <c r="AB28" s="7">
        <v>1</v>
      </c>
      <c r="AC28" s="7">
        <v>1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44">
        <f t="shared" si="0"/>
        <v>25</v>
      </c>
      <c r="AJ28" s="45">
        <f t="shared" si="1"/>
        <v>5</v>
      </c>
      <c r="AK28" s="46">
        <f t="shared" si="2"/>
        <v>0</v>
      </c>
    </row>
    <row r="29" spans="1:37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>
        <v>1</v>
      </c>
      <c r="V29" s="6">
        <v>1</v>
      </c>
      <c r="W29" s="6">
        <v>1</v>
      </c>
      <c r="X29" s="6">
        <v>1</v>
      </c>
      <c r="Y29" s="6">
        <v>1</v>
      </c>
      <c r="Z29" s="6">
        <v>1</v>
      </c>
      <c r="AA29" s="6">
        <v>1</v>
      </c>
      <c r="AB29" s="6">
        <v>1</v>
      </c>
      <c r="AC29" s="6">
        <v>1</v>
      </c>
      <c r="AD29" s="6">
        <v>1</v>
      </c>
      <c r="AE29" s="6">
        <v>1</v>
      </c>
      <c r="AF29" s="6">
        <v>1</v>
      </c>
      <c r="AG29" s="6">
        <v>1</v>
      </c>
      <c r="AH29" s="6">
        <v>1</v>
      </c>
      <c r="AI29" s="41">
        <f t="shared" si="0"/>
        <v>14</v>
      </c>
      <c r="AJ29" s="42">
        <f t="shared" si="1"/>
        <v>0</v>
      </c>
      <c r="AK29" s="43">
        <f t="shared" si="2"/>
        <v>16</v>
      </c>
    </row>
    <row r="30" spans="1:37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35">
        <f t="shared" si="0"/>
        <v>0</v>
      </c>
      <c r="AJ30" s="36">
        <f t="shared" si="1"/>
        <v>30</v>
      </c>
      <c r="AK30" s="37">
        <f t="shared" si="2"/>
        <v>0</v>
      </c>
    </row>
    <row r="31" spans="1:37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44">
        <f t="shared" si="0"/>
        <v>0</v>
      </c>
      <c r="AJ31" s="45">
        <f t="shared" si="1"/>
        <v>30</v>
      </c>
      <c r="AK31" s="46">
        <f t="shared" si="2"/>
        <v>0</v>
      </c>
    </row>
    <row r="32" spans="1:37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41">
        <f t="shared" si="0"/>
        <v>0</v>
      </c>
      <c r="AJ32" s="42">
        <f t="shared" si="1"/>
        <v>30</v>
      </c>
      <c r="AK32" s="43">
        <f t="shared" si="2"/>
        <v>0</v>
      </c>
    </row>
    <row r="33" spans="1:37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44">
        <f t="shared" si="0"/>
        <v>0</v>
      </c>
      <c r="AJ33" s="45">
        <f t="shared" si="1"/>
        <v>30</v>
      </c>
      <c r="AK33" s="46">
        <f t="shared" si="2"/>
        <v>0</v>
      </c>
    </row>
    <row r="34" spans="1:37">
      <c r="A34" s="21">
        <f t="shared" si="3"/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41">
        <f t="shared" si="0"/>
        <v>0</v>
      </c>
      <c r="AJ34" s="42">
        <f t="shared" si="1"/>
        <v>30</v>
      </c>
      <c r="AK34" s="43">
        <f t="shared" si="2"/>
        <v>0</v>
      </c>
    </row>
    <row r="35" spans="1:37" ht="16.5" thickBot="1">
      <c r="A35" s="27">
        <f t="shared" si="3"/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44">
        <f t="shared" si="0"/>
        <v>0</v>
      </c>
      <c r="AJ35" s="45">
        <f t="shared" si="1"/>
        <v>30</v>
      </c>
      <c r="AK35" s="46">
        <f t="shared" si="2"/>
        <v>0</v>
      </c>
    </row>
    <row r="36" spans="1:37">
      <c r="A36" s="21">
        <f t="shared" si="3"/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 t="s">
        <v>61</v>
      </c>
      <c r="I36" s="6">
        <v>1</v>
      </c>
      <c r="J36" s="6">
        <v>1</v>
      </c>
      <c r="K36" s="6">
        <v>1</v>
      </c>
      <c r="L36" s="6">
        <v>1</v>
      </c>
      <c r="M36" s="6">
        <v>1</v>
      </c>
      <c r="N36" s="6" t="s">
        <v>61</v>
      </c>
      <c r="O36" s="6" t="s">
        <v>61</v>
      </c>
      <c r="P36" s="6">
        <v>1</v>
      </c>
      <c r="Q36" s="6">
        <v>1</v>
      </c>
      <c r="R36" s="6">
        <v>1</v>
      </c>
      <c r="S36" s="6">
        <v>1</v>
      </c>
      <c r="T36" s="6">
        <v>1</v>
      </c>
      <c r="U36" s="6" t="s">
        <v>61</v>
      </c>
      <c r="V36" s="6" t="s">
        <v>61</v>
      </c>
      <c r="W36" s="6">
        <v>1</v>
      </c>
      <c r="X36" s="6">
        <v>1</v>
      </c>
      <c r="Y36" s="6">
        <v>1</v>
      </c>
      <c r="Z36" s="6">
        <v>1</v>
      </c>
      <c r="AA36" s="6">
        <v>1</v>
      </c>
      <c r="AB36" s="6" t="s">
        <v>61</v>
      </c>
      <c r="AC36" s="6" t="s">
        <v>61</v>
      </c>
      <c r="AD36" s="6">
        <v>1</v>
      </c>
      <c r="AE36" s="6">
        <v>1</v>
      </c>
      <c r="AF36" s="6">
        <v>1</v>
      </c>
      <c r="AG36" s="6">
        <v>1</v>
      </c>
      <c r="AH36" s="6">
        <v>1</v>
      </c>
      <c r="AI36" s="41">
        <f t="shared" si="0"/>
        <v>23</v>
      </c>
      <c r="AJ36" s="42">
        <f t="shared" si="1"/>
        <v>0</v>
      </c>
      <c r="AK36" s="43">
        <f t="shared" si="2"/>
        <v>7</v>
      </c>
    </row>
    <row r="37" spans="1:37">
      <c r="A37" s="24">
        <f t="shared" si="3"/>
        <v>34</v>
      </c>
      <c r="B37" s="25" t="s">
        <v>35</v>
      </c>
      <c r="C37" s="26" t="s">
        <v>36</v>
      </c>
      <c r="D37" s="48">
        <v>7945</v>
      </c>
      <c r="E37" s="16">
        <v>1</v>
      </c>
      <c r="F37" s="6">
        <v>1</v>
      </c>
      <c r="G37" s="6">
        <v>1</v>
      </c>
      <c r="H37" s="6">
        <v>1</v>
      </c>
      <c r="I37" s="6">
        <v>1</v>
      </c>
      <c r="J37" s="6">
        <v>1</v>
      </c>
      <c r="K37" s="6" t="s">
        <v>61</v>
      </c>
      <c r="L37" s="6">
        <v>1</v>
      </c>
      <c r="M37" s="6">
        <v>1</v>
      </c>
      <c r="N37" s="6">
        <v>1</v>
      </c>
      <c r="O37" s="6" t="s">
        <v>61</v>
      </c>
      <c r="P37" s="6">
        <v>1</v>
      </c>
      <c r="Q37" s="6">
        <v>1</v>
      </c>
      <c r="R37" s="6">
        <v>1</v>
      </c>
      <c r="S37" s="6">
        <v>1</v>
      </c>
      <c r="T37" s="6">
        <v>1</v>
      </c>
      <c r="U37" s="6" t="s">
        <v>61</v>
      </c>
      <c r="V37" s="6" t="s">
        <v>61</v>
      </c>
      <c r="W37" s="6">
        <v>1</v>
      </c>
      <c r="X37" s="6">
        <v>1</v>
      </c>
      <c r="Y37" s="6">
        <v>1</v>
      </c>
      <c r="Z37" s="6">
        <v>1</v>
      </c>
      <c r="AA37" s="6">
        <v>1</v>
      </c>
      <c r="AB37" s="6">
        <v>1</v>
      </c>
      <c r="AC37" s="6" t="s">
        <v>61</v>
      </c>
      <c r="AD37" s="6">
        <v>1</v>
      </c>
      <c r="AE37" s="6" t="s">
        <v>62</v>
      </c>
      <c r="AF37" s="6" t="s">
        <v>62</v>
      </c>
      <c r="AG37" s="6" t="s">
        <v>62</v>
      </c>
      <c r="AH37" s="6" t="s">
        <v>62</v>
      </c>
      <c r="AI37" s="35">
        <f t="shared" si="0"/>
        <v>21</v>
      </c>
      <c r="AJ37" s="36">
        <f t="shared" si="1"/>
        <v>4</v>
      </c>
      <c r="AK37" s="37">
        <f t="shared" si="2"/>
        <v>5</v>
      </c>
    </row>
    <row r="38" spans="1:37" ht="16.5" thickBot="1">
      <c r="A38" s="27">
        <f t="shared" si="3"/>
        <v>35</v>
      </c>
      <c r="B38" s="28" t="s">
        <v>37</v>
      </c>
      <c r="C38" s="34">
        <v>135</v>
      </c>
      <c r="D38" s="49">
        <v>8933</v>
      </c>
      <c r="E38" s="17">
        <v>1</v>
      </c>
      <c r="F38" s="7">
        <v>1</v>
      </c>
      <c r="G38" s="7" t="s">
        <v>61</v>
      </c>
      <c r="H38" s="7" t="s">
        <v>61</v>
      </c>
      <c r="I38" s="7">
        <v>1</v>
      </c>
      <c r="J38" s="7">
        <v>1</v>
      </c>
      <c r="K38" s="7">
        <v>1</v>
      </c>
      <c r="L38" s="7">
        <v>1</v>
      </c>
      <c r="M38" s="7">
        <v>1</v>
      </c>
      <c r="N38" s="7">
        <v>1</v>
      </c>
      <c r="O38" s="7">
        <v>1</v>
      </c>
      <c r="P38" s="7">
        <v>1</v>
      </c>
      <c r="Q38" s="7">
        <v>1</v>
      </c>
      <c r="R38" s="7">
        <v>1</v>
      </c>
      <c r="S38" s="7">
        <v>1</v>
      </c>
      <c r="T38" s="7">
        <v>1</v>
      </c>
      <c r="U38" s="7">
        <v>1</v>
      </c>
      <c r="V38" s="7">
        <v>1</v>
      </c>
      <c r="W38" s="7">
        <v>1</v>
      </c>
      <c r="X38" s="7" t="s">
        <v>62</v>
      </c>
      <c r="Y38" s="7" t="s">
        <v>62</v>
      </c>
      <c r="Z38" s="7" t="s">
        <v>62</v>
      </c>
      <c r="AA38" s="7" t="s">
        <v>62</v>
      </c>
      <c r="AB38" s="7" t="s">
        <v>62</v>
      </c>
      <c r="AC38" s="7" t="s">
        <v>62</v>
      </c>
      <c r="AD38" s="7" t="s">
        <v>62</v>
      </c>
      <c r="AE38" s="7" t="s">
        <v>62</v>
      </c>
      <c r="AF38" s="7">
        <v>1</v>
      </c>
      <c r="AG38" s="7">
        <v>1</v>
      </c>
      <c r="AH38" s="7">
        <v>1</v>
      </c>
      <c r="AI38" s="44">
        <f t="shared" si="0"/>
        <v>20</v>
      </c>
      <c r="AJ38" s="45">
        <f t="shared" si="1"/>
        <v>8</v>
      </c>
      <c r="AK38" s="46">
        <f t="shared" si="2"/>
        <v>2</v>
      </c>
    </row>
    <row r="39" spans="1:37">
      <c r="A39" s="21">
        <f t="shared" si="3"/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 t="s">
        <v>61</v>
      </c>
      <c r="AD39" s="6">
        <v>1</v>
      </c>
      <c r="AE39" s="6">
        <v>1</v>
      </c>
      <c r="AF39" s="6" t="s">
        <v>62</v>
      </c>
      <c r="AG39" s="6" t="s">
        <v>62</v>
      </c>
      <c r="AH39" s="6">
        <v>1</v>
      </c>
      <c r="AI39" s="41">
        <f t="shared" si="0"/>
        <v>27</v>
      </c>
      <c r="AJ39" s="42">
        <f t="shared" si="1"/>
        <v>2</v>
      </c>
      <c r="AK39" s="43">
        <f t="shared" si="2"/>
        <v>1</v>
      </c>
    </row>
    <row r="40" spans="1:37">
      <c r="A40" s="24">
        <f t="shared" si="3"/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 t="s">
        <v>61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 t="s">
        <v>61</v>
      </c>
      <c r="V40" s="6" t="s">
        <v>61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35">
        <f t="shared" si="0"/>
        <v>27</v>
      </c>
      <c r="AJ40" s="36">
        <f t="shared" si="1"/>
        <v>0</v>
      </c>
      <c r="AK40" s="37">
        <f t="shared" si="2"/>
        <v>3</v>
      </c>
    </row>
    <row r="41" spans="1:37">
      <c r="A41" s="24">
        <f t="shared" si="3"/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 t="s">
        <v>61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35">
        <f t="shared" si="0"/>
        <v>29</v>
      </c>
      <c r="AJ41" s="36">
        <f t="shared" si="1"/>
        <v>0</v>
      </c>
      <c r="AK41" s="37">
        <f t="shared" si="2"/>
        <v>1</v>
      </c>
    </row>
    <row r="42" spans="1:37">
      <c r="A42" s="24">
        <f t="shared" si="3"/>
        <v>39</v>
      </c>
      <c r="B42" s="25" t="s">
        <v>58</v>
      </c>
      <c r="C42" s="26" t="s">
        <v>41</v>
      </c>
      <c r="D42" s="48">
        <v>6130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>
        <v>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 t="s">
        <v>62</v>
      </c>
      <c r="AA42" s="6" t="s">
        <v>62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35">
        <f t="shared" si="0"/>
        <v>28</v>
      </c>
      <c r="AJ42" s="36">
        <f t="shared" si="1"/>
        <v>2</v>
      </c>
      <c r="AK42" s="37">
        <f t="shared" si="2"/>
        <v>0</v>
      </c>
    </row>
    <row r="43" spans="1:37">
      <c r="A43" s="24">
        <f t="shared" si="3"/>
        <v>40</v>
      </c>
      <c r="B43" s="25" t="s">
        <v>58</v>
      </c>
      <c r="C43" s="26" t="s">
        <v>42</v>
      </c>
      <c r="D43" s="48">
        <v>1297</v>
      </c>
      <c r="E43" s="16" t="s">
        <v>62</v>
      </c>
      <c r="F43" s="6" t="s">
        <v>62</v>
      </c>
      <c r="G43" s="6" t="s">
        <v>62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>
        <v>1</v>
      </c>
      <c r="N43" s="6">
        <v>1</v>
      </c>
      <c r="O43" s="6">
        <v>1</v>
      </c>
      <c r="P43" s="6">
        <v>1</v>
      </c>
      <c r="Q43" s="6">
        <v>1</v>
      </c>
      <c r="R43" s="6">
        <v>1</v>
      </c>
      <c r="S43" s="6">
        <v>1</v>
      </c>
      <c r="T43" s="6">
        <v>1</v>
      </c>
      <c r="U43" s="6">
        <v>1</v>
      </c>
      <c r="V43" s="6" t="s">
        <v>61</v>
      </c>
      <c r="W43" s="6">
        <v>1</v>
      </c>
      <c r="X43" s="6">
        <v>1</v>
      </c>
      <c r="Y43" s="6">
        <v>1</v>
      </c>
      <c r="Z43" s="6">
        <v>1</v>
      </c>
      <c r="AA43" s="6">
        <v>1</v>
      </c>
      <c r="AB43" s="6">
        <v>1</v>
      </c>
      <c r="AC43" s="6">
        <v>1</v>
      </c>
      <c r="AD43" s="6">
        <v>1</v>
      </c>
      <c r="AE43" s="6">
        <v>1</v>
      </c>
      <c r="AF43" s="6">
        <v>1</v>
      </c>
      <c r="AG43" s="6">
        <v>1</v>
      </c>
      <c r="AH43" s="6">
        <v>1</v>
      </c>
      <c r="AI43" s="35">
        <f t="shared" si="0"/>
        <v>26</v>
      </c>
      <c r="AJ43" s="36">
        <f t="shared" si="1"/>
        <v>3</v>
      </c>
      <c r="AK43" s="37">
        <f t="shared" si="2"/>
        <v>1</v>
      </c>
    </row>
    <row r="44" spans="1:37">
      <c r="A44" s="24">
        <f t="shared" si="3"/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>
        <v>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35">
        <f t="shared" si="0"/>
        <v>30</v>
      </c>
      <c r="AJ44" s="36">
        <f t="shared" si="1"/>
        <v>0</v>
      </c>
      <c r="AK44" s="37">
        <f t="shared" si="2"/>
        <v>0</v>
      </c>
    </row>
    <row r="45" spans="1:37" ht="16.5" thickBot="1">
      <c r="A45" s="27">
        <f t="shared" si="3"/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 t="s">
        <v>61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 t="s">
        <v>61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44">
        <f t="shared" si="0"/>
        <v>28</v>
      </c>
      <c r="AJ45" s="45">
        <f t="shared" si="1"/>
        <v>0</v>
      </c>
      <c r="AK45" s="46">
        <f t="shared" si="2"/>
        <v>2</v>
      </c>
    </row>
    <row r="46" spans="1:37">
      <c r="A46" s="21">
        <f t="shared" si="3"/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 t="s">
        <v>61</v>
      </c>
      <c r="I46" s="6">
        <v>1</v>
      </c>
      <c r="J46" s="6" t="s">
        <v>62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>
        <v>1</v>
      </c>
      <c r="Y46" s="6">
        <v>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41">
        <f t="shared" si="0"/>
        <v>28</v>
      </c>
      <c r="AJ46" s="42">
        <f t="shared" si="1"/>
        <v>1</v>
      </c>
      <c r="AK46" s="43">
        <f t="shared" si="2"/>
        <v>1</v>
      </c>
    </row>
    <row r="47" spans="1:37" ht="16.5" thickBot="1">
      <c r="A47" s="27">
        <f t="shared" si="3"/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>
        <v>1</v>
      </c>
      <c r="T47" s="7">
        <v>1</v>
      </c>
      <c r="U47" s="7">
        <v>1</v>
      </c>
      <c r="V47" s="7" t="s">
        <v>61</v>
      </c>
      <c r="W47" s="7" t="s">
        <v>61</v>
      </c>
      <c r="X47" s="7">
        <v>1</v>
      </c>
      <c r="Y47" s="7">
        <v>1</v>
      </c>
      <c r="Z47" s="7">
        <v>1</v>
      </c>
      <c r="AA47" s="7">
        <v>1</v>
      </c>
      <c r="AB47" s="7">
        <v>1</v>
      </c>
      <c r="AC47" s="7">
        <v>1</v>
      </c>
      <c r="AD47" s="7" t="s">
        <v>61</v>
      </c>
      <c r="AE47" s="7">
        <v>1</v>
      </c>
      <c r="AF47" s="7">
        <v>1</v>
      </c>
      <c r="AG47" s="7">
        <v>1</v>
      </c>
      <c r="AH47" s="7">
        <v>1</v>
      </c>
      <c r="AI47" s="44">
        <f t="shared" si="0"/>
        <v>27</v>
      </c>
      <c r="AJ47" s="45">
        <f t="shared" si="1"/>
        <v>0</v>
      </c>
      <c r="AK47" s="46">
        <f t="shared" si="2"/>
        <v>3</v>
      </c>
    </row>
    <row r="48" spans="1:37">
      <c r="A48" s="67">
        <f t="shared" si="3"/>
        <v>45</v>
      </c>
      <c r="B48" s="25"/>
      <c r="C48" s="26"/>
      <c r="D48" s="48" t="s">
        <v>64</v>
      </c>
      <c r="E48" s="1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>
        <v>1</v>
      </c>
      <c r="T48" s="6">
        <v>1</v>
      </c>
      <c r="U48" s="6">
        <v>1</v>
      </c>
      <c r="V48" s="6">
        <v>1</v>
      </c>
      <c r="W48" s="6">
        <v>1</v>
      </c>
      <c r="X48" s="6">
        <v>1</v>
      </c>
      <c r="Y48" s="6">
        <v>1</v>
      </c>
      <c r="Z48" s="6">
        <v>1</v>
      </c>
      <c r="AA48" s="6">
        <v>1</v>
      </c>
      <c r="AB48" s="6">
        <v>1</v>
      </c>
      <c r="AC48" s="6">
        <v>1</v>
      </c>
      <c r="AD48" s="6">
        <v>1</v>
      </c>
      <c r="AE48" s="6">
        <v>1</v>
      </c>
      <c r="AF48" s="6">
        <v>1</v>
      </c>
      <c r="AG48" s="6">
        <v>1</v>
      </c>
      <c r="AH48" s="6">
        <v>1</v>
      </c>
      <c r="AI48" s="35">
        <f t="shared" ref="AI48:AI49" si="4">COUNTIF(E48:AH48,1)</f>
        <v>16</v>
      </c>
      <c r="AJ48" s="36">
        <f t="shared" ref="AJ48:AJ49" si="5">COUNTIF(E48:AH48,"тр")</f>
        <v>0</v>
      </c>
      <c r="AK48" s="37">
        <f t="shared" ref="AK48:AK49" si="6">COUNTIF(E48:AH48,"бв")</f>
        <v>0</v>
      </c>
    </row>
    <row r="49" spans="1:37" ht="16.5" thickBot="1">
      <c r="A49" s="66">
        <f t="shared" si="3"/>
        <v>46</v>
      </c>
      <c r="B49" s="28"/>
      <c r="C49" s="29"/>
      <c r="D49" s="49" t="s">
        <v>65</v>
      </c>
      <c r="E49" s="1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>
        <v>1</v>
      </c>
      <c r="T49" s="7">
        <v>1</v>
      </c>
      <c r="U49" s="7">
        <v>1</v>
      </c>
      <c r="V49" s="7">
        <v>1</v>
      </c>
      <c r="W49" s="7">
        <v>1</v>
      </c>
      <c r="X49" s="7">
        <v>1</v>
      </c>
      <c r="Y49" s="7">
        <v>1</v>
      </c>
      <c r="Z49" s="7">
        <v>1</v>
      </c>
      <c r="AA49" s="7">
        <v>1</v>
      </c>
      <c r="AB49" s="7">
        <v>1</v>
      </c>
      <c r="AC49" s="7">
        <v>1</v>
      </c>
      <c r="AD49" s="7">
        <v>1</v>
      </c>
      <c r="AE49" s="7">
        <v>1</v>
      </c>
      <c r="AF49" s="7">
        <v>1</v>
      </c>
      <c r="AG49" s="7">
        <v>1</v>
      </c>
      <c r="AH49" s="7">
        <v>1</v>
      </c>
      <c r="AI49" s="44">
        <f t="shared" si="4"/>
        <v>16</v>
      </c>
      <c r="AJ49" s="45">
        <f t="shared" si="5"/>
        <v>0</v>
      </c>
      <c r="AK49" s="46">
        <f t="shared" si="6"/>
        <v>0</v>
      </c>
    </row>
    <row r="50" spans="1:37">
      <c r="B50" s="1"/>
      <c r="C50" s="2"/>
      <c r="D50" s="2"/>
    </row>
    <row r="51" spans="1:37" ht="16.5" thickBot="1">
      <c r="A51" s="7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51" s="77"/>
      <c r="C51" s="77"/>
      <c r="D51" s="77"/>
      <c r="E51" s="77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  <c r="Q51" s="77"/>
      <c r="R51" s="77"/>
      <c r="S51" s="77"/>
      <c r="T51" s="77"/>
      <c r="U51" s="77"/>
      <c r="V51" s="77"/>
      <c r="W51" s="77"/>
      <c r="X51" s="77"/>
      <c r="Y51" s="77"/>
      <c r="Z51" s="77"/>
      <c r="AA51" s="77"/>
      <c r="AB51" s="77"/>
      <c r="AC51" s="77"/>
      <c r="AD51" s="77"/>
      <c r="AE51" s="77"/>
      <c r="AF51" s="77"/>
      <c r="AG51" s="77"/>
      <c r="AH51" s="77"/>
      <c r="AI51" s="77"/>
      <c r="AJ51" s="77"/>
      <c r="AK51" s="77"/>
    </row>
    <row r="52" spans="1:37" s="62" customFormat="1" ht="16.5" thickBot="1">
      <c r="A52" s="55" t="s">
        <v>60</v>
      </c>
      <c r="B52" s="56" t="s">
        <v>48</v>
      </c>
      <c r="C52" s="56" t="s">
        <v>52</v>
      </c>
      <c r="D52" s="57" t="s">
        <v>50</v>
      </c>
      <c r="E52" s="58">
        <v>1</v>
      </c>
      <c r="F52" s="58">
        <v>2</v>
      </c>
      <c r="G52" s="58">
        <v>3</v>
      </c>
      <c r="H52" s="58">
        <v>4</v>
      </c>
      <c r="I52" s="58">
        <v>5</v>
      </c>
      <c r="J52" s="58">
        <v>6</v>
      </c>
      <c r="K52" s="58">
        <v>7</v>
      </c>
      <c r="L52" s="58">
        <v>8</v>
      </c>
      <c r="M52" s="58">
        <v>9</v>
      </c>
      <c r="N52" s="58">
        <v>10</v>
      </c>
      <c r="O52" s="58">
        <v>11</v>
      </c>
      <c r="P52" s="58">
        <v>12</v>
      </c>
      <c r="Q52" s="58">
        <v>13</v>
      </c>
      <c r="R52" s="58">
        <v>14</v>
      </c>
      <c r="S52" s="58">
        <v>15</v>
      </c>
      <c r="T52" s="58">
        <v>16</v>
      </c>
      <c r="U52" s="58">
        <v>17</v>
      </c>
      <c r="V52" s="58">
        <v>18</v>
      </c>
      <c r="W52" s="58">
        <v>19</v>
      </c>
      <c r="X52" s="58">
        <v>20</v>
      </c>
      <c r="Y52" s="58">
        <v>21</v>
      </c>
      <c r="Z52" s="58">
        <v>22</v>
      </c>
      <c r="AA52" s="58">
        <v>23</v>
      </c>
      <c r="AB52" s="58">
        <v>24</v>
      </c>
      <c r="AC52" s="58">
        <v>25</v>
      </c>
      <c r="AD52" s="58">
        <v>26</v>
      </c>
      <c r="AE52" s="58">
        <v>27</v>
      </c>
      <c r="AF52" s="58">
        <v>28</v>
      </c>
      <c r="AG52" s="58">
        <v>29</v>
      </c>
      <c r="AH52" s="58">
        <v>30</v>
      </c>
      <c r="AI52" s="59">
        <v>1</v>
      </c>
      <c r="AJ52" s="60" t="s">
        <v>62</v>
      </c>
      <c r="AK52" s="61" t="s">
        <v>61</v>
      </c>
    </row>
    <row r="53" spans="1:37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41">
        <f>COUNTIF(E53:AH53,1)</f>
        <v>0</v>
      </c>
      <c r="AJ53" s="42">
        <f>COUNTIF(E53:AH53,"тр")</f>
        <v>30</v>
      </c>
      <c r="AK53" s="43">
        <f>COUNTIF(E53:AH53,"бв")</f>
        <v>0</v>
      </c>
    </row>
    <row r="54" spans="1:37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>
        <v>1</v>
      </c>
      <c r="T54" s="6">
        <v>1</v>
      </c>
      <c r="U54" s="6">
        <v>1</v>
      </c>
      <c r="V54" s="6">
        <v>1</v>
      </c>
      <c r="W54" s="6">
        <v>1</v>
      </c>
      <c r="X54" s="6">
        <v>1</v>
      </c>
      <c r="Y54" s="6">
        <v>1</v>
      </c>
      <c r="Z54" s="6">
        <v>1</v>
      </c>
      <c r="AA54" s="6">
        <v>1</v>
      </c>
      <c r="AB54" s="6">
        <v>1</v>
      </c>
      <c r="AC54" s="6">
        <v>1</v>
      </c>
      <c r="AD54" s="6">
        <v>1</v>
      </c>
      <c r="AE54" s="6">
        <v>1</v>
      </c>
      <c r="AF54" s="6">
        <v>1</v>
      </c>
      <c r="AG54" s="6">
        <v>1</v>
      </c>
      <c r="AH54" s="6">
        <v>1</v>
      </c>
      <c r="AI54" s="35">
        <f>COUNTIF(E54:AH54,1)</f>
        <v>30</v>
      </c>
      <c r="AJ54" s="36">
        <f>COUNTIF(E54:AH54,"тр")</f>
        <v>0</v>
      </c>
      <c r="AK54" s="37">
        <f>COUNTIF(E54:AH54,"бв")</f>
        <v>0</v>
      </c>
    </row>
    <row r="55" spans="1:37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1</v>
      </c>
      <c r="W55" s="7">
        <v>1</v>
      </c>
      <c r="X55" s="7">
        <v>1</v>
      </c>
      <c r="Y55" s="7">
        <v>1</v>
      </c>
      <c r="Z55" s="7">
        <v>1</v>
      </c>
      <c r="AA55" s="7">
        <v>1</v>
      </c>
      <c r="AB55" s="7">
        <v>1</v>
      </c>
      <c r="AC55" s="7">
        <v>1</v>
      </c>
      <c r="AD55" s="7">
        <v>1</v>
      </c>
      <c r="AE55" s="7">
        <v>1</v>
      </c>
      <c r="AF55" s="7">
        <v>1</v>
      </c>
      <c r="AG55" s="7">
        <v>1</v>
      </c>
      <c r="AH55" s="7">
        <v>1</v>
      </c>
      <c r="AI55" s="44">
        <f>COUNTIF(E55:AH55,1)</f>
        <v>30</v>
      </c>
      <c r="AJ55" s="45">
        <f>COUNTIF(E55:AH55,"тр")</f>
        <v>0</v>
      </c>
      <c r="AK55" s="46">
        <f>COUNTIF(E55:AH55,"бв")</f>
        <v>0</v>
      </c>
    </row>
    <row r="56" spans="1:37">
      <c r="B56" s="1"/>
      <c r="C56" s="2"/>
      <c r="D56" s="2"/>
    </row>
  </sheetData>
  <autoFilter ref="E2:AK49">
    <filterColumn colId="9"/>
    <filterColumn colId="10"/>
    <filterColumn colId="11"/>
    <filterColumn colId="19"/>
  </autoFilter>
  <mergeCells count="2">
    <mergeCell ref="A1:AK1"/>
    <mergeCell ref="A51:AK51"/>
  </mergeCells>
  <conditionalFormatting sqref="E53:AH55 E4:AH49">
    <cfRule type="containsBlanks" dxfId="1" priority="3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A1:AL55"/>
  <sheetViews>
    <sheetView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W49" sqref="W49"/>
    </sheetView>
  </sheetViews>
  <sheetFormatPr defaultRowHeight="15.75"/>
  <cols>
    <col min="1" max="1" width="5.7109375" style="54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7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Декабрь 2018 автоколонны № 1 г. Жодино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3" customFormat="1" ht="16.5" thickBot="1">
      <c r="A3" s="55" t="s">
        <v>60</v>
      </c>
      <c r="B3" s="56" t="s">
        <v>48</v>
      </c>
      <c r="C3" s="56" t="s">
        <v>52</v>
      </c>
      <c r="D3" s="57" t="s">
        <v>53</v>
      </c>
      <c r="E3" s="63">
        <v>1</v>
      </c>
      <c r="F3" s="58">
        <v>2</v>
      </c>
      <c r="G3" s="58">
        <v>3</v>
      </c>
      <c r="H3" s="58">
        <v>4</v>
      </c>
      <c r="I3" s="58">
        <v>5</v>
      </c>
      <c r="J3" s="58">
        <v>6</v>
      </c>
      <c r="K3" s="58">
        <v>7</v>
      </c>
      <c r="L3" s="58">
        <v>8</v>
      </c>
      <c r="M3" s="58">
        <v>9</v>
      </c>
      <c r="N3" s="58">
        <v>10</v>
      </c>
      <c r="O3" s="58">
        <v>11</v>
      </c>
      <c r="P3" s="58">
        <v>12</v>
      </c>
      <c r="Q3" s="58">
        <v>13</v>
      </c>
      <c r="R3" s="58">
        <v>14</v>
      </c>
      <c r="S3" s="58">
        <v>15</v>
      </c>
      <c r="T3" s="58">
        <v>16</v>
      </c>
      <c r="U3" s="58">
        <v>17</v>
      </c>
      <c r="V3" s="58">
        <v>18</v>
      </c>
      <c r="W3" s="58">
        <v>19</v>
      </c>
      <c r="X3" s="58">
        <v>20</v>
      </c>
      <c r="Y3" s="58">
        <v>21</v>
      </c>
      <c r="Z3" s="58">
        <v>22</v>
      </c>
      <c r="AA3" s="58">
        <v>23</v>
      </c>
      <c r="AB3" s="58">
        <v>24</v>
      </c>
      <c r="AC3" s="58">
        <v>25</v>
      </c>
      <c r="AD3" s="58">
        <v>26</v>
      </c>
      <c r="AE3" s="58">
        <v>27</v>
      </c>
      <c r="AF3" s="58">
        <v>28</v>
      </c>
      <c r="AG3" s="58">
        <v>29</v>
      </c>
      <c r="AH3" s="58">
        <v>30</v>
      </c>
      <c r="AI3" s="58">
        <v>31</v>
      </c>
      <c r="AJ3" s="59">
        <v>1</v>
      </c>
      <c r="AK3" s="60" t="s">
        <v>62</v>
      </c>
      <c r="AL3" s="61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6" t="s">
        <v>62</v>
      </c>
      <c r="AJ4" s="35">
        <f t="shared" ref="AJ4:AJ48" si="0">COUNTIF(E4:AI4,1)</f>
        <v>0</v>
      </c>
      <c r="AK4" s="36">
        <f t="shared" ref="AK4:AK48" si="1">COUNTIF(E4:AI4,"тр")</f>
        <v>31</v>
      </c>
      <c r="AL4" s="37">
        <f t="shared" ref="AL4:AL48" si="2">COUNTIF(E4:AI4,"бв")</f>
        <v>0</v>
      </c>
    </row>
    <row r="5" spans="1:38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65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>
        <v>1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62</v>
      </c>
      <c r="U5" s="7" t="s">
        <v>62</v>
      </c>
      <c r="V5" s="7" t="s">
        <v>62</v>
      </c>
      <c r="W5" s="7" t="s">
        <v>62</v>
      </c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38">
        <f t="shared" si="0"/>
        <v>1</v>
      </c>
      <c r="AK5" s="39">
        <f t="shared" si="1"/>
        <v>18</v>
      </c>
      <c r="AL5" s="40">
        <f t="shared" si="2"/>
        <v>0</v>
      </c>
    </row>
    <row r="6" spans="1:38">
      <c r="A6" s="21">
        <f t="shared" ref="A6:A48" si="3">A5+1</f>
        <v>3</v>
      </c>
      <c r="B6" s="25" t="s">
        <v>57</v>
      </c>
      <c r="C6" s="26" t="s">
        <v>3</v>
      </c>
      <c r="D6" s="48">
        <v>6981</v>
      </c>
      <c r="E6" s="15" t="s">
        <v>62</v>
      </c>
      <c r="F6" s="64" t="s">
        <v>62</v>
      </c>
      <c r="G6" s="64" t="s">
        <v>62</v>
      </c>
      <c r="H6" s="64" t="s">
        <v>62</v>
      </c>
      <c r="I6" s="64" t="s">
        <v>62</v>
      </c>
      <c r="J6" s="64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>
        <v>1</v>
      </c>
      <c r="H7" s="6">
        <v>1</v>
      </c>
      <c r="I7" s="6">
        <v>1</v>
      </c>
      <c r="J7" s="6">
        <v>1</v>
      </c>
      <c r="K7" s="6">
        <v>1</v>
      </c>
      <c r="L7" s="6">
        <v>1</v>
      </c>
      <c r="M7" s="6">
        <v>1</v>
      </c>
      <c r="N7" s="6">
        <v>1</v>
      </c>
      <c r="O7" s="6">
        <v>1</v>
      </c>
      <c r="P7" s="6">
        <v>1</v>
      </c>
      <c r="Q7" s="6">
        <v>1</v>
      </c>
      <c r="R7" s="6">
        <v>1</v>
      </c>
      <c r="S7" s="6">
        <v>1</v>
      </c>
      <c r="T7" s="6">
        <v>1</v>
      </c>
      <c r="U7" s="6">
        <v>1</v>
      </c>
      <c r="V7" s="6" t="s">
        <v>62</v>
      </c>
      <c r="W7" s="6">
        <v>1</v>
      </c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35">
        <f t="shared" si="0"/>
        <v>18</v>
      </c>
      <c r="AK7" s="36">
        <f t="shared" si="1"/>
        <v>1</v>
      </c>
      <c r="AL7" s="37">
        <f t="shared" si="2"/>
        <v>0</v>
      </c>
    </row>
    <row r="8" spans="1:38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16" t="s">
        <v>62</v>
      </c>
      <c r="G8" s="1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35">
        <f t="shared" si="0"/>
        <v>0</v>
      </c>
      <c r="AK8" s="36">
        <f t="shared" si="1"/>
        <v>19</v>
      </c>
      <c r="AL8" s="37">
        <f t="shared" si="2"/>
        <v>0</v>
      </c>
    </row>
    <row r="9" spans="1:38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 t="s">
        <v>62</v>
      </c>
      <c r="H9" s="6">
        <v>1</v>
      </c>
      <c r="I9" s="6">
        <v>1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>
        <v>1</v>
      </c>
      <c r="P9" s="6">
        <v>1</v>
      </c>
      <c r="Q9" s="6">
        <v>1</v>
      </c>
      <c r="R9" s="6">
        <v>1</v>
      </c>
      <c r="S9" s="6">
        <v>1</v>
      </c>
      <c r="T9" s="6">
        <v>1</v>
      </c>
      <c r="U9" s="6">
        <v>1</v>
      </c>
      <c r="V9" s="6">
        <v>1</v>
      </c>
      <c r="W9" s="6" t="s">
        <v>62</v>
      </c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35">
        <f t="shared" si="0"/>
        <v>17</v>
      </c>
      <c r="AK9" s="36">
        <f t="shared" si="1"/>
        <v>2</v>
      </c>
      <c r="AL9" s="37">
        <f t="shared" si="2"/>
        <v>0</v>
      </c>
    </row>
    <row r="10" spans="1:38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 t="s">
        <v>62</v>
      </c>
      <c r="H10" s="6">
        <v>1</v>
      </c>
      <c r="I10" s="6" t="s">
        <v>62</v>
      </c>
      <c r="J10" s="6" t="s">
        <v>62</v>
      </c>
      <c r="K10" s="6" t="s">
        <v>62</v>
      </c>
      <c r="L10" s="6" t="s">
        <v>62</v>
      </c>
      <c r="M10" s="6" t="s">
        <v>62</v>
      </c>
      <c r="N10" s="6" t="s">
        <v>62</v>
      </c>
      <c r="O10" s="6" t="s">
        <v>62</v>
      </c>
      <c r="P10" s="6">
        <v>1</v>
      </c>
      <c r="Q10" s="6">
        <v>1</v>
      </c>
      <c r="R10" s="6">
        <v>1</v>
      </c>
      <c r="S10" s="6">
        <v>1</v>
      </c>
      <c r="T10" s="6" t="s">
        <v>61</v>
      </c>
      <c r="U10" s="6">
        <v>1</v>
      </c>
      <c r="V10" s="6" t="s">
        <v>62</v>
      </c>
      <c r="W10" s="6" t="s">
        <v>62</v>
      </c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35">
        <f t="shared" si="0"/>
        <v>8</v>
      </c>
      <c r="AK10" s="36">
        <f t="shared" si="1"/>
        <v>10</v>
      </c>
      <c r="AL10" s="37">
        <f t="shared" si="2"/>
        <v>1</v>
      </c>
    </row>
    <row r="11" spans="1:38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 t="s">
        <v>61</v>
      </c>
      <c r="F11" s="16" t="s">
        <v>61</v>
      </c>
      <c r="G11" s="6">
        <v>1</v>
      </c>
      <c r="H11" s="6">
        <v>1</v>
      </c>
      <c r="I11" s="6">
        <v>1</v>
      </c>
      <c r="J11" s="6">
        <v>1</v>
      </c>
      <c r="K11" s="6">
        <v>1</v>
      </c>
      <c r="L11" s="6" t="s">
        <v>61</v>
      </c>
      <c r="M11" s="6" t="s">
        <v>61</v>
      </c>
      <c r="N11" s="6">
        <v>1</v>
      </c>
      <c r="O11" s="6">
        <v>1</v>
      </c>
      <c r="P11" s="6">
        <v>1</v>
      </c>
      <c r="Q11" s="6">
        <v>1</v>
      </c>
      <c r="R11" s="6">
        <v>1</v>
      </c>
      <c r="S11" s="6" t="s">
        <v>61</v>
      </c>
      <c r="T11" s="6" t="s">
        <v>61</v>
      </c>
      <c r="U11" s="6">
        <v>1</v>
      </c>
      <c r="V11" s="6">
        <v>1</v>
      </c>
      <c r="W11" s="6">
        <v>1</v>
      </c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35">
        <f t="shared" si="0"/>
        <v>13</v>
      </c>
      <c r="AK11" s="36">
        <f t="shared" si="1"/>
        <v>0</v>
      </c>
      <c r="AL11" s="37">
        <f t="shared" si="2"/>
        <v>6</v>
      </c>
    </row>
    <row r="12" spans="1:38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 t="s">
        <v>62</v>
      </c>
      <c r="I12" s="6" t="s">
        <v>62</v>
      </c>
      <c r="J12" s="6" t="s">
        <v>62</v>
      </c>
      <c r="K12" s="6">
        <v>1</v>
      </c>
      <c r="L12" s="6" t="s">
        <v>61</v>
      </c>
      <c r="M12" s="6" t="s">
        <v>61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 t="s">
        <v>61</v>
      </c>
      <c r="T12" s="6">
        <v>1</v>
      </c>
      <c r="U12" s="6">
        <v>1</v>
      </c>
      <c r="V12" s="6">
        <v>1</v>
      </c>
      <c r="W12" s="6" t="s">
        <v>61</v>
      </c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35">
        <f t="shared" si="0"/>
        <v>12</v>
      </c>
      <c r="AK12" s="36">
        <f t="shared" si="1"/>
        <v>3</v>
      </c>
      <c r="AL12" s="37">
        <f t="shared" si="2"/>
        <v>4</v>
      </c>
    </row>
    <row r="13" spans="1:38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>
        <v>1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 t="s">
        <v>61</v>
      </c>
      <c r="T13" s="6">
        <v>1</v>
      </c>
      <c r="U13" s="6">
        <v>1</v>
      </c>
      <c r="V13" s="6">
        <v>1</v>
      </c>
      <c r="W13" s="6">
        <v>1</v>
      </c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35">
        <f t="shared" si="0"/>
        <v>18</v>
      </c>
      <c r="AK13" s="36">
        <f t="shared" si="1"/>
        <v>0</v>
      </c>
      <c r="AL13" s="37">
        <f t="shared" si="2"/>
        <v>1</v>
      </c>
    </row>
    <row r="14" spans="1:38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 t="s">
        <v>61</v>
      </c>
      <c r="F14" s="1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>
        <v>1</v>
      </c>
      <c r="P14" s="6">
        <v>1</v>
      </c>
      <c r="Q14" s="6">
        <v>1</v>
      </c>
      <c r="R14" s="6">
        <v>1</v>
      </c>
      <c r="S14" s="6">
        <v>1</v>
      </c>
      <c r="T14" s="6">
        <v>1</v>
      </c>
      <c r="U14" s="6" t="s">
        <v>62</v>
      </c>
      <c r="V14" s="6" t="s">
        <v>62</v>
      </c>
      <c r="W14" s="6">
        <v>1</v>
      </c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35">
        <f t="shared" si="0"/>
        <v>15</v>
      </c>
      <c r="AK14" s="36">
        <f t="shared" si="1"/>
        <v>3</v>
      </c>
      <c r="AL14" s="37">
        <f t="shared" si="2"/>
        <v>1</v>
      </c>
    </row>
    <row r="15" spans="1:38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>
        <v>1</v>
      </c>
      <c r="W15" s="6">
        <v>1</v>
      </c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35">
        <f t="shared" si="0"/>
        <v>19</v>
      </c>
      <c r="AK15" s="36">
        <f t="shared" si="1"/>
        <v>0</v>
      </c>
      <c r="AL15" s="37">
        <f t="shared" si="2"/>
        <v>0</v>
      </c>
    </row>
    <row r="16" spans="1:38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 t="s">
        <v>61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 t="s">
        <v>61</v>
      </c>
      <c r="U16" s="6">
        <v>1</v>
      </c>
      <c r="V16" s="6">
        <v>1</v>
      </c>
      <c r="W16" s="6">
        <v>1</v>
      </c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35">
        <f t="shared" si="0"/>
        <v>17</v>
      </c>
      <c r="AK16" s="36">
        <f t="shared" si="1"/>
        <v>0</v>
      </c>
      <c r="AL16" s="37">
        <f t="shared" si="2"/>
        <v>2</v>
      </c>
    </row>
    <row r="17" spans="1:38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 t="s">
        <v>61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35">
        <f t="shared" si="0"/>
        <v>18</v>
      </c>
      <c r="AK17" s="36">
        <f t="shared" si="1"/>
        <v>0</v>
      </c>
      <c r="AL17" s="37">
        <f t="shared" si="2"/>
        <v>1</v>
      </c>
    </row>
    <row r="18" spans="1:38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 t="s">
        <v>62</v>
      </c>
      <c r="F18" s="16" t="s">
        <v>62</v>
      </c>
      <c r="G18" s="16" t="s">
        <v>62</v>
      </c>
      <c r="H18" s="6" t="s">
        <v>62</v>
      </c>
      <c r="I18" s="6" t="s">
        <v>62</v>
      </c>
      <c r="J18" s="6" t="s">
        <v>62</v>
      </c>
      <c r="K18" s="6" t="s">
        <v>62</v>
      </c>
      <c r="L18" s="6" t="s">
        <v>61</v>
      </c>
      <c r="M18" s="6" t="s">
        <v>61</v>
      </c>
      <c r="N18" s="6">
        <v>1</v>
      </c>
      <c r="O18" s="6">
        <v>1</v>
      </c>
      <c r="P18" s="6">
        <v>1</v>
      </c>
      <c r="Q18" s="6">
        <v>1</v>
      </c>
      <c r="R18" s="6">
        <v>1</v>
      </c>
      <c r="S18" s="6">
        <v>1</v>
      </c>
      <c r="T18" s="6" t="s">
        <v>61</v>
      </c>
      <c r="U18" s="6">
        <v>1</v>
      </c>
      <c r="V18" s="6">
        <v>1</v>
      </c>
      <c r="W18" s="6">
        <v>1</v>
      </c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35">
        <f t="shared" si="0"/>
        <v>9</v>
      </c>
      <c r="AK18" s="36">
        <f t="shared" si="1"/>
        <v>7</v>
      </c>
      <c r="AL18" s="37">
        <f t="shared" si="2"/>
        <v>3</v>
      </c>
    </row>
    <row r="19" spans="1:38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>
        <v>1</v>
      </c>
      <c r="W19" s="6">
        <v>1</v>
      </c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35">
        <f t="shared" si="0"/>
        <v>19</v>
      </c>
      <c r="AK19" s="36">
        <f t="shared" si="1"/>
        <v>0</v>
      </c>
      <c r="AL19" s="37">
        <f t="shared" si="2"/>
        <v>0</v>
      </c>
    </row>
    <row r="20" spans="1:38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35">
        <f t="shared" si="0"/>
        <v>19</v>
      </c>
      <c r="AK20" s="36">
        <f t="shared" si="1"/>
        <v>0</v>
      </c>
      <c r="AL20" s="37">
        <f t="shared" si="2"/>
        <v>0</v>
      </c>
    </row>
    <row r="21" spans="1:38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 t="s">
        <v>61</v>
      </c>
      <c r="F21" s="17">
        <v>1</v>
      </c>
      <c r="G21" s="7">
        <v>1</v>
      </c>
      <c r="H21" s="7">
        <v>1</v>
      </c>
      <c r="I21" s="7">
        <v>1</v>
      </c>
      <c r="J21" s="7">
        <v>1</v>
      </c>
      <c r="K21" s="7">
        <v>1</v>
      </c>
      <c r="L21" s="7" t="s">
        <v>61</v>
      </c>
      <c r="M21" s="7">
        <v>1</v>
      </c>
      <c r="N21" s="7">
        <v>1</v>
      </c>
      <c r="O21" s="7">
        <v>1</v>
      </c>
      <c r="P21" s="7">
        <v>1</v>
      </c>
      <c r="Q21" s="7">
        <v>1</v>
      </c>
      <c r="R21" s="7">
        <v>1</v>
      </c>
      <c r="S21" s="6" t="s">
        <v>61</v>
      </c>
      <c r="T21" s="7">
        <v>1</v>
      </c>
      <c r="U21" s="7">
        <v>1</v>
      </c>
      <c r="V21" s="7">
        <v>1</v>
      </c>
      <c r="W21" s="7">
        <v>1</v>
      </c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44">
        <f t="shared" si="0"/>
        <v>16</v>
      </c>
      <c r="AK21" s="45">
        <f t="shared" si="1"/>
        <v>0</v>
      </c>
      <c r="AL21" s="46">
        <f t="shared" si="2"/>
        <v>3</v>
      </c>
    </row>
    <row r="22" spans="1:38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>
        <v>1</v>
      </c>
      <c r="F22" s="6">
        <v>1</v>
      </c>
      <c r="G22" s="6">
        <v>1</v>
      </c>
      <c r="H22" s="6">
        <v>1</v>
      </c>
      <c r="I22" s="6">
        <v>1</v>
      </c>
      <c r="J22" s="6">
        <v>1</v>
      </c>
      <c r="K22" s="6">
        <v>1</v>
      </c>
      <c r="L22" s="6" t="s">
        <v>61</v>
      </c>
      <c r="M22" s="6" t="s">
        <v>61</v>
      </c>
      <c r="N22" s="6">
        <v>1</v>
      </c>
      <c r="O22" s="6">
        <v>1</v>
      </c>
      <c r="P22" s="6" t="s">
        <v>62</v>
      </c>
      <c r="Q22" s="6">
        <v>1</v>
      </c>
      <c r="R22" s="6">
        <v>1</v>
      </c>
      <c r="S22" s="6">
        <v>1</v>
      </c>
      <c r="T22" s="6">
        <v>1</v>
      </c>
      <c r="U22" s="6">
        <v>1</v>
      </c>
      <c r="V22" s="6">
        <v>1</v>
      </c>
      <c r="W22" s="6" t="s">
        <v>61</v>
      </c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41">
        <f t="shared" si="0"/>
        <v>15</v>
      </c>
      <c r="AK22" s="42">
        <f t="shared" si="1"/>
        <v>1</v>
      </c>
      <c r="AL22" s="43">
        <f t="shared" si="2"/>
        <v>3</v>
      </c>
    </row>
    <row r="23" spans="1:38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6" t="s">
        <v>62</v>
      </c>
      <c r="AJ23" s="35">
        <f t="shared" si="0"/>
        <v>0</v>
      </c>
      <c r="AK23" s="36">
        <f t="shared" si="1"/>
        <v>31</v>
      </c>
      <c r="AL23" s="37">
        <f t="shared" si="2"/>
        <v>0</v>
      </c>
    </row>
    <row r="24" spans="1:38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 t="s">
        <v>62</v>
      </c>
      <c r="F24" s="6" t="s">
        <v>62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 t="s">
        <v>62</v>
      </c>
      <c r="T24" s="6" t="s">
        <v>62</v>
      </c>
      <c r="U24" s="6" t="s">
        <v>62</v>
      </c>
      <c r="V24" s="6" t="s">
        <v>62</v>
      </c>
      <c r="W24" s="6">
        <v>1</v>
      </c>
      <c r="X24" s="6" t="s">
        <v>62</v>
      </c>
      <c r="Y24" s="6" t="s">
        <v>62</v>
      </c>
      <c r="Z24" s="6" t="s">
        <v>62</v>
      </c>
      <c r="AA24" s="6" t="s">
        <v>62</v>
      </c>
      <c r="AB24" s="6" t="s">
        <v>62</v>
      </c>
      <c r="AC24" s="6" t="s">
        <v>62</v>
      </c>
      <c r="AD24" s="6" t="s">
        <v>62</v>
      </c>
      <c r="AE24" s="6" t="s">
        <v>62</v>
      </c>
      <c r="AF24" s="6" t="s">
        <v>62</v>
      </c>
      <c r="AG24" s="6" t="s">
        <v>62</v>
      </c>
      <c r="AH24" s="6" t="s">
        <v>62</v>
      </c>
      <c r="AI24" s="6" t="s">
        <v>62</v>
      </c>
      <c r="AJ24" s="35">
        <f t="shared" si="0"/>
        <v>1</v>
      </c>
      <c r="AK24" s="36">
        <f t="shared" si="1"/>
        <v>30</v>
      </c>
      <c r="AL24" s="37">
        <f t="shared" si="2"/>
        <v>0</v>
      </c>
    </row>
    <row r="25" spans="1:38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>
        <v>1</v>
      </c>
      <c r="N25" s="6">
        <v>1</v>
      </c>
      <c r="O25" s="6">
        <v>1</v>
      </c>
      <c r="P25" s="6">
        <v>1</v>
      </c>
      <c r="Q25" s="6" t="s">
        <v>61</v>
      </c>
      <c r="R25" s="6" t="s">
        <v>61</v>
      </c>
      <c r="S25" s="6">
        <v>1</v>
      </c>
      <c r="T25" s="6">
        <v>1</v>
      </c>
      <c r="U25" s="6">
        <v>1</v>
      </c>
      <c r="V25" s="6">
        <v>1</v>
      </c>
      <c r="W25" s="6" t="s">
        <v>61</v>
      </c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35">
        <f t="shared" si="0"/>
        <v>16</v>
      </c>
      <c r="AK25" s="36">
        <f t="shared" si="1"/>
        <v>0</v>
      </c>
      <c r="AL25" s="37">
        <f t="shared" si="2"/>
        <v>3</v>
      </c>
    </row>
    <row r="26" spans="1:38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16" t="s">
        <v>61</v>
      </c>
      <c r="G26" s="6">
        <v>1</v>
      </c>
      <c r="H26" s="6">
        <v>1</v>
      </c>
      <c r="I26" s="6">
        <v>1</v>
      </c>
      <c r="J26" s="6">
        <v>1</v>
      </c>
      <c r="K26" s="6">
        <v>1</v>
      </c>
      <c r="L26" s="6" t="s">
        <v>61</v>
      </c>
      <c r="M26" s="6" t="s">
        <v>61</v>
      </c>
      <c r="N26" s="6" t="s">
        <v>62</v>
      </c>
      <c r="O26" s="6" t="s">
        <v>62</v>
      </c>
      <c r="P26" s="6" t="s">
        <v>62</v>
      </c>
      <c r="Q26" s="6">
        <v>1</v>
      </c>
      <c r="R26" s="6">
        <v>1</v>
      </c>
      <c r="S26" s="6" t="s">
        <v>61</v>
      </c>
      <c r="T26" s="6" t="s">
        <v>61</v>
      </c>
      <c r="U26" s="6" t="s">
        <v>61</v>
      </c>
      <c r="V26" s="6" t="s">
        <v>61</v>
      </c>
      <c r="W26" s="6" t="s">
        <v>61</v>
      </c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35">
        <f t="shared" si="0"/>
        <v>7</v>
      </c>
      <c r="AK26" s="36">
        <f t="shared" si="1"/>
        <v>3</v>
      </c>
      <c r="AL26" s="37">
        <f t="shared" si="2"/>
        <v>9</v>
      </c>
    </row>
    <row r="27" spans="1:38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 t="s">
        <v>61</v>
      </c>
      <c r="G27" s="6">
        <v>1</v>
      </c>
      <c r="H27" s="6">
        <v>1</v>
      </c>
      <c r="I27" s="6">
        <v>1</v>
      </c>
      <c r="J27" s="6">
        <v>1</v>
      </c>
      <c r="K27" s="6" t="s">
        <v>62</v>
      </c>
      <c r="L27" s="6">
        <v>1</v>
      </c>
      <c r="M27" s="6">
        <v>1</v>
      </c>
      <c r="N27" s="6" t="s">
        <v>62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 t="s">
        <v>61</v>
      </c>
      <c r="U27" s="6">
        <v>1</v>
      </c>
      <c r="V27" s="6">
        <v>1</v>
      </c>
      <c r="W27" s="6">
        <v>1</v>
      </c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35">
        <f t="shared" si="0"/>
        <v>15</v>
      </c>
      <c r="AK27" s="36">
        <f t="shared" si="1"/>
        <v>2</v>
      </c>
      <c r="AL27" s="37">
        <f t="shared" si="2"/>
        <v>2</v>
      </c>
    </row>
    <row r="28" spans="1:38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>
        <v>1</v>
      </c>
      <c r="O28" s="7">
        <v>1</v>
      </c>
      <c r="P28" s="7">
        <v>1</v>
      </c>
      <c r="Q28" s="7" t="s">
        <v>61</v>
      </c>
      <c r="R28" s="7" t="s">
        <v>61</v>
      </c>
      <c r="S28" s="7">
        <v>1</v>
      </c>
      <c r="T28" s="7">
        <v>1</v>
      </c>
      <c r="U28" s="7">
        <v>1</v>
      </c>
      <c r="V28" s="7">
        <v>1</v>
      </c>
      <c r="W28" s="7">
        <v>1</v>
      </c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44">
        <f t="shared" si="0"/>
        <v>17</v>
      </c>
      <c r="AK28" s="45">
        <f t="shared" si="1"/>
        <v>0</v>
      </c>
      <c r="AL28" s="46">
        <f t="shared" si="2"/>
        <v>2</v>
      </c>
    </row>
    <row r="29" spans="1:38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>
        <v>1</v>
      </c>
      <c r="F29" s="6">
        <v>1</v>
      </c>
      <c r="G29" s="6">
        <v>1</v>
      </c>
      <c r="H29" s="6">
        <v>1</v>
      </c>
      <c r="I29" s="6">
        <v>1</v>
      </c>
      <c r="J29" s="6">
        <v>1</v>
      </c>
      <c r="K29" s="6">
        <v>1</v>
      </c>
      <c r="L29" s="6">
        <v>1</v>
      </c>
      <c r="M29" s="6">
        <v>1</v>
      </c>
      <c r="N29" s="6">
        <v>1</v>
      </c>
      <c r="O29" s="6">
        <v>1</v>
      </c>
      <c r="P29" s="6">
        <v>1</v>
      </c>
      <c r="Q29" s="6">
        <v>1</v>
      </c>
      <c r="R29" s="6">
        <v>1</v>
      </c>
      <c r="S29" s="6">
        <v>1</v>
      </c>
      <c r="T29" s="6">
        <v>1</v>
      </c>
      <c r="U29" s="6">
        <v>1</v>
      </c>
      <c r="V29" s="6">
        <v>1</v>
      </c>
      <c r="W29" s="6" t="s">
        <v>61</v>
      </c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41">
        <f t="shared" si="0"/>
        <v>18</v>
      </c>
      <c r="AK29" s="42">
        <f t="shared" si="1"/>
        <v>0</v>
      </c>
      <c r="AL29" s="43">
        <f t="shared" si="2"/>
        <v>1</v>
      </c>
    </row>
    <row r="30" spans="1:38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6" t="s">
        <v>62</v>
      </c>
      <c r="AJ30" s="35">
        <f t="shared" si="0"/>
        <v>0</v>
      </c>
      <c r="AK30" s="36">
        <f t="shared" si="1"/>
        <v>31</v>
      </c>
      <c r="AL30" s="37">
        <f t="shared" si="2"/>
        <v>0</v>
      </c>
    </row>
    <row r="31" spans="1:38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0"/>
        <v>0</v>
      </c>
      <c r="AK31" s="45">
        <f t="shared" si="1"/>
        <v>31</v>
      </c>
      <c r="AL31" s="46">
        <f t="shared" si="2"/>
        <v>0</v>
      </c>
    </row>
    <row r="32" spans="1:38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0"/>
        <v>0</v>
      </c>
      <c r="AK32" s="42">
        <f t="shared" si="1"/>
        <v>31</v>
      </c>
      <c r="AL32" s="43">
        <f t="shared" si="2"/>
        <v>0</v>
      </c>
    </row>
    <row r="33" spans="1:38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 t="shared" si="0"/>
        <v>0</v>
      </c>
      <c r="AK33" s="45">
        <f t="shared" si="1"/>
        <v>31</v>
      </c>
      <c r="AL33" s="46">
        <f t="shared" si="2"/>
        <v>0</v>
      </c>
    </row>
    <row r="34" spans="1:38" ht="16.5" thickBot="1">
      <c r="A34" s="68">
        <f t="shared" si="3"/>
        <v>31</v>
      </c>
      <c r="B34" s="69" t="s">
        <v>30</v>
      </c>
      <c r="C34" s="70" t="s">
        <v>31</v>
      </c>
      <c r="D34" s="71">
        <v>4253</v>
      </c>
      <c r="E34" s="72" t="s">
        <v>62</v>
      </c>
      <c r="F34" s="73" t="s">
        <v>62</v>
      </c>
      <c r="G34" s="73" t="s">
        <v>62</v>
      </c>
      <c r="H34" s="73" t="s">
        <v>62</v>
      </c>
      <c r="I34" s="73" t="s">
        <v>62</v>
      </c>
      <c r="J34" s="73" t="s">
        <v>62</v>
      </c>
      <c r="K34" s="73" t="s">
        <v>62</v>
      </c>
      <c r="L34" s="73" t="s">
        <v>62</v>
      </c>
      <c r="M34" s="73" t="s">
        <v>62</v>
      </c>
      <c r="N34" s="73" t="s">
        <v>62</v>
      </c>
      <c r="O34" s="73" t="s">
        <v>62</v>
      </c>
      <c r="P34" s="73" t="s">
        <v>62</v>
      </c>
      <c r="Q34" s="73" t="s">
        <v>62</v>
      </c>
      <c r="R34" s="73" t="s">
        <v>62</v>
      </c>
      <c r="S34" s="73" t="s">
        <v>62</v>
      </c>
      <c r="T34" s="73" t="s">
        <v>62</v>
      </c>
      <c r="U34" s="73" t="s">
        <v>62</v>
      </c>
      <c r="V34" s="73" t="s">
        <v>62</v>
      </c>
      <c r="W34" s="73" t="s">
        <v>62</v>
      </c>
      <c r="X34" s="73" t="s">
        <v>62</v>
      </c>
      <c r="Y34" s="73" t="s">
        <v>62</v>
      </c>
      <c r="Z34" s="73" t="s">
        <v>62</v>
      </c>
      <c r="AA34" s="73" t="s">
        <v>62</v>
      </c>
      <c r="AB34" s="73" t="s">
        <v>62</v>
      </c>
      <c r="AC34" s="73" t="s">
        <v>62</v>
      </c>
      <c r="AD34" s="73" t="s">
        <v>62</v>
      </c>
      <c r="AE34" s="73" t="s">
        <v>62</v>
      </c>
      <c r="AF34" s="73" t="s">
        <v>62</v>
      </c>
      <c r="AG34" s="73" t="s">
        <v>62</v>
      </c>
      <c r="AH34" s="73" t="s">
        <v>62</v>
      </c>
      <c r="AI34" s="73" t="s">
        <v>62</v>
      </c>
      <c r="AJ34" s="74">
        <f t="shared" si="0"/>
        <v>0</v>
      </c>
      <c r="AK34" s="75">
        <f t="shared" si="1"/>
        <v>31</v>
      </c>
      <c r="AL34" s="76">
        <f t="shared" si="2"/>
        <v>0</v>
      </c>
    </row>
    <row r="35" spans="1:38">
      <c r="A35" s="21">
        <f t="shared" si="3"/>
        <v>32</v>
      </c>
      <c r="B35" s="22" t="s">
        <v>35</v>
      </c>
      <c r="C35" s="23" t="s">
        <v>34</v>
      </c>
      <c r="D35" s="47">
        <v>2831</v>
      </c>
      <c r="E35" s="15">
        <v>1</v>
      </c>
      <c r="F35" s="64" t="s">
        <v>61</v>
      </c>
      <c r="G35" s="64">
        <v>1</v>
      </c>
      <c r="H35" s="64">
        <v>1</v>
      </c>
      <c r="I35" s="64">
        <v>1</v>
      </c>
      <c r="J35" s="64">
        <v>1</v>
      </c>
      <c r="K35" s="64" t="s">
        <v>62</v>
      </c>
      <c r="L35" s="64" t="s">
        <v>61</v>
      </c>
      <c r="M35" s="64">
        <v>1</v>
      </c>
      <c r="N35" s="64">
        <v>1</v>
      </c>
      <c r="O35" s="64">
        <v>1</v>
      </c>
      <c r="P35" s="64">
        <v>1</v>
      </c>
      <c r="Q35" s="64">
        <v>1</v>
      </c>
      <c r="R35" s="64">
        <v>1</v>
      </c>
      <c r="S35" s="64">
        <v>1</v>
      </c>
      <c r="T35" s="64">
        <v>1</v>
      </c>
      <c r="U35" s="64" t="s">
        <v>62</v>
      </c>
      <c r="V35" s="64" t="s">
        <v>62</v>
      </c>
      <c r="W35" s="64" t="s">
        <v>62</v>
      </c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35">
        <f t="shared" si="0"/>
        <v>13</v>
      </c>
      <c r="AK35" s="36">
        <f t="shared" si="1"/>
        <v>4</v>
      </c>
      <c r="AL35" s="37">
        <f t="shared" si="2"/>
        <v>2</v>
      </c>
    </row>
    <row r="36" spans="1:38">
      <c r="A36" s="24">
        <f t="shared" si="3"/>
        <v>33</v>
      </c>
      <c r="B36" s="25" t="s">
        <v>35</v>
      </c>
      <c r="C36" s="26" t="s">
        <v>36</v>
      </c>
      <c r="D36" s="48">
        <v>7945</v>
      </c>
      <c r="E36" s="16" t="s">
        <v>62</v>
      </c>
      <c r="F36" s="16" t="s">
        <v>62</v>
      </c>
      <c r="G36" s="16" t="s">
        <v>62</v>
      </c>
      <c r="H36" s="6">
        <v>1</v>
      </c>
      <c r="I36" s="6">
        <v>1</v>
      </c>
      <c r="J36" s="6">
        <v>1</v>
      </c>
      <c r="K36" s="6">
        <v>1</v>
      </c>
      <c r="L36" s="6">
        <v>1</v>
      </c>
      <c r="M36" s="6">
        <v>1</v>
      </c>
      <c r="N36" s="6">
        <v>1</v>
      </c>
      <c r="O36" s="6" t="s">
        <v>62</v>
      </c>
      <c r="P36" s="6" t="s">
        <v>62</v>
      </c>
      <c r="Q36" s="6" t="s">
        <v>62</v>
      </c>
      <c r="R36" s="6" t="s">
        <v>62</v>
      </c>
      <c r="S36" s="6" t="s">
        <v>62</v>
      </c>
      <c r="T36" s="6" t="s">
        <v>62</v>
      </c>
      <c r="U36" s="6" t="s">
        <v>62</v>
      </c>
      <c r="V36" s="6">
        <v>1</v>
      </c>
      <c r="W36" s="6">
        <v>1</v>
      </c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35">
        <f t="shared" si="0"/>
        <v>9</v>
      </c>
      <c r="AK36" s="36">
        <f t="shared" si="1"/>
        <v>10</v>
      </c>
      <c r="AL36" s="37">
        <f t="shared" si="2"/>
        <v>0</v>
      </c>
    </row>
    <row r="37" spans="1:38" ht="16.5" thickBot="1">
      <c r="A37" s="27">
        <f t="shared" si="3"/>
        <v>34</v>
      </c>
      <c r="B37" s="28" t="s">
        <v>37</v>
      </c>
      <c r="C37" s="34">
        <v>135</v>
      </c>
      <c r="D37" s="49">
        <v>8933</v>
      </c>
      <c r="E37" s="17" t="s">
        <v>62</v>
      </c>
      <c r="F37" s="17" t="s">
        <v>62</v>
      </c>
      <c r="G37" s="17" t="s">
        <v>62</v>
      </c>
      <c r="H37" s="7" t="s">
        <v>62</v>
      </c>
      <c r="I37" s="7" t="s">
        <v>62</v>
      </c>
      <c r="J37" s="7" t="s">
        <v>62</v>
      </c>
      <c r="K37" s="7" t="s">
        <v>62</v>
      </c>
      <c r="L37" s="7" t="s">
        <v>62</v>
      </c>
      <c r="M37" s="7" t="s">
        <v>62</v>
      </c>
      <c r="N37" s="7" t="s">
        <v>62</v>
      </c>
      <c r="O37" s="7" t="s">
        <v>62</v>
      </c>
      <c r="P37" s="7" t="s">
        <v>62</v>
      </c>
      <c r="Q37" s="7" t="s">
        <v>62</v>
      </c>
      <c r="R37" s="7" t="s">
        <v>62</v>
      </c>
      <c r="S37" s="7" t="s">
        <v>62</v>
      </c>
      <c r="T37" s="7" t="s">
        <v>62</v>
      </c>
      <c r="U37" s="7" t="s">
        <v>62</v>
      </c>
      <c r="V37" s="7" t="s">
        <v>62</v>
      </c>
      <c r="W37" s="7" t="s">
        <v>62</v>
      </c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44">
        <f t="shared" si="0"/>
        <v>0</v>
      </c>
      <c r="AK37" s="45">
        <f t="shared" si="1"/>
        <v>19</v>
      </c>
      <c r="AL37" s="46">
        <f t="shared" si="2"/>
        <v>0</v>
      </c>
    </row>
    <row r="38" spans="1:38">
      <c r="A38" s="21">
        <f t="shared" si="3"/>
        <v>35</v>
      </c>
      <c r="B38" s="25" t="s">
        <v>58</v>
      </c>
      <c r="C38" s="26" t="s">
        <v>38</v>
      </c>
      <c r="D38" s="48">
        <v>4994</v>
      </c>
      <c r="E38" s="16" t="s">
        <v>62</v>
      </c>
      <c r="F38" s="16" t="s">
        <v>62</v>
      </c>
      <c r="G38" s="16" t="s">
        <v>62</v>
      </c>
      <c r="H38" s="6" t="s">
        <v>62</v>
      </c>
      <c r="I38" s="6" t="s">
        <v>62</v>
      </c>
      <c r="J38" s="6">
        <v>1</v>
      </c>
      <c r="K38" s="6">
        <v>1</v>
      </c>
      <c r="L38" s="6">
        <v>1</v>
      </c>
      <c r="M38" s="6">
        <v>1</v>
      </c>
      <c r="N38" s="6">
        <v>1</v>
      </c>
      <c r="O38" s="6">
        <v>1</v>
      </c>
      <c r="P38" s="6">
        <v>1</v>
      </c>
      <c r="Q38" s="6">
        <v>1</v>
      </c>
      <c r="R38" s="6">
        <v>1</v>
      </c>
      <c r="S38" s="6">
        <v>1</v>
      </c>
      <c r="T38" s="6">
        <v>1</v>
      </c>
      <c r="U38" s="6">
        <v>1</v>
      </c>
      <c r="V38" s="6">
        <v>1</v>
      </c>
      <c r="W38" s="6">
        <v>1</v>
      </c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41">
        <f t="shared" si="0"/>
        <v>14</v>
      </c>
      <c r="AK38" s="42">
        <f t="shared" si="1"/>
        <v>5</v>
      </c>
      <c r="AL38" s="43">
        <f t="shared" si="2"/>
        <v>0</v>
      </c>
    </row>
    <row r="39" spans="1:38">
      <c r="A39" s="24">
        <f t="shared" si="3"/>
        <v>36</v>
      </c>
      <c r="B39" s="25" t="s">
        <v>58</v>
      </c>
      <c r="C39" s="26" t="s">
        <v>39</v>
      </c>
      <c r="D39" s="48">
        <v>4995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35">
        <f t="shared" si="0"/>
        <v>19</v>
      </c>
      <c r="AK39" s="36">
        <f t="shared" si="1"/>
        <v>0</v>
      </c>
      <c r="AL39" s="37">
        <f t="shared" si="2"/>
        <v>0</v>
      </c>
    </row>
    <row r="40" spans="1:38">
      <c r="A40" s="24">
        <f t="shared" si="3"/>
        <v>37</v>
      </c>
      <c r="B40" s="25" t="s">
        <v>58</v>
      </c>
      <c r="C40" s="26" t="s">
        <v>40</v>
      </c>
      <c r="D40" s="48">
        <v>6129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 t="s">
        <v>61</v>
      </c>
      <c r="M40" s="6" t="s">
        <v>61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>
        <v>1</v>
      </c>
      <c r="V40" s="6">
        <v>1</v>
      </c>
      <c r="W40" s="6">
        <v>1</v>
      </c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35">
        <f t="shared" si="0"/>
        <v>17</v>
      </c>
      <c r="AK40" s="36">
        <f t="shared" si="1"/>
        <v>0</v>
      </c>
      <c r="AL40" s="37">
        <f t="shared" si="2"/>
        <v>2</v>
      </c>
    </row>
    <row r="41" spans="1:38">
      <c r="A41" s="24">
        <f t="shared" si="3"/>
        <v>38</v>
      </c>
      <c r="B41" s="25" t="s">
        <v>58</v>
      </c>
      <c r="C41" s="26" t="s">
        <v>41</v>
      </c>
      <c r="D41" s="48">
        <v>6130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 t="s">
        <v>61</v>
      </c>
      <c r="U41" s="6">
        <v>1</v>
      </c>
      <c r="V41" s="6">
        <v>1</v>
      </c>
      <c r="W41" s="6">
        <v>1</v>
      </c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35">
        <f t="shared" si="0"/>
        <v>18</v>
      </c>
      <c r="AK41" s="36">
        <f t="shared" si="1"/>
        <v>0</v>
      </c>
      <c r="AL41" s="37">
        <f t="shared" si="2"/>
        <v>1</v>
      </c>
    </row>
    <row r="42" spans="1:38">
      <c r="A42" s="24">
        <f t="shared" si="3"/>
        <v>39</v>
      </c>
      <c r="B42" s="25" t="s">
        <v>58</v>
      </c>
      <c r="C42" s="26" t="s">
        <v>42</v>
      </c>
      <c r="D42" s="48">
        <v>1297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>
        <v>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35">
        <f t="shared" si="0"/>
        <v>19</v>
      </c>
      <c r="AK42" s="36">
        <f t="shared" si="1"/>
        <v>0</v>
      </c>
      <c r="AL42" s="37">
        <f t="shared" si="2"/>
        <v>0</v>
      </c>
    </row>
    <row r="43" spans="1:38">
      <c r="A43" s="24">
        <f t="shared" si="3"/>
        <v>40</v>
      </c>
      <c r="B43" s="25" t="s">
        <v>58</v>
      </c>
      <c r="C43" s="26" t="s">
        <v>43</v>
      </c>
      <c r="D43" s="48">
        <v>1296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>
        <v>1</v>
      </c>
      <c r="N43" s="6">
        <v>1</v>
      </c>
      <c r="O43" s="6">
        <v>1</v>
      </c>
      <c r="P43" s="6">
        <v>1</v>
      </c>
      <c r="Q43" s="6">
        <v>1</v>
      </c>
      <c r="R43" s="6">
        <v>1</v>
      </c>
      <c r="S43" s="6">
        <v>1</v>
      </c>
      <c r="T43" s="6">
        <v>1</v>
      </c>
      <c r="U43" s="6">
        <v>1</v>
      </c>
      <c r="V43" s="6">
        <v>1</v>
      </c>
      <c r="W43" s="6">
        <v>1</v>
      </c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35">
        <f t="shared" si="0"/>
        <v>19</v>
      </c>
      <c r="AK43" s="36">
        <f t="shared" si="1"/>
        <v>0</v>
      </c>
      <c r="AL43" s="37">
        <f t="shared" si="2"/>
        <v>0</v>
      </c>
    </row>
    <row r="44" spans="1:38" ht="16.5" thickBot="1">
      <c r="A44" s="27">
        <f t="shared" si="3"/>
        <v>41</v>
      </c>
      <c r="B44" s="28" t="s">
        <v>58</v>
      </c>
      <c r="C44" s="29" t="s">
        <v>44</v>
      </c>
      <c r="D44" s="49">
        <v>1344</v>
      </c>
      <c r="E44" s="17">
        <v>1</v>
      </c>
      <c r="F44" s="7">
        <v>1</v>
      </c>
      <c r="G44" s="7">
        <v>1</v>
      </c>
      <c r="H44" s="7">
        <v>1</v>
      </c>
      <c r="I44" s="7">
        <v>1</v>
      </c>
      <c r="J44" s="7">
        <v>1</v>
      </c>
      <c r="K44" s="7">
        <v>1</v>
      </c>
      <c r="L44" s="7">
        <v>1</v>
      </c>
      <c r="M44" s="7" t="s">
        <v>61</v>
      </c>
      <c r="N44" s="7">
        <v>1</v>
      </c>
      <c r="O44" s="7">
        <v>1</v>
      </c>
      <c r="P44" s="7">
        <v>1</v>
      </c>
      <c r="Q44" s="7">
        <v>1</v>
      </c>
      <c r="R44" s="7">
        <v>1</v>
      </c>
      <c r="S44" s="7">
        <v>1</v>
      </c>
      <c r="T44" s="7">
        <v>1</v>
      </c>
      <c r="U44" s="7">
        <v>1</v>
      </c>
      <c r="V44" s="7">
        <v>1</v>
      </c>
      <c r="W44" s="7">
        <v>1</v>
      </c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44">
        <f t="shared" si="0"/>
        <v>18</v>
      </c>
      <c r="AK44" s="45">
        <f t="shared" si="1"/>
        <v>0</v>
      </c>
      <c r="AL44" s="46">
        <f t="shared" si="2"/>
        <v>1</v>
      </c>
    </row>
    <row r="45" spans="1:38">
      <c r="A45" s="21">
        <f t="shared" si="3"/>
        <v>42</v>
      </c>
      <c r="B45" s="25" t="s">
        <v>45</v>
      </c>
      <c r="C45" s="26" t="s">
        <v>46</v>
      </c>
      <c r="D45" s="48">
        <v>1250</v>
      </c>
      <c r="E45" s="16">
        <v>1</v>
      </c>
      <c r="F45" s="6">
        <v>1</v>
      </c>
      <c r="G45" s="6">
        <v>1</v>
      </c>
      <c r="H45" s="6">
        <v>1</v>
      </c>
      <c r="I45" s="6">
        <v>1</v>
      </c>
      <c r="J45" s="6" t="s">
        <v>62</v>
      </c>
      <c r="K45" s="6">
        <v>1</v>
      </c>
      <c r="L45" s="6">
        <v>1</v>
      </c>
      <c r="M45" s="6">
        <v>1</v>
      </c>
      <c r="N45" s="6">
        <v>1</v>
      </c>
      <c r="O45" s="6">
        <v>1</v>
      </c>
      <c r="P45" s="6">
        <v>1</v>
      </c>
      <c r="Q45" s="6">
        <v>1</v>
      </c>
      <c r="R45" s="6">
        <v>1</v>
      </c>
      <c r="S45" s="6" t="s">
        <v>61</v>
      </c>
      <c r="T45" s="6" t="s">
        <v>61</v>
      </c>
      <c r="U45" s="6">
        <v>1</v>
      </c>
      <c r="V45" s="6">
        <v>1</v>
      </c>
      <c r="W45" s="6">
        <v>1</v>
      </c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41">
        <f t="shared" si="0"/>
        <v>16</v>
      </c>
      <c r="AK45" s="42">
        <f t="shared" si="1"/>
        <v>1</v>
      </c>
      <c r="AL45" s="43">
        <f t="shared" si="2"/>
        <v>2</v>
      </c>
    </row>
    <row r="46" spans="1:38" ht="16.5" thickBot="1">
      <c r="A46" s="27">
        <f t="shared" si="3"/>
        <v>43</v>
      </c>
      <c r="B46" s="28" t="s">
        <v>45</v>
      </c>
      <c r="C46" s="29" t="s">
        <v>47</v>
      </c>
      <c r="D46" s="49">
        <v>1252</v>
      </c>
      <c r="E46" s="17">
        <v>1</v>
      </c>
      <c r="F46" s="7">
        <v>1</v>
      </c>
      <c r="G46" s="7">
        <v>1</v>
      </c>
      <c r="H46" s="7">
        <v>1</v>
      </c>
      <c r="I46" s="7">
        <v>1</v>
      </c>
      <c r="J46" s="7">
        <v>1</v>
      </c>
      <c r="K46" s="7">
        <v>1</v>
      </c>
      <c r="L46" s="7">
        <v>1</v>
      </c>
      <c r="M46" s="7">
        <v>1</v>
      </c>
      <c r="N46" s="7">
        <v>1</v>
      </c>
      <c r="O46" s="7">
        <v>1</v>
      </c>
      <c r="P46" s="7">
        <v>1</v>
      </c>
      <c r="Q46" s="7">
        <v>1</v>
      </c>
      <c r="R46" s="7">
        <v>1</v>
      </c>
      <c r="S46" s="7">
        <v>1</v>
      </c>
      <c r="T46" s="6" t="s">
        <v>61</v>
      </c>
      <c r="U46" s="7" t="s">
        <v>61</v>
      </c>
      <c r="V46" s="7">
        <v>1</v>
      </c>
      <c r="W46" s="7">
        <v>1</v>
      </c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44">
        <f t="shared" si="0"/>
        <v>17</v>
      </c>
      <c r="AK46" s="45">
        <f t="shared" si="1"/>
        <v>0</v>
      </c>
      <c r="AL46" s="46">
        <f t="shared" si="2"/>
        <v>2</v>
      </c>
    </row>
    <row r="47" spans="1:38">
      <c r="A47" s="67">
        <f t="shared" si="3"/>
        <v>44</v>
      </c>
      <c r="B47" s="25"/>
      <c r="C47" s="26"/>
      <c r="D47" s="48" t="s">
        <v>64</v>
      </c>
      <c r="E47" s="16">
        <v>1</v>
      </c>
      <c r="F47" s="6">
        <v>1</v>
      </c>
      <c r="G47" s="6">
        <v>1</v>
      </c>
      <c r="H47" s="6">
        <v>1</v>
      </c>
      <c r="I47" s="6">
        <v>1</v>
      </c>
      <c r="J47" s="6">
        <v>1</v>
      </c>
      <c r="K47" s="6">
        <v>1</v>
      </c>
      <c r="L47" s="6">
        <v>1</v>
      </c>
      <c r="M47" s="6" t="s">
        <v>61</v>
      </c>
      <c r="N47" s="6">
        <v>1</v>
      </c>
      <c r="O47" s="6">
        <v>1</v>
      </c>
      <c r="P47" s="6">
        <v>1</v>
      </c>
      <c r="Q47" s="6">
        <v>1</v>
      </c>
      <c r="R47" s="6">
        <v>1</v>
      </c>
      <c r="S47" s="6">
        <v>1</v>
      </c>
      <c r="T47" s="6">
        <v>1</v>
      </c>
      <c r="U47" s="6">
        <v>1</v>
      </c>
      <c r="V47" s="6">
        <v>1</v>
      </c>
      <c r="W47" s="6">
        <v>1</v>
      </c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35">
        <f t="shared" si="0"/>
        <v>18</v>
      </c>
      <c r="AK47" s="36">
        <f t="shared" si="1"/>
        <v>0</v>
      </c>
      <c r="AL47" s="37">
        <f t="shared" si="2"/>
        <v>1</v>
      </c>
    </row>
    <row r="48" spans="1:38" ht="16.5" thickBot="1">
      <c r="A48" s="66">
        <f t="shared" si="3"/>
        <v>45</v>
      </c>
      <c r="B48" s="28"/>
      <c r="C48" s="29"/>
      <c r="D48" s="49" t="s">
        <v>65</v>
      </c>
      <c r="E48" s="17">
        <v>1</v>
      </c>
      <c r="F48" s="6" t="s">
        <v>61</v>
      </c>
      <c r="G48" s="7">
        <v>1</v>
      </c>
      <c r="H48" s="7">
        <v>1</v>
      </c>
      <c r="I48" s="7">
        <v>1</v>
      </c>
      <c r="J48" s="7">
        <v>1</v>
      </c>
      <c r="K48" s="7">
        <v>1</v>
      </c>
      <c r="L48" s="7">
        <v>1</v>
      </c>
      <c r="M48" s="7">
        <v>1</v>
      </c>
      <c r="N48" s="7">
        <v>1</v>
      </c>
      <c r="O48" s="7">
        <v>1</v>
      </c>
      <c r="P48" s="7">
        <v>1</v>
      </c>
      <c r="Q48" s="7">
        <v>1</v>
      </c>
      <c r="R48" s="7">
        <v>1</v>
      </c>
      <c r="S48" s="7">
        <v>1</v>
      </c>
      <c r="T48" s="7">
        <v>1</v>
      </c>
      <c r="U48" s="7">
        <v>1</v>
      </c>
      <c r="V48" s="7">
        <v>1</v>
      </c>
      <c r="W48" s="7">
        <v>1</v>
      </c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44">
        <f t="shared" si="0"/>
        <v>18</v>
      </c>
      <c r="AK48" s="45">
        <f t="shared" si="1"/>
        <v>0</v>
      </c>
      <c r="AL48" s="46">
        <f t="shared" si="2"/>
        <v>1</v>
      </c>
    </row>
    <row r="49" spans="1:38">
      <c r="B49" s="1"/>
      <c r="C49" s="2"/>
      <c r="D49" s="2"/>
    </row>
    <row r="50" spans="1:38" ht="16.5" thickBot="1">
      <c r="A50" s="7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50" s="77"/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  <c r="Q50" s="77"/>
      <c r="R50" s="77"/>
      <c r="S50" s="77"/>
      <c r="T50" s="77"/>
      <c r="U50" s="77"/>
      <c r="V50" s="77"/>
      <c r="W50" s="77"/>
      <c r="X50" s="77"/>
      <c r="Y50" s="77"/>
      <c r="Z50" s="77"/>
      <c r="AA50" s="77"/>
      <c r="AB50" s="77"/>
      <c r="AC50" s="77"/>
      <c r="AD50" s="77"/>
      <c r="AE50" s="77"/>
      <c r="AF50" s="77"/>
      <c r="AG50" s="77"/>
      <c r="AH50" s="77"/>
      <c r="AI50" s="77"/>
      <c r="AJ50" s="77"/>
      <c r="AK50" s="77"/>
      <c r="AL50" s="77"/>
    </row>
    <row r="51" spans="1:38" s="62" customFormat="1" ht="16.5" thickBot="1">
      <c r="A51" s="55" t="s">
        <v>60</v>
      </c>
      <c r="B51" s="56" t="s">
        <v>48</v>
      </c>
      <c r="C51" s="56" t="s">
        <v>52</v>
      </c>
      <c r="D51" s="57" t="s">
        <v>50</v>
      </c>
      <c r="E51" s="58">
        <v>1</v>
      </c>
      <c r="F51" s="58">
        <v>2</v>
      </c>
      <c r="G51" s="58">
        <v>3</v>
      </c>
      <c r="H51" s="58">
        <v>4</v>
      </c>
      <c r="I51" s="58">
        <v>5</v>
      </c>
      <c r="J51" s="58">
        <v>6</v>
      </c>
      <c r="K51" s="58">
        <v>7</v>
      </c>
      <c r="L51" s="58">
        <v>8</v>
      </c>
      <c r="M51" s="58">
        <v>9</v>
      </c>
      <c r="N51" s="58">
        <v>10</v>
      </c>
      <c r="O51" s="58">
        <v>11</v>
      </c>
      <c r="P51" s="58">
        <v>12</v>
      </c>
      <c r="Q51" s="58">
        <v>13</v>
      </c>
      <c r="R51" s="58">
        <v>14</v>
      </c>
      <c r="S51" s="58">
        <v>15</v>
      </c>
      <c r="T51" s="58">
        <v>16</v>
      </c>
      <c r="U51" s="58">
        <v>17</v>
      </c>
      <c r="V51" s="58">
        <v>18</v>
      </c>
      <c r="W51" s="58">
        <v>19</v>
      </c>
      <c r="X51" s="58">
        <v>20</v>
      </c>
      <c r="Y51" s="58">
        <v>21</v>
      </c>
      <c r="Z51" s="58">
        <v>22</v>
      </c>
      <c r="AA51" s="58">
        <v>23</v>
      </c>
      <c r="AB51" s="58">
        <v>24</v>
      </c>
      <c r="AC51" s="58">
        <v>25</v>
      </c>
      <c r="AD51" s="58">
        <v>26</v>
      </c>
      <c r="AE51" s="58">
        <v>27</v>
      </c>
      <c r="AF51" s="58">
        <v>28</v>
      </c>
      <c r="AG51" s="58">
        <v>29</v>
      </c>
      <c r="AH51" s="58">
        <v>30</v>
      </c>
      <c r="AI51" s="58">
        <v>31</v>
      </c>
      <c r="AJ51" s="59">
        <v>1</v>
      </c>
      <c r="AK51" s="60" t="s">
        <v>62</v>
      </c>
      <c r="AL51" s="61" t="s">
        <v>61</v>
      </c>
    </row>
    <row r="52" spans="1:38">
      <c r="A52" s="21">
        <v>1</v>
      </c>
      <c r="B52" s="22" t="s">
        <v>0</v>
      </c>
      <c r="C52" s="23" t="s">
        <v>51</v>
      </c>
      <c r="D52" s="47">
        <v>7334</v>
      </c>
      <c r="E52" s="15" t="s">
        <v>62</v>
      </c>
      <c r="F52" s="15" t="s">
        <v>62</v>
      </c>
      <c r="G52" s="15" t="s">
        <v>62</v>
      </c>
      <c r="H52" s="15" t="s">
        <v>62</v>
      </c>
      <c r="I52" s="15" t="s">
        <v>62</v>
      </c>
      <c r="J52" s="15" t="s">
        <v>62</v>
      </c>
      <c r="K52" s="15" t="s">
        <v>62</v>
      </c>
      <c r="L52" s="15" t="s">
        <v>62</v>
      </c>
      <c r="M52" s="15" t="s">
        <v>62</v>
      </c>
      <c r="N52" s="15" t="s">
        <v>62</v>
      </c>
      <c r="O52" s="15" t="s">
        <v>62</v>
      </c>
      <c r="P52" s="15" t="s">
        <v>62</v>
      </c>
      <c r="Q52" s="15" t="s">
        <v>62</v>
      </c>
      <c r="R52" s="15" t="s">
        <v>62</v>
      </c>
      <c r="S52" s="15" t="s">
        <v>62</v>
      </c>
      <c r="T52" s="15" t="s">
        <v>62</v>
      </c>
      <c r="U52" s="15" t="s">
        <v>62</v>
      </c>
      <c r="V52" s="15" t="s">
        <v>62</v>
      </c>
      <c r="W52" s="15" t="s">
        <v>62</v>
      </c>
      <c r="X52" s="15" t="s">
        <v>62</v>
      </c>
      <c r="Y52" s="15" t="s">
        <v>62</v>
      </c>
      <c r="Z52" s="15" t="s">
        <v>62</v>
      </c>
      <c r="AA52" s="15" t="s">
        <v>62</v>
      </c>
      <c r="AB52" s="15" t="s">
        <v>62</v>
      </c>
      <c r="AC52" s="15" t="s">
        <v>62</v>
      </c>
      <c r="AD52" s="15" t="s">
        <v>62</v>
      </c>
      <c r="AE52" s="15" t="s">
        <v>62</v>
      </c>
      <c r="AF52" s="15" t="s">
        <v>62</v>
      </c>
      <c r="AG52" s="15" t="s">
        <v>62</v>
      </c>
      <c r="AH52" s="15" t="s">
        <v>62</v>
      </c>
      <c r="AI52" s="15" t="s">
        <v>62</v>
      </c>
      <c r="AJ52" s="41">
        <f>COUNTIF(E52:AI52,1)</f>
        <v>0</v>
      </c>
      <c r="AK52" s="42">
        <f>COUNTIF(E52:AI52,"тр")</f>
        <v>31</v>
      </c>
      <c r="AL52" s="43">
        <f>COUNTIF(E52:AI52,"бв")</f>
        <v>0</v>
      </c>
    </row>
    <row r="53" spans="1:38">
      <c r="A53" s="24">
        <v>2</v>
      </c>
      <c r="B53" s="25" t="s">
        <v>58</v>
      </c>
      <c r="C53" s="31">
        <v>176</v>
      </c>
      <c r="D53" s="48">
        <v>6172</v>
      </c>
      <c r="E53" s="16">
        <v>1</v>
      </c>
      <c r="F53" s="6">
        <v>1</v>
      </c>
      <c r="G53" s="6">
        <v>1</v>
      </c>
      <c r="H53" s="6">
        <v>1</v>
      </c>
      <c r="I53" s="6">
        <v>1</v>
      </c>
      <c r="J53" s="6">
        <v>1</v>
      </c>
      <c r="K53" s="6">
        <v>1</v>
      </c>
      <c r="L53" s="6">
        <v>1</v>
      </c>
      <c r="M53" s="6">
        <v>1</v>
      </c>
      <c r="N53" s="6">
        <v>1</v>
      </c>
      <c r="O53" s="6">
        <v>1</v>
      </c>
      <c r="P53" s="6">
        <v>1</v>
      </c>
      <c r="Q53" s="6">
        <v>1</v>
      </c>
      <c r="R53" s="6">
        <v>1</v>
      </c>
      <c r="S53" s="6">
        <v>1</v>
      </c>
      <c r="T53" s="6">
        <v>1</v>
      </c>
      <c r="U53" s="6">
        <v>1</v>
      </c>
      <c r="V53" s="6">
        <v>1</v>
      </c>
      <c r="W53" s="6">
        <v>1</v>
      </c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35">
        <f>COUNTIF(E53:AI53,1)</f>
        <v>19</v>
      </c>
      <c r="AK53" s="36">
        <f>COUNTIF(E53:AI53,"тр")</f>
        <v>0</v>
      </c>
      <c r="AL53" s="37">
        <f>COUNTIF(E53:AI53,"бв")</f>
        <v>0</v>
      </c>
    </row>
    <row r="54" spans="1:38" ht="16.5" thickBot="1">
      <c r="A54" s="27">
        <v>3</v>
      </c>
      <c r="B54" s="28" t="s">
        <v>58</v>
      </c>
      <c r="C54" s="34">
        <v>177</v>
      </c>
      <c r="D54" s="49">
        <v>6173</v>
      </c>
      <c r="E54" s="17">
        <v>1</v>
      </c>
      <c r="F54" s="7">
        <v>1</v>
      </c>
      <c r="G54" s="7">
        <v>1</v>
      </c>
      <c r="H54" s="7">
        <v>1</v>
      </c>
      <c r="I54" s="7">
        <v>1</v>
      </c>
      <c r="J54" s="7">
        <v>1</v>
      </c>
      <c r="K54" s="7">
        <v>1</v>
      </c>
      <c r="L54" s="7">
        <v>1</v>
      </c>
      <c r="M54" s="7">
        <v>1</v>
      </c>
      <c r="N54" s="7">
        <v>1</v>
      </c>
      <c r="O54" s="7">
        <v>1</v>
      </c>
      <c r="P54" s="7">
        <v>1</v>
      </c>
      <c r="Q54" s="7">
        <v>1</v>
      </c>
      <c r="R54" s="7">
        <v>1</v>
      </c>
      <c r="S54" s="7">
        <v>1</v>
      </c>
      <c r="T54" s="7">
        <v>1</v>
      </c>
      <c r="U54" s="7">
        <v>1</v>
      </c>
      <c r="V54" s="7">
        <v>1</v>
      </c>
      <c r="W54" s="7">
        <v>1</v>
      </c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44">
        <f>COUNTIF(E54:AI54,1)</f>
        <v>19</v>
      </c>
      <c r="AK54" s="45">
        <f>COUNTIF(E54:AI54,"тр")</f>
        <v>0</v>
      </c>
      <c r="AL54" s="46">
        <f>COUNTIF(E54:AI54,"бв")</f>
        <v>0</v>
      </c>
    </row>
    <row r="55" spans="1:38">
      <c r="B55" s="1"/>
      <c r="C55" s="2"/>
      <c r="D55" s="2"/>
    </row>
  </sheetData>
  <autoFilter ref="E2:AL48">
    <filterColumn colId="9"/>
    <filterColumn colId="10"/>
    <filterColumn colId="11"/>
    <filterColumn colId="17"/>
    <filterColumn colId="19"/>
    <filterColumn colId="29"/>
  </autoFilter>
  <mergeCells count="2">
    <mergeCell ref="A1:AL1"/>
    <mergeCell ref="A50:AL50"/>
  </mergeCells>
  <conditionalFormatting sqref="E52:AI54 E4:AI48">
    <cfRule type="containsBlanks" dxfId="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3"/>
  <dimension ref="A2:A4"/>
  <sheetViews>
    <sheetView workbookViewId="0">
      <selection sqref="A1:A4"/>
    </sheetView>
  </sheetViews>
  <sheetFormatPr defaultRowHeight="15"/>
  <sheetData>
    <row r="2" spans="1:1">
      <c r="A2">
        <v>1</v>
      </c>
    </row>
    <row r="3" spans="1:1">
      <c r="A3" t="s">
        <v>62</v>
      </c>
    </row>
    <row r="4" spans="1:1">
      <c r="A4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Октябрь 2018</vt:lpstr>
      <vt:lpstr>Ноябрь 2018</vt:lpstr>
      <vt:lpstr>Декабрь 2018</vt:lpstr>
      <vt:lpstr>Данные</vt:lpstr>
      <vt:lpstr>'Декабрь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7</cp:lastModifiedBy>
  <cp:lastPrinted>2018-12-03T08:54:58Z</cp:lastPrinted>
  <dcterms:created xsi:type="dcterms:W3CDTF">2018-09-27T18:15:43Z</dcterms:created>
  <dcterms:modified xsi:type="dcterms:W3CDTF">2018-12-19T07:38:53Z</dcterms:modified>
</cp:coreProperties>
</file>