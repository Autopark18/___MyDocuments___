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state="hidden" r:id="rId4"/>
  </sheets>
  <definedNames>
    <definedName name="_xlnm._FilterDatabase" localSheetId="2" hidden="1">'Декабрь 2018'!$E$2:$AL$49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5" i="6"/>
  <c r="AK55"/>
  <c r="AJ55"/>
  <c r="AL54"/>
  <c r="AK54"/>
  <c r="AJ54"/>
  <c r="AL53"/>
  <c r="AK53"/>
  <c r="AJ53"/>
  <c r="A51"/>
  <c r="AL49"/>
  <c r="AK49"/>
  <c r="AJ49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<sst xmlns="http://schemas.openxmlformats.org/spreadsheetml/2006/main" count="1897" uniqueCount="66">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</sst>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69" t="s">
        <v>63</v>
      </c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6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8" sqref="J18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9" si="0">COUNTIF(E4:AI4,1)</f>
        <v>0</v>
      </c>
      <c r="AK4" s="36">
        <f t="shared" ref="AK4:AK49" si="1">COUNTIF(E4:AI4,"тр")</f>
        <v>31</v>
      </c>
      <c r="AL4" s="37">
        <f t="shared" ref="AL4:AL49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38">
        <f t="shared" si="0"/>
        <v>1</v>
      </c>
      <c r="AK5" s="39">
        <f t="shared" si="1"/>
        <v>5</v>
      </c>
      <c r="AL5" s="40">
        <f t="shared" si="2"/>
        <v>0</v>
      </c>
    </row>
    <row r="6" spans="1:38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6</v>
      </c>
      <c r="AK7" s="36">
        <f t="shared" si="1"/>
        <v>0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6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5</v>
      </c>
      <c r="AK9" s="36">
        <f t="shared" si="1"/>
        <v>1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3</v>
      </c>
      <c r="AK10" s="36">
        <f t="shared" si="1"/>
        <v>3</v>
      </c>
      <c r="AL10" s="37">
        <f t="shared" si="2"/>
        <v>0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4</v>
      </c>
      <c r="AK11" s="36">
        <f t="shared" si="1"/>
        <v>0</v>
      </c>
      <c r="AL11" s="37">
        <f t="shared" si="2"/>
        <v>2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3</v>
      </c>
      <c r="AK12" s="36">
        <f t="shared" si="1"/>
        <v>3</v>
      </c>
      <c r="AL12" s="37">
        <f t="shared" si="2"/>
        <v>0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6</v>
      </c>
      <c r="AK13" s="36">
        <f t="shared" si="1"/>
        <v>0</v>
      </c>
      <c r="AL13" s="37">
        <f t="shared" si="2"/>
        <v>0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5</v>
      </c>
      <c r="AK14" s="36">
        <f t="shared" si="1"/>
        <v>0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6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5</v>
      </c>
      <c r="AK16" s="36">
        <f t="shared" si="1"/>
        <v>0</v>
      </c>
      <c r="AL16" s="37">
        <f t="shared" si="2"/>
        <v>1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5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0</v>
      </c>
      <c r="AK18" s="36">
        <f t="shared" si="1"/>
        <v>6</v>
      </c>
      <c r="AL18" s="37">
        <f t="shared" si="2"/>
        <v>0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6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6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5</v>
      </c>
      <c r="AK21" s="45">
        <f t="shared" si="1"/>
        <v>0</v>
      </c>
      <c r="AL21" s="46">
        <f t="shared" si="2"/>
        <v>1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6</v>
      </c>
      <c r="AK22" s="42">
        <f t="shared" si="1"/>
        <v>0</v>
      </c>
      <c r="AL22" s="43">
        <f t="shared" si="2"/>
        <v>0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6</v>
      </c>
      <c r="AK25" s="36">
        <f t="shared" si="1"/>
        <v>0</v>
      </c>
      <c r="AL25" s="37">
        <f t="shared" si="2"/>
        <v>0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4</v>
      </c>
      <c r="AK26" s="36">
        <f t="shared" si="1"/>
        <v>0</v>
      </c>
      <c r="AL26" s="37">
        <f t="shared" si="2"/>
        <v>2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5</v>
      </c>
      <c r="AK27" s="36">
        <f t="shared" si="1"/>
        <v>0</v>
      </c>
      <c r="AL27" s="37">
        <f t="shared" si="2"/>
        <v>1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6</v>
      </c>
      <c r="AK28" s="45">
        <f t="shared" si="1"/>
        <v>0</v>
      </c>
      <c r="AL28" s="46">
        <f t="shared" si="2"/>
        <v>0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6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si="0"/>
        <v>0</v>
      </c>
      <c r="AK34" s="42">
        <f t="shared" si="1"/>
        <v>31</v>
      </c>
      <c r="AL34" s="43">
        <f t="shared" si="2"/>
        <v>0</v>
      </c>
    </row>
    <row r="35" spans="1:38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0"/>
        <v>0</v>
      </c>
      <c r="AK35" s="45">
        <f t="shared" si="1"/>
        <v>31</v>
      </c>
      <c r="AL35" s="46">
        <f t="shared" si="2"/>
        <v>0</v>
      </c>
    </row>
    <row r="36" spans="1:38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 t="s">
        <v>61</v>
      </c>
      <c r="G36" s="6">
        <v>1</v>
      </c>
      <c r="H36" s="6">
        <v>1</v>
      </c>
      <c r="I36" s="6">
        <v>1</v>
      </c>
      <c r="J36" s="6">
        <v>1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41">
        <f t="shared" si="0"/>
        <v>5</v>
      </c>
      <c r="AK36" s="42">
        <f t="shared" si="1"/>
        <v>0</v>
      </c>
      <c r="AL36" s="43">
        <f t="shared" si="2"/>
        <v>1</v>
      </c>
    </row>
    <row r="37" spans="1:38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16" t="s">
        <v>62</v>
      </c>
      <c r="G37" s="16" t="s">
        <v>62</v>
      </c>
      <c r="H37" s="6">
        <v>1</v>
      </c>
      <c r="I37" s="6">
        <v>1</v>
      </c>
      <c r="J37" s="6">
        <v>1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35">
        <f t="shared" si="0"/>
        <v>3</v>
      </c>
      <c r="AK37" s="36">
        <f t="shared" si="1"/>
        <v>3</v>
      </c>
      <c r="AL37" s="37">
        <f t="shared" si="2"/>
        <v>0</v>
      </c>
    </row>
    <row r="38" spans="1:38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17" t="s">
        <v>62</v>
      </c>
      <c r="G38" s="17" t="s">
        <v>62</v>
      </c>
      <c r="H38" s="7" t="s">
        <v>62</v>
      </c>
      <c r="I38" s="7" t="s">
        <v>62</v>
      </c>
      <c r="J38" s="7" t="s">
        <v>62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44">
        <f t="shared" si="0"/>
        <v>0</v>
      </c>
      <c r="AK38" s="45">
        <f t="shared" si="1"/>
        <v>6</v>
      </c>
      <c r="AL38" s="46">
        <f t="shared" si="2"/>
        <v>0</v>
      </c>
    </row>
    <row r="39" spans="1:38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 t="s">
        <v>62</v>
      </c>
      <c r="F39" s="16" t="s">
        <v>62</v>
      </c>
      <c r="G39" s="16" t="s">
        <v>62</v>
      </c>
      <c r="H39" s="6" t="s">
        <v>62</v>
      </c>
      <c r="I39" s="6" t="s">
        <v>62</v>
      </c>
      <c r="J39" s="6">
        <v>1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41">
        <f t="shared" si="0"/>
        <v>1</v>
      </c>
      <c r="AK39" s="42">
        <f t="shared" si="1"/>
        <v>5</v>
      </c>
      <c r="AL39" s="43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6</v>
      </c>
      <c r="AK40" s="36">
        <f t="shared" si="1"/>
        <v>0</v>
      </c>
      <c r="AL40" s="37">
        <f t="shared" si="2"/>
        <v>0</v>
      </c>
    </row>
    <row r="41" spans="1:38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6</v>
      </c>
      <c r="AK41" s="36">
        <f t="shared" si="1"/>
        <v>0</v>
      </c>
      <c r="AL41" s="37">
        <f t="shared" si="2"/>
        <v>0</v>
      </c>
    </row>
    <row r="42" spans="1:38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6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6</v>
      </c>
      <c r="AK43" s="36">
        <f t="shared" si="1"/>
        <v>0</v>
      </c>
      <c r="AL43" s="37">
        <f t="shared" si="2"/>
        <v>0</v>
      </c>
    </row>
    <row r="44" spans="1:38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35">
        <f t="shared" si="0"/>
        <v>6</v>
      </c>
      <c r="AK44" s="36">
        <f t="shared" si="1"/>
        <v>0</v>
      </c>
      <c r="AL44" s="37">
        <f t="shared" si="2"/>
        <v>0</v>
      </c>
    </row>
    <row r="45" spans="1:38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44">
        <f t="shared" si="0"/>
        <v>6</v>
      </c>
      <c r="AK45" s="45">
        <f t="shared" si="1"/>
        <v>0</v>
      </c>
      <c r="AL45" s="46">
        <f t="shared" si="2"/>
        <v>0</v>
      </c>
    </row>
    <row r="46" spans="1:38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62</v>
      </c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41">
        <f t="shared" si="0"/>
        <v>5</v>
      </c>
      <c r="AK46" s="42">
        <f t="shared" si="1"/>
        <v>1</v>
      </c>
      <c r="AL46" s="43">
        <f t="shared" si="2"/>
        <v>0</v>
      </c>
    </row>
    <row r="47" spans="1:38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44">
        <f t="shared" si="0"/>
        <v>6</v>
      </c>
      <c r="AK47" s="45">
        <f t="shared" si="1"/>
        <v>0</v>
      </c>
      <c r="AL47" s="46">
        <f t="shared" si="2"/>
        <v>0</v>
      </c>
    </row>
    <row r="48" spans="1:38">
      <c r="A48" s="67">
        <f t="shared" si="3"/>
        <v>45</v>
      </c>
      <c r="B48" s="25"/>
      <c r="C48" s="26"/>
      <c r="D48" s="48" t="s">
        <v>64</v>
      </c>
      <c r="E48" s="16">
        <v>1</v>
      </c>
      <c r="F48" s="6">
        <v>1</v>
      </c>
      <c r="G48" s="6">
        <v>1</v>
      </c>
      <c r="H48" s="6">
        <v>1</v>
      </c>
      <c r="I48" s="6">
        <v>1</v>
      </c>
      <c r="J48" s="6">
        <v>1</v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35">
        <f t="shared" si="0"/>
        <v>6</v>
      </c>
      <c r="AK48" s="36">
        <f t="shared" si="1"/>
        <v>0</v>
      </c>
      <c r="AL48" s="37">
        <f t="shared" si="2"/>
        <v>0</v>
      </c>
    </row>
    <row r="49" spans="1:38" ht="16.5" thickBot="1">
      <c r="A49" s="66">
        <f t="shared" si="3"/>
        <v>46</v>
      </c>
      <c r="B49" s="28"/>
      <c r="C49" s="29"/>
      <c r="D49" s="49" t="s">
        <v>65</v>
      </c>
      <c r="E49" s="17">
        <v>1</v>
      </c>
      <c r="F49" s="6" t="s">
        <v>61</v>
      </c>
      <c r="G49" s="7">
        <v>1</v>
      </c>
      <c r="H49" s="7">
        <v>1</v>
      </c>
      <c r="I49" s="7">
        <v>1</v>
      </c>
      <c r="J49" s="7">
        <v>1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44">
        <f t="shared" si="0"/>
        <v>5</v>
      </c>
      <c r="AK49" s="45">
        <f t="shared" si="1"/>
        <v>0</v>
      </c>
      <c r="AL49" s="46">
        <f t="shared" si="2"/>
        <v>1</v>
      </c>
    </row>
    <row r="50" spans="1:38">
      <c r="B50" s="1"/>
      <c r="C50" s="2"/>
      <c r="D50" s="2"/>
    </row>
    <row r="51" spans="1:38" ht="16.5" thickBot="1">
      <c r="A51" s="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</row>
    <row r="52" spans="1:38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8">
        <v>31</v>
      </c>
      <c r="AJ52" s="59">
        <v>1</v>
      </c>
      <c r="AK52" s="60" t="s">
        <v>62</v>
      </c>
      <c r="AL52" s="61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>COUNTIF(E53:AI53,1)</f>
        <v>0</v>
      </c>
      <c r="AK53" s="42">
        <f>COUNTIF(E53:AI53,"тр")</f>
        <v>31</v>
      </c>
      <c r="AL53" s="43">
        <f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35">
        <f>COUNTIF(E54:AI54,1)</f>
        <v>6</v>
      </c>
      <c r="AK54" s="36">
        <f>COUNTIF(E54:AI54,"тр")</f>
        <v>0</v>
      </c>
      <c r="AL54" s="37">
        <f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44">
        <f>COUNTIF(E55:AI55,1)</f>
        <v>6</v>
      </c>
      <c r="AK55" s="45">
        <f>COUNTIF(E55:AI55,"тр")</f>
        <v>0</v>
      </c>
      <c r="AL55" s="46">
        <f>COUNTIF(E55:AI55,"бв")</f>
        <v>0</v>
      </c>
    </row>
    <row r="56" spans="1:38">
      <c r="B56" s="1"/>
      <c r="C56" s="2"/>
      <c r="D56" s="2"/>
    </row>
  </sheetData>
  <autoFilter ref="E2:AL49">
    <filterColumn colId="9"/>
    <filterColumn colId="10"/>
    <filterColumn colId="11"/>
    <filterColumn colId="19"/>
    <filterColumn colId="29"/>
  </autoFilter>
  <mergeCells count="2">
    <mergeCell ref="A1:AL1"/>
    <mergeCell ref="A51:AL51"/>
  </mergeCells>
  <conditionalFormatting sqref="E53:AI55 E4:AI49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2018-12-06T08:00:42Z</dcterms:modified>
</cp:coreProperties>
</file>