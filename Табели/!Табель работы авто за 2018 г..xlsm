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r:id="rId4"/>
  </sheets>
  <functionGroups/>
  <definedNames>
    <definedName name="_xlnm._FilterDatabase" localSheetId="2" hidden="1">'Декабрь 2018'!$E$2:$AL$48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ULCorner" localSheetId="2">'Декабрь 2018'!$E$4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4" i="6"/>
  <c r="AK54"/>
  <c r="AJ54"/>
  <c r="AL53"/>
  <c r="AK53"/>
  <c r="AJ53"/>
  <c r="AL52"/>
  <c r="AK52"/>
  <c r="AJ52"/>
  <c r="A50"/>
  <c r="AL48"/>
  <c r="AK48"/>
  <c r="AJ48"/>
  <c r="AL47"/>
  <c r="AK47"/>
  <c r="AJ47"/>
  <c r="AL46"/>
  <c r="AK46"/>
  <c r="AJ46"/>
  <c r="AL45"/>
  <c r="AK45"/>
  <c r="AJ45"/>
  <c r="AL44"/>
  <c r="AK44"/>
  <c r="AJ44"/>
  <c r="AL43"/>
  <c r="AK43"/>
  <c r="AJ43"/>
  <c r="AL42"/>
  <c r="AK42"/>
  <c r="AJ42"/>
  <c r="AL41"/>
  <c r="AK41"/>
  <c r="AJ41"/>
  <c r="AL40"/>
  <c r="AK40"/>
  <c r="AJ40"/>
  <c r="AL39"/>
  <c r="AK39"/>
  <c r="AJ39"/>
  <c r="AL38"/>
  <c r="AK38"/>
  <c r="AJ38"/>
  <c r="AL37"/>
  <c r="AK37"/>
  <c r="AJ37"/>
  <c r="AL36"/>
  <c r="AK36"/>
  <c r="AJ36"/>
  <c r="AL35"/>
  <c r="AK35"/>
  <c r="AJ35"/>
  <c r="AL34"/>
  <c r="AK34"/>
  <c r="AJ34"/>
  <c r="AL33"/>
  <c r="AK33"/>
  <c r="AJ33"/>
  <c r="AL32"/>
  <c r="AK32"/>
  <c r="AJ32"/>
  <c r="AL31"/>
  <c r="AK31"/>
  <c r="AJ31"/>
  <c r="AL30"/>
  <c r="AK30"/>
  <c r="AJ30"/>
  <c r="AL29"/>
  <c r="AK29"/>
  <c r="AJ29"/>
  <c r="AL28"/>
  <c r="AK28"/>
  <c r="AJ28"/>
  <c r="AL27"/>
  <c r="AK27"/>
  <c r="AJ27"/>
  <c r="AL26"/>
  <c r="AK26"/>
  <c r="AJ26"/>
  <c r="AL25"/>
  <c r="AK25"/>
  <c r="AJ25"/>
  <c r="AL24"/>
  <c r="AK24"/>
  <c r="AJ24"/>
  <c r="AL23"/>
  <c r="AK23"/>
  <c r="AJ23"/>
  <c r="AL22"/>
  <c r="AK22"/>
  <c r="AJ22"/>
  <c r="AL21"/>
  <c r="AK21"/>
  <c r="AJ21"/>
  <c r="AL20"/>
  <c r="AK20"/>
  <c r="AJ20"/>
  <c r="AL19"/>
  <c r="AK19"/>
  <c r="AJ19"/>
  <c r="AL18"/>
  <c r="AK18"/>
  <c r="AJ18"/>
  <c r="AL17"/>
  <c r="AK17"/>
  <c r="AJ17"/>
  <c r="AL16"/>
  <c r="AK16"/>
  <c r="AJ16"/>
  <c r="AL15"/>
  <c r="AK15"/>
  <c r="AJ15"/>
  <c r="AL14"/>
  <c r="AK14"/>
  <c r="AJ14"/>
  <c r="AL13"/>
  <c r="AK13"/>
  <c r="AJ13"/>
  <c r="AL12"/>
  <c r="AK12"/>
  <c r="AJ12"/>
  <c r="AL11"/>
  <c r="AK11"/>
  <c r="AJ11"/>
  <c r="AL10"/>
  <c r="AK10"/>
  <c r="AJ10"/>
  <c r="AL9"/>
  <c r="AK9"/>
  <c r="AJ9"/>
  <c r="AL8"/>
  <c r="AK8"/>
  <c r="AJ8"/>
  <c r="AL7"/>
  <c r="AK7"/>
  <c r="AJ7"/>
  <c r="AL6"/>
  <c r="AK6"/>
  <c r="AJ6"/>
  <c r="AL5"/>
  <c r="AK5"/>
  <c r="AJ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L4"/>
  <c r="AK4"/>
  <c r="AJ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<sst xmlns="http://schemas.openxmlformats.org/spreadsheetml/2006/main" count="1965" uniqueCount="66">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</sst>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5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left"/>
    </xf>
    <xf numFmtId="49" fontId="1" fillId="3" borderId="11" xfId="0" applyNumberFormat="1" applyFont="1" applyFill="1" applyBorder="1" applyAlignment="1">
      <alignment horizontal="center"/>
    </xf>
    <xf numFmtId="49" fontId="1" fillId="3" borderId="12" xfId="0" applyNumberFormat="1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164" fontId="2" fillId="3" borderId="10" xfId="0" applyNumberFormat="1" applyFont="1" applyFill="1" applyBorder="1" applyAlignment="1">
      <alignment horizontal="center" vertical="center"/>
    </xf>
    <xf numFmtId="164" fontId="2" fillId="3" borderId="11" xfId="0" applyNumberFormat="1" applyFont="1" applyFill="1" applyBorder="1" applyAlignment="1">
      <alignment horizontal="center" vertical="center"/>
    </xf>
    <xf numFmtId="164" fontId="2" fillId="3" borderId="1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78" t="s">
        <v>63</v>
      </c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3" priority="2">
      <formula>LEN(TRIM(E4))=0</formula>
    </cfRule>
  </conditionalFormatting>
  <conditionalFormatting sqref="E52:AI54">
    <cfRule type="containsBlanks" dxfId="2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6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1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5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V35" sqref="V35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8">
        <v>31</v>
      </c>
      <c r="AJ3" s="59">
        <v>1</v>
      </c>
      <c r="AK3" s="60" t="s">
        <v>62</v>
      </c>
      <c r="AL3" s="61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6" t="s">
        <v>62</v>
      </c>
      <c r="AJ4" s="35">
        <f t="shared" ref="AJ4:AJ48" si="0">COUNTIF(E4:AI4,1)</f>
        <v>0</v>
      </c>
      <c r="AK4" s="36">
        <f t="shared" ref="AK4:AK48" si="1">COUNTIF(E4:AI4,"тр")</f>
        <v>31</v>
      </c>
      <c r="AL4" s="37">
        <f t="shared" ref="AL4:AL48" si="2">COUNTIF(E4:AI4,"бв")</f>
        <v>0</v>
      </c>
    </row>
    <row r="5" spans="1:38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65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>
        <v>1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38">
        <f t="shared" si="0"/>
        <v>1</v>
      </c>
      <c r="AK5" s="39">
        <f t="shared" si="1"/>
        <v>17</v>
      </c>
      <c r="AL5" s="40">
        <f t="shared" si="2"/>
        <v>0</v>
      </c>
    </row>
    <row r="6" spans="1:38">
      <c r="A6" s="21">
        <f t="shared" ref="A6:A48" si="3">A5+1</f>
        <v>3</v>
      </c>
      <c r="B6" s="25" t="s">
        <v>57</v>
      </c>
      <c r="C6" s="26" t="s">
        <v>3</v>
      </c>
      <c r="D6" s="48">
        <v>6981</v>
      </c>
      <c r="E6" s="15" t="s">
        <v>62</v>
      </c>
      <c r="F6" s="64" t="s">
        <v>62</v>
      </c>
      <c r="G6" s="64" t="s">
        <v>62</v>
      </c>
      <c r="H6" s="64" t="s">
        <v>62</v>
      </c>
      <c r="I6" s="64" t="s">
        <v>62</v>
      </c>
      <c r="J6" s="64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>
        <v>1</v>
      </c>
      <c r="H7" s="6">
        <v>1</v>
      </c>
      <c r="I7" s="6">
        <v>1</v>
      </c>
      <c r="J7" s="6">
        <v>1</v>
      </c>
      <c r="K7" s="6">
        <v>1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 t="s">
        <v>62</v>
      </c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35">
        <f t="shared" si="0"/>
        <v>17</v>
      </c>
      <c r="AK7" s="36">
        <f t="shared" si="1"/>
        <v>1</v>
      </c>
      <c r="AL7" s="37">
        <f t="shared" si="2"/>
        <v>0</v>
      </c>
    </row>
    <row r="8" spans="1:38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16" t="s">
        <v>62</v>
      </c>
      <c r="G8" s="1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35">
        <f t="shared" si="0"/>
        <v>0</v>
      </c>
      <c r="AK8" s="36">
        <f t="shared" si="1"/>
        <v>18</v>
      </c>
      <c r="AL8" s="37">
        <f t="shared" si="2"/>
        <v>0</v>
      </c>
    </row>
    <row r="9" spans="1:38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 t="s">
        <v>62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>
        <v>1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35">
        <f t="shared" si="0"/>
        <v>17</v>
      </c>
      <c r="AK9" s="36">
        <f t="shared" si="1"/>
        <v>1</v>
      </c>
      <c r="AL9" s="37">
        <f t="shared" si="2"/>
        <v>0</v>
      </c>
    </row>
    <row r="10" spans="1:38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 t="s">
        <v>62</v>
      </c>
      <c r="H10" s="6">
        <v>1</v>
      </c>
      <c r="I10" s="6" t="s">
        <v>62</v>
      </c>
      <c r="J10" s="6" t="s">
        <v>62</v>
      </c>
      <c r="K10" s="6" t="s">
        <v>62</v>
      </c>
      <c r="L10" s="6" t="s">
        <v>62</v>
      </c>
      <c r="M10" s="6" t="s">
        <v>62</v>
      </c>
      <c r="N10" s="6" t="s">
        <v>62</v>
      </c>
      <c r="O10" s="6" t="s">
        <v>62</v>
      </c>
      <c r="P10" s="6">
        <v>1</v>
      </c>
      <c r="Q10" s="6">
        <v>1</v>
      </c>
      <c r="R10" s="6">
        <v>1</v>
      </c>
      <c r="S10" s="6">
        <v>1</v>
      </c>
      <c r="T10" s="6" t="s">
        <v>61</v>
      </c>
      <c r="U10" s="6">
        <v>1</v>
      </c>
      <c r="V10" s="6" t="s">
        <v>62</v>
      </c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35">
        <f t="shared" si="0"/>
        <v>8</v>
      </c>
      <c r="AK10" s="36">
        <f t="shared" si="1"/>
        <v>9</v>
      </c>
      <c r="AL10" s="37">
        <f t="shared" si="2"/>
        <v>1</v>
      </c>
    </row>
    <row r="11" spans="1:38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 t="s">
        <v>61</v>
      </c>
      <c r="F11" s="16" t="s">
        <v>61</v>
      </c>
      <c r="G11" s="6">
        <v>1</v>
      </c>
      <c r="H11" s="6">
        <v>1</v>
      </c>
      <c r="I11" s="6">
        <v>1</v>
      </c>
      <c r="J11" s="6">
        <v>1</v>
      </c>
      <c r="K11" s="6">
        <v>1</v>
      </c>
      <c r="L11" s="6" t="s">
        <v>61</v>
      </c>
      <c r="M11" s="6" t="s">
        <v>61</v>
      </c>
      <c r="N11" s="6">
        <v>1</v>
      </c>
      <c r="O11" s="6">
        <v>1</v>
      </c>
      <c r="P11" s="6">
        <v>1</v>
      </c>
      <c r="Q11" s="6">
        <v>1</v>
      </c>
      <c r="R11" s="6">
        <v>1</v>
      </c>
      <c r="S11" s="6" t="s">
        <v>61</v>
      </c>
      <c r="T11" s="6" t="s">
        <v>61</v>
      </c>
      <c r="U11" s="6">
        <v>1</v>
      </c>
      <c r="V11" s="6">
        <v>1</v>
      </c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35">
        <f t="shared" si="0"/>
        <v>12</v>
      </c>
      <c r="AK11" s="36">
        <f t="shared" si="1"/>
        <v>0</v>
      </c>
      <c r="AL11" s="37">
        <f t="shared" si="2"/>
        <v>6</v>
      </c>
    </row>
    <row r="12" spans="1:38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 t="s">
        <v>62</v>
      </c>
      <c r="I12" s="6" t="s">
        <v>62</v>
      </c>
      <c r="J12" s="6" t="s">
        <v>62</v>
      </c>
      <c r="K12" s="6">
        <v>1</v>
      </c>
      <c r="L12" s="6" t="s">
        <v>61</v>
      </c>
      <c r="M12" s="6" t="s">
        <v>61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 t="s">
        <v>61</v>
      </c>
      <c r="T12" s="6">
        <v>1</v>
      </c>
      <c r="U12" s="6">
        <v>1</v>
      </c>
      <c r="V12" s="6">
        <v>1</v>
      </c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35">
        <f t="shared" si="0"/>
        <v>12</v>
      </c>
      <c r="AK12" s="36">
        <f t="shared" si="1"/>
        <v>3</v>
      </c>
      <c r="AL12" s="37">
        <f t="shared" si="2"/>
        <v>3</v>
      </c>
    </row>
    <row r="13" spans="1:38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>
        <v>1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 t="s">
        <v>61</v>
      </c>
      <c r="T13" s="6">
        <v>1</v>
      </c>
      <c r="U13" s="6">
        <v>1</v>
      </c>
      <c r="V13" s="6">
        <v>1</v>
      </c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35">
        <f t="shared" si="0"/>
        <v>17</v>
      </c>
      <c r="AK13" s="36">
        <f t="shared" si="1"/>
        <v>0</v>
      </c>
      <c r="AL13" s="37">
        <f t="shared" si="2"/>
        <v>1</v>
      </c>
    </row>
    <row r="14" spans="1:38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 t="s">
        <v>61</v>
      </c>
      <c r="F14" s="1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 t="s">
        <v>62</v>
      </c>
      <c r="V14" s="6" t="s">
        <v>62</v>
      </c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35">
        <f t="shared" si="0"/>
        <v>14</v>
      </c>
      <c r="AK14" s="36">
        <f t="shared" si="1"/>
        <v>3</v>
      </c>
      <c r="AL14" s="37">
        <f t="shared" si="2"/>
        <v>1</v>
      </c>
    </row>
    <row r="15" spans="1:38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35">
        <f t="shared" si="0"/>
        <v>18</v>
      </c>
      <c r="AK15" s="36">
        <f t="shared" si="1"/>
        <v>0</v>
      </c>
      <c r="AL15" s="37">
        <f t="shared" si="2"/>
        <v>0</v>
      </c>
    </row>
    <row r="16" spans="1:38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 t="s">
        <v>61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 t="s">
        <v>61</v>
      </c>
      <c r="U16" s="6">
        <v>1</v>
      </c>
      <c r="V16" s="6">
        <v>1</v>
      </c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35">
        <f t="shared" si="0"/>
        <v>16</v>
      </c>
      <c r="AK16" s="36">
        <f t="shared" si="1"/>
        <v>0</v>
      </c>
      <c r="AL16" s="37">
        <f t="shared" si="2"/>
        <v>2</v>
      </c>
    </row>
    <row r="17" spans="1:38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35">
        <f t="shared" si="0"/>
        <v>17</v>
      </c>
      <c r="AK17" s="36">
        <f t="shared" si="1"/>
        <v>0</v>
      </c>
      <c r="AL17" s="37">
        <f t="shared" si="2"/>
        <v>1</v>
      </c>
    </row>
    <row r="18" spans="1:38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 t="s">
        <v>62</v>
      </c>
      <c r="F18" s="16" t="s">
        <v>62</v>
      </c>
      <c r="G18" s="16" t="s">
        <v>62</v>
      </c>
      <c r="H18" s="6" t="s">
        <v>62</v>
      </c>
      <c r="I18" s="6" t="s">
        <v>62</v>
      </c>
      <c r="J18" s="6" t="s">
        <v>62</v>
      </c>
      <c r="K18" s="6" t="s">
        <v>62</v>
      </c>
      <c r="L18" s="6" t="s">
        <v>61</v>
      </c>
      <c r="M18" s="6" t="s">
        <v>61</v>
      </c>
      <c r="N18" s="6">
        <v>1</v>
      </c>
      <c r="O18" s="6">
        <v>1</v>
      </c>
      <c r="P18" s="6">
        <v>1</v>
      </c>
      <c r="Q18" s="6">
        <v>1</v>
      </c>
      <c r="R18" s="6">
        <v>1</v>
      </c>
      <c r="S18" s="6">
        <v>1</v>
      </c>
      <c r="T18" s="6" t="s">
        <v>61</v>
      </c>
      <c r="U18" s="6">
        <v>1</v>
      </c>
      <c r="V18" s="6">
        <v>1</v>
      </c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35">
        <f t="shared" si="0"/>
        <v>8</v>
      </c>
      <c r="AK18" s="36">
        <f t="shared" si="1"/>
        <v>7</v>
      </c>
      <c r="AL18" s="37">
        <f t="shared" si="2"/>
        <v>3</v>
      </c>
    </row>
    <row r="19" spans="1:38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35">
        <f t="shared" si="0"/>
        <v>18</v>
      </c>
      <c r="AK19" s="36">
        <f t="shared" si="1"/>
        <v>0</v>
      </c>
      <c r="AL19" s="37">
        <f t="shared" si="2"/>
        <v>0</v>
      </c>
    </row>
    <row r="20" spans="1:38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35">
        <f t="shared" si="0"/>
        <v>18</v>
      </c>
      <c r="AK20" s="36">
        <f t="shared" si="1"/>
        <v>0</v>
      </c>
      <c r="AL20" s="37">
        <f t="shared" si="2"/>
        <v>0</v>
      </c>
    </row>
    <row r="21" spans="1:38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 t="s">
        <v>61</v>
      </c>
      <c r="F21" s="17">
        <v>1</v>
      </c>
      <c r="G21" s="7">
        <v>1</v>
      </c>
      <c r="H21" s="7">
        <v>1</v>
      </c>
      <c r="I21" s="7">
        <v>1</v>
      </c>
      <c r="J21" s="7">
        <v>1</v>
      </c>
      <c r="K21" s="7">
        <v>1</v>
      </c>
      <c r="L21" s="7" t="s">
        <v>61</v>
      </c>
      <c r="M21" s="7">
        <v>1</v>
      </c>
      <c r="N21" s="7">
        <v>1</v>
      </c>
      <c r="O21" s="7">
        <v>1</v>
      </c>
      <c r="P21" s="7">
        <v>1</v>
      </c>
      <c r="Q21" s="7">
        <v>1</v>
      </c>
      <c r="R21" s="7">
        <v>1</v>
      </c>
      <c r="S21" s="6" t="s">
        <v>61</v>
      </c>
      <c r="T21" s="7">
        <v>1</v>
      </c>
      <c r="U21" s="7">
        <v>1</v>
      </c>
      <c r="V21" s="7">
        <v>1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44">
        <f t="shared" si="0"/>
        <v>15</v>
      </c>
      <c r="AK21" s="45">
        <f t="shared" si="1"/>
        <v>0</v>
      </c>
      <c r="AL21" s="46">
        <f t="shared" si="2"/>
        <v>3</v>
      </c>
    </row>
    <row r="22" spans="1:38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>
        <v>1</v>
      </c>
      <c r="F22" s="6">
        <v>1</v>
      </c>
      <c r="G22" s="6">
        <v>1</v>
      </c>
      <c r="H22" s="6">
        <v>1</v>
      </c>
      <c r="I22" s="6">
        <v>1</v>
      </c>
      <c r="J22" s="6">
        <v>1</v>
      </c>
      <c r="K22" s="6">
        <v>1</v>
      </c>
      <c r="L22" s="6" t="s">
        <v>61</v>
      </c>
      <c r="M22" s="6" t="s">
        <v>61</v>
      </c>
      <c r="N22" s="6">
        <v>1</v>
      </c>
      <c r="O22" s="6">
        <v>1</v>
      </c>
      <c r="P22" s="6" t="s">
        <v>62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41">
        <f t="shared" si="0"/>
        <v>15</v>
      </c>
      <c r="AK22" s="42">
        <f t="shared" si="1"/>
        <v>1</v>
      </c>
      <c r="AL22" s="43">
        <f t="shared" si="2"/>
        <v>2</v>
      </c>
    </row>
    <row r="23" spans="1:38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6" t="s">
        <v>62</v>
      </c>
      <c r="AJ23" s="35">
        <f t="shared" si="0"/>
        <v>0</v>
      </c>
      <c r="AK23" s="36">
        <f t="shared" si="1"/>
        <v>31</v>
      </c>
      <c r="AL23" s="37">
        <f t="shared" si="2"/>
        <v>0</v>
      </c>
    </row>
    <row r="24" spans="1:38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 t="s">
        <v>62</v>
      </c>
      <c r="F24" s="6" t="s">
        <v>62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6" t="s">
        <v>62</v>
      </c>
      <c r="AJ24" s="35">
        <f t="shared" si="0"/>
        <v>0</v>
      </c>
      <c r="AK24" s="36">
        <f t="shared" si="1"/>
        <v>31</v>
      </c>
      <c r="AL24" s="37">
        <f t="shared" si="2"/>
        <v>0</v>
      </c>
    </row>
    <row r="25" spans="1:38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>
        <v>1</v>
      </c>
      <c r="N25" s="6">
        <v>1</v>
      </c>
      <c r="O25" s="6">
        <v>1</v>
      </c>
      <c r="P25" s="6">
        <v>1</v>
      </c>
      <c r="Q25" s="6" t="s">
        <v>61</v>
      </c>
      <c r="R25" s="6" t="s">
        <v>61</v>
      </c>
      <c r="S25" s="6">
        <v>1</v>
      </c>
      <c r="T25" s="6">
        <v>1</v>
      </c>
      <c r="U25" s="6">
        <v>1</v>
      </c>
      <c r="V25" s="6">
        <v>1</v>
      </c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35">
        <f t="shared" si="0"/>
        <v>16</v>
      </c>
      <c r="AK25" s="36">
        <f t="shared" si="1"/>
        <v>0</v>
      </c>
      <c r="AL25" s="37">
        <f t="shared" si="2"/>
        <v>2</v>
      </c>
    </row>
    <row r="26" spans="1:38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16" t="s">
        <v>61</v>
      </c>
      <c r="G26" s="6">
        <v>1</v>
      </c>
      <c r="H26" s="6">
        <v>1</v>
      </c>
      <c r="I26" s="6">
        <v>1</v>
      </c>
      <c r="J26" s="6">
        <v>1</v>
      </c>
      <c r="K26" s="6">
        <v>1</v>
      </c>
      <c r="L26" s="6" t="s">
        <v>61</v>
      </c>
      <c r="M26" s="6" t="s">
        <v>61</v>
      </c>
      <c r="N26" s="6" t="s">
        <v>62</v>
      </c>
      <c r="O26" s="6" t="s">
        <v>62</v>
      </c>
      <c r="P26" s="6" t="s">
        <v>62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35">
        <f t="shared" si="0"/>
        <v>7</v>
      </c>
      <c r="AK26" s="36">
        <f t="shared" si="1"/>
        <v>3</v>
      </c>
      <c r="AL26" s="37">
        <f t="shared" si="2"/>
        <v>8</v>
      </c>
    </row>
    <row r="27" spans="1:38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 t="s">
        <v>61</v>
      </c>
      <c r="G27" s="6">
        <v>1</v>
      </c>
      <c r="H27" s="6">
        <v>1</v>
      </c>
      <c r="I27" s="6">
        <v>1</v>
      </c>
      <c r="J27" s="6">
        <v>1</v>
      </c>
      <c r="K27" s="6" t="s">
        <v>62</v>
      </c>
      <c r="L27" s="6">
        <v>1</v>
      </c>
      <c r="M27" s="6">
        <v>1</v>
      </c>
      <c r="N27" s="6" t="s">
        <v>62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 t="s">
        <v>61</v>
      </c>
      <c r="U27" s="6">
        <v>1</v>
      </c>
      <c r="V27" s="6">
        <v>1</v>
      </c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35">
        <f t="shared" si="0"/>
        <v>14</v>
      </c>
      <c r="AK27" s="36">
        <f t="shared" si="1"/>
        <v>2</v>
      </c>
      <c r="AL27" s="37">
        <f t="shared" si="2"/>
        <v>2</v>
      </c>
    </row>
    <row r="28" spans="1:38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 t="s">
        <v>61</v>
      </c>
      <c r="R28" s="7" t="s">
        <v>61</v>
      </c>
      <c r="S28" s="7">
        <v>1</v>
      </c>
      <c r="T28" s="7">
        <v>1</v>
      </c>
      <c r="U28" s="7">
        <v>1</v>
      </c>
      <c r="V28" s="7">
        <v>1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44">
        <f t="shared" si="0"/>
        <v>16</v>
      </c>
      <c r="AK28" s="45">
        <f t="shared" si="1"/>
        <v>0</v>
      </c>
      <c r="AL28" s="46">
        <f t="shared" si="2"/>
        <v>2</v>
      </c>
    </row>
    <row r="29" spans="1:38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>
        <v>1</v>
      </c>
      <c r="M29" s="6">
        <v>1</v>
      </c>
      <c r="N29" s="6">
        <v>1</v>
      </c>
      <c r="O29" s="6">
        <v>1</v>
      </c>
      <c r="P29" s="6">
        <v>1</v>
      </c>
      <c r="Q29" s="6">
        <v>1</v>
      </c>
      <c r="R29" s="6">
        <v>1</v>
      </c>
      <c r="S29" s="6">
        <v>1</v>
      </c>
      <c r="T29" s="6">
        <v>1</v>
      </c>
      <c r="U29" s="6">
        <v>1</v>
      </c>
      <c r="V29" s="6">
        <v>1</v>
      </c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41">
        <f t="shared" si="0"/>
        <v>18</v>
      </c>
      <c r="AK29" s="42">
        <f t="shared" si="1"/>
        <v>0</v>
      </c>
      <c r="AL29" s="43">
        <f t="shared" si="2"/>
        <v>0</v>
      </c>
    </row>
    <row r="30" spans="1:38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6" t="s">
        <v>62</v>
      </c>
      <c r="AJ30" s="35">
        <f t="shared" si="0"/>
        <v>0</v>
      </c>
      <c r="AK30" s="36">
        <f t="shared" si="1"/>
        <v>31</v>
      </c>
      <c r="AL30" s="37">
        <f t="shared" si="2"/>
        <v>0</v>
      </c>
    </row>
    <row r="31" spans="1:38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0"/>
        <v>0</v>
      </c>
      <c r="AK31" s="45">
        <f t="shared" si="1"/>
        <v>31</v>
      </c>
      <c r="AL31" s="46">
        <f t="shared" si="2"/>
        <v>0</v>
      </c>
    </row>
    <row r="32" spans="1:38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0"/>
        <v>0</v>
      </c>
      <c r="AK32" s="42">
        <f t="shared" si="1"/>
        <v>31</v>
      </c>
      <c r="AL32" s="43">
        <f t="shared" si="2"/>
        <v>0</v>
      </c>
    </row>
    <row r="33" spans="1:38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 t="shared" si="0"/>
        <v>0</v>
      </c>
      <c r="AK33" s="45">
        <f t="shared" si="1"/>
        <v>31</v>
      </c>
      <c r="AL33" s="46">
        <f t="shared" si="2"/>
        <v>0</v>
      </c>
    </row>
    <row r="34" spans="1:38" ht="16.5" thickBot="1">
      <c r="A34" s="68">
        <f t="shared" si="3"/>
        <v>31</v>
      </c>
      <c r="B34" s="69" t="s">
        <v>30</v>
      </c>
      <c r="C34" s="70" t="s">
        <v>31</v>
      </c>
      <c r="D34" s="71">
        <v>4253</v>
      </c>
      <c r="E34" s="72" t="s">
        <v>62</v>
      </c>
      <c r="F34" s="73" t="s">
        <v>62</v>
      </c>
      <c r="G34" s="73" t="s">
        <v>62</v>
      </c>
      <c r="H34" s="73" t="s">
        <v>62</v>
      </c>
      <c r="I34" s="73" t="s">
        <v>62</v>
      </c>
      <c r="J34" s="73" t="s">
        <v>62</v>
      </c>
      <c r="K34" s="73" t="s">
        <v>62</v>
      </c>
      <c r="L34" s="73" t="s">
        <v>62</v>
      </c>
      <c r="M34" s="73" t="s">
        <v>62</v>
      </c>
      <c r="N34" s="73" t="s">
        <v>62</v>
      </c>
      <c r="O34" s="73" t="s">
        <v>62</v>
      </c>
      <c r="P34" s="73" t="s">
        <v>62</v>
      </c>
      <c r="Q34" s="73" t="s">
        <v>62</v>
      </c>
      <c r="R34" s="73" t="s">
        <v>62</v>
      </c>
      <c r="S34" s="73" t="s">
        <v>62</v>
      </c>
      <c r="T34" s="73" t="s">
        <v>62</v>
      </c>
      <c r="U34" s="73" t="s">
        <v>62</v>
      </c>
      <c r="V34" s="73" t="s">
        <v>62</v>
      </c>
      <c r="W34" s="73" t="s">
        <v>62</v>
      </c>
      <c r="X34" s="73" t="s">
        <v>62</v>
      </c>
      <c r="Y34" s="73" t="s">
        <v>62</v>
      </c>
      <c r="Z34" s="73" t="s">
        <v>62</v>
      </c>
      <c r="AA34" s="73" t="s">
        <v>62</v>
      </c>
      <c r="AB34" s="73" t="s">
        <v>62</v>
      </c>
      <c r="AC34" s="73" t="s">
        <v>62</v>
      </c>
      <c r="AD34" s="73" t="s">
        <v>62</v>
      </c>
      <c r="AE34" s="73" t="s">
        <v>62</v>
      </c>
      <c r="AF34" s="73" t="s">
        <v>62</v>
      </c>
      <c r="AG34" s="73" t="s">
        <v>62</v>
      </c>
      <c r="AH34" s="73" t="s">
        <v>62</v>
      </c>
      <c r="AI34" s="73" t="s">
        <v>62</v>
      </c>
      <c r="AJ34" s="74">
        <f t="shared" si="0"/>
        <v>0</v>
      </c>
      <c r="AK34" s="75">
        <f t="shared" si="1"/>
        <v>31</v>
      </c>
      <c r="AL34" s="76">
        <f t="shared" si="2"/>
        <v>0</v>
      </c>
    </row>
    <row r="35" spans="1:38">
      <c r="A35" s="21">
        <f t="shared" si="3"/>
        <v>32</v>
      </c>
      <c r="B35" s="22" t="s">
        <v>35</v>
      </c>
      <c r="C35" s="23" t="s">
        <v>34</v>
      </c>
      <c r="D35" s="47">
        <v>2831</v>
      </c>
      <c r="E35" s="15">
        <v>1</v>
      </c>
      <c r="F35" s="64" t="s">
        <v>61</v>
      </c>
      <c r="G35" s="64">
        <v>1</v>
      </c>
      <c r="H35" s="64">
        <v>1</v>
      </c>
      <c r="I35" s="64">
        <v>1</v>
      </c>
      <c r="J35" s="64">
        <v>1</v>
      </c>
      <c r="K35" s="64" t="s">
        <v>62</v>
      </c>
      <c r="L35" s="64" t="s">
        <v>61</v>
      </c>
      <c r="M35" s="64">
        <v>1</v>
      </c>
      <c r="N35" s="64">
        <v>1</v>
      </c>
      <c r="O35" s="64">
        <v>1</v>
      </c>
      <c r="P35" s="64">
        <v>1</v>
      </c>
      <c r="Q35" s="64">
        <v>1</v>
      </c>
      <c r="R35" s="64">
        <v>1</v>
      </c>
      <c r="S35" s="64">
        <v>1</v>
      </c>
      <c r="T35" s="64">
        <v>1</v>
      </c>
      <c r="U35" s="64" t="s">
        <v>62</v>
      </c>
      <c r="V35" s="64" t="s">
        <v>62</v>
      </c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35">
        <f t="shared" si="0"/>
        <v>13</v>
      </c>
      <c r="AK35" s="36">
        <f t="shared" si="1"/>
        <v>3</v>
      </c>
      <c r="AL35" s="37">
        <f t="shared" si="2"/>
        <v>2</v>
      </c>
    </row>
    <row r="36" spans="1:38">
      <c r="A36" s="24">
        <f t="shared" si="3"/>
        <v>33</v>
      </c>
      <c r="B36" s="25" t="s">
        <v>35</v>
      </c>
      <c r="C36" s="26" t="s">
        <v>36</v>
      </c>
      <c r="D36" s="48">
        <v>7945</v>
      </c>
      <c r="E36" s="16" t="s">
        <v>62</v>
      </c>
      <c r="F36" s="16" t="s">
        <v>62</v>
      </c>
      <c r="G36" s="16" t="s">
        <v>62</v>
      </c>
      <c r="H36" s="6">
        <v>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>
        <v>1</v>
      </c>
      <c r="O36" s="6" t="s">
        <v>62</v>
      </c>
      <c r="P36" s="6" t="s">
        <v>62</v>
      </c>
      <c r="Q36" s="6" t="s">
        <v>62</v>
      </c>
      <c r="R36" s="6" t="s">
        <v>62</v>
      </c>
      <c r="S36" s="6" t="s">
        <v>62</v>
      </c>
      <c r="T36" s="6" t="s">
        <v>62</v>
      </c>
      <c r="U36" s="6" t="s">
        <v>62</v>
      </c>
      <c r="V36" s="6">
        <v>1</v>
      </c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35">
        <f t="shared" si="0"/>
        <v>8</v>
      </c>
      <c r="AK36" s="36">
        <f t="shared" si="1"/>
        <v>10</v>
      </c>
      <c r="AL36" s="37">
        <f t="shared" si="2"/>
        <v>0</v>
      </c>
    </row>
    <row r="37" spans="1:38" ht="16.5" thickBot="1">
      <c r="A37" s="27">
        <f t="shared" si="3"/>
        <v>34</v>
      </c>
      <c r="B37" s="28" t="s">
        <v>37</v>
      </c>
      <c r="C37" s="34">
        <v>135</v>
      </c>
      <c r="D37" s="49">
        <v>8933</v>
      </c>
      <c r="E37" s="17" t="s">
        <v>62</v>
      </c>
      <c r="F37" s="17" t="s">
        <v>62</v>
      </c>
      <c r="G37" s="17" t="s">
        <v>62</v>
      </c>
      <c r="H37" s="7" t="s">
        <v>62</v>
      </c>
      <c r="I37" s="7" t="s">
        <v>62</v>
      </c>
      <c r="J37" s="7" t="s">
        <v>62</v>
      </c>
      <c r="K37" s="7" t="s">
        <v>62</v>
      </c>
      <c r="L37" s="7" t="s">
        <v>62</v>
      </c>
      <c r="M37" s="7" t="s">
        <v>62</v>
      </c>
      <c r="N37" s="7" t="s">
        <v>62</v>
      </c>
      <c r="O37" s="7" t="s">
        <v>62</v>
      </c>
      <c r="P37" s="7" t="s">
        <v>62</v>
      </c>
      <c r="Q37" s="7" t="s">
        <v>62</v>
      </c>
      <c r="R37" s="7" t="s">
        <v>62</v>
      </c>
      <c r="S37" s="7" t="s">
        <v>62</v>
      </c>
      <c r="T37" s="7" t="s">
        <v>62</v>
      </c>
      <c r="U37" s="7" t="s">
        <v>62</v>
      </c>
      <c r="V37" s="7" t="s">
        <v>62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44">
        <f t="shared" si="0"/>
        <v>0</v>
      </c>
      <c r="AK37" s="45">
        <f t="shared" si="1"/>
        <v>18</v>
      </c>
      <c r="AL37" s="46">
        <f t="shared" si="2"/>
        <v>0</v>
      </c>
    </row>
    <row r="38" spans="1:38">
      <c r="A38" s="21">
        <f t="shared" si="3"/>
        <v>35</v>
      </c>
      <c r="B38" s="25" t="s">
        <v>58</v>
      </c>
      <c r="C38" s="26" t="s">
        <v>38</v>
      </c>
      <c r="D38" s="48">
        <v>4994</v>
      </c>
      <c r="E38" s="16" t="s">
        <v>62</v>
      </c>
      <c r="F38" s="16" t="s">
        <v>62</v>
      </c>
      <c r="G38" s="16" t="s">
        <v>62</v>
      </c>
      <c r="H38" s="6" t="s">
        <v>62</v>
      </c>
      <c r="I38" s="6" t="s">
        <v>62</v>
      </c>
      <c r="J38" s="6">
        <v>1</v>
      </c>
      <c r="K38" s="6">
        <v>1</v>
      </c>
      <c r="L38" s="6">
        <v>1</v>
      </c>
      <c r="M38" s="6">
        <v>1</v>
      </c>
      <c r="N38" s="6">
        <v>1</v>
      </c>
      <c r="O38" s="6">
        <v>1</v>
      </c>
      <c r="P38" s="6">
        <v>1</v>
      </c>
      <c r="Q38" s="6">
        <v>1</v>
      </c>
      <c r="R38" s="6">
        <v>1</v>
      </c>
      <c r="S38" s="6">
        <v>1</v>
      </c>
      <c r="T38" s="6">
        <v>1</v>
      </c>
      <c r="U38" s="6">
        <v>1</v>
      </c>
      <c r="V38" s="6">
        <v>1</v>
      </c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41">
        <f t="shared" si="0"/>
        <v>13</v>
      </c>
      <c r="AK38" s="42">
        <f t="shared" si="1"/>
        <v>5</v>
      </c>
      <c r="AL38" s="43">
        <f t="shared" si="2"/>
        <v>0</v>
      </c>
    </row>
    <row r="39" spans="1:38">
      <c r="A39" s="24">
        <f t="shared" si="3"/>
        <v>36</v>
      </c>
      <c r="B39" s="25" t="s">
        <v>58</v>
      </c>
      <c r="C39" s="26" t="s">
        <v>39</v>
      </c>
      <c r="D39" s="48">
        <v>4995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35">
        <f t="shared" si="0"/>
        <v>18</v>
      </c>
      <c r="AK39" s="36">
        <f t="shared" si="1"/>
        <v>0</v>
      </c>
      <c r="AL39" s="37">
        <f t="shared" si="2"/>
        <v>0</v>
      </c>
    </row>
    <row r="40" spans="1:38">
      <c r="A40" s="24">
        <f t="shared" si="3"/>
        <v>37</v>
      </c>
      <c r="B40" s="25" t="s">
        <v>58</v>
      </c>
      <c r="C40" s="26" t="s">
        <v>40</v>
      </c>
      <c r="D40" s="48">
        <v>6129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 t="s">
        <v>61</v>
      </c>
      <c r="M40" s="6" t="s">
        <v>61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35">
        <f t="shared" si="0"/>
        <v>16</v>
      </c>
      <c r="AK40" s="36">
        <f t="shared" si="1"/>
        <v>0</v>
      </c>
      <c r="AL40" s="37">
        <f t="shared" si="2"/>
        <v>2</v>
      </c>
    </row>
    <row r="41" spans="1:38">
      <c r="A41" s="24">
        <f t="shared" si="3"/>
        <v>38</v>
      </c>
      <c r="B41" s="25" t="s">
        <v>58</v>
      </c>
      <c r="C41" s="26" t="s">
        <v>41</v>
      </c>
      <c r="D41" s="48">
        <v>6130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 t="s">
        <v>61</v>
      </c>
      <c r="U41" s="6">
        <v>1</v>
      </c>
      <c r="V41" s="6">
        <v>1</v>
      </c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35">
        <f t="shared" si="0"/>
        <v>17</v>
      </c>
      <c r="AK41" s="36">
        <f t="shared" si="1"/>
        <v>0</v>
      </c>
      <c r="AL41" s="37">
        <f t="shared" si="2"/>
        <v>1</v>
      </c>
    </row>
    <row r="42" spans="1:38">
      <c r="A42" s="24">
        <f t="shared" si="3"/>
        <v>39</v>
      </c>
      <c r="B42" s="25" t="s">
        <v>58</v>
      </c>
      <c r="C42" s="26" t="s">
        <v>42</v>
      </c>
      <c r="D42" s="48">
        <v>1297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35">
        <f t="shared" si="0"/>
        <v>18</v>
      </c>
      <c r="AK42" s="36">
        <f t="shared" si="1"/>
        <v>0</v>
      </c>
      <c r="AL42" s="37">
        <f t="shared" si="2"/>
        <v>0</v>
      </c>
    </row>
    <row r="43" spans="1:38">
      <c r="A43" s="24">
        <f t="shared" si="3"/>
        <v>40</v>
      </c>
      <c r="B43" s="25" t="s">
        <v>58</v>
      </c>
      <c r="C43" s="26" t="s">
        <v>43</v>
      </c>
      <c r="D43" s="48">
        <v>1296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>
        <v>1</v>
      </c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35">
        <f t="shared" si="0"/>
        <v>18</v>
      </c>
      <c r="AK43" s="36">
        <f t="shared" si="1"/>
        <v>0</v>
      </c>
      <c r="AL43" s="37">
        <f t="shared" si="2"/>
        <v>0</v>
      </c>
    </row>
    <row r="44" spans="1:38" ht="16.5" thickBot="1">
      <c r="A44" s="27">
        <f t="shared" si="3"/>
        <v>41</v>
      </c>
      <c r="B44" s="28" t="s">
        <v>58</v>
      </c>
      <c r="C44" s="29" t="s">
        <v>44</v>
      </c>
      <c r="D44" s="49">
        <v>1344</v>
      </c>
      <c r="E44" s="17">
        <v>1</v>
      </c>
      <c r="F44" s="7">
        <v>1</v>
      </c>
      <c r="G44" s="7">
        <v>1</v>
      </c>
      <c r="H44" s="7">
        <v>1</v>
      </c>
      <c r="I44" s="7">
        <v>1</v>
      </c>
      <c r="J44" s="7">
        <v>1</v>
      </c>
      <c r="K44" s="7">
        <v>1</v>
      </c>
      <c r="L44" s="7">
        <v>1</v>
      </c>
      <c r="M44" s="7" t="s">
        <v>61</v>
      </c>
      <c r="N44" s="7">
        <v>1</v>
      </c>
      <c r="O44" s="7">
        <v>1</v>
      </c>
      <c r="P44" s="7">
        <v>1</v>
      </c>
      <c r="Q44" s="7">
        <v>1</v>
      </c>
      <c r="R44" s="7">
        <v>1</v>
      </c>
      <c r="S44" s="7">
        <v>1</v>
      </c>
      <c r="T44" s="7">
        <v>1</v>
      </c>
      <c r="U44" s="7">
        <v>1</v>
      </c>
      <c r="V44" s="7">
        <v>1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44">
        <f t="shared" si="0"/>
        <v>17</v>
      </c>
      <c r="AK44" s="45">
        <f t="shared" si="1"/>
        <v>0</v>
      </c>
      <c r="AL44" s="46">
        <f t="shared" si="2"/>
        <v>1</v>
      </c>
    </row>
    <row r="45" spans="1:38">
      <c r="A45" s="21">
        <f t="shared" si="3"/>
        <v>42</v>
      </c>
      <c r="B45" s="25" t="s">
        <v>45</v>
      </c>
      <c r="C45" s="26" t="s">
        <v>46</v>
      </c>
      <c r="D45" s="48">
        <v>1250</v>
      </c>
      <c r="E45" s="16">
        <v>1</v>
      </c>
      <c r="F45" s="6">
        <v>1</v>
      </c>
      <c r="G45" s="6">
        <v>1</v>
      </c>
      <c r="H45" s="6">
        <v>1</v>
      </c>
      <c r="I45" s="6">
        <v>1</v>
      </c>
      <c r="J45" s="6" t="s">
        <v>62</v>
      </c>
      <c r="K45" s="6">
        <v>1</v>
      </c>
      <c r="L45" s="6">
        <v>1</v>
      </c>
      <c r="M45" s="6">
        <v>1</v>
      </c>
      <c r="N45" s="6">
        <v>1</v>
      </c>
      <c r="O45" s="6">
        <v>1</v>
      </c>
      <c r="P45" s="6">
        <v>1</v>
      </c>
      <c r="Q45" s="6">
        <v>1</v>
      </c>
      <c r="R45" s="6">
        <v>1</v>
      </c>
      <c r="S45" s="6" t="s">
        <v>61</v>
      </c>
      <c r="T45" s="6" t="s">
        <v>61</v>
      </c>
      <c r="U45" s="6">
        <v>1</v>
      </c>
      <c r="V45" s="6">
        <v>1</v>
      </c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41">
        <f t="shared" si="0"/>
        <v>15</v>
      </c>
      <c r="AK45" s="42">
        <f t="shared" si="1"/>
        <v>1</v>
      </c>
      <c r="AL45" s="43">
        <f t="shared" si="2"/>
        <v>2</v>
      </c>
    </row>
    <row r="46" spans="1:38" ht="16.5" thickBot="1">
      <c r="A46" s="27">
        <f t="shared" si="3"/>
        <v>43</v>
      </c>
      <c r="B46" s="28" t="s">
        <v>45</v>
      </c>
      <c r="C46" s="29" t="s">
        <v>47</v>
      </c>
      <c r="D46" s="49">
        <v>1252</v>
      </c>
      <c r="E46" s="17">
        <v>1</v>
      </c>
      <c r="F46" s="7">
        <v>1</v>
      </c>
      <c r="G46" s="7">
        <v>1</v>
      </c>
      <c r="H46" s="7">
        <v>1</v>
      </c>
      <c r="I46" s="7">
        <v>1</v>
      </c>
      <c r="J46" s="7">
        <v>1</v>
      </c>
      <c r="K46" s="7">
        <v>1</v>
      </c>
      <c r="L46" s="7">
        <v>1</v>
      </c>
      <c r="M46" s="7">
        <v>1</v>
      </c>
      <c r="N46" s="7">
        <v>1</v>
      </c>
      <c r="O46" s="7">
        <v>1</v>
      </c>
      <c r="P46" s="7">
        <v>1</v>
      </c>
      <c r="Q46" s="7">
        <v>1</v>
      </c>
      <c r="R46" s="7">
        <v>1</v>
      </c>
      <c r="S46" s="7">
        <v>1</v>
      </c>
      <c r="T46" s="6" t="s">
        <v>61</v>
      </c>
      <c r="U46" s="7" t="s">
        <v>61</v>
      </c>
      <c r="V46" s="7">
        <v>1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44">
        <f t="shared" si="0"/>
        <v>16</v>
      </c>
      <c r="AK46" s="45">
        <f t="shared" si="1"/>
        <v>0</v>
      </c>
      <c r="AL46" s="46">
        <f t="shared" si="2"/>
        <v>2</v>
      </c>
    </row>
    <row r="47" spans="1:38">
      <c r="A47" s="67">
        <f t="shared" si="3"/>
        <v>44</v>
      </c>
      <c r="B47" s="25"/>
      <c r="C47" s="26"/>
      <c r="D47" s="48" t="s">
        <v>64</v>
      </c>
      <c r="E47" s="1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>
        <v>1</v>
      </c>
      <c r="M47" s="6" t="s">
        <v>61</v>
      </c>
      <c r="N47" s="6">
        <v>1</v>
      </c>
      <c r="O47" s="6">
        <v>1</v>
      </c>
      <c r="P47" s="6">
        <v>1</v>
      </c>
      <c r="Q47" s="6">
        <v>1</v>
      </c>
      <c r="R47" s="6">
        <v>1</v>
      </c>
      <c r="S47" s="6">
        <v>1</v>
      </c>
      <c r="T47" s="6">
        <v>1</v>
      </c>
      <c r="U47" s="6">
        <v>1</v>
      </c>
      <c r="V47" s="6">
        <v>1</v>
      </c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35">
        <f t="shared" si="0"/>
        <v>17</v>
      </c>
      <c r="AK47" s="36">
        <f t="shared" si="1"/>
        <v>0</v>
      </c>
      <c r="AL47" s="37">
        <f t="shared" si="2"/>
        <v>1</v>
      </c>
    </row>
    <row r="48" spans="1:38" ht="16.5" thickBot="1">
      <c r="A48" s="66">
        <f t="shared" si="3"/>
        <v>45</v>
      </c>
      <c r="B48" s="28"/>
      <c r="C48" s="29"/>
      <c r="D48" s="49" t="s">
        <v>65</v>
      </c>
      <c r="E48" s="17">
        <v>1</v>
      </c>
      <c r="F48" s="6" t="s">
        <v>61</v>
      </c>
      <c r="G48" s="7">
        <v>1</v>
      </c>
      <c r="H48" s="7">
        <v>1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</v>
      </c>
      <c r="P48" s="7">
        <v>1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>
        <v>1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44">
        <f t="shared" si="0"/>
        <v>17</v>
      </c>
      <c r="AK48" s="45">
        <f t="shared" si="1"/>
        <v>0</v>
      </c>
      <c r="AL48" s="46">
        <f t="shared" si="2"/>
        <v>1</v>
      </c>
    </row>
    <row r="49" spans="1:38">
      <c r="B49" s="1"/>
      <c r="C49" s="2"/>
      <c r="D49" s="2"/>
    </row>
    <row r="50" spans="1:38" ht="16.5" thickBot="1">
      <c r="A50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</row>
    <row r="51" spans="1:38" s="62" customFormat="1" ht="16.5" thickBot="1">
      <c r="A51" s="55" t="s">
        <v>60</v>
      </c>
      <c r="B51" s="56" t="s">
        <v>48</v>
      </c>
      <c r="C51" s="56" t="s">
        <v>52</v>
      </c>
      <c r="D51" s="57" t="s">
        <v>50</v>
      </c>
      <c r="E51" s="58">
        <v>1</v>
      </c>
      <c r="F51" s="58">
        <v>2</v>
      </c>
      <c r="G51" s="58">
        <v>3</v>
      </c>
      <c r="H51" s="58">
        <v>4</v>
      </c>
      <c r="I51" s="58">
        <v>5</v>
      </c>
      <c r="J51" s="58">
        <v>6</v>
      </c>
      <c r="K51" s="58">
        <v>7</v>
      </c>
      <c r="L51" s="58">
        <v>8</v>
      </c>
      <c r="M51" s="58">
        <v>9</v>
      </c>
      <c r="N51" s="58">
        <v>10</v>
      </c>
      <c r="O51" s="58">
        <v>11</v>
      </c>
      <c r="P51" s="58">
        <v>12</v>
      </c>
      <c r="Q51" s="58">
        <v>13</v>
      </c>
      <c r="R51" s="58">
        <v>14</v>
      </c>
      <c r="S51" s="58">
        <v>15</v>
      </c>
      <c r="T51" s="58">
        <v>16</v>
      </c>
      <c r="U51" s="58">
        <v>17</v>
      </c>
      <c r="V51" s="58">
        <v>18</v>
      </c>
      <c r="W51" s="58">
        <v>19</v>
      </c>
      <c r="X51" s="58">
        <v>20</v>
      </c>
      <c r="Y51" s="58">
        <v>21</v>
      </c>
      <c r="Z51" s="58">
        <v>22</v>
      </c>
      <c r="AA51" s="58">
        <v>23</v>
      </c>
      <c r="AB51" s="58">
        <v>24</v>
      </c>
      <c r="AC51" s="58">
        <v>25</v>
      </c>
      <c r="AD51" s="58">
        <v>26</v>
      </c>
      <c r="AE51" s="58">
        <v>27</v>
      </c>
      <c r="AF51" s="58">
        <v>28</v>
      </c>
      <c r="AG51" s="58">
        <v>29</v>
      </c>
      <c r="AH51" s="58">
        <v>30</v>
      </c>
      <c r="AI51" s="58">
        <v>31</v>
      </c>
      <c r="AJ51" s="59">
        <v>1</v>
      </c>
      <c r="AK51" s="60" t="s">
        <v>62</v>
      </c>
      <c r="AL51" s="61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>COUNTIF(E52:AI52,1)</f>
        <v>0</v>
      </c>
      <c r="AK52" s="42">
        <f>COUNTIF(E52:AI52,"тр")</f>
        <v>31</v>
      </c>
      <c r="AL52" s="43">
        <f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35">
        <f>COUNTIF(E53:AI53,1)</f>
        <v>18</v>
      </c>
      <c r="AK53" s="36">
        <f>COUNTIF(E53:AI53,"тр")</f>
        <v>0</v>
      </c>
      <c r="AL53" s="37">
        <f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44">
        <f>COUNTIF(E54:AI54,1)</f>
        <v>18</v>
      </c>
      <c r="AK54" s="45">
        <f>COUNTIF(E54:AI54,"тр")</f>
        <v>0</v>
      </c>
      <c r="AL54" s="46">
        <f>COUNTIF(E54:AI54,"бв")</f>
        <v>0</v>
      </c>
    </row>
    <row r="55" spans="1:38">
      <c r="B55" s="1"/>
      <c r="C55" s="2"/>
      <c r="D55" s="2"/>
    </row>
  </sheetData>
  <autoFilter ref="E2:AL48">
    <filterColumn colId="9"/>
    <filterColumn colId="10"/>
    <filterColumn colId="11"/>
    <filterColumn colId="17"/>
    <filterColumn colId="19"/>
    <filterColumn colId="29"/>
  </autoFilter>
  <mergeCells count="2">
    <mergeCell ref="A1:AL1"/>
    <mergeCell ref="A50:AL50"/>
  </mergeCells>
  <conditionalFormatting sqref="E52:AI54 E4:AI4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'Декабрь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2018-12-03T08:54:58Z</cp:lastPrinted>
  <dcterms:created xsi:type="dcterms:W3CDTF">2018-09-27T18:15:43Z</dcterms:created>
  <dcterms:modified xsi:type="dcterms:W3CDTF">2018-12-18T06:53:39Z</dcterms:modified>
</cp:coreProperties>
</file>