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2018'!$E$2:$AL$47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I50"/>
  <c r="AJ50"/>
  <c r="AK50"/>
  <c r="AI51"/>
  <c r="AJ51"/>
  <c r="AK5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K57" l="1"/>
  <c r="AJ57"/>
  <c r="AI57"/>
  <c r="AK56"/>
  <c r="AJ56"/>
  <c r="AI56"/>
  <c r="AK55"/>
  <c r="AJ55"/>
  <c r="AI55"/>
  <c r="A53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<sst xmlns="http://schemas.openxmlformats.org/spreadsheetml/2006/main" count="1267" uniqueCount="68">
  <si>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</si>
  <si>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</si>
  <si>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</si>
  <si>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</si>
  <si>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</si>
  <si>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</si>
  <si>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</si>
  <si>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</si>
  <si>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</si>
  <si>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</si>
  <si>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</si>
  <si>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</si>
  <si>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</si>
  <si>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</si>
  <si>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</si>
  <si>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</si>
  <si>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</si>
  <si>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</si>
  <si>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</si>
  <si>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</si>
  <si>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</si>
  <si>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</si>
  <si>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</si>
  <si>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</si>
  <si>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</si>
  <si>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</si>
  <si>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</si>
  <si>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</si>
  <si>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</si>
  <si>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</si>
  <si>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</si>
  <si>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</si>
  <si>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</si>
  <si>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</si>
  <si>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</si>
  <si>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</si>
  <si>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</si>
  <si>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</si>
  <si>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</si>
  <si>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</si>
  <si>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</si>
  <si>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</si>
  <si>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</si>
  <si>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</si>
  <si>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</si>
  <si>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</si>
  <si>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</si>
  <si>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</si>
  <si>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</si>
  <si>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</si>
  <si>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</si>
  <si>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</si>
  <si>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</si>
  <si>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</si>
  <si>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</si>
  <si>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</si>
  <si>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</si>
  <si>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</si>
  <si>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</si>
  <si>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</si>
  <si>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</si>
  <si>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</si>
  <si>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</si>
  <si>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</si>
  <si>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4218</t>
  </si>
  <si>
    <t>4295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</si>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</sst>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1" fillId="3" borderId="21" xfId="0" applyFont="1" applyFill="1" applyBorder="1" applyAlignment="1">
      <alignment horizontal="left"/>
    </xf>
    <xf numFmtId="49" fontId="1" fillId="3" borderId="21" xfId="0" applyNumberFormat="1" applyFont="1" applyFill="1" applyBorder="1" applyAlignment="1">
      <alignment horizontal="center"/>
    </xf>
    <xf numFmtId="49" fontId="1" fillId="3" borderId="22" xfId="0" applyNumberFormat="1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8"/>
  <sheetViews>
    <sheetView tabSelected="1" workbookViewId="0">
      <pane xSplit="4" ySplit="3" topLeftCell="E46" activePane="bottomRight" state="frozen"/>
      <selection pane="topRight" activeCell="E1" sqref="E1"/>
      <selection pane="bottomLeft" activeCell="A4" sqref="A4"/>
      <selection pane="bottomRight" activeCell="T52" sqref="T52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15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11</v>
      </c>
      <c r="AK5" s="40">
        <f t="shared" si="2"/>
        <v>4</v>
      </c>
    </row>
    <row r="6" spans="1:37">
      <c r="A6" s="21">
        <f t="shared" ref="A6:A51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11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1</v>
      </c>
      <c r="AJ8" s="36">
        <f t="shared" si="1"/>
        <v>14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13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11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10</v>
      </c>
      <c r="AJ11" s="36">
        <f t="shared" si="1"/>
        <v>0</v>
      </c>
      <c r="AK11" s="37">
        <f t="shared" si="2"/>
        <v>5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12</v>
      </c>
      <c r="AJ12" s="36">
        <f t="shared" si="1"/>
        <v>0</v>
      </c>
      <c r="AK12" s="37">
        <f t="shared" si="2"/>
        <v>3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13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14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12</v>
      </c>
      <c r="AJ15" s="36">
        <f t="shared" si="1"/>
        <v>3</v>
      </c>
      <c r="AK15" s="37">
        <f t="shared" si="2"/>
        <v>0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15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13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5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13</v>
      </c>
      <c r="AJ19" s="36">
        <f t="shared" si="1"/>
        <v>0</v>
      </c>
      <c r="AK19" s="37">
        <f t="shared" si="2"/>
        <v>2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15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13</v>
      </c>
      <c r="AJ21" s="45">
        <f t="shared" si="1"/>
        <v>0</v>
      </c>
      <c r="AK21" s="46">
        <f t="shared" si="2"/>
        <v>2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6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15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11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3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4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15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14</v>
      </c>
      <c r="AJ28" s="45">
        <f t="shared" si="1"/>
        <v>1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41">
        <f t="shared" si="0"/>
        <v>0</v>
      </c>
      <c r="AJ29" s="42">
        <f t="shared" si="1"/>
        <v>0</v>
      </c>
      <c r="AK29" s="43">
        <f t="shared" si="2"/>
        <v>30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12</v>
      </c>
      <c r="AJ36" s="42">
        <f t="shared" si="1"/>
        <v>0</v>
      </c>
      <c r="AK36" s="43">
        <f t="shared" si="2"/>
        <v>3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13</v>
      </c>
      <c r="AJ37" s="36">
        <f t="shared" si="1"/>
        <v>0</v>
      </c>
      <c r="AK37" s="37">
        <f t="shared" si="2"/>
        <v>2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13</v>
      </c>
      <c r="AJ38" s="45">
        <f t="shared" si="1"/>
        <v>0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15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14</v>
      </c>
      <c r="AJ40" s="36">
        <f t="shared" si="1"/>
        <v>0</v>
      </c>
      <c r="AK40" s="37">
        <f t="shared" si="2"/>
        <v>1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15</v>
      </c>
      <c r="AJ41" s="36">
        <f t="shared" si="1"/>
        <v>0</v>
      </c>
      <c r="AK41" s="37">
        <f t="shared" si="2"/>
        <v>0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15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12</v>
      </c>
      <c r="AJ43" s="36">
        <f t="shared" si="1"/>
        <v>3</v>
      </c>
      <c r="AK43" s="37">
        <f t="shared" si="2"/>
        <v>0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15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14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13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15</v>
      </c>
      <c r="AJ47" s="45">
        <f t="shared" si="1"/>
        <v>0</v>
      </c>
      <c r="AK47" s="46">
        <f t="shared" si="2"/>
        <v>0</v>
      </c>
    </row>
    <row r="48" spans="1:37">
      <c r="A48" s="55">
        <f t="shared" si="3"/>
        <v>45</v>
      </c>
      <c r="B48" s="56"/>
      <c r="C48" s="57"/>
      <c r="D48" s="58" t="s">
        <v>64</v>
      </c>
      <c r="E48" s="59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>
        <v>1</v>
      </c>
      <c r="T48" s="60"/>
      <c r="U48" s="60"/>
      <c r="V48" s="60"/>
      <c r="W48" s="60"/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41">
        <f t="shared" ref="AI48:AI51" si="4">COUNTIF(E48:AH48,1)</f>
        <v>1</v>
      </c>
      <c r="AJ48" s="42">
        <f t="shared" ref="AJ48:AJ51" si="5">COUNTIF(E48:AH48,"тр")</f>
        <v>0</v>
      </c>
      <c r="AK48" s="43">
        <f t="shared" ref="AK48:AK51" si="6">COUNTIF(E48:AH48,"бв")</f>
        <v>0</v>
      </c>
    </row>
    <row r="49" spans="1:37">
      <c r="A49" s="24">
        <f t="shared" si="3"/>
        <v>46</v>
      </c>
      <c r="B49" s="25"/>
      <c r="C49" s="26"/>
      <c r="D49" s="48" t="s">
        <v>65</v>
      </c>
      <c r="E49" s="1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>
        <v>1</v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35">
        <f t="shared" si="4"/>
        <v>1</v>
      </c>
      <c r="AJ49" s="36">
        <f t="shared" si="5"/>
        <v>0</v>
      </c>
      <c r="AK49" s="37">
        <f t="shared" si="6"/>
        <v>0</v>
      </c>
    </row>
    <row r="50" spans="1:37">
      <c r="A50" s="24">
        <f t="shared" si="3"/>
        <v>47</v>
      </c>
      <c r="B50" s="25"/>
      <c r="C50" s="26"/>
      <c r="D50" s="48" t="s">
        <v>66</v>
      </c>
      <c r="E50" s="1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35">
        <f t="shared" si="4"/>
        <v>0</v>
      </c>
      <c r="AJ50" s="36">
        <f t="shared" si="5"/>
        <v>0</v>
      </c>
      <c r="AK50" s="37">
        <f t="shared" si="6"/>
        <v>0</v>
      </c>
    </row>
    <row r="51" spans="1:37" ht="16.5" thickBot="1">
      <c r="A51" s="27">
        <f t="shared" si="3"/>
        <v>48</v>
      </c>
      <c r="B51" s="28"/>
      <c r="C51" s="29"/>
      <c r="D51" s="49" t="s">
        <v>67</v>
      </c>
      <c r="E51" s="1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>
        <v>1</v>
      </c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44">
        <f t="shared" si="4"/>
        <v>1</v>
      </c>
      <c r="AJ51" s="45">
        <f t="shared" si="5"/>
        <v>0</v>
      </c>
      <c r="AK51" s="46">
        <f t="shared" si="6"/>
        <v>0</v>
      </c>
    </row>
    <row r="52" spans="1:37">
      <c r="B52" s="1"/>
      <c r="C52" s="2"/>
      <c r="D52" s="2"/>
    </row>
    <row r="53" spans="1:37" ht="16.5" thickBot="1">
      <c r="A53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</row>
    <row r="54" spans="1:37" ht="16.5" thickBot="1">
      <c r="A54" s="10" t="s">
        <v>60</v>
      </c>
      <c r="B54" s="11" t="s">
        <v>48</v>
      </c>
      <c r="C54" s="11" t="s">
        <v>49</v>
      </c>
      <c r="D54" s="14" t="s">
        <v>50</v>
      </c>
      <c r="E54" s="12">
        <v>1</v>
      </c>
      <c r="F54" s="12">
        <v>2</v>
      </c>
      <c r="G54" s="12">
        <v>3</v>
      </c>
      <c r="H54" s="12">
        <v>4</v>
      </c>
      <c r="I54" s="12">
        <v>5</v>
      </c>
      <c r="J54" s="12">
        <v>6</v>
      </c>
      <c r="K54" s="12">
        <v>7</v>
      </c>
      <c r="L54" s="12">
        <v>8</v>
      </c>
      <c r="M54" s="12">
        <v>9</v>
      </c>
      <c r="N54" s="12">
        <v>10</v>
      </c>
      <c r="O54" s="12">
        <v>11</v>
      </c>
      <c r="P54" s="12">
        <v>12</v>
      </c>
      <c r="Q54" s="12">
        <v>13</v>
      </c>
      <c r="R54" s="12">
        <v>14</v>
      </c>
      <c r="S54" s="12">
        <v>15</v>
      </c>
      <c r="T54" s="12">
        <v>16</v>
      </c>
      <c r="U54" s="12">
        <v>17</v>
      </c>
      <c r="V54" s="12">
        <v>18</v>
      </c>
      <c r="W54" s="12">
        <v>19</v>
      </c>
      <c r="X54" s="12">
        <v>20</v>
      </c>
      <c r="Y54" s="12">
        <v>21</v>
      </c>
      <c r="Z54" s="12">
        <v>22</v>
      </c>
      <c r="AA54" s="12">
        <v>23</v>
      </c>
      <c r="AB54" s="12">
        <v>24</v>
      </c>
      <c r="AC54" s="12">
        <v>25</v>
      </c>
      <c r="AD54" s="12">
        <v>26</v>
      </c>
      <c r="AE54" s="12">
        <v>27</v>
      </c>
      <c r="AF54" s="12">
        <v>28</v>
      </c>
      <c r="AG54" s="12">
        <v>29</v>
      </c>
      <c r="AH54" s="12">
        <v>30</v>
      </c>
      <c r="AI54" s="18">
        <v>1</v>
      </c>
      <c r="AJ54" s="19" t="s">
        <v>62</v>
      </c>
      <c r="AK54" s="20" t="s">
        <v>61</v>
      </c>
    </row>
    <row r="55" spans="1:37">
      <c r="A55" s="21">
        <v>1</v>
      </c>
      <c r="B55" s="22" t="s">
        <v>0</v>
      </c>
      <c r="C55" s="23" t="s">
        <v>51</v>
      </c>
      <c r="D55" s="47">
        <v>7334</v>
      </c>
      <c r="E55" s="15" t="s">
        <v>62</v>
      </c>
      <c r="F55" s="15" t="s">
        <v>62</v>
      </c>
      <c r="G55" s="15" t="s">
        <v>62</v>
      </c>
      <c r="H55" s="15" t="s">
        <v>62</v>
      </c>
      <c r="I55" s="15" t="s">
        <v>62</v>
      </c>
      <c r="J55" s="15" t="s">
        <v>62</v>
      </c>
      <c r="K55" s="15" t="s">
        <v>62</v>
      </c>
      <c r="L55" s="15" t="s">
        <v>62</v>
      </c>
      <c r="M55" s="15" t="s">
        <v>62</v>
      </c>
      <c r="N55" s="15" t="s">
        <v>62</v>
      </c>
      <c r="O55" s="15" t="s">
        <v>62</v>
      </c>
      <c r="P55" s="15" t="s">
        <v>62</v>
      </c>
      <c r="Q55" s="15" t="s">
        <v>62</v>
      </c>
      <c r="R55" s="15" t="s">
        <v>62</v>
      </c>
      <c r="S55" s="15" t="s">
        <v>62</v>
      </c>
      <c r="T55" s="15" t="s">
        <v>62</v>
      </c>
      <c r="U55" s="15" t="s">
        <v>62</v>
      </c>
      <c r="V55" s="15" t="s">
        <v>62</v>
      </c>
      <c r="W55" s="15" t="s">
        <v>62</v>
      </c>
      <c r="X55" s="15" t="s">
        <v>62</v>
      </c>
      <c r="Y55" s="15" t="s">
        <v>62</v>
      </c>
      <c r="Z55" s="15" t="s">
        <v>62</v>
      </c>
      <c r="AA55" s="15" t="s">
        <v>62</v>
      </c>
      <c r="AB55" s="15" t="s">
        <v>62</v>
      </c>
      <c r="AC55" s="15" t="s">
        <v>62</v>
      </c>
      <c r="AD55" s="15" t="s">
        <v>62</v>
      </c>
      <c r="AE55" s="15" t="s">
        <v>62</v>
      </c>
      <c r="AF55" s="15" t="s">
        <v>62</v>
      </c>
      <c r="AG55" s="15" t="s">
        <v>62</v>
      </c>
      <c r="AH55" s="15" t="s">
        <v>62</v>
      </c>
      <c r="AI55" s="41">
        <f>COUNTIF(E55:AH55,1)</f>
        <v>0</v>
      </c>
      <c r="AJ55" s="42">
        <f>COUNTIF(E55:AH55,"тр")</f>
        <v>30</v>
      </c>
      <c r="AK55" s="43">
        <f>COUNTIF(E55:AH55,"бв")</f>
        <v>0</v>
      </c>
    </row>
    <row r="56" spans="1:37">
      <c r="A56" s="24">
        <v>2</v>
      </c>
      <c r="B56" s="25" t="s">
        <v>58</v>
      </c>
      <c r="C56" s="31">
        <v>176</v>
      </c>
      <c r="D56" s="48">
        <v>6172</v>
      </c>
      <c r="E56" s="16">
        <v>1</v>
      </c>
      <c r="F56" s="6">
        <v>1</v>
      </c>
      <c r="G56" s="6">
        <v>1</v>
      </c>
      <c r="H56" s="6">
        <v>1</v>
      </c>
      <c r="I56" s="6">
        <v>1</v>
      </c>
      <c r="J56" s="6">
        <v>1</v>
      </c>
      <c r="K56" s="6">
        <v>1</v>
      </c>
      <c r="L56" s="6">
        <v>1</v>
      </c>
      <c r="M56" s="6">
        <v>1</v>
      </c>
      <c r="N56" s="6">
        <v>1</v>
      </c>
      <c r="O56" s="6">
        <v>1</v>
      </c>
      <c r="P56" s="6">
        <v>1</v>
      </c>
      <c r="Q56" s="6">
        <v>1</v>
      </c>
      <c r="R56" s="6">
        <v>1</v>
      </c>
      <c r="S56" s="6">
        <v>1</v>
      </c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35">
        <f>COUNTIF(E56:AH56,1)</f>
        <v>15</v>
      </c>
      <c r="AJ56" s="36">
        <f>COUNTIF(E56:AH56,"тр")</f>
        <v>0</v>
      </c>
      <c r="AK56" s="37">
        <f>COUNTIF(E56:AH56,"бв")</f>
        <v>0</v>
      </c>
    </row>
    <row r="57" spans="1:37" ht="16.5" thickBot="1">
      <c r="A57" s="27">
        <v>3</v>
      </c>
      <c r="B57" s="28" t="s">
        <v>58</v>
      </c>
      <c r="C57" s="34">
        <v>177</v>
      </c>
      <c r="D57" s="49">
        <v>6173</v>
      </c>
      <c r="E57" s="17">
        <v>1</v>
      </c>
      <c r="F57" s="7">
        <v>1</v>
      </c>
      <c r="G57" s="7">
        <v>1</v>
      </c>
      <c r="H57" s="7">
        <v>1</v>
      </c>
      <c r="I57" s="7">
        <v>1</v>
      </c>
      <c r="J57" s="7">
        <v>1</v>
      </c>
      <c r="K57" s="7">
        <v>1</v>
      </c>
      <c r="L57" s="7">
        <v>1</v>
      </c>
      <c r="M57" s="7">
        <v>1</v>
      </c>
      <c r="N57" s="7">
        <v>1</v>
      </c>
      <c r="O57" s="7">
        <v>1</v>
      </c>
      <c r="P57" s="7">
        <v>1</v>
      </c>
      <c r="Q57" s="7">
        <v>1</v>
      </c>
      <c r="R57" s="7">
        <v>1</v>
      </c>
      <c r="S57" s="7">
        <v>1</v>
      </c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44">
        <f>COUNTIF(E57:AH57,1)</f>
        <v>15</v>
      </c>
      <c r="AJ57" s="45">
        <f>COUNTIF(E57:AH57,"тр")</f>
        <v>0</v>
      </c>
      <c r="AK57" s="46">
        <f>COUNTIF(E57:AH57,"бв")</f>
        <v>0</v>
      </c>
    </row>
    <row r="58" spans="1:37">
      <c r="B58" s="1"/>
      <c r="C58" s="2"/>
      <c r="D58" s="2"/>
    </row>
  </sheetData>
  <autoFilter ref="E2:AL47">
    <filterColumn colId="9"/>
    <filterColumn colId="10"/>
    <filterColumn colId="11"/>
    <filterColumn colId="19"/>
    <filterColumn colId="33"/>
  </autoFilter>
  <mergeCells count="2">
    <mergeCell ref="A1:AK1"/>
    <mergeCell ref="A53:AK53"/>
  </mergeCells>
  <conditionalFormatting sqref="E55:AH57 E4:AH51">
    <cfRule type="containsBlanks" dxfId="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2018-11-16T08:20:46Z</dcterms:modified>
</cp:coreProperties>
</file>