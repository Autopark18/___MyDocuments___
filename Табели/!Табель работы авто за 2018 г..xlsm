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state="hidden" r:id="rId4"/>
  </sheets>
  <definedNames>
    <definedName name="_xlnm._FilterDatabase" localSheetId="2" hidden="1">'Декабрь 2018'!$E$2:$AL$49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ULCorner" localSheetId="2">'Декабрь 2018'!$E$4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55" i="6"/>
  <c r="AK55"/>
  <c r="AJ55"/>
  <c r="AL54"/>
  <c r="AK54"/>
  <c r="AJ54"/>
  <c r="AL53"/>
  <c r="AK53"/>
  <c r="AJ53"/>
  <c r="A51"/>
  <c r="AL49"/>
  <c r="AK49"/>
  <c r="AJ49"/>
  <c r="AL48"/>
  <c r="AK48"/>
  <c r="AJ48"/>
  <c r="AL47"/>
  <c r="AK47"/>
  <c r="AJ47"/>
  <c r="AL46"/>
  <c r="AK46"/>
  <c r="AJ46"/>
  <c r="AL45"/>
  <c r="AK45"/>
  <c r="AJ45"/>
  <c r="AL44"/>
  <c r="AK44"/>
  <c r="AJ44"/>
  <c r="AL43"/>
  <c r="AK43"/>
  <c r="AJ43"/>
  <c r="AL42"/>
  <c r="AK42"/>
  <c r="AJ42"/>
  <c r="AL41"/>
  <c r="AK41"/>
  <c r="AJ41"/>
  <c r="AL40"/>
  <c r="AK40"/>
  <c r="AJ40"/>
  <c r="AL39"/>
  <c r="AK39"/>
  <c r="AJ39"/>
  <c r="AL38"/>
  <c r="AK38"/>
  <c r="AJ38"/>
  <c r="AL37"/>
  <c r="AK37"/>
  <c r="AJ37"/>
  <c r="AL36"/>
  <c r="AK36"/>
  <c r="AJ36"/>
  <c r="AL35"/>
  <c r="AK35"/>
  <c r="AJ35"/>
  <c r="AL34"/>
  <c r="AK34"/>
  <c r="AJ34"/>
  <c r="AL33"/>
  <c r="AK33"/>
  <c r="AJ33"/>
  <c r="AL32"/>
  <c r="AK32"/>
  <c r="AJ32"/>
  <c r="AL31"/>
  <c r="AK31"/>
  <c r="AJ31"/>
  <c r="AL30"/>
  <c r="AK30"/>
  <c r="AJ30"/>
  <c r="AL29"/>
  <c r="AK29"/>
  <c r="AJ29"/>
  <c r="AL28"/>
  <c r="AK28"/>
  <c r="AJ28"/>
  <c r="AL27"/>
  <c r="AK27"/>
  <c r="AJ27"/>
  <c r="AL26"/>
  <c r="AK26"/>
  <c r="AJ26"/>
  <c r="AL25"/>
  <c r="AK25"/>
  <c r="AJ25"/>
  <c r="AL24"/>
  <c r="AK24"/>
  <c r="AJ24"/>
  <c r="AL23"/>
  <c r="AK23"/>
  <c r="AJ23"/>
  <c r="AL22"/>
  <c r="AK22"/>
  <c r="AJ22"/>
  <c r="AL21"/>
  <c r="AK21"/>
  <c r="AJ21"/>
  <c r="AL20"/>
  <c r="AK20"/>
  <c r="AJ20"/>
  <c r="AL19"/>
  <c r="AK19"/>
  <c r="AJ19"/>
  <c r="AL18"/>
  <c r="AK18"/>
  <c r="AJ18"/>
  <c r="AL17"/>
  <c r="AK17"/>
  <c r="AJ17"/>
  <c r="AL16"/>
  <c r="AK16"/>
  <c r="AJ16"/>
  <c r="AL15"/>
  <c r="AK15"/>
  <c r="AJ15"/>
  <c r="AL14"/>
  <c r="AK14"/>
  <c r="AJ14"/>
  <c r="AL13"/>
  <c r="AK13"/>
  <c r="AJ13"/>
  <c r="AL12"/>
  <c r="AK12"/>
  <c r="AJ12"/>
  <c r="AL11"/>
  <c r="AK11"/>
  <c r="AJ11"/>
  <c r="AL10"/>
  <c r="AK10"/>
  <c r="AJ10"/>
  <c r="AL9"/>
  <c r="AK9"/>
  <c r="AJ9"/>
  <c r="AL8"/>
  <c r="AK8"/>
  <c r="AJ8"/>
  <c r="AL7"/>
  <c r="AK7"/>
  <c r="AJ7"/>
  <c r="AL6"/>
  <c r="AK6"/>
  <c r="AJ6"/>
  <c r="AL5"/>
  <c r="AK5"/>
  <c r="AJ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L4"/>
  <c r="AK4"/>
  <c r="AJ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<sst xmlns="http://schemas.openxmlformats.org/spreadsheetml/2006/main" count="1906" uniqueCount="66">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</sst>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5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  <c r="AK49" s="68"/>
      <c r="AL49" s="68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69" t="s">
        <v>63</v>
      </c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  <c r="M56" s="69"/>
      <c r="N56" s="69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9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3" priority="2">
      <formula>LEN(TRIM(E4))=0</formula>
    </cfRule>
  </conditionalFormatting>
  <conditionalFormatting sqref="E52:AI54">
    <cfRule type="containsBlanks" dxfId="2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6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8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1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6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0" sqref="G50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8">
        <v>31</v>
      </c>
      <c r="AJ3" s="59">
        <v>1</v>
      </c>
      <c r="AK3" s="60" t="s">
        <v>62</v>
      </c>
      <c r="AL3" s="61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6" t="s">
        <v>62</v>
      </c>
      <c r="AJ4" s="35">
        <f t="shared" ref="AJ4:AJ49" si="0">COUNTIF(E4:AI4,1)</f>
        <v>0</v>
      </c>
      <c r="AK4" s="36">
        <f t="shared" ref="AK4:AK49" si="1">COUNTIF(E4:AI4,"тр")</f>
        <v>31</v>
      </c>
      <c r="AL4" s="37">
        <f t="shared" ref="AL4:AL49" si="2">COUNTIF(E4:AI4,"бв")</f>
        <v>0</v>
      </c>
    </row>
    <row r="5" spans="1:38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65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7" t="s">
        <v>62</v>
      </c>
      <c r="AJ5" s="38">
        <f t="shared" si="0"/>
        <v>0</v>
      </c>
      <c r="AK5" s="39">
        <f t="shared" si="1"/>
        <v>31</v>
      </c>
      <c r="AL5" s="40">
        <f t="shared" si="2"/>
        <v>0</v>
      </c>
    </row>
    <row r="6" spans="1:38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5" t="s">
        <v>62</v>
      </c>
      <c r="F6" s="64" t="s">
        <v>62</v>
      </c>
      <c r="G6" s="64" t="s">
        <v>62</v>
      </c>
      <c r="H6" s="64" t="s">
        <v>62</v>
      </c>
      <c r="I6" s="64" t="s">
        <v>62</v>
      </c>
      <c r="J6" s="64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>
        <v>1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35">
        <f t="shared" si="0"/>
        <v>3</v>
      </c>
      <c r="AK7" s="36">
        <f t="shared" si="1"/>
        <v>0</v>
      </c>
      <c r="AL7" s="37">
        <f t="shared" si="2"/>
        <v>0</v>
      </c>
    </row>
    <row r="8" spans="1:38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16" t="s">
        <v>62</v>
      </c>
      <c r="G8" s="16" t="s">
        <v>62</v>
      </c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35">
        <f t="shared" si="0"/>
        <v>0</v>
      </c>
      <c r="AK8" s="36">
        <f t="shared" si="1"/>
        <v>3</v>
      </c>
      <c r="AL8" s="37">
        <f t="shared" si="2"/>
        <v>0</v>
      </c>
    </row>
    <row r="9" spans="1:38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 t="s">
        <v>62</v>
      </c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35">
        <f t="shared" si="0"/>
        <v>2</v>
      </c>
      <c r="AK9" s="36">
        <f t="shared" si="1"/>
        <v>1</v>
      </c>
      <c r="AL9" s="37">
        <f t="shared" si="2"/>
        <v>0</v>
      </c>
    </row>
    <row r="10" spans="1:38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 t="s">
        <v>62</v>
      </c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35">
        <f t="shared" si="0"/>
        <v>2</v>
      </c>
      <c r="AK10" s="36">
        <f t="shared" si="1"/>
        <v>1</v>
      </c>
      <c r="AL10" s="37">
        <f t="shared" si="2"/>
        <v>0</v>
      </c>
    </row>
    <row r="11" spans="1:38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 t="s">
        <v>61</v>
      </c>
      <c r="F11" s="16" t="s">
        <v>61</v>
      </c>
      <c r="G11" s="6">
        <v>1</v>
      </c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35">
        <f t="shared" si="0"/>
        <v>1</v>
      </c>
      <c r="AK11" s="36">
        <f t="shared" si="1"/>
        <v>0</v>
      </c>
      <c r="AL11" s="37">
        <f t="shared" si="2"/>
        <v>2</v>
      </c>
    </row>
    <row r="12" spans="1:38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35">
        <f t="shared" si="0"/>
        <v>3</v>
      </c>
      <c r="AK12" s="36">
        <f t="shared" si="1"/>
        <v>0</v>
      </c>
      <c r="AL12" s="37">
        <f t="shared" si="2"/>
        <v>0</v>
      </c>
    </row>
    <row r="13" spans="1:38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>
        <v>1</v>
      </c>
      <c r="F13" s="6">
        <v>1</v>
      </c>
      <c r="G13" s="6">
        <v>1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35">
        <f t="shared" si="0"/>
        <v>3</v>
      </c>
      <c r="AK13" s="36">
        <f t="shared" si="1"/>
        <v>0</v>
      </c>
      <c r="AL13" s="37">
        <f t="shared" si="2"/>
        <v>0</v>
      </c>
    </row>
    <row r="14" spans="1:38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 t="s">
        <v>61</v>
      </c>
      <c r="F14" s="16">
        <v>1</v>
      </c>
      <c r="G14" s="6">
        <v>1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35">
        <f t="shared" si="0"/>
        <v>2</v>
      </c>
      <c r="AK14" s="36">
        <f t="shared" si="1"/>
        <v>0</v>
      </c>
      <c r="AL14" s="37">
        <f t="shared" si="2"/>
        <v>1</v>
      </c>
    </row>
    <row r="15" spans="1:38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35">
        <f t="shared" si="0"/>
        <v>3</v>
      </c>
      <c r="AK15" s="36">
        <f t="shared" si="1"/>
        <v>0</v>
      </c>
      <c r="AL15" s="37">
        <f t="shared" si="2"/>
        <v>0</v>
      </c>
    </row>
    <row r="16" spans="1:38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 t="s">
        <v>61</v>
      </c>
      <c r="G16" s="6">
        <v>1</v>
      </c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35">
        <f t="shared" si="0"/>
        <v>2</v>
      </c>
      <c r="AK16" s="36">
        <f t="shared" si="1"/>
        <v>0</v>
      </c>
      <c r="AL16" s="37">
        <f t="shared" si="2"/>
        <v>1</v>
      </c>
    </row>
    <row r="17" spans="1:38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 t="s">
        <v>61</v>
      </c>
      <c r="G17" s="6">
        <v>1</v>
      </c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35">
        <f t="shared" si="0"/>
        <v>2</v>
      </c>
      <c r="AK17" s="36">
        <f t="shared" si="1"/>
        <v>0</v>
      </c>
      <c r="AL17" s="37">
        <f t="shared" si="2"/>
        <v>1</v>
      </c>
    </row>
    <row r="18" spans="1:38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 t="s">
        <v>62</v>
      </c>
      <c r="F18" s="16" t="s">
        <v>62</v>
      </c>
      <c r="G18" s="16" t="s">
        <v>62</v>
      </c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35">
        <f t="shared" si="0"/>
        <v>0</v>
      </c>
      <c r="AK18" s="36">
        <f t="shared" si="1"/>
        <v>3</v>
      </c>
      <c r="AL18" s="37">
        <f t="shared" si="2"/>
        <v>0</v>
      </c>
    </row>
    <row r="19" spans="1:38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35">
        <f t="shared" si="0"/>
        <v>3</v>
      </c>
      <c r="AK19" s="36">
        <f t="shared" si="1"/>
        <v>0</v>
      </c>
      <c r="AL19" s="37">
        <f t="shared" si="2"/>
        <v>0</v>
      </c>
    </row>
    <row r="20" spans="1:38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35">
        <f t="shared" si="0"/>
        <v>3</v>
      </c>
      <c r="AK20" s="36">
        <f t="shared" si="1"/>
        <v>0</v>
      </c>
      <c r="AL20" s="37">
        <f t="shared" si="2"/>
        <v>0</v>
      </c>
    </row>
    <row r="21" spans="1:38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 t="s">
        <v>61</v>
      </c>
      <c r="F21" s="17">
        <v>1</v>
      </c>
      <c r="G21" s="7">
        <v>1</v>
      </c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44">
        <f t="shared" si="0"/>
        <v>2</v>
      </c>
      <c r="AK21" s="45">
        <f t="shared" si="1"/>
        <v>0</v>
      </c>
      <c r="AL21" s="46">
        <f t="shared" si="2"/>
        <v>1</v>
      </c>
    </row>
    <row r="22" spans="1:38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>
        <v>1</v>
      </c>
      <c r="F22" s="6">
        <v>1</v>
      </c>
      <c r="G22" s="6">
        <v>1</v>
      </c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41">
        <f t="shared" si="0"/>
        <v>3</v>
      </c>
      <c r="AK22" s="42">
        <f t="shared" si="1"/>
        <v>0</v>
      </c>
      <c r="AL22" s="43">
        <f t="shared" si="2"/>
        <v>0</v>
      </c>
    </row>
    <row r="23" spans="1:38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6" t="s">
        <v>62</v>
      </c>
      <c r="AJ23" s="35">
        <f t="shared" si="0"/>
        <v>0</v>
      </c>
      <c r="AK23" s="36">
        <f t="shared" si="1"/>
        <v>31</v>
      </c>
      <c r="AL23" s="37">
        <f t="shared" si="2"/>
        <v>0</v>
      </c>
    </row>
    <row r="24" spans="1:38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 t="s">
        <v>62</v>
      </c>
      <c r="F24" s="6" t="s">
        <v>62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6" t="s">
        <v>62</v>
      </c>
      <c r="AJ24" s="35">
        <f t="shared" si="0"/>
        <v>0</v>
      </c>
      <c r="AK24" s="36">
        <f t="shared" si="1"/>
        <v>31</v>
      </c>
      <c r="AL24" s="37">
        <f t="shared" si="2"/>
        <v>0</v>
      </c>
    </row>
    <row r="25" spans="1:38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>
        <v>1</v>
      </c>
      <c r="G25" s="6">
        <v>1</v>
      </c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35">
        <f t="shared" si="0"/>
        <v>3</v>
      </c>
      <c r="AK25" s="36">
        <f t="shared" si="1"/>
        <v>0</v>
      </c>
      <c r="AL25" s="37">
        <f t="shared" si="2"/>
        <v>0</v>
      </c>
    </row>
    <row r="26" spans="1:38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16" t="s">
        <v>61</v>
      </c>
      <c r="G26" s="6">
        <v>1</v>
      </c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35">
        <f t="shared" si="0"/>
        <v>1</v>
      </c>
      <c r="AK26" s="36">
        <f t="shared" si="1"/>
        <v>0</v>
      </c>
      <c r="AL26" s="37">
        <f t="shared" si="2"/>
        <v>2</v>
      </c>
    </row>
    <row r="27" spans="1:38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 t="s">
        <v>61</v>
      </c>
      <c r="G27" s="6">
        <v>1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35">
        <f t="shared" si="0"/>
        <v>2</v>
      </c>
      <c r="AK27" s="36">
        <f t="shared" si="1"/>
        <v>0</v>
      </c>
      <c r="AL27" s="37">
        <f t="shared" si="2"/>
        <v>1</v>
      </c>
    </row>
    <row r="28" spans="1:38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44">
        <f t="shared" si="0"/>
        <v>3</v>
      </c>
      <c r="AK28" s="45">
        <f t="shared" si="1"/>
        <v>0</v>
      </c>
      <c r="AL28" s="46">
        <f t="shared" si="2"/>
        <v>0</v>
      </c>
    </row>
    <row r="29" spans="1:38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>
        <v>1</v>
      </c>
      <c r="F29" s="6">
        <v>1</v>
      </c>
      <c r="G29" s="6">
        <v>1</v>
      </c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41">
        <f t="shared" si="0"/>
        <v>3</v>
      </c>
      <c r="AK29" s="42">
        <f t="shared" si="1"/>
        <v>0</v>
      </c>
      <c r="AL29" s="43">
        <f t="shared" si="2"/>
        <v>0</v>
      </c>
    </row>
    <row r="30" spans="1:38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6" t="s">
        <v>62</v>
      </c>
      <c r="AJ30" s="35">
        <f t="shared" si="0"/>
        <v>0</v>
      </c>
      <c r="AK30" s="36">
        <f t="shared" si="1"/>
        <v>31</v>
      </c>
      <c r="AL30" s="37">
        <f t="shared" si="2"/>
        <v>0</v>
      </c>
    </row>
    <row r="31" spans="1:38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0"/>
        <v>0</v>
      </c>
      <c r="AK31" s="45">
        <f t="shared" si="1"/>
        <v>31</v>
      </c>
      <c r="AL31" s="46">
        <f t="shared" si="2"/>
        <v>0</v>
      </c>
    </row>
    <row r="32" spans="1:38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0"/>
        <v>0</v>
      </c>
      <c r="AK32" s="42">
        <f t="shared" si="1"/>
        <v>31</v>
      </c>
      <c r="AL32" s="43">
        <f t="shared" si="2"/>
        <v>0</v>
      </c>
    </row>
    <row r="33" spans="1:38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 t="shared" si="0"/>
        <v>0</v>
      </c>
      <c r="AK33" s="45">
        <f t="shared" si="1"/>
        <v>31</v>
      </c>
      <c r="AL33" s="46">
        <f t="shared" si="2"/>
        <v>0</v>
      </c>
    </row>
    <row r="34" spans="1:38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si="0"/>
        <v>0</v>
      </c>
      <c r="AK34" s="42">
        <f t="shared" si="1"/>
        <v>31</v>
      </c>
      <c r="AL34" s="43">
        <f t="shared" si="2"/>
        <v>0</v>
      </c>
    </row>
    <row r="35" spans="1:38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0"/>
        <v>0</v>
      </c>
      <c r="AK35" s="45">
        <f t="shared" si="1"/>
        <v>31</v>
      </c>
      <c r="AL35" s="46">
        <f t="shared" si="2"/>
        <v>0</v>
      </c>
    </row>
    <row r="36" spans="1:38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 t="s">
        <v>61</v>
      </c>
      <c r="G36" s="6">
        <v>1</v>
      </c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41">
        <f t="shared" si="0"/>
        <v>2</v>
      </c>
      <c r="AK36" s="42">
        <f t="shared" si="1"/>
        <v>0</v>
      </c>
      <c r="AL36" s="43">
        <f t="shared" si="2"/>
        <v>1</v>
      </c>
    </row>
    <row r="37" spans="1:38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16" t="s">
        <v>62</v>
      </c>
      <c r="G37" s="16" t="s">
        <v>62</v>
      </c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35">
        <f t="shared" si="0"/>
        <v>0</v>
      </c>
      <c r="AK37" s="36">
        <f t="shared" si="1"/>
        <v>3</v>
      </c>
      <c r="AL37" s="37">
        <f t="shared" si="2"/>
        <v>0</v>
      </c>
    </row>
    <row r="38" spans="1:38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17" t="s">
        <v>62</v>
      </c>
      <c r="G38" s="17" t="s">
        <v>62</v>
      </c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44">
        <f t="shared" si="0"/>
        <v>0</v>
      </c>
      <c r="AK38" s="45">
        <f t="shared" si="1"/>
        <v>3</v>
      </c>
      <c r="AL38" s="46">
        <f t="shared" si="2"/>
        <v>0</v>
      </c>
    </row>
    <row r="39" spans="1:38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 t="s">
        <v>62</v>
      </c>
      <c r="F39" s="16" t="s">
        <v>62</v>
      </c>
      <c r="G39" s="16" t="s">
        <v>62</v>
      </c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41">
        <f t="shared" si="0"/>
        <v>0</v>
      </c>
      <c r="AK39" s="42">
        <f t="shared" si="1"/>
        <v>3</v>
      </c>
      <c r="AL39" s="43">
        <f t="shared" si="2"/>
        <v>0</v>
      </c>
    </row>
    <row r="40" spans="1:38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35">
        <f t="shared" si="0"/>
        <v>3</v>
      </c>
      <c r="AK40" s="36">
        <f t="shared" si="1"/>
        <v>0</v>
      </c>
      <c r="AL40" s="37">
        <f t="shared" si="2"/>
        <v>0</v>
      </c>
    </row>
    <row r="41" spans="1:38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35">
        <f t="shared" si="0"/>
        <v>3</v>
      </c>
      <c r="AK41" s="36">
        <f t="shared" si="1"/>
        <v>0</v>
      </c>
      <c r="AL41" s="37">
        <f t="shared" si="2"/>
        <v>0</v>
      </c>
    </row>
    <row r="42" spans="1:38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35">
        <f t="shared" si="0"/>
        <v>3</v>
      </c>
      <c r="AK42" s="36">
        <f t="shared" si="1"/>
        <v>0</v>
      </c>
      <c r="AL42" s="37">
        <f t="shared" si="2"/>
        <v>0</v>
      </c>
    </row>
    <row r="43" spans="1:38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35">
        <f t="shared" si="0"/>
        <v>3</v>
      </c>
      <c r="AK43" s="36">
        <f t="shared" si="1"/>
        <v>0</v>
      </c>
      <c r="AL43" s="37">
        <f t="shared" si="2"/>
        <v>0</v>
      </c>
    </row>
    <row r="44" spans="1:38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35">
        <f t="shared" si="0"/>
        <v>3</v>
      </c>
      <c r="AK44" s="36">
        <f t="shared" si="1"/>
        <v>0</v>
      </c>
      <c r="AL44" s="37">
        <f t="shared" si="2"/>
        <v>0</v>
      </c>
    </row>
    <row r="45" spans="1:38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44">
        <f t="shared" si="0"/>
        <v>3</v>
      </c>
      <c r="AK45" s="45">
        <f t="shared" si="1"/>
        <v>0</v>
      </c>
      <c r="AL45" s="46">
        <f t="shared" si="2"/>
        <v>0</v>
      </c>
    </row>
    <row r="46" spans="1:38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41">
        <f t="shared" si="0"/>
        <v>3</v>
      </c>
      <c r="AK46" s="42">
        <f t="shared" si="1"/>
        <v>0</v>
      </c>
      <c r="AL46" s="43">
        <f t="shared" si="2"/>
        <v>0</v>
      </c>
    </row>
    <row r="47" spans="1:38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44">
        <f t="shared" si="0"/>
        <v>3</v>
      </c>
      <c r="AK47" s="45">
        <f t="shared" si="1"/>
        <v>0</v>
      </c>
      <c r="AL47" s="46">
        <f t="shared" si="2"/>
        <v>0</v>
      </c>
    </row>
    <row r="48" spans="1:38">
      <c r="A48" s="67">
        <f t="shared" si="3"/>
        <v>45</v>
      </c>
      <c r="B48" s="25"/>
      <c r="C48" s="26"/>
      <c r="D48" s="48" t="s">
        <v>64</v>
      </c>
      <c r="E48" s="16">
        <v>1</v>
      </c>
      <c r="F48" s="6">
        <v>1</v>
      </c>
      <c r="G48" s="6">
        <v>1</v>
      </c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35">
        <f t="shared" si="0"/>
        <v>3</v>
      </c>
      <c r="AK48" s="36">
        <f t="shared" si="1"/>
        <v>0</v>
      </c>
      <c r="AL48" s="37">
        <f t="shared" si="2"/>
        <v>0</v>
      </c>
    </row>
    <row r="49" spans="1:38" ht="16.5" thickBot="1">
      <c r="A49" s="66">
        <f t="shared" si="3"/>
        <v>46</v>
      </c>
      <c r="B49" s="28"/>
      <c r="C49" s="29"/>
      <c r="D49" s="49" t="s">
        <v>65</v>
      </c>
      <c r="E49" s="17">
        <v>1</v>
      </c>
      <c r="F49" s="6" t="s">
        <v>61</v>
      </c>
      <c r="G49" s="7">
        <v>1</v>
      </c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44">
        <f t="shared" si="0"/>
        <v>2</v>
      </c>
      <c r="AK49" s="45">
        <f t="shared" si="1"/>
        <v>0</v>
      </c>
      <c r="AL49" s="46">
        <f t="shared" si="2"/>
        <v>1</v>
      </c>
    </row>
    <row r="50" spans="1:38">
      <c r="B50" s="1"/>
      <c r="C50" s="2"/>
      <c r="D50" s="2"/>
    </row>
    <row r="51" spans="1:38" ht="16.5" thickBot="1">
      <c r="A51" s="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8"/>
      <c r="AL51" s="68"/>
    </row>
    <row r="52" spans="1:38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8">
        <v>31</v>
      </c>
      <c r="AJ52" s="59">
        <v>1</v>
      </c>
      <c r="AK52" s="60" t="s">
        <v>62</v>
      </c>
      <c r="AL52" s="61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>COUNTIF(E53:AI53,1)</f>
        <v>0</v>
      </c>
      <c r="AK53" s="42">
        <f>COUNTIF(E53:AI53,"тр")</f>
        <v>31</v>
      </c>
      <c r="AL53" s="43">
        <f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35">
        <f>COUNTIF(E54:AI54,1)</f>
        <v>3</v>
      </c>
      <c r="AK54" s="36">
        <f>COUNTIF(E54:AI54,"тр")</f>
        <v>0</v>
      </c>
      <c r="AL54" s="37">
        <f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44">
        <f>COUNTIF(E55:AI55,1)</f>
        <v>3</v>
      </c>
      <c r="AK55" s="45">
        <f>COUNTIF(E55:AI55,"тр")</f>
        <v>0</v>
      </c>
      <c r="AL55" s="46">
        <f>COUNTIF(E55:AI55,"бв")</f>
        <v>0</v>
      </c>
    </row>
    <row r="56" spans="1:38">
      <c r="B56" s="1"/>
      <c r="C56" s="2"/>
      <c r="D56" s="2"/>
    </row>
  </sheetData>
  <autoFilter ref="E2:AL49">
    <filterColumn colId="9"/>
    <filterColumn colId="10"/>
    <filterColumn colId="11"/>
    <filterColumn colId="19"/>
    <filterColumn colId="29"/>
  </autoFilter>
  <mergeCells count="2">
    <mergeCell ref="A1:AL1"/>
    <mergeCell ref="A51:AL51"/>
  </mergeCells>
  <conditionalFormatting sqref="E53:AI55 E4:AI49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'Декабрь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2018-12-03T08:54:58Z</cp:lastPrinted>
  <dcterms:created xsi:type="dcterms:W3CDTF">2018-09-27T18:15:43Z</dcterms:created>
  <dcterms:modified xsi:type="dcterms:W3CDTF">2018-12-03T11:14:59Z</dcterms:modified>
</cp:coreProperties>
</file>